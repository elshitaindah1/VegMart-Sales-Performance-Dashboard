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codeName="ThisWorkbook"/>
  <mc:AlternateContent xmlns:mc="http://schemas.openxmlformats.org/markup-compatibility/2006">
    <mc:Choice Requires="x15">
      <x15ac:absPath xmlns:x15ac="http://schemas.microsoft.com/office/spreadsheetml/2010/11/ac" url="E:\1. DAFTAR KERJA\"/>
    </mc:Choice>
  </mc:AlternateContent>
  <xr:revisionPtr revIDLastSave="0" documentId="13_ncr:1_{99CA09D0-57DB-4EAA-B8F8-FE5E5D87F52C}" xr6:coauthVersionLast="46" xr6:coauthVersionMax="47" xr10:uidLastSave="{00000000-0000-0000-0000-000000000000}"/>
  <bookViews>
    <workbookView xWindow="-110" yWindow="-110" windowWidth="19420" windowHeight="10420" activeTab="2" xr2:uid="{00000000-000D-0000-FFFF-FFFF00000000}"/>
  </bookViews>
  <sheets>
    <sheet name="Data_Raw" sheetId="1" r:id="rId1"/>
    <sheet name="Dashboard" sheetId="7" r:id="rId2"/>
    <sheet name="Pivot_Analysis" sheetId="8" r:id="rId3"/>
    <sheet name="Status" sheetId="2" r:id="rId4"/>
    <sheet name="Referensi Harga" sheetId="3" r:id="rId5"/>
  </sheets>
  <definedNames>
    <definedName name="_xlnm._FilterDatabase" localSheetId="0" hidden="1">Data_Raw!$A$3:$R$2003</definedName>
    <definedName name="_xlnm._FilterDatabase" localSheetId="4" hidden="1">'Referensi Harga'!$A$1:$F$21</definedName>
    <definedName name="_xlnm._FilterDatabase" localSheetId="3" hidden="1">Status!$A$1:$B$1867</definedName>
    <definedName name="Slicer_Months">#N/A</definedName>
  </definedNames>
  <calcPr calcId="18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AH5" i="8" l="1"/>
  <c r="AH6" i="8"/>
  <c r="AH7" i="8"/>
  <c r="AH8" i="8"/>
  <c r="AH4" i="8"/>
  <c r="AN4" i="8"/>
  <c r="W39" i="8"/>
  <c r="U28" i="8"/>
  <c r="U29" i="8"/>
  <c r="U30" i="8"/>
  <c r="U31" i="8"/>
  <c r="U32" i="8"/>
  <c r="U33" i="8"/>
  <c r="U34" i="8"/>
  <c r="U35" i="8"/>
  <c r="U36" i="8"/>
  <c r="U37" i="8"/>
  <c r="U38" i="8"/>
  <c r="U27" i="8"/>
  <c r="U39" i="8" s="1"/>
  <c r="W28" i="8"/>
  <c r="W29" i="8"/>
  <c r="W30" i="8"/>
  <c r="W31" i="8"/>
  <c r="W32" i="8"/>
  <c r="W33" i="8"/>
  <c r="W34" i="8"/>
  <c r="W35" i="8"/>
  <c r="W36" i="8"/>
  <c r="W37" i="8"/>
  <c r="W38" i="8"/>
  <c r="W27" i="8"/>
  <c r="V27" i="8"/>
  <c r="Y27" i="8" s="1"/>
  <c r="V28" i="8"/>
  <c r="Y28" i="8" s="1"/>
  <c r="V29" i="8"/>
  <c r="Y29" i="8" s="1"/>
  <c r="V30" i="8"/>
  <c r="Y30" i="8" s="1"/>
  <c r="V31" i="8"/>
  <c r="Y31" i="8" s="1"/>
  <c r="V32" i="8"/>
  <c r="Y32" i="8" s="1"/>
  <c r="V33" i="8"/>
  <c r="Y33" i="8" s="1"/>
  <c r="V34" i="8"/>
  <c r="Y34" i="8" s="1"/>
  <c r="V35" i="8"/>
  <c r="Y35" i="8" s="1"/>
  <c r="V36" i="8"/>
  <c r="Y36" i="8" s="1"/>
  <c r="V37" i="8"/>
  <c r="Y37" i="8" s="1"/>
  <c r="V38" i="8"/>
  <c r="Y38" i="8" s="1"/>
  <c r="X28" i="8"/>
  <c r="X29" i="8"/>
  <c r="X30" i="8"/>
  <c r="X31" i="8"/>
  <c r="X32" i="8"/>
  <c r="X33" i="8"/>
  <c r="X34" i="8"/>
  <c r="X35" i="8"/>
  <c r="X36" i="8"/>
  <c r="X37" i="8"/>
  <c r="X38" i="8"/>
  <c r="X27" i="8"/>
  <c r="V39" i="8"/>
  <c r="I4" i="8"/>
  <c r="U5" i="8" l="1"/>
  <c r="U6" i="8"/>
  <c r="U7" i="8"/>
  <c r="U8" i="8"/>
  <c r="U9" i="8"/>
  <c r="U10" i="8"/>
  <c r="U11" i="8"/>
  <c r="U12" i="8"/>
  <c r="U13" i="8"/>
  <c r="U14" i="8"/>
  <c r="U15" i="8"/>
  <c r="U4" i="8"/>
  <c r="AU5" i="8"/>
  <c r="AU6" i="8"/>
  <c r="AU7" i="8"/>
  <c r="AU8" i="8"/>
  <c r="AU4" i="8"/>
  <c r="AN5" i="8"/>
  <c r="AN6" i="8"/>
  <c r="AN7" i="8"/>
  <c r="S5" i="8"/>
  <c r="S6" i="8"/>
  <c r="S7" i="8"/>
  <c r="S8" i="8"/>
  <c r="S9" i="8"/>
  <c r="S10" i="8"/>
  <c r="S11" i="8"/>
  <c r="S12" i="8"/>
  <c r="S13" i="8"/>
  <c r="S14" i="8"/>
  <c r="S15" i="8"/>
  <c r="S4" i="8"/>
  <c r="N6" i="8"/>
  <c r="N7" i="8"/>
  <c r="N8" i="8"/>
  <c r="N9" i="8"/>
  <c r="N5" i="8"/>
  <c r="M6" i="8"/>
  <c r="M7" i="8"/>
  <c r="M8" i="8"/>
  <c r="M9" i="8"/>
  <c r="M5" i="8"/>
  <c r="H4" i="8"/>
  <c r="X5" i="1"/>
  <c r="X4"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I2003" i="1"/>
  <c r="I2002" i="1"/>
  <c r="J2002" i="1" s="1"/>
  <c r="I2001" i="1"/>
  <c r="I2000" i="1"/>
  <c r="J2000" i="1" s="1"/>
  <c r="K2000" i="1" s="1"/>
  <c r="M2000" i="1" s="1"/>
  <c r="S2000" i="1" s="1"/>
  <c r="I1999" i="1"/>
  <c r="I1998" i="1"/>
  <c r="J1998" i="1" s="1"/>
  <c r="K1998" i="1" s="1"/>
  <c r="M1998" i="1" s="1"/>
  <c r="S1998" i="1" s="1"/>
  <c r="I1997" i="1"/>
  <c r="I1996" i="1"/>
  <c r="J1996" i="1" s="1"/>
  <c r="K1996" i="1" s="1"/>
  <c r="M1996" i="1" s="1"/>
  <c r="S1996" i="1" s="1"/>
  <c r="U1996" i="1" s="1"/>
  <c r="I1995" i="1"/>
  <c r="I1994" i="1"/>
  <c r="J1994" i="1" s="1"/>
  <c r="K1994" i="1" s="1"/>
  <c r="M1994" i="1" s="1"/>
  <c r="S1994" i="1" s="1"/>
  <c r="V1994" i="1" s="1"/>
  <c r="I1993" i="1"/>
  <c r="I1992" i="1"/>
  <c r="J1992" i="1" s="1"/>
  <c r="K1992" i="1" s="1"/>
  <c r="M1992" i="1" s="1"/>
  <c r="S1992" i="1" s="1"/>
  <c r="W1992" i="1" s="1"/>
  <c r="I1991" i="1"/>
  <c r="I1990" i="1"/>
  <c r="J1990" i="1" s="1"/>
  <c r="K1990" i="1" s="1"/>
  <c r="M1990" i="1" s="1"/>
  <c r="S1990" i="1" s="1"/>
  <c r="I1989" i="1"/>
  <c r="I1988" i="1"/>
  <c r="J1988" i="1" s="1"/>
  <c r="K1988" i="1" s="1"/>
  <c r="M1988" i="1" s="1"/>
  <c r="S1988" i="1" s="1"/>
  <c r="I1987" i="1"/>
  <c r="I1986" i="1"/>
  <c r="J1986" i="1" s="1"/>
  <c r="K1986" i="1" s="1"/>
  <c r="M1986" i="1" s="1"/>
  <c r="S1986" i="1" s="1"/>
  <c r="U1986" i="1" s="1"/>
  <c r="I1985" i="1"/>
  <c r="I1984" i="1"/>
  <c r="J1984" i="1" s="1"/>
  <c r="K1984" i="1" s="1"/>
  <c r="M1984" i="1" s="1"/>
  <c r="S1984" i="1" s="1"/>
  <c r="V1984" i="1" s="1"/>
  <c r="I1983" i="1"/>
  <c r="I1982" i="1"/>
  <c r="J1982" i="1" s="1"/>
  <c r="K1982" i="1" s="1"/>
  <c r="M1982" i="1" s="1"/>
  <c r="S1982" i="1" s="1"/>
  <c r="I1981" i="1"/>
  <c r="I1980" i="1"/>
  <c r="J1980" i="1" s="1"/>
  <c r="K1980" i="1" s="1"/>
  <c r="M1980" i="1" s="1"/>
  <c r="S1980" i="1" s="1"/>
  <c r="U1980" i="1" s="1"/>
  <c r="I1979" i="1"/>
  <c r="I1978" i="1"/>
  <c r="J1978" i="1" s="1"/>
  <c r="K1978" i="1" s="1"/>
  <c r="M1978" i="1" s="1"/>
  <c r="S1978" i="1" s="1"/>
  <c r="V1978" i="1" s="1"/>
  <c r="I1977" i="1"/>
  <c r="I1976" i="1"/>
  <c r="J1976" i="1" s="1"/>
  <c r="K1976" i="1" s="1"/>
  <c r="M1976" i="1" s="1"/>
  <c r="S1976" i="1" s="1"/>
  <c r="W1976" i="1" s="1"/>
  <c r="I1975" i="1"/>
  <c r="I1974" i="1"/>
  <c r="J1974" i="1" s="1"/>
  <c r="K1974" i="1" s="1"/>
  <c r="M1974" i="1" s="1"/>
  <c r="S1974" i="1" s="1"/>
  <c r="I1973" i="1"/>
  <c r="I1972" i="1"/>
  <c r="J1972" i="1" s="1"/>
  <c r="K1972" i="1" s="1"/>
  <c r="M1972" i="1" s="1"/>
  <c r="S1972" i="1" s="1"/>
  <c r="I1971" i="1"/>
  <c r="I1970" i="1"/>
  <c r="J1970" i="1" s="1"/>
  <c r="K1970" i="1" s="1"/>
  <c r="M1970" i="1" s="1"/>
  <c r="S1970" i="1" s="1"/>
  <c r="U1970" i="1" s="1"/>
  <c r="I1969" i="1"/>
  <c r="I1968" i="1"/>
  <c r="J1968" i="1" s="1"/>
  <c r="K1968" i="1" s="1"/>
  <c r="M1968" i="1" s="1"/>
  <c r="S1968" i="1" s="1"/>
  <c r="I1967" i="1"/>
  <c r="I1966" i="1"/>
  <c r="J1966" i="1" s="1"/>
  <c r="K1966" i="1" s="1"/>
  <c r="M1966" i="1" s="1"/>
  <c r="S1966" i="1" s="1"/>
  <c r="I1965" i="1"/>
  <c r="I1964" i="1"/>
  <c r="J1964" i="1" s="1"/>
  <c r="K1964" i="1" s="1"/>
  <c r="M1964" i="1" s="1"/>
  <c r="S1964" i="1" s="1"/>
  <c r="U1964" i="1" s="1"/>
  <c r="I1963" i="1"/>
  <c r="I1962" i="1"/>
  <c r="J1962" i="1" s="1"/>
  <c r="K1962" i="1" s="1"/>
  <c r="M1962" i="1" s="1"/>
  <c r="S1962" i="1" s="1"/>
  <c r="V1962" i="1" s="1"/>
  <c r="I1961" i="1"/>
  <c r="I1960" i="1"/>
  <c r="J1960" i="1" s="1"/>
  <c r="K1960" i="1" s="1"/>
  <c r="M1960" i="1" s="1"/>
  <c r="S1960" i="1" s="1"/>
  <c r="W1960" i="1" s="1"/>
  <c r="I1959" i="1"/>
  <c r="I1958" i="1"/>
  <c r="J1958" i="1" s="1"/>
  <c r="K1958" i="1" s="1"/>
  <c r="M1958" i="1" s="1"/>
  <c r="S1958" i="1" s="1"/>
  <c r="I1957" i="1"/>
  <c r="I1956" i="1"/>
  <c r="J1956" i="1" s="1"/>
  <c r="K1956" i="1" s="1"/>
  <c r="M1956" i="1" s="1"/>
  <c r="S1956" i="1" s="1"/>
  <c r="I1955" i="1"/>
  <c r="I1954" i="1"/>
  <c r="J1954" i="1" s="1"/>
  <c r="K1954" i="1" s="1"/>
  <c r="M1954" i="1" s="1"/>
  <c r="S1954" i="1" s="1"/>
  <c r="U1954" i="1" s="1"/>
  <c r="I1953" i="1"/>
  <c r="I1952" i="1"/>
  <c r="J1952" i="1" s="1"/>
  <c r="K1952" i="1" s="1"/>
  <c r="M1952" i="1" s="1"/>
  <c r="S1952" i="1" s="1"/>
  <c r="I1951" i="1"/>
  <c r="I1950" i="1"/>
  <c r="J1950" i="1" s="1"/>
  <c r="K1950" i="1" s="1"/>
  <c r="M1950" i="1" s="1"/>
  <c r="S1950" i="1" s="1"/>
  <c r="I1949" i="1"/>
  <c r="I1948" i="1"/>
  <c r="J1948" i="1" s="1"/>
  <c r="K1948" i="1" s="1"/>
  <c r="M1948" i="1" s="1"/>
  <c r="S1948" i="1" s="1"/>
  <c r="U1948" i="1" s="1"/>
  <c r="I1947" i="1"/>
  <c r="I1946" i="1"/>
  <c r="J1946" i="1" s="1"/>
  <c r="K1946" i="1" s="1"/>
  <c r="M1946" i="1" s="1"/>
  <c r="S1946" i="1" s="1"/>
  <c r="V1946" i="1" s="1"/>
  <c r="I1945" i="1"/>
  <c r="I1944" i="1"/>
  <c r="J1944" i="1" s="1"/>
  <c r="K1944" i="1" s="1"/>
  <c r="M1944" i="1" s="1"/>
  <c r="S1944" i="1" s="1"/>
  <c r="W1944" i="1" s="1"/>
  <c r="I1943" i="1"/>
  <c r="I1942" i="1"/>
  <c r="J1942" i="1" s="1"/>
  <c r="K1942" i="1" s="1"/>
  <c r="M1942" i="1" s="1"/>
  <c r="S1942" i="1" s="1"/>
  <c r="I1941" i="1"/>
  <c r="I1940" i="1"/>
  <c r="J1940" i="1" s="1"/>
  <c r="K1940" i="1" s="1"/>
  <c r="M1940" i="1" s="1"/>
  <c r="S1940" i="1" s="1"/>
  <c r="U1940" i="1" s="1"/>
  <c r="I1939" i="1"/>
  <c r="I1938" i="1"/>
  <c r="J1938" i="1" s="1"/>
  <c r="K1938" i="1" s="1"/>
  <c r="M1938" i="1" s="1"/>
  <c r="S1938" i="1" s="1"/>
  <c r="U1938" i="1" s="1"/>
  <c r="I1937" i="1"/>
  <c r="I1936" i="1"/>
  <c r="J1936" i="1" s="1"/>
  <c r="K1936" i="1" s="1"/>
  <c r="M1936" i="1" s="1"/>
  <c r="S1936" i="1" s="1"/>
  <c r="I1935" i="1"/>
  <c r="I1934" i="1"/>
  <c r="J1934" i="1" s="1"/>
  <c r="K1934" i="1" s="1"/>
  <c r="M1934" i="1" s="1"/>
  <c r="S1934" i="1" s="1"/>
  <c r="I1933" i="1"/>
  <c r="I1932" i="1"/>
  <c r="J1932" i="1" s="1"/>
  <c r="K1932" i="1" s="1"/>
  <c r="M1932" i="1" s="1"/>
  <c r="S1932" i="1" s="1"/>
  <c r="U1932" i="1" s="1"/>
  <c r="I1931" i="1"/>
  <c r="I1930" i="1"/>
  <c r="J1930" i="1" s="1"/>
  <c r="K1930" i="1" s="1"/>
  <c r="M1930" i="1" s="1"/>
  <c r="S1930" i="1" s="1"/>
  <c r="V1930" i="1" s="1"/>
  <c r="I1929" i="1"/>
  <c r="I1928" i="1"/>
  <c r="J1928" i="1" s="1"/>
  <c r="K1928" i="1" s="1"/>
  <c r="M1928" i="1" s="1"/>
  <c r="S1928" i="1" s="1"/>
  <c r="W1928" i="1" s="1"/>
  <c r="I1927" i="1"/>
  <c r="I1926" i="1"/>
  <c r="J1926" i="1" s="1"/>
  <c r="K1926" i="1" s="1"/>
  <c r="M1926" i="1" s="1"/>
  <c r="S1926" i="1" s="1"/>
  <c r="I1925" i="1"/>
  <c r="I1924" i="1"/>
  <c r="J1924" i="1" s="1"/>
  <c r="K1924" i="1" s="1"/>
  <c r="M1924" i="1" s="1"/>
  <c r="S1924" i="1" s="1"/>
  <c r="I1923" i="1"/>
  <c r="I1922" i="1"/>
  <c r="J1922" i="1" s="1"/>
  <c r="K1922" i="1" s="1"/>
  <c r="M1922" i="1" s="1"/>
  <c r="S1922" i="1" s="1"/>
  <c r="U1922" i="1" s="1"/>
  <c r="I1921" i="1"/>
  <c r="I1920" i="1"/>
  <c r="J1920" i="1" s="1"/>
  <c r="K1920" i="1" s="1"/>
  <c r="M1920" i="1" s="1"/>
  <c r="S1920" i="1" s="1"/>
  <c r="I1919" i="1"/>
  <c r="I1918" i="1"/>
  <c r="J1918" i="1" s="1"/>
  <c r="K1918" i="1" s="1"/>
  <c r="M1918" i="1" s="1"/>
  <c r="S1918" i="1" s="1"/>
  <c r="I1917" i="1"/>
  <c r="I1916" i="1"/>
  <c r="J1916" i="1" s="1"/>
  <c r="K1916" i="1" s="1"/>
  <c r="M1916" i="1" s="1"/>
  <c r="S1916" i="1" s="1"/>
  <c r="U1916" i="1" s="1"/>
  <c r="I1915" i="1"/>
  <c r="I1914" i="1"/>
  <c r="J1914" i="1" s="1"/>
  <c r="K1914" i="1" s="1"/>
  <c r="M1914" i="1" s="1"/>
  <c r="S1914" i="1" s="1"/>
  <c r="V1914" i="1" s="1"/>
  <c r="I1913" i="1"/>
  <c r="I1912" i="1"/>
  <c r="J1912" i="1" s="1"/>
  <c r="K1912" i="1" s="1"/>
  <c r="M1912" i="1" s="1"/>
  <c r="S1912" i="1" s="1"/>
  <c r="W1912" i="1" s="1"/>
  <c r="I1911" i="1"/>
  <c r="I1910" i="1"/>
  <c r="J1910" i="1" s="1"/>
  <c r="K1910" i="1" s="1"/>
  <c r="M1910" i="1" s="1"/>
  <c r="S1910" i="1" s="1"/>
  <c r="I1909" i="1"/>
  <c r="I1908" i="1"/>
  <c r="J1908" i="1" s="1"/>
  <c r="K1908" i="1" s="1"/>
  <c r="M1908" i="1" s="1"/>
  <c r="S1908" i="1" s="1"/>
  <c r="I1907" i="1"/>
  <c r="I1906" i="1"/>
  <c r="J1906" i="1" s="1"/>
  <c r="K1906" i="1" s="1"/>
  <c r="M1906" i="1" s="1"/>
  <c r="S1906" i="1" s="1"/>
  <c r="U1906" i="1" s="1"/>
  <c r="I1905" i="1"/>
  <c r="I1904" i="1"/>
  <c r="J1904" i="1" s="1"/>
  <c r="K1904" i="1" s="1"/>
  <c r="M1904" i="1" s="1"/>
  <c r="S1904" i="1" s="1"/>
  <c r="I1903" i="1"/>
  <c r="I1902" i="1"/>
  <c r="J1902" i="1" s="1"/>
  <c r="K1902" i="1" s="1"/>
  <c r="M1902" i="1" s="1"/>
  <c r="S1902" i="1" s="1"/>
  <c r="I1901" i="1"/>
  <c r="I1900" i="1"/>
  <c r="J1900" i="1" s="1"/>
  <c r="K1900" i="1" s="1"/>
  <c r="M1900" i="1" s="1"/>
  <c r="S1900" i="1" s="1"/>
  <c r="U1900" i="1" s="1"/>
  <c r="I1899" i="1"/>
  <c r="I1898" i="1"/>
  <c r="J1898" i="1" s="1"/>
  <c r="K1898" i="1" s="1"/>
  <c r="M1898" i="1" s="1"/>
  <c r="S1898" i="1" s="1"/>
  <c r="U1898" i="1" s="1"/>
  <c r="I1897" i="1"/>
  <c r="I1896" i="1"/>
  <c r="J1896" i="1" s="1"/>
  <c r="K1896" i="1" s="1"/>
  <c r="M1896" i="1" s="1"/>
  <c r="S1896" i="1" s="1"/>
  <c r="W1896" i="1" s="1"/>
  <c r="I1895" i="1"/>
  <c r="I1894" i="1"/>
  <c r="J1894" i="1" s="1"/>
  <c r="K1894" i="1" s="1"/>
  <c r="M1894" i="1" s="1"/>
  <c r="S1894" i="1" s="1"/>
  <c r="I1893" i="1"/>
  <c r="I1892" i="1"/>
  <c r="J1892" i="1" s="1"/>
  <c r="K1892" i="1" s="1"/>
  <c r="M1892" i="1" s="1"/>
  <c r="S1892" i="1" s="1"/>
  <c r="I1891" i="1"/>
  <c r="I1890" i="1"/>
  <c r="J1890" i="1" s="1"/>
  <c r="K1890" i="1" s="1"/>
  <c r="M1890" i="1" s="1"/>
  <c r="S1890" i="1" s="1"/>
  <c r="U1890" i="1" s="1"/>
  <c r="I1889" i="1"/>
  <c r="I1888" i="1"/>
  <c r="J1888" i="1" s="1"/>
  <c r="K1888" i="1" s="1"/>
  <c r="M1888" i="1" s="1"/>
  <c r="S1888" i="1" s="1"/>
  <c r="I1887" i="1"/>
  <c r="I1886" i="1"/>
  <c r="J1886" i="1" s="1"/>
  <c r="K1886" i="1" s="1"/>
  <c r="M1886" i="1" s="1"/>
  <c r="S1886" i="1" s="1"/>
  <c r="I1885" i="1"/>
  <c r="I1884" i="1"/>
  <c r="J1884" i="1" s="1"/>
  <c r="K1884" i="1" s="1"/>
  <c r="M1884" i="1" s="1"/>
  <c r="S1884" i="1" s="1"/>
  <c r="U1884" i="1" s="1"/>
  <c r="I1883" i="1"/>
  <c r="I1882" i="1"/>
  <c r="J1882" i="1" s="1"/>
  <c r="K1882" i="1" s="1"/>
  <c r="M1882" i="1" s="1"/>
  <c r="S1882" i="1" s="1"/>
  <c r="V1882" i="1" s="1"/>
  <c r="I1881" i="1"/>
  <c r="I1880" i="1"/>
  <c r="J1880" i="1" s="1"/>
  <c r="K1880" i="1" s="1"/>
  <c r="M1880" i="1" s="1"/>
  <c r="S1880" i="1" s="1"/>
  <c r="W1880" i="1" s="1"/>
  <c r="I1879" i="1"/>
  <c r="I1878" i="1"/>
  <c r="J1878" i="1" s="1"/>
  <c r="K1878" i="1" s="1"/>
  <c r="M1878" i="1" s="1"/>
  <c r="S1878" i="1" s="1"/>
  <c r="I1877" i="1"/>
  <c r="I1876" i="1"/>
  <c r="J1876" i="1" s="1"/>
  <c r="K1876" i="1" s="1"/>
  <c r="M1876" i="1" s="1"/>
  <c r="S1876" i="1" s="1"/>
  <c r="U1876" i="1" s="1"/>
  <c r="I1875" i="1"/>
  <c r="I1874" i="1"/>
  <c r="J1874" i="1" s="1"/>
  <c r="K1874" i="1" s="1"/>
  <c r="M1874" i="1" s="1"/>
  <c r="S1874" i="1" s="1"/>
  <c r="U1874" i="1" s="1"/>
  <c r="I1873" i="1"/>
  <c r="I1872" i="1"/>
  <c r="J1872" i="1" s="1"/>
  <c r="K1872" i="1" s="1"/>
  <c r="M1872" i="1" s="1"/>
  <c r="S1872" i="1" s="1"/>
  <c r="W1872" i="1" s="1"/>
  <c r="I1871" i="1"/>
  <c r="I1870" i="1"/>
  <c r="J1870" i="1" s="1"/>
  <c r="K1870" i="1" s="1"/>
  <c r="M1870" i="1" s="1"/>
  <c r="S1870" i="1" s="1"/>
  <c r="I1869" i="1"/>
  <c r="I1868" i="1"/>
  <c r="J1868" i="1" s="1"/>
  <c r="K1868" i="1" s="1"/>
  <c r="M1868" i="1" s="1"/>
  <c r="S1868" i="1" s="1"/>
  <c r="U1868" i="1" s="1"/>
  <c r="I1867" i="1"/>
  <c r="I1866" i="1"/>
  <c r="J1866" i="1" s="1"/>
  <c r="K1866" i="1" s="1"/>
  <c r="M1866" i="1" s="1"/>
  <c r="S1866" i="1" s="1"/>
  <c r="V1866" i="1" s="1"/>
  <c r="I1865" i="1"/>
  <c r="I1864" i="1"/>
  <c r="J1864" i="1" s="1"/>
  <c r="K1864" i="1" s="1"/>
  <c r="M1864" i="1" s="1"/>
  <c r="S1864" i="1" s="1"/>
  <c r="W1864" i="1" s="1"/>
  <c r="I1863" i="1"/>
  <c r="I1862" i="1"/>
  <c r="J1862" i="1" s="1"/>
  <c r="K1862" i="1" s="1"/>
  <c r="M1862" i="1" s="1"/>
  <c r="S1862" i="1" s="1"/>
  <c r="I1861" i="1"/>
  <c r="I1860" i="1"/>
  <c r="J1860" i="1" s="1"/>
  <c r="K1860" i="1" s="1"/>
  <c r="M1860" i="1" s="1"/>
  <c r="S1860" i="1" s="1"/>
  <c r="I1859" i="1"/>
  <c r="I1858" i="1"/>
  <c r="J1858" i="1" s="1"/>
  <c r="K1858" i="1" s="1"/>
  <c r="M1858" i="1" s="1"/>
  <c r="S1858" i="1" s="1"/>
  <c r="U1858" i="1" s="1"/>
  <c r="I1857" i="1"/>
  <c r="I1856" i="1"/>
  <c r="J1856" i="1" s="1"/>
  <c r="K1856" i="1" s="1"/>
  <c r="M1856" i="1" s="1"/>
  <c r="S1856" i="1" s="1"/>
  <c r="I1855" i="1"/>
  <c r="I1854" i="1"/>
  <c r="J1854" i="1" s="1"/>
  <c r="K1854" i="1" s="1"/>
  <c r="M1854" i="1" s="1"/>
  <c r="S1854" i="1" s="1"/>
  <c r="I1853" i="1"/>
  <c r="I1852" i="1"/>
  <c r="J1852" i="1" s="1"/>
  <c r="K1852" i="1" s="1"/>
  <c r="M1852" i="1" s="1"/>
  <c r="S1852" i="1" s="1"/>
  <c r="U1852" i="1" s="1"/>
  <c r="I1851" i="1"/>
  <c r="I1850" i="1"/>
  <c r="J1850" i="1" s="1"/>
  <c r="K1850" i="1" s="1"/>
  <c r="M1850" i="1" s="1"/>
  <c r="S1850" i="1" s="1"/>
  <c r="V1850" i="1" s="1"/>
  <c r="I1849" i="1"/>
  <c r="I1848" i="1"/>
  <c r="J1848" i="1" s="1"/>
  <c r="K1848" i="1" s="1"/>
  <c r="M1848" i="1" s="1"/>
  <c r="S1848" i="1" s="1"/>
  <c r="W1848" i="1" s="1"/>
  <c r="I1847" i="1"/>
  <c r="I1846" i="1"/>
  <c r="J1846" i="1" s="1"/>
  <c r="K1846" i="1" s="1"/>
  <c r="M1846" i="1" s="1"/>
  <c r="S1846" i="1" s="1"/>
  <c r="I1845" i="1"/>
  <c r="I1844" i="1"/>
  <c r="J1844" i="1" s="1"/>
  <c r="K1844" i="1" s="1"/>
  <c r="M1844" i="1" s="1"/>
  <c r="S1844" i="1" s="1"/>
  <c r="I1843" i="1"/>
  <c r="I1842" i="1"/>
  <c r="J1842" i="1" s="1"/>
  <c r="K1842" i="1" s="1"/>
  <c r="M1842" i="1" s="1"/>
  <c r="S1842" i="1" s="1"/>
  <c r="U1842" i="1" s="1"/>
  <c r="I1841" i="1"/>
  <c r="I1840" i="1"/>
  <c r="J1840" i="1" s="1"/>
  <c r="K1840" i="1" s="1"/>
  <c r="M1840" i="1" s="1"/>
  <c r="S1840" i="1" s="1"/>
  <c r="I1839" i="1"/>
  <c r="I1838" i="1"/>
  <c r="J1838" i="1" s="1"/>
  <c r="K1838" i="1" s="1"/>
  <c r="M1838" i="1" s="1"/>
  <c r="S1838" i="1" s="1"/>
  <c r="I1837" i="1"/>
  <c r="I1836" i="1"/>
  <c r="J1836" i="1" s="1"/>
  <c r="K1836" i="1" s="1"/>
  <c r="M1836" i="1" s="1"/>
  <c r="S1836" i="1" s="1"/>
  <c r="U1836" i="1" s="1"/>
  <c r="I1835" i="1"/>
  <c r="I1834" i="1"/>
  <c r="J1834" i="1" s="1"/>
  <c r="K1834" i="1" s="1"/>
  <c r="M1834" i="1" s="1"/>
  <c r="S1834" i="1" s="1"/>
  <c r="V1834" i="1" s="1"/>
  <c r="I1833" i="1"/>
  <c r="I1832" i="1"/>
  <c r="J1832" i="1" s="1"/>
  <c r="K1832" i="1" s="1"/>
  <c r="M1832" i="1" s="1"/>
  <c r="S1832" i="1" s="1"/>
  <c r="W1832" i="1" s="1"/>
  <c r="I1831" i="1"/>
  <c r="I1830" i="1"/>
  <c r="J1830" i="1" s="1"/>
  <c r="K1830" i="1" s="1"/>
  <c r="M1830" i="1" s="1"/>
  <c r="S1830" i="1" s="1"/>
  <c r="I1829" i="1"/>
  <c r="I1828" i="1"/>
  <c r="J1828" i="1" s="1"/>
  <c r="K1828" i="1" s="1"/>
  <c r="M1828" i="1" s="1"/>
  <c r="S1828" i="1" s="1"/>
  <c r="I1827" i="1"/>
  <c r="I1826" i="1"/>
  <c r="J1826" i="1" s="1"/>
  <c r="K1826" i="1" s="1"/>
  <c r="M1826" i="1" s="1"/>
  <c r="S1826" i="1" s="1"/>
  <c r="U1826" i="1" s="1"/>
  <c r="I1825" i="1"/>
  <c r="J1825" i="1" s="1"/>
  <c r="K1825" i="1" s="1"/>
  <c r="M1825" i="1" s="1"/>
  <c r="S1825" i="1" s="1"/>
  <c r="I1824" i="1"/>
  <c r="J1824" i="1" s="1"/>
  <c r="K1824" i="1" s="1"/>
  <c r="M1824" i="1" s="1"/>
  <c r="S1824" i="1" s="1"/>
  <c r="I1823" i="1"/>
  <c r="I1822" i="1"/>
  <c r="J1822" i="1" s="1"/>
  <c r="K1822" i="1" s="1"/>
  <c r="M1822" i="1" s="1"/>
  <c r="S1822" i="1" s="1"/>
  <c r="I1821" i="1"/>
  <c r="J1821" i="1" s="1"/>
  <c r="I1820" i="1"/>
  <c r="J1820" i="1" s="1"/>
  <c r="K1820" i="1" s="1"/>
  <c r="M1820" i="1" s="1"/>
  <c r="S1820" i="1" s="1"/>
  <c r="U1820" i="1" s="1"/>
  <c r="I1819" i="1"/>
  <c r="J1819" i="1" s="1"/>
  <c r="I1818" i="1"/>
  <c r="J1818" i="1" s="1"/>
  <c r="K1818" i="1" s="1"/>
  <c r="M1818" i="1" s="1"/>
  <c r="S1818" i="1" s="1"/>
  <c r="I1817" i="1"/>
  <c r="I1816" i="1"/>
  <c r="J1816" i="1" s="1"/>
  <c r="K1816" i="1" s="1"/>
  <c r="M1816" i="1" s="1"/>
  <c r="S1816" i="1" s="1"/>
  <c r="W1816" i="1" s="1"/>
  <c r="I1815" i="1"/>
  <c r="I1814" i="1"/>
  <c r="J1814" i="1" s="1"/>
  <c r="K1814" i="1" s="1"/>
  <c r="M1814" i="1" s="1"/>
  <c r="S1814" i="1" s="1"/>
  <c r="I1813" i="1"/>
  <c r="I1812" i="1"/>
  <c r="J1812" i="1" s="1"/>
  <c r="K1812" i="1" s="1"/>
  <c r="M1812" i="1" s="1"/>
  <c r="S1812" i="1" s="1"/>
  <c r="U1812" i="1" s="1"/>
  <c r="I1811" i="1"/>
  <c r="I1810" i="1"/>
  <c r="J1810" i="1" s="1"/>
  <c r="K1810" i="1" s="1"/>
  <c r="M1810" i="1" s="1"/>
  <c r="S1810" i="1" s="1"/>
  <c r="U1810" i="1" s="1"/>
  <c r="I1809" i="1"/>
  <c r="J1809" i="1" s="1"/>
  <c r="I1808" i="1"/>
  <c r="J1808" i="1" s="1"/>
  <c r="K1808" i="1" s="1"/>
  <c r="M1808" i="1" s="1"/>
  <c r="S1808" i="1" s="1"/>
  <c r="W1808" i="1" s="1"/>
  <c r="I1807" i="1"/>
  <c r="J1807" i="1" s="1"/>
  <c r="I1806" i="1"/>
  <c r="J1806" i="1" s="1"/>
  <c r="K1806" i="1" s="1"/>
  <c r="M1806" i="1" s="1"/>
  <c r="S1806" i="1" s="1"/>
  <c r="I1805" i="1"/>
  <c r="J1805" i="1" s="1"/>
  <c r="I1804" i="1"/>
  <c r="J1804" i="1" s="1"/>
  <c r="K1804" i="1" s="1"/>
  <c r="M1804" i="1" s="1"/>
  <c r="S1804" i="1" s="1"/>
  <c r="U1804" i="1" s="1"/>
  <c r="I1803" i="1"/>
  <c r="I1802" i="1"/>
  <c r="J1802" i="1" s="1"/>
  <c r="K1802" i="1" s="1"/>
  <c r="M1802" i="1" s="1"/>
  <c r="S1802" i="1" s="1"/>
  <c r="V1802" i="1" s="1"/>
  <c r="I1801" i="1"/>
  <c r="I1800" i="1"/>
  <c r="J1800" i="1" s="1"/>
  <c r="K1800" i="1" s="1"/>
  <c r="M1800" i="1" s="1"/>
  <c r="S1800" i="1" s="1"/>
  <c r="W1800" i="1" s="1"/>
  <c r="I1799" i="1"/>
  <c r="I1798" i="1"/>
  <c r="J1798" i="1" s="1"/>
  <c r="K1798" i="1" s="1"/>
  <c r="M1798" i="1" s="1"/>
  <c r="S1798" i="1" s="1"/>
  <c r="I1797" i="1"/>
  <c r="I1796" i="1"/>
  <c r="J1796" i="1" s="1"/>
  <c r="K1796" i="1" s="1"/>
  <c r="M1796" i="1" s="1"/>
  <c r="S1796" i="1" s="1"/>
  <c r="I1795" i="1"/>
  <c r="J1795" i="1" s="1"/>
  <c r="K1795" i="1" s="1"/>
  <c r="M1795" i="1" s="1"/>
  <c r="S1795" i="1" s="1"/>
  <c r="I1794" i="1"/>
  <c r="J1794" i="1" s="1"/>
  <c r="K1794" i="1" s="1"/>
  <c r="M1794" i="1" s="1"/>
  <c r="S1794" i="1" s="1"/>
  <c r="U1794" i="1" s="1"/>
  <c r="I1793" i="1"/>
  <c r="J1793" i="1" s="1"/>
  <c r="I1792" i="1"/>
  <c r="J1792" i="1" s="1"/>
  <c r="K1792" i="1" s="1"/>
  <c r="M1792" i="1" s="1"/>
  <c r="S1792" i="1" s="1"/>
  <c r="V1792" i="1" s="1"/>
  <c r="I1791" i="1"/>
  <c r="I1790" i="1"/>
  <c r="J1790" i="1" s="1"/>
  <c r="K1790" i="1" s="1"/>
  <c r="M1790" i="1" s="1"/>
  <c r="S1790" i="1" s="1"/>
  <c r="I1789" i="1"/>
  <c r="J1789" i="1" s="1"/>
  <c r="I1788" i="1"/>
  <c r="J1788" i="1" s="1"/>
  <c r="K1788" i="1" s="1"/>
  <c r="M1788" i="1" s="1"/>
  <c r="S1788" i="1" s="1"/>
  <c r="U1788" i="1" s="1"/>
  <c r="I1787" i="1"/>
  <c r="J1787" i="1" s="1"/>
  <c r="I1786" i="1"/>
  <c r="J1786" i="1" s="1"/>
  <c r="K1786" i="1" s="1"/>
  <c r="M1786" i="1" s="1"/>
  <c r="S1786" i="1" s="1"/>
  <c r="I1785" i="1"/>
  <c r="I1784" i="1"/>
  <c r="J1784" i="1" s="1"/>
  <c r="K1784" i="1" s="1"/>
  <c r="M1784" i="1" s="1"/>
  <c r="S1784" i="1" s="1"/>
  <c r="W1784" i="1" s="1"/>
  <c r="I1783" i="1"/>
  <c r="I1782" i="1"/>
  <c r="J1782" i="1" s="1"/>
  <c r="K1782" i="1" s="1"/>
  <c r="M1782" i="1" s="1"/>
  <c r="S1782" i="1" s="1"/>
  <c r="I1781" i="1"/>
  <c r="I1780" i="1"/>
  <c r="J1780" i="1" s="1"/>
  <c r="K1780" i="1" s="1"/>
  <c r="M1780" i="1" s="1"/>
  <c r="S1780" i="1" s="1"/>
  <c r="I1779" i="1"/>
  <c r="J1779" i="1" s="1"/>
  <c r="I1778" i="1"/>
  <c r="J1778" i="1" s="1"/>
  <c r="K1778" i="1" s="1"/>
  <c r="M1778" i="1" s="1"/>
  <c r="S1778" i="1" s="1"/>
  <c r="U1778" i="1" s="1"/>
  <c r="I1777" i="1"/>
  <c r="J1777" i="1" s="1"/>
  <c r="I1776" i="1"/>
  <c r="J1776" i="1" s="1"/>
  <c r="K1776" i="1" s="1"/>
  <c r="M1776" i="1" s="1"/>
  <c r="S1776" i="1" s="1"/>
  <c r="I1775" i="1"/>
  <c r="I1774" i="1"/>
  <c r="J1774" i="1" s="1"/>
  <c r="K1774" i="1" s="1"/>
  <c r="M1774" i="1" s="1"/>
  <c r="S1774" i="1" s="1"/>
  <c r="I1773" i="1"/>
  <c r="J1773" i="1" s="1"/>
  <c r="I1772" i="1"/>
  <c r="J1772" i="1" s="1"/>
  <c r="K1772" i="1" s="1"/>
  <c r="M1772" i="1" s="1"/>
  <c r="S1772" i="1" s="1"/>
  <c r="U1772" i="1" s="1"/>
  <c r="I1771" i="1"/>
  <c r="J1771" i="1" s="1"/>
  <c r="I1770" i="1"/>
  <c r="J1770" i="1" s="1"/>
  <c r="K1770" i="1" s="1"/>
  <c r="M1770" i="1" s="1"/>
  <c r="S1770" i="1" s="1"/>
  <c r="U1770" i="1" s="1"/>
  <c r="I1769" i="1"/>
  <c r="J1769" i="1" s="1"/>
  <c r="K1769" i="1" s="1"/>
  <c r="M1769" i="1" s="1"/>
  <c r="S1769" i="1" s="1"/>
  <c r="I1768" i="1"/>
  <c r="J1768" i="1" s="1"/>
  <c r="K1768" i="1" s="1"/>
  <c r="M1768" i="1" s="1"/>
  <c r="S1768" i="1" s="1"/>
  <c r="W1768" i="1" s="1"/>
  <c r="I1767" i="1"/>
  <c r="I1766" i="1"/>
  <c r="J1766" i="1" s="1"/>
  <c r="K1766" i="1" s="1"/>
  <c r="M1766" i="1" s="1"/>
  <c r="S1766" i="1" s="1"/>
  <c r="I1765" i="1"/>
  <c r="I1764" i="1"/>
  <c r="J1764" i="1" s="1"/>
  <c r="K1764" i="1" s="1"/>
  <c r="M1764" i="1" s="1"/>
  <c r="S1764" i="1" s="1"/>
  <c r="I1763" i="1"/>
  <c r="J1763" i="1" s="1"/>
  <c r="K1763" i="1" s="1"/>
  <c r="M1763" i="1" s="1"/>
  <c r="S1763" i="1" s="1"/>
  <c r="I1762" i="1"/>
  <c r="J1762" i="1" s="1"/>
  <c r="K1762" i="1" s="1"/>
  <c r="M1762" i="1" s="1"/>
  <c r="S1762" i="1" s="1"/>
  <c r="U1762" i="1" s="1"/>
  <c r="I1761" i="1"/>
  <c r="J1761" i="1" s="1"/>
  <c r="K1761" i="1" s="1"/>
  <c r="M1761" i="1" s="1"/>
  <c r="S1761" i="1" s="1"/>
  <c r="I1760" i="1"/>
  <c r="J1760" i="1" s="1"/>
  <c r="K1760" i="1" s="1"/>
  <c r="M1760" i="1" s="1"/>
  <c r="S1760" i="1" s="1"/>
  <c r="I1759" i="1"/>
  <c r="I1758" i="1"/>
  <c r="J1758" i="1" s="1"/>
  <c r="K1758" i="1" s="1"/>
  <c r="M1758" i="1" s="1"/>
  <c r="S1758" i="1" s="1"/>
  <c r="I1757" i="1"/>
  <c r="J1757" i="1" s="1"/>
  <c r="I1756" i="1"/>
  <c r="J1756" i="1" s="1"/>
  <c r="K1756" i="1" s="1"/>
  <c r="M1756" i="1" s="1"/>
  <c r="S1756" i="1" s="1"/>
  <c r="U1756" i="1" s="1"/>
  <c r="I1755" i="1"/>
  <c r="J1755" i="1" s="1"/>
  <c r="K1755" i="1" s="1"/>
  <c r="M1755" i="1" s="1"/>
  <c r="S1755" i="1" s="1"/>
  <c r="I1754" i="1"/>
  <c r="J1754" i="1" s="1"/>
  <c r="K1754" i="1" s="1"/>
  <c r="M1754" i="1" s="1"/>
  <c r="S1754" i="1" s="1"/>
  <c r="I1753" i="1"/>
  <c r="J1753" i="1" s="1"/>
  <c r="K1753" i="1" s="1"/>
  <c r="M1753" i="1" s="1"/>
  <c r="S1753" i="1" s="1"/>
  <c r="I1752" i="1"/>
  <c r="J1752" i="1" s="1"/>
  <c r="K1752" i="1" s="1"/>
  <c r="M1752" i="1" s="1"/>
  <c r="S1752" i="1" s="1"/>
  <c r="W1752" i="1" s="1"/>
  <c r="I1751" i="1"/>
  <c r="I1750" i="1"/>
  <c r="J1750" i="1" s="1"/>
  <c r="K1750" i="1" s="1"/>
  <c r="M1750" i="1" s="1"/>
  <c r="S1750" i="1" s="1"/>
  <c r="I1749" i="1"/>
  <c r="I1748" i="1"/>
  <c r="J1748" i="1" s="1"/>
  <c r="K1748" i="1" s="1"/>
  <c r="M1748" i="1" s="1"/>
  <c r="S1748" i="1" s="1"/>
  <c r="U1748" i="1" s="1"/>
  <c r="I1747" i="1"/>
  <c r="J1747" i="1" s="1"/>
  <c r="K1747" i="1" s="1"/>
  <c r="M1747" i="1" s="1"/>
  <c r="S1747" i="1" s="1"/>
  <c r="I1746" i="1"/>
  <c r="J1746" i="1" s="1"/>
  <c r="K1746" i="1" s="1"/>
  <c r="M1746" i="1" s="1"/>
  <c r="S1746" i="1" s="1"/>
  <c r="U1746" i="1" s="1"/>
  <c r="I1745" i="1"/>
  <c r="J1745" i="1" s="1"/>
  <c r="I1744" i="1"/>
  <c r="J1744" i="1" s="1"/>
  <c r="K1744" i="1" s="1"/>
  <c r="M1744" i="1" s="1"/>
  <c r="S1744" i="1" s="1"/>
  <c r="I1743" i="1"/>
  <c r="J1743" i="1" s="1"/>
  <c r="K1743" i="1" s="1"/>
  <c r="M1743" i="1" s="1"/>
  <c r="S1743" i="1" s="1"/>
  <c r="W1743" i="1" s="1"/>
  <c r="I1742" i="1"/>
  <c r="J1742" i="1" s="1"/>
  <c r="K1742" i="1" s="1"/>
  <c r="M1742" i="1" s="1"/>
  <c r="S1742" i="1" s="1"/>
  <c r="I1741" i="1"/>
  <c r="I1740" i="1"/>
  <c r="J1740" i="1" s="1"/>
  <c r="K1740" i="1" s="1"/>
  <c r="M1740" i="1" s="1"/>
  <c r="S1740" i="1" s="1"/>
  <c r="U1740" i="1" s="1"/>
  <c r="I1739" i="1"/>
  <c r="I1738" i="1"/>
  <c r="J1738" i="1" s="1"/>
  <c r="K1738" i="1" s="1"/>
  <c r="M1738" i="1" s="1"/>
  <c r="S1738" i="1" s="1"/>
  <c r="I1737" i="1"/>
  <c r="J1737" i="1" s="1"/>
  <c r="K1737" i="1" s="1"/>
  <c r="M1737" i="1" s="1"/>
  <c r="S1737" i="1" s="1"/>
  <c r="I1736" i="1"/>
  <c r="J1736" i="1" s="1"/>
  <c r="K1736" i="1" s="1"/>
  <c r="M1736" i="1" s="1"/>
  <c r="S1736" i="1" s="1"/>
  <c r="I1735" i="1"/>
  <c r="J1735" i="1" s="1"/>
  <c r="K1735" i="1" s="1"/>
  <c r="M1735" i="1" s="1"/>
  <c r="S1735" i="1" s="1"/>
  <c r="I1734" i="1"/>
  <c r="J1734" i="1" s="1"/>
  <c r="K1734" i="1" s="1"/>
  <c r="M1734" i="1" s="1"/>
  <c r="S1734" i="1" s="1"/>
  <c r="I1733" i="1"/>
  <c r="J1733" i="1" s="1"/>
  <c r="K1733" i="1" s="1"/>
  <c r="M1733" i="1" s="1"/>
  <c r="S1733" i="1" s="1"/>
  <c r="V1733" i="1" s="1"/>
  <c r="I1732" i="1"/>
  <c r="J1732" i="1" s="1"/>
  <c r="K1732" i="1" s="1"/>
  <c r="M1732" i="1" s="1"/>
  <c r="S1732" i="1" s="1"/>
  <c r="U1732" i="1" s="1"/>
  <c r="I1731" i="1"/>
  <c r="J1731" i="1" s="1"/>
  <c r="K1731" i="1" s="1"/>
  <c r="M1731" i="1" s="1"/>
  <c r="S1731" i="1" s="1"/>
  <c r="I1730" i="1"/>
  <c r="J1730" i="1" s="1"/>
  <c r="K1730" i="1" s="1"/>
  <c r="M1730" i="1" s="1"/>
  <c r="S1730" i="1" s="1"/>
  <c r="U1730" i="1" s="1"/>
  <c r="I1729" i="1"/>
  <c r="I1728" i="1"/>
  <c r="J1728" i="1" s="1"/>
  <c r="K1728" i="1" s="1"/>
  <c r="M1728" i="1" s="1"/>
  <c r="S1728" i="1" s="1"/>
  <c r="I1727" i="1"/>
  <c r="I1726" i="1"/>
  <c r="J1726" i="1" s="1"/>
  <c r="K1726" i="1" s="1"/>
  <c r="M1726" i="1" s="1"/>
  <c r="S1726" i="1" s="1"/>
  <c r="I1725" i="1"/>
  <c r="I1724" i="1"/>
  <c r="J1724" i="1" s="1"/>
  <c r="K1724" i="1" s="1"/>
  <c r="M1724" i="1" s="1"/>
  <c r="S1724" i="1" s="1"/>
  <c r="U1724" i="1" s="1"/>
  <c r="I1723" i="1"/>
  <c r="I1722" i="1"/>
  <c r="J1722" i="1" s="1"/>
  <c r="K1722" i="1" s="1"/>
  <c r="M1722" i="1" s="1"/>
  <c r="S1722" i="1" s="1"/>
  <c r="I1721" i="1"/>
  <c r="J1721" i="1" s="1"/>
  <c r="K1721" i="1" s="1"/>
  <c r="M1721" i="1" s="1"/>
  <c r="S1721" i="1" s="1"/>
  <c r="I1720" i="1"/>
  <c r="J1720" i="1" s="1"/>
  <c r="K1720" i="1" s="1"/>
  <c r="M1720" i="1" s="1"/>
  <c r="S1720" i="1" s="1"/>
  <c r="I1719" i="1"/>
  <c r="I1718" i="1"/>
  <c r="J1718" i="1" s="1"/>
  <c r="K1718" i="1" s="1"/>
  <c r="M1718" i="1" s="1"/>
  <c r="S1718" i="1" s="1"/>
  <c r="I1717" i="1"/>
  <c r="J1717" i="1" s="1"/>
  <c r="K1717" i="1" s="1"/>
  <c r="M1717" i="1" s="1"/>
  <c r="S1717" i="1" s="1"/>
  <c r="I1716" i="1"/>
  <c r="J1716" i="1" s="1"/>
  <c r="K1716" i="1" s="1"/>
  <c r="M1716" i="1" s="1"/>
  <c r="S1716" i="1" s="1"/>
  <c r="U1716" i="1" s="1"/>
  <c r="I1715" i="1"/>
  <c r="J1715" i="1" s="1"/>
  <c r="K1715" i="1" s="1"/>
  <c r="M1715" i="1" s="1"/>
  <c r="S1715" i="1" s="1"/>
  <c r="I1714" i="1"/>
  <c r="J1714" i="1" s="1"/>
  <c r="K1714" i="1" s="1"/>
  <c r="M1714" i="1" s="1"/>
  <c r="S1714" i="1" s="1"/>
  <c r="U1714" i="1" s="1"/>
  <c r="I1713" i="1"/>
  <c r="I1712" i="1"/>
  <c r="J1712" i="1" s="1"/>
  <c r="K1712" i="1" s="1"/>
  <c r="M1712" i="1" s="1"/>
  <c r="S1712" i="1" s="1"/>
  <c r="I1711" i="1"/>
  <c r="I1710" i="1"/>
  <c r="J1710" i="1" s="1"/>
  <c r="K1710" i="1" s="1"/>
  <c r="M1710" i="1" s="1"/>
  <c r="S1710" i="1" s="1"/>
  <c r="I1709" i="1"/>
  <c r="I1708" i="1"/>
  <c r="J1708" i="1" s="1"/>
  <c r="I1707" i="1"/>
  <c r="I1706" i="1"/>
  <c r="J1706" i="1" s="1"/>
  <c r="K1706" i="1" s="1"/>
  <c r="M1706" i="1" s="1"/>
  <c r="S1706" i="1" s="1"/>
  <c r="I1705" i="1"/>
  <c r="I1704" i="1"/>
  <c r="J1704" i="1" s="1"/>
  <c r="K1704" i="1" s="1"/>
  <c r="M1704" i="1" s="1"/>
  <c r="S1704" i="1" s="1"/>
  <c r="I1703" i="1"/>
  <c r="I1702" i="1"/>
  <c r="J1702" i="1" s="1"/>
  <c r="K1702" i="1" s="1"/>
  <c r="M1702" i="1" s="1"/>
  <c r="S1702" i="1" s="1"/>
  <c r="I1701" i="1"/>
  <c r="I1700" i="1"/>
  <c r="J1700" i="1" s="1"/>
  <c r="I1699" i="1"/>
  <c r="I1698" i="1"/>
  <c r="J1698" i="1" s="1"/>
  <c r="K1698" i="1" s="1"/>
  <c r="M1698" i="1" s="1"/>
  <c r="S1698" i="1" s="1"/>
  <c r="U1698" i="1" s="1"/>
  <c r="I1697" i="1"/>
  <c r="I1696" i="1"/>
  <c r="J1696" i="1" s="1"/>
  <c r="K1696" i="1" s="1"/>
  <c r="M1696" i="1" s="1"/>
  <c r="S1696" i="1" s="1"/>
  <c r="I1695" i="1"/>
  <c r="I1694" i="1"/>
  <c r="J1694" i="1" s="1"/>
  <c r="K1694" i="1" s="1"/>
  <c r="M1694" i="1" s="1"/>
  <c r="S1694" i="1" s="1"/>
  <c r="I1693" i="1"/>
  <c r="I1692" i="1"/>
  <c r="J1692" i="1" s="1"/>
  <c r="I1691" i="1"/>
  <c r="I1690" i="1"/>
  <c r="J1690" i="1" s="1"/>
  <c r="K1690" i="1" s="1"/>
  <c r="M1690" i="1" s="1"/>
  <c r="S1690" i="1" s="1"/>
  <c r="U1690" i="1" s="1"/>
  <c r="I1689" i="1"/>
  <c r="I1688" i="1"/>
  <c r="J1688" i="1" s="1"/>
  <c r="I1687" i="1"/>
  <c r="I1686" i="1"/>
  <c r="J1686" i="1" s="1"/>
  <c r="K1686" i="1" s="1"/>
  <c r="M1686" i="1" s="1"/>
  <c r="S1686" i="1" s="1"/>
  <c r="I1685" i="1"/>
  <c r="I1684" i="1"/>
  <c r="J1684" i="1" s="1"/>
  <c r="K1684" i="1" s="1"/>
  <c r="M1684" i="1" s="1"/>
  <c r="S1684" i="1" s="1"/>
  <c r="U1684" i="1" s="1"/>
  <c r="I1683" i="1"/>
  <c r="I1682" i="1"/>
  <c r="J1682" i="1" s="1"/>
  <c r="K1682" i="1" s="1"/>
  <c r="M1682" i="1" s="1"/>
  <c r="S1682" i="1" s="1"/>
  <c r="U1682" i="1" s="1"/>
  <c r="I1681" i="1"/>
  <c r="I1680" i="1"/>
  <c r="J1680" i="1" s="1"/>
  <c r="K1680" i="1" s="1"/>
  <c r="M1680" i="1" s="1"/>
  <c r="S1680" i="1" s="1"/>
  <c r="I1679" i="1"/>
  <c r="I1678" i="1"/>
  <c r="J1678" i="1" s="1"/>
  <c r="K1678" i="1" s="1"/>
  <c r="M1678" i="1" s="1"/>
  <c r="S1678" i="1" s="1"/>
  <c r="I1677" i="1"/>
  <c r="I1676" i="1"/>
  <c r="J1676" i="1" s="1"/>
  <c r="K1676" i="1" s="1"/>
  <c r="M1676" i="1" s="1"/>
  <c r="S1676" i="1" s="1"/>
  <c r="U1676" i="1" s="1"/>
  <c r="I1675" i="1"/>
  <c r="I1674" i="1"/>
  <c r="J1674" i="1" s="1"/>
  <c r="K1674" i="1" s="1"/>
  <c r="M1674" i="1" s="1"/>
  <c r="S1674" i="1" s="1"/>
  <c r="U1674" i="1" s="1"/>
  <c r="I1673" i="1"/>
  <c r="I1672" i="1"/>
  <c r="J1672" i="1" s="1"/>
  <c r="K1672" i="1" s="1"/>
  <c r="M1672" i="1" s="1"/>
  <c r="S1672" i="1" s="1"/>
  <c r="I1671" i="1"/>
  <c r="I1670" i="1"/>
  <c r="I1669" i="1"/>
  <c r="I1668" i="1"/>
  <c r="J1668" i="1" s="1"/>
  <c r="K1668" i="1" s="1"/>
  <c r="M1668" i="1" s="1"/>
  <c r="S1668" i="1" s="1"/>
  <c r="I1667" i="1"/>
  <c r="I1666" i="1"/>
  <c r="I1665" i="1"/>
  <c r="I1664" i="1"/>
  <c r="J1664" i="1" s="1"/>
  <c r="K1664" i="1" s="1"/>
  <c r="M1664" i="1" s="1"/>
  <c r="S1664" i="1" s="1"/>
  <c r="I1663" i="1"/>
  <c r="I1662" i="1"/>
  <c r="I1661" i="1"/>
  <c r="I1660" i="1"/>
  <c r="J1660" i="1" s="1"/>
  <c r="K1660" i="1" s="1"/>
  <c r="M1660" i="1" s="1"/>
  <c r="S1660" i="1" s="1"/>
  <c r="U1660" i="1" s="1"/>
  <c r="I1659" i="1"/>
  <c r="I1658" i="1"/>
  <c r="J1658" i="1" s="1"/>
  <c r="K1658" i="1" s="1"/>
  <c r="M1658" i="1" s="1"/>
  <c r="S1658" i="1" s="1"/>
  <c r="U1658" i="1" s="1"/>
  <c r="I1657" i="1"/>
  <c r="I1656" i="1"/>
  <c r="J1656" i="1" s="1"/>
  <c r="K1656" i="1" s="1"/>
  <c r="M1656" i="1" s="1"/>
  <c r="S1656" i="1" s="1"/>
  <c r="I1655" i="1"/>
  <c r="I1654" i="1"/>
  <c r="J1654" i="1" s="1"/>
  <c r="K1654" i="1" s="1"/>
  <c r="M1654" i="1" s="1"/>
  <c r="S1654" i="1" s="1"/>
  <c r="I1653" i="1"/>
  <c r="I1652" i="1"/>
  <c r="J1652" i="1" s="1"/>
  <c r="K1652" i="1" s="1"/>
  <c r="M1652" i="1" s="1"/>
  <c r="S1652" i="1" s="1"/>
  <c r="U1652" i="1" s="1"/>
  <c r="I1651" i="1"/>
  <c r="I1650" i="1"/>
  <c r="J1650" i="1" s="1"/>
  <c r="K1650" i="1" s="1"/>
  <c r="M1650" i="1" s="1"/>
  <c r="S1650" i="1" s="1"/>
  <c r="U1650" i="1" s="1"/>
  <c r="I1649" i="1"/>
  <c r="I1648" i="1"/>
  <c r="J1648" i="1" s="1"/>
  <c r="K1648" i="1" s="1"/>
  <c r="M1648" i="1" s="1"/>
  <c r="S1648" i="1" s="1"/>
  <c r="I1647" i="1"/>
  <c r="I1646" i="1"/>
  <c r="J1646" i="1" s="1"/>
  <c r="K1646" i="1" s="1"/>
  <c r="M1646" i="1" s="1"/>
  <c r="S1646" i="1" s="1"/>
  <c r="I1645" i="1"/>
  <c r="I1644" i="1"/>
  <c r="J1644" i="1" s="1"/>
  <c r="I1643" i="1"/>
  <c r="I1642" i="1"/>
  <c r="J1642" i="1" s="1"/>
  <c r="K1642" i="1" s="1"/>
  <c r="M1642" i="1" s="1"/>
  <c r="S1642" i="1" s="1"/>
  <c r="U1642" i="1" s="1"/>
  <c r="I1641" i="1"/>
  <c r="I1640" i="1"/>
  <c r="J1640" i="1" s="1"/>
  <c r="K1640" i="1" s="1"/>
  <c r="M1640" i="1" s="1"/>
  <c r="S1640" i="1" s="1"/>
  <c r="I1639" i="1"/>
  <c r="I1638" i="1"/>
  <c r="J1638" i="1" s="1"/>
  <c r="K1638" i="1" s="1"/>
  <c r="M1638" i="1" s="1"/>
  <c r="S1638" i="1" s="1"/>
  <c r="I1637" i="1"/>
  <c r="I1636" i="1"/>
  <c r="J1636" i="1" s="1"/>
  <c r="I1635" i="1"/>
  <c r="I1634" i="1"/>
  <c r="J1634" i="1" s="1"/>
  <c r="I1633" i="1"/>
  <c r="I1632" i="1"/>
  <c r="J1632" i="1" s="1"/>
  <c r="K1632" i="1" s="1"/>
  <c r="M1632" i="1" s="1"/>
  <c r="S1632" i="1" s="1"/>
  <c r="W1632" i="1" s="1"/>
  <c r="I1631" i="1"/>
  <c r="I1630" i="1"/>
  <c r="J1630" i="1" s="1"/>
  <c r="K1630" i="1" s="1"/>
  <c r="M1630" i="1" s="1"/>
  <c r="S1630" i="1" s="1"/>
  <c r="I1629" i="1"/>
  <c r="I1628" i="1"/>
  <c r="J1628" i="1" s="1"/>
  <c r="K1628" i="1" s="1"/>
  <c r="M1628" i="1" s="1"/>
  <c r="S1628" i="1" s="1"/>
  <c r="U1628" i="1" s="1"/>
  <c r="I1627" i="1"/>
  <c r="I1626" i="1"/>
  <c r="J1626" i="1" s="1"/>
  <c r="K1626" i="1" s="1"/>
  <c r="M1626" i="1" s="1"/>
  <c r="S1626" i="1" s="1"/>
  <c r="I1625" i="1"/>
  <c r="I1624" i="1"/>
  <c r="J1624" i="1" s="1"/>
  <c r="K1624" i="1" s="1"/>
  <c r="M1624" i="1" s="1"/>
  <c r="S1624" i="1" s="1"/>
  <c r="I1623" i="1"/>
  <c r="I1622" i="1"/>
  <c r="J1622" i="1" s="1"/>
  <c r="K1622" i="1" s="1"/>
  <c r="M1622" i="1" s="1"/>
  <c r="S1622" i="1" s="1"/>
  <c r="I1621" i="1"/>
  <c r="I1620" i="1"/>
  <c r="J1620" i="1" s="1"/>
  <c r="K1620" i="1" s="1"/>
  <c r="M1620" i="1" s="1"/>
  <c r="S1620" i="1" s="1"/>
  <c r="I1619" i="1"/>
  <c r="I1618" i="1"/>
  <c r="J1618" i="1" s="1"/>
  <c r="K1618" i="1" s="1"/>
  <c r="M1618" i="1" s="1"/>
  <c r="S1618" i="1" s="1"/>
  <c r="U1618" i="1" s="1"/>
  <c r="I1617" i="1"/>
  <c r="I1616" i="1"/>
  <c r="J1616" i="1" s="1"/>
  <c r="K1616" i="1" s="1"/>
  <c r="M1616" i="1" s="1"/>
  <c r="S1616" i="1" s="1"/>
  <c r="V1616" i="1" s="1"/>
  <c r="I1615" i="1"/>
  <c r="I1614" i="1"/>
  <c r="J1614" i="1" s="1"/>
  <c r="K1614" i="1" s="1"/>
  <c r="M1614" i="1" s="1"/>
  <c r="S1614" i="1" s="1"/>
  <c r="I1613" i="1"/>
  <c r="I1612" i="1"/>
  <c r="J1612" i="1" s="1"/>
  <c r="K1612" i="1" s="1"/>
  <c r="M1612" i="1" s="1"/>
  <c r="S1612" i="1" s="1"/>
  <c r="U1612" i="1" s="1"/>
  <c r="I1611" i="1"/>
  <c r="I1610" i="1"/>
  <c r="J1610" i="1" s="1"/>
  <c r="K1610" i="1" s="1"/>
  <c r="M1610" i="1" s="1"/>
  <c r="S1610" i="1" s="1"/>
  <c r="I1609" i="1"/>
  <c r="I1608" i="1"/>
  <c r="J1608" i="1" s="1"/>
  <c r="K1608" i="1" s="1"/>
  <c r="M1608" i="1" s="1"/>
  <c r="S1608" i="1" s="1"/>
  <c r="I1607" i="1"/>
  <c r="I1606" i="1"/>
  <c r="J1606" i="1" s="1"/>
  <c r="K1606" i="1" s="1"/>
  <c r="M1606" i="1" s="1"/>
  <c r="S1606" i="1" s="1"/>
  <c r="I1605" i="1"/>
  <c r="I1604" i="1"/>
  <c r="J1604" i="1" s="1"/>
  <c r="K1604" i="1" s="1"/>
  <c r="M1604" i="1" s="1"/>
  <c r="S1604" i="1" s="1"/>
  <c r="I1603" i="1"/>
  <c r="I1602" i="1"/>
  <c r="J1602" i="1" s="1"/>
  <c r="K1602" i="1" s="1"/>
  <c r="M1602" i="1" s="1"/>
  <c r="S1602" i="1" s="1"/>
  <c r="U1602" i="1" s="1"/>
  <c r="I1601" i="1"/>
  <c r="I1600" i="1"/>
  <c r="J1600" i="1" s="1"/>
  <c r="K1600" i="1" s="1"/>
  <c r="M1600" i="1" s="1"/>
  <c r="S1600" i="1" s="1"/>
  <c r="I1599" i="1"/>
  <c r="I1598" i="1"/>
  <c r="J1598" i="1" s="1"/>
  <c r="K1598" i="1" s="1"/>
  <c r="M1598" i="1" s="1"/>
  <c r="S1598" i="1" s="1"/>
  <c r="I1597" i="1"/>
  <c r="I1596" i="1"/>
  <c r="J1596" i="1" s="1"/>
  <c r="K1596" i="1" s="1"/>
  <c r="M1596" i="1" s="1"/>
  <c r="S1596" i="1" s="1"/>
  <c r="U1596" i="1" s="1"/>
  <c r="I1595" i="1"/>
  <c r="I1594" i="1"/>
  <c r="J1594" i="1" s="1"/>
  <c r="K1594" i="1" s="1"/>
  <c r="M1594" i="1" s="1"/>
  <c r="S1594" i="1" s="1"/>
  <c r="I1593" i="1"/>
  <c r="I1592" i="1"/>
  <c r="J1592" i="1" s="1"/>
  <c r="K1592" i="1" s="1"/>
  <c r="M1592" i="1" s="1"/>
  <c r="S1592" i="1" s="1"/>
  <c r="I1591" i="1"/>
  <c r="I1590" i="1"/>
  <c r="J1590" i="1" s="1"/>
  <c r="K1590" i="1" s="1"/>
  <c r="M1590" i="1" s="1"/>
  <c r="S1590" i="1" s="1"/>
  <c r="I1589" i="1"/>
  <c r="I1588" i="1"/>
  <c r="J1588" i="1" s="1"/>
  <c r="K1588" i="1" s="1"/>
  <c r="M1588" i="1" s="1"/>
  <c r="S1588" i="1" s="1"/>
  <c r="I1587" i="1"/>
  <c r="I1586" i="1"/>
  <c r="J1586" i="1" s="1"/>
  <c r="K1586" i="1" s="1"/>
  <c r="M1586" i="1" s="1"/>
  <c r="S1586" i="1" s="1"/>
  <c r="U1586" i="1" s="1"/>
  <c r="I1585" i="1"/>
  <c r="I1584" i="1"/>
  <c r="J1584" i="1" s="1"/>
  <c r="K1584" i="1" s="1"/>
  <c r="M1584" i="1" s="1"/>
  <c r="S1584" i="1" s="1"/>
  <c r="I1583" i="1"/>
  <c r="I1582" i="1"/>
  <c r="J1582" i="1" s="1"/>
  <c r="K1582" i="1" s="1"/>
  <c r="M1582" i="1" s="1"/>
  <c r="S1582" i="1" s="1"/>
  <c r="I1581" i="1"/>
  <c r="I1580" i="1"/>
  <c r="J1580" i="1" s="1"/>
  <c r="K1580" i="1" s="1"/>
  <c r="M1580" i="1" s="1"/>
  <c r="S1580" i="1" s="1"/>
  <c r="U1580" i="1" s="1"/>
  <c r="I1579" i="1"/>
  <c r="I1578" i="1"/>
  <c r="J1578" i="1" s="1"/>
  <c r="K1578" i="1" s="1"/>
  <c r="M1578" i="1" s="1"/>
  <c r="S1578" i="1" s="1"/>
  <c r="I1577" i="1"/>
  <c r="I1576" i="1"/>
  <c r="J1576" i="1" s="1"/>
  <c r="K1576" i="1" s="1"/>
  <c r="M1576" i="1" s="1"/>
  <c r="S1576" i="1" s="1"/>
  <c r="I1575" i="1"/>
  <c r="I1574" i="1"/>
  <c r="J1574" i="1" s="1"/>
  <c r="K1574" i="1" s="1"/>
  <c r="M1574" i="1" s="1"/>
  <c r="S1574" i="1" s="1"/>
  <c r="I1573" i="1"/>
  <c r="I1572" i="1"/>
  <c r="J1572" i="1" s="1"/>
  <c r="K1572" i="1" s="1"/>
  <c r="M1572" i="1" s="1"/>
  <c r="S1572" i="1" s="1"/>
  <c r="I1571" i="1"/>
  <c r="I1570" i="1"/>
  <c r="J1570" i="1" s="1"/>
  <c r="K1570" i="1" s="1"/>
  <c r="M1570" i="1" s="1"/>
  <c r="S1570" i="1" s="1"/>
  <c r="U1570" i="1" s="1"/>
  <c r="I1569" i="1"/>
  <c r="I1568" i="1"/>
  <c r="I1567" i="1"/>
  <c r="I1566" i="1"/>
  <c r="I1565" i="1"/>
  <c r="I1564" i="1"/>
  <c r="I1563" i="1"/>
  <c r="I1562" i="1"/>
  <c r="I1561" i="1"/>
  <c r="I1560" i="1"/>
  <c r="I1559" i="1"/>
  <c r="I1558" i="1"/>
  <c r="I1557" i="1"/>
  <c r="I1556" i="1"/>
  <c r="I1555" i="1"/>
  <c r="I1554" i="1"/>
  <c r="I1553" i="1"/>
  <c r="I1552" i="1"/>
  <c r="J1552" i="1" s="1"/>
  <c r="K1552" i="1" s="1"/>
  <c r="M1552" i="1" s="1"/>
  <c r="S1552" i="1" s="1"/>
  <c r="I1551" i="1"/>
  <c r="J1551" i="1" s="1"/>
  <c r="K1551" i="1" s="1"/>
  <c r="M1551" i="1" s="1"/>
  <c r="S1551" i="1" s="1"/>
  <c r="W1551" i="1" s="1"/>
  <c r="I1550" i="1"/>
  <c r="J1550" i="1" s="1"/>
  <c r="K1550" i="1" s="1"/>
  <c r="M1550" i="1" s="1"/>
  <c r="S1550" i="1" s="1"/>
  <c r="I1549" i="1"/>
  <c r="J1549" i="1" s="1"/>
  <c r="K1549" i="1" s="1"/>
  <c r="M1549" i="1" s="1"/>
  <c r="S1549" i="1" s="1"/>
  <c r="U1549" i="1" s="1"/>
  <c r="I1548" i="1"/>
  <c r="J1548" i="1" s="1"/>
  <c r="K1548" i="1" s="1"/>
  <c r="M1548" i="1" s="1"/>
  <c r="S1548" i="1" s="1"/>
  <c r="U1548" i="1" s="1"/>
  <c r="I1547" i="1"/>
  <c r="J1547" i="1" s="1"/>
  <c r="K1547" i="1" s="1"/>
  <c r="M1547" i="1" s="1"/>
  <c r="S1547" i="1" s="1"/>
  <c r="I1546" i="1"/>
  <c r="J1546" i="1" s="1"/>
  <c r="K1546" i="1" s="1"/>
  <c r="M1546" i="1" s="1"/>
  <c r="S1546" i="1" s="1"/>
  <c r="I1545" i="1"/>
  <c r="J1545" i="1" s="1"/>
  <c r="K1545" i="1" s="1"/>
  <c r="M1545" i="1" s="1"/>
  <c r="S1545" i="1" s="1"/>
  <c r="I1544" i="1"/>
  <c r="J1544" i="1" s="1"/>
  <c r="K1544" i="1" s="1"/>
  <c r="M1544" i="1" s="1"/>
  <c r="S1544" i="1" s="1"/>
  <c r="I1543" i="1"/>
  <c r="J1543" i="1" s="1"/>
  <c r="K1543" i="1" s="1"/>
  <c r="M1543" i="1" s="1"/>
  <c r="S1543" i="1" s="1"/>
  <c r="I1542" i="1"/>
  <c r="J1542" i="1" s="1"/>
  <c r="K1542" i="1" s="1"/>
  <c r="M1542" i="1" s="1"/>
  <c r="S1542" i="1" s="1"/>
  <c r="I1541" i="1"/>
  <c r="J1541" i="1" s="1"/>
  <c r="K1541" i="1" s="1"/>
  <c r="M1541" i="1" s="1"/>
  <c r="S1541" i="1" s="1"/>
  <c r="U1541" i="1" s="1"/>
  <c r="I1540" i="1"/>
  <c r="J1540" i="1" s="1"/>
  <c r="K1540" i="1" s="1"/>
  <c r="M1540" i="1" s="1"/>
  <c r="S1540" i="1" s="1"/>
  <c r="U1540" i="1" s="1"/>
  <c r="I1539" i="1"/>
  <c r="J1539" i="1" s="1"/>
  <c r="K1539" i="1" s="1"/>
  <c r="M1539" i="1" s="1"/>
  <c r="S1539" i="1" s="1"/>
  <c r="I1538" i="1"/>
  <c r="J1538" i="1" s="1"/>
  <c r="K1538" i="1" s="1"/>
  <c r="M1538" i="1" s="1"/>
  <c r="S1538" i="1" s="1"/>
  <c r="U1538" i="1" s="1"/>
  <c r="I1537" i="1"/>
  <c r="J1537" i="1" s="1"/>
  <c r="K1537" i="1" s="1"/>
  <c r="M1537" i="1" s="1"/>
  <c r="S1537" i="1" s="1"/>
  <c r="I1536" i="1"/>
  <c r="J1536" i="1" s="1"/>
  <c r="K1536" i="1" s="1"/>
  <c r="M1536" i="1" s="1"/>
  <c r="S1536" i="1" s="1"/>
  <c r="I1535" i="1"/>
  <c r="J1535" i="1" s="1"/>
  <c r="K1535" i="1" s="1"/>
  <c r="M1535" i="1" s="1"/>
  <c r="S1535" i="1" s="1"/>
  <c r="W1535" i="1" s="1"/>
  <c r="I1534" i="1"/>
  <c r="J1534" i="1" s="1"/>
  <c r="K1534" i="1" s="1"/>
  <c r="M1534" i="1" s="1"/>
  <c r="S1534" i="1" s="1"/>
  <c r="I1533" i="1"/>
  <c r="J1533" i="1" s="1"/>
  <c r="K1533" i="1" s="1"/>
  <c r="M1533" i="1" s="1"/>
  <c r="S1533" i="1" s="1"/>
  <c r="U1533" i="1" s="1"/>
  <c r="I1532" i="1"/>
  <c r="J1532" i="1" s="1"/>
  <c r="K1532" i="1" s="1"/>
  <c r="M1532" i="1" s="1"/>
  <c r="S1532" i="1" s="1"/>
  <c r="U1532" i="1" s="1"/>
  <c r="I1531" i="1"/>
  <c r="J1531" i="1" s="1"/>
  <c r="K1531" i="1" s="1"/>
  <c r="M1531" i="1" s="1"/>
  <c r="S1531" i="1" s="1"/>
  <c r="I1530" i="1"/>
  <c r="J1530" i="1" s="1"/>
  <c r="K1530" i="1" s="1"/>
  <c r="M1530" i="1" s="1"/>
  <c r="S1530" i="1" s="1"/>
  <c r="I1529" i="1"/>
  <c r="J1529" i="1" s="1"/>
  <c r="K1529" i="1" s="1"/>
  <c r="M1529" i="1" s="1"/>
  <c r="S1529" i="1" s="1"/>
  <c r="I1528" i="1"/>
  <c r="J1528" i="1" s="1"/>
  <c r="K1528" i="1" s="1"/>
  <c r="M1528" i="1" s="1"/>
  <c r="S1528" i="1" s="1"/>
  <c r="I1527" i="1"/>
  <c r="J1527" i="1" s="1"/>
  <c r="K1527" i="1" s="1"/>
  <c r="M1527" i="1" s="1"/>
  <c r="S1527" i="1" s="1"/>
  <c r="I1526" i="1"/>
  <c r="J1526" i="1" s="1"/>
  <c r="K1526" i="1" s="1"/>
  <c r="M1526" i="1" s="1"/>
  <c r="S1526" i="1" s="1"/>
  <c r="I1525" i="1"/>
  <c r="J1525" i="1" s="1"/>
  <c r="K1525" i="1" s="1"/>
  <c r="M1525" i="1" s="1"/>
  <c r="S1525" i="1" s="1"/>
  <c r="U1525" i="1" s="1"/>
  <c r="I1524" i="1"/>
  <c r="J1524" i="1" s="1"/>
  <c r="K1524" i="1" s="1"/>
  <c r="M1524" i="1" s="1"/>
  <c r="S1524" i="1" s="1"/>
  <c r="I1523" i="1"/>
  <c r="J1523" i="1" s="1"/>
  <c r="K1523" i="1" s="1"/>
  <c r="M1523" i="1" s="1"/>
  <c r="S1523" i="1" s="1"/>
  <c r="I1522" i="1"/>
  <c r="J1522" i="1" s="1"/>
  <c r="K1522" i="1" s="1"/>
  <c r="M1522" i="1" s="1"/>
  <c r="S1522" i="1" s="1"/>
  <c r="U1522" i="1" s="1"/>
  <c r="I1521" i="1"/>
  <c r="J1521" i="1" s="1"/>
  <c r="K1521" i="1" s="1"/>
  <c r="M1521" i="1" s="1"/>
  <c r="S1521" i="1" s="1"/>
  <c r="I1520" i="1"/>
  <c r="J1520" i="1" s="1"/>
  <c r="K1520" i="1" s="1"/>
  <c r="M1520" i="1" s="1"/>
  <c r="S1520" i="1" s="1"/>
  <c r="U1520" i="1" s="1"/>
  <c r="I1519" i="1"/>
  <c r="J1519" i="1" s="1"/>
  <c r="K1519" i="1" s="1"/>
  <c r="M1519" i="1" s="1"/>
  <c r="S1519" i="1" s="1"/>
  <c r="W1519" i="1" s="1"/>
  <c r="I1518" i="1"/>
  <c r="J1518" i="1" s="1"/>
  <c r="K1518" i="1" s="1"/>
  <c r="M1518" i="1" s="1"/>
  <c r="S1518" i="1" s="1"/>
  <c r="I1517" i="1"/>
  <c r="J1517" i="1" s="1"/>
  <c r="K1517" i="1" s="1"/>
  <c r="M1517" i="1" s="1"/>
  <c r="S1517" i="1" s="1"/>
  <c r="U1517" i="1" s="1"/>
  <c r="I1516" i="1"/>
  <c r="J1516" i="1" s="1"/>
  <c r="K1516" i="1" s="1"/>
  <c r="M1516" i="1" s="1"/>
  <c r="S1516" i="1" s="1"/>
  <c r="U1516" i="1" s="1"/>
  <c r="I1515" i="1"/>
  <c r="J1515" i="1" s="1"/>
  <c r="K1515" i="1" s="1"/>
  <c r="M1515" i="1" s="1"/>
  <c r="S1515" i="1" s="1"/>
  <c r="I1514" i="1"/>
  <c r="J1514" i="1" s="1"/>
  <c r="K1514" i="1" s="1"/>
  <c r="M1514" i="1" s="1"/>
  <c r="S1514" i="1" s="1"/>
  <c r="I1513" i="1"/>
  <c r="J1513" i="1" s="1"/>
  <c r="K1513" i="1" s="1"/>
  <c r="M1513" i="1" s="1"/>
  <c r="S1513" i="1" s="1"/>
  <c r="I1512" i="1"/>
  <c r="J1512" i="1" s="1"/>
  <c r="K1512" i="1" s="1"/>
  <c r="M1512" i="1" s="1"/>
  <c r="S1512" i="1" s="1"/>
  <c r="I1511" i="1"/>
  <c r="J1511" i="1" s="1"/>
  <c r="K1511" i="1" s="1"/>
  <c r="M1511" i="1" s="1"/>
  <c r="S1511" i="1" s="1"/>
  <c r="I1510" i="1"/>
  <c r="J1510" i="1" s="1"/>
  <c r="K1510" i="1" s="1"/>
  <c r="M1510" i="1" s="1"/>
  <c r="S1510" i="1" s="1"/>
  <c r="I1509" i="1"/>
  <c r="J1509" i="1" s="1"/>
  <c r="K1509" i="1" s="1"/>
  <c r="M1509" i="1" s="1"/>
  <c r="S1509" i="1" s="1"/>
  <c r="U1509" i="1" s="1"/>
  <c r="I1508" i="1"/>
  <c r="J1508" i="1" s="1"/>
  <c r="K1508" i="1" s="1"/>
  <c r="M1508" i="1" s="1"/>
  <c r="S1508" i="1" s="1"/>
  <c r="I1507" i="1"/>
  <c r="J1507" i="1" s="1"/>
  <c r="K1507" i="1" s="1"/>
  <c r="M1507" i="1" s="1"/>
  <c r="S1507" i="1" s="1"/>
  <c r="I1506" i="1"/>
  <c r="J1506" i="1" s="1"/>
  <c r="K1506" i="1" s="1"/>
  <c r="M1506" i="1" s="1"/>
  <c r="S1506" i="1" s="1"/>
  <c r="U1506" i="1" s="1"/>
  <c r="I1505" i="1"/>
  <c r="J1505" i="1" s="1"/>
  <c r="K1505" i="1" s="1"/>
  <c r="M1505" i="1" s="1"/>
  <c r="S1505" i="1" s="1"/>
  <c r="I1504" i="1"/>
  <c r="J1504" i="1" s="1"/>
  <c r="K1504" i="1" s="1"/>
  <c r="M1504" i="1" s="1"/>
  <c r="S1504" i="1" s="1"/>
  <c r="I1503" i="1"/>
  <c r="J1503" i="1" s="1"/>
  <c r="K1503" i="1" s="1"/>
  <c r="M1503" i="1" s="1"/>
  <c r="S1503" i="1" s="1"/>
  <c r="W1503" i="1" s="1"/>
  <c r="I1502" i="1"/>
  <c r="J1502" i="1" s="1"/>
  <c r="K1502" i="1" s="1"/>
  <c r="M1502" i="1" s="1"/>
  <c r="S1502" i="1" s="1"/>
  <c r="I1501" i="1"/>
  <c r="J1501" i="1" s="1"/>
  <c r="K1501" i="1" s="1"/>
  <c r="M1501" i="1" s="1"/>
  <c r="S1501" i="1" s="1"/>
  <c r="U1501" i="1" s="1"/>
  <c r="I1500" i="1"/>
  <c r="J1500" i="1" s="1"/>
  <c r="K1500" i="1" s="1"/>
  <c r="M1500" i="1" s="1"/>
  <c r="S1500" i="1" s="1"/>
  <c r="U1500" i="1" s="1"/>
  <c r="I1499" i="1"/>
  <c r="J1499" i="1" s="1"/>
  <c r="K1499" i="1" s="1"/>
  <c r="M1499" i="1" s="1"/>
  <c r="S1499" i="1" s="1"/>
  <c r="I1498" i="1"/>
  <c r="J1498" i="1" s="1"/>
  <c r="K1498" i="1" s="1"/>
  <c r="M1498" i="1" s="1"/>
  <c r="S1498" i="1" s="1"/>
  <c r="U1498" i="1" s="1"/>
  <c r="I1497" i="1"/>
  <c r="J1497" i="1" s="1"/>
  <c r="K1497" i="1" s="1"/>
  <c r="M1497" i="1" s="1"/>
  <c r="S1497" i="1" s="1"/>
  <c r="I1496" i="1"/>
  <c r="J1496" i="1" s="1"/>
  <c r="K1496" i="1" s="1"/>
  <c r="M1496" i="1" s="1"/>
  <c r="S1496" i="1" s="1"/>
  <c r="I1495" i="1"/>
  <c r="J1495" i="1" s="1"/>
  <c r="K1495" i="1" s="1"/>
  <c r="M1495" i="1" s="1"/>
  <c r="S1495" i="1" s="1"/>
  <c r="I1494" i="1"/>
  <c r="J1494" i="1" s="1"/>
  <c r="K1494" i="1" s="1"/>
  <c r="M1494" i="1" s="1"/>
  <c r="S1494" i="1" s="1"/>
  <c r="I1493" i="1"/>
  <c r="J1493" i="1" s="1"/>
  <c r="K1493" i="1" s="1"/>
  <c r="M1493" i="1" s="1"/>
  <c r="S1493" i="1" s="1"/>
  <c r="U1493" i="1" s="1"/>
  <c r="I1492" i="1"/>
  <c r="J1492" i="1" s="1"/>
  <c r="K1492" i="1" s="1"/>
  <c r="M1492" i="1" s="1"/>
  <c r="S1492" i="1" s="1"/>
  <c r="I1491" i="1"/>
  <c r="J1491" i="1" s="1"/>
  <c r="K1491" i="1" s="1"/>
  <c r="M1491" i="1" s="1"/>
  <c r="S1491" i="1" s="1"/>
  <c r="I1490" i="1"/>
  <c r="J1490" i="1" s="1"/>
  <c r="K1490" i="1" s="1"/>
  <c r="M1490" i="1" s="1"/>
  <c r="S1490" i="1" s="1"/>
  <c r="U1490" i="1" s="1"/>
  <c r="I1489" i="1"/>
  <c r="J1489" i="1" s="1"/>
  <c r="K1489" i="1" s="1"/>
  <c r="M1489" i="1" s="1"/>
  <c r="S1489" i="1" s="1"/>
  <c r="I1488" i="1"/>
  <c r="J1488" i="1" s="1"/>
  <c r="K1488" i="1" s="1"/>
  <c r="M1488" i="1" s="1"/>
  <c r="S1488" i="1" s="1"/>
  <c r="I1487" i="1"/>
  <c r="J1487" i="1" s="1"/>
  <c r="K1487" i="1" s="1"/>
  <c r="M1487" i="1" s="1"/>
  <c r="S1487" i="1" s="1"/>
  <c r="W1487" i="1" s="1"/>
  <c r="I1486" i="1"/>
  <c r="J1486" i="1" s="1"/>
  <c r="K1486" i="1" s="1"/>
  <c r="M1486" i="1" s="1"/>
  <c r="S1486" i="1" s="1"/>
  <c r="I1485" i="1"/>
  <c r="J1485" i="1" s="1"/>
  <c r="K1485" i="1" s="1"/>
  <c r="M1485" i="1" s="1"/>
  <c r="S1485" i="1" s="1"/>
  <c r="U1485" i="1" s="1"/>
  <c r="I1484" i="1"/>
  <c r="J1484" i="1" s="1"/>
  <c r="K1484" i="1" s="1"/>
  <c r="M1484" i="1" s="1"/>
  <c r="S1484" i="1" s="1"/>
  <c r="U1484" i="1" s="1"/>
  <c r="I1483" i="1"/>
  <c r="J1483" i="1" s="1"/>
  <c r="K1483" i="1" s="1"/>
  <c r="M1483" i="1" s="1"/>
  <c r="S1483" i="1" s="1"/>
  <c r="I1482" i="1"/>
  <c r="J1482" i="1" s="1"/>
  <c r="K1482" i="1" s="1"/>
  <c r="M1482" i="1" s="1"/>
  <c r="S1482" i="1" s="1"/>
  <c r="I1481" i="1"/>
  <c r="J1481" i="1" s="1"/>
  <c r="K1481" i="1" s="1"/>
  <c r="M1481" i="1" s="1"/>
  <c r="S1481" i="1" s="1"/>
  <c r="I1480" i="1"/>
  <c r="J1480" i="1" s="1"/>
  <c r="K1480" i="1" s="1"/>
  <c r="M1480" i="1" s="1"/>
  <c r="S1480" i="1" s="1"/>
  <c r="I1479" i="1"/>
  <c r="J1479" i="1" s="1"/>
  <c r="K1479" i="1" s="1"/>
  <c r="M1479" i="1" s="1"/>
  <c r="S1479" i="1" s="1"/>
  <c r="I1478" i="1"/>
  <c r="J1478" i="1" s="1"/>
  <c r="K1478" i="1" s="1"/>
  <c r="M1478" i="1" s="1"/>
  <c r="S1478" i="1" s="1"/>
  <c r="I1477" i="1"/>
  <c r="J1477" i="1" s="1"/>
  <c r="K1477" i="1" s="1"/>
  <c r="M1477" i="1" s="1"/>
  <c r="S1477" i="1" s="1"/>
  <c r="U1477" i="1" s="1"/>
  <c r="I1476" i="1"/>
  <c r="J1476" i="1" s="1"/>
  <c r="K1476" i="1" s="1"/>
  <c r="M1476" i="1" s="1"/>
  <c r="S1476" i="1" s="1"/>
  <c r="U1476" i="1" s="1"/>
  <c r="I1475" i="1"/>
  <c r="J1475" i="1" s="1"/>
  <c r="K1475" i="1" s="1"/>
  <c r="M1475" i="1" s="1"/>
  <c r="S1475" i="1" s="1"/>
  <c r="I1474" i="1"/>
  <c r="J1474" i="1" s="1"/>
  <c r="K1474" i="1" s="1"/>
  <c r="M1474" i="1" s="1"/>
  <c r="S1474" i="1" s="1"/>
  <c r="U1474" i="1" s="1"/>
  <c r="I1473" i="1"/>
  <c r="J1473" i="1" s="1"/>
  <c r="K1473" i="1" s="1"/>
  <c r="M1473" i="1" s="1"/>
  <c r="S1473" i="1" s="1"/>
  <c r="I1472" i="1"/>
  <c r="J1472" i="1" s="1"/>
  <c r="K1472" i="1" s="1"/>
  <c r="M1472" i="1" s="1"/>
  <c r="S1472" i="1" s="1"/>
  <c r="I1471" i="1"/>
  <c r="J1471" i="1" s="1"/>
  <c r="K1471" i="1" s="1"/>
  <c r="M1471" i="1" s="1"/>
  <c r="S1471" i="1" s="1"/>
  <c r="W1471" i="1" s="1"/>
  <c r="I1470" i="1"/>
  <c r="J1470" i="1" s="1"/>
  <c r="K1470" i="1" s="1"/>
  <c r="M1470" i="1" s="1"/>
  <c r="S1470" i="1" s="1"/>
  <c r="I1469" i="1"/>
  <c r="J1469" i="1" s="1"/>
  <c r="K1469" i="1" s="1"/>
  <c r="M1469" i="1" s="1"/>
  <c r="S1469" i="1" s="1"/>
  <c r="U1469" i="1" s="1"/>
  <c r="I1468" i="1"/>
  <c r="J1468" i="1" s="1"/>
  <c r="K1468" i="1" s="1"/>
  <c r="M1468" i="1" s="1"/>
  <c r="S1468" i="1" s="1"/>
  <c r="U1468" i="1" s="1"/>
  <c r="I1467" i="1"/>
  <c r="J1467" i="1" s="1"/>
  <c r="K1467" i="1" s="1"/>
  <c r="M1467" i="1" s="1"/>
  <c r="S1467" i="1" s="1"/>
  <c r="I1466" i="1"/>
  <c r="J1466" i="1" s="1"/>
  <c r="K1466" i="1" s="1"/>
  <c r="M1466" i="1" s="1"/>
  <c r="S1466" i="1" s="1"/>
  <c r="I1465" i="1"/>
  <c r="J1465" i="1" s="1"/>
  <c r="K1465" i="1" s="1"/>
  <c r="M1465" i="1" s="1"/>
  <c r="S1465" i="1" s="1"/>
  <c r="I1464" i="1"/>
  <c r="J1464" i="1" s="1"/>
  <c r="K1464" i="1" s="1"/>
  <c r="M1464" i="1" s="1"/>
  <c r="S1464" i="1" s="1"/>
  <c r="I1463" i="1"/>
  <c r="J1463" i="1" s="1"/>
  <c r="K1463" i="1" s="1"/>
  <c r="M1463" i="1" s="1"/>
  <c r="S1463" i="1" s="1"/>
  <c r="I1462" i="1"/>
  <c r="J1462" i="1" s="1"/>
  <c r="K1462" i="1" s="1"/>
  <c r="M1462" i="1" s="1"/>
  <c r="S1462" i="1" s="1"/>
  <c r="I1461" i="1"/>
  <c r="J1461" i="1" s="1"/>
  <c r="K1461" i="1" s="1"/>
  <c r="M1461" i="1" s="1"/>
  <c r="S1461" i="1" s="1"/>
  <c r="U1461" i="1" s="1"/>
  <c r="I1460" i="1"/>
  <c r="J1460" i="1" s="1"/>
  <c r="K1460" i="1" s="1"/>
  <c r="M1460" i="1" s="1"/>
  <c r="S1460" i="1" s="1"/>
  <c r="I1459" i="1"/>
  <c r="J1459" i="1" s="1"/>
  <c r="K1459" i="1" s="1"/>
  <c r="M1459" i="1" s="1"/>
  <c r="S1459" i="1" s="1"/>
  <c r="I1458" i="1"/>
  <c r="J1458" i="1" s="1"/>
  <c r="K1458" i="1" s="1"/>
  <c r="M1458" i="1" s="1"/>
  <c r="S1458" i="1" s="1"/>
  <c r="U1458" i="1" s="1"/>
  <c r="I1457" i="1"/>
  <c r="J1457" i="1" s="1"/>
  <c r="K1457" i="1" s="1"/>
  <c r="M1457" i="1" s="1"/>
  <c r="S1457" i="1" s="1"/>
  <c r="I1456" i="1"/>
  <c r="J1456" i="1" s="1"/>
  <c r="K1456" i="1" s="1"/>
  <c r="M1456" i="1" s="1"/>
  <c r="S1456" i="1" s="1"/>
  <c r="U1456" i="1" s="1"/>
  <c r="I1455" i="1"/>
  <c r="J1455" i="1" s="1"/>
  <c r="K1455" i="1" s="1"/>
  <c r="M1455" i="1" s="1"/>
  <c r="S1455" i="1" s="1"/>
  <c r="W1455" i="1" s="1"/>
  <c r="I1454" i="1"/>
  <c r="J1454" i="1" s="1"/>
  <c r="K1454" i="1" s="1"/>
  <c r="M1454" i="1" s="1"/>
  <c r="S1454" i="1" s="1"/>
  <c r="I1453" i="1"/>
  <c r="J1453" i="1" s="1"/>
  <c r="K1453" i="1" s="1"/>
  <c r="M1453" i="1" s="1"/>
  <c r="S1453" i="1" s="1"/>
  <c r="U1453" i="1" s="1"/>
  <c r="I1452" i="1"/>
  <c r="J1452" i="1" s="1"/>
  <c r="K1452" i="1" s="1"/>
  <c r="M1452" i="1" s="1"/>
  <c r="S1452" i="1" s="1"/>
  <c r="U1452" i="1" s="1"/>
  <c r="I1451" i="1"/>
  <c r="J1451" i="1" s="1"/>
  <c r="K1451" i="1" s="1"/>
  <c r="M1451" i="1" s="1"/>
  <c r="S1451" i="1" s="1"/>
  <c r="I1450" i="1"/>
  <c r="J1450" i="1" s="1"/>
  <c r="K1450" i="1" s="1"/>
  <c r="M1450" i="1" s="1"/>
  <c r="S1450" i="1" s="1"/>
  <c r="I1449" i="1"/>
  <c r="J1449" i="1" s="1"/>
  <c r="K1449" i="1" s="1"/>
  <c r="M1449" i="1" s="1"/>
  <c r="S1449" i="1" s="1"/>
  <c r="I1448" i="1"/>
  <c r="J1448" i="1" s="1"/>
  <c r="K1448" i="1" s="1"/>
  <c r="M1448" i="1" s="1"/>
  <c r="S1448" i="1" s="1"/>
  <c r="I1447" i="1"/>
  <c r="J1447" i="1" s="1"/>
  <c r="K1447" i="1" s="1"/>
  <c r="M1447" i="1" s="1"/>
  <c r="S1447" i="1" s="1"/>
  <c r="I1446" i="1"/>
  <c r="J1446" i="1" s="1"/>
  <c r="K1446" i="1" s="1"/>
  <c r="M1446" i="1" s="1"/>
  <c r="S1446" i="1" s="1"/>
  <c r="I1445" i="1"/>
  <c r="J1445" i="1" s="1"/>
  <c r="K1445" i="1" s="1"/>
  <c r="M1445" i="1" s="1"/>
  <c r="S1445" i="1" s="1"/>
  <c r="U1445" i="1" s="1"/>
  <c r="I1444" i="1"/>
  <c r="J1444" i="1" s="1"/>
  <c r="K1444" i="1" s="1"/>
  <c r="M1444" i="1" s="1"/>
  <c r="S1444" i="1" s="1"/>
  <c r="I1443" i="1"/>
  <c r="J1443" i="1" s="1"/>
  <c r="K1443" i="1" s="1"/>
  <c r="M1443" i="1" s="1"/>
  <c r="S1443" i="1" s="1"/>
  <c r="I1442" i="1"/>
  <c r="J1442" i="1" s="1"/>
  <c r="K1442" i="1" s="1"/>
  <c r="M1442" i="1" s="1"/>
  <c r="S1442" i="1" s="1"/>
  <c r="U1442" i="1" s="1"/>
  <c r="I1441" i="1"/>
  <c r="J1441" i="1" s="1"/>
  <c r="K1441" i="1" s="1"/>
  <c r="M1441" i="1" s="1"/>
  <c r="S1441" i="1" s="1"/>
  <c r="I1440" i="1"/>
  <c r="J1440" i="1" s="1"/>
  <c r="K1440" i="1" s="1"/>
  <c r="M1440" i="1" s="1"/>
  <c r="S1440" i="1" s="1"/>
  <c r="I1439" i="1"/>
  <c r="J1439" i="1" s="1"/>
  <c r="K1439" i="1" s="1"/>
  <c r="M1439" i="1" s="1"/>
  <c r="S1439" i="1" s="1"/>
  <c r="W1439" i="1" s="1"/>
  <c r="I1438" i="1"/>
  <c r="J1438" i="1" s="1"/>
  <c r="K1438" i="1" s="1"/>
  <c r="M1438" i="1" s="1"/>
  <c r="S1438" i="1" s="1"/>
  <c r="I1437" i="1"/>
  <c r="J1437" i="1" s="1"/>
  <c r="K1437" i="1" s="1"/>
  <c r="M1437" i="1" s="1"/>
  <c r="S1437" i="1" s="1"/>
  <c r="U1437" i="1" s="1"/>
  <c r="I1436" i="1"/>
  <c r="J1436" i="1" s="1"/>
  <c r="K1436" i="1" s="1"/>
  <c r="M1436" i="1" s="1"/>
  <c r="S1436" i="1" s="1"/>
  <c r="U1436" i="1" s="1"/>
  <c r="I1435" i="1"/>
  <c r="J1435" i="1" s="1"/>
  <c r="K1435" i="1" s="1"/>
  <c r="M1435" i="1" s="1"/>
  <c r="S1435" i="1" s="1"/>
  <c r="I1434" i="1"/>
  <c r="J1434" i="1" s="1"/>
  <c r="K1434" i="1" s="1"/>
  <c r="M1434" i="1" s="1"/>
  <c r="S1434" i="1" s="1"/>
  <c r="U1434" i="1" s="1"/>
  <c r="I1433" i="1"/>
  <c r="J1433" i="1" s="1"/>
  <c r="K1433" i="1" s="1"/>
  <c r="M1433" i="1" s="1"/>
  <c r="S1433" i="1" s="1"/>
  <c r="I1432" i="1"/>
  <c r="J1432" i="1" s="1"/>
  <c r="K1432" i="1" s="1"/>
  <c r="M1432" i="1" s="1"/>
  <c r="S1432" i="1" s="1"/>
  <c r="I1431" i="1"/>
  <c r="J1431" i="1" s="1"/>
  <c r="K1431" i="1" s="1"/>
  <c r="M1431" i="1" s="1"/>
  <c r="S1431" i="1" s="1"/>
  <c r="I1430" i="1"/>
  <c r="J1430" i="1" s="1"/>
  <c r="K1430" i="1" s="1"/>
  <c r="M1430" i="1" s="1"/>
  <c r="S1430" i="1" s="1"/>
  <c r="I1429" i="1"/>
  <c r="J1429" i="1" s="1"/>
  <c r="K1429" i="1" s="1"/>
  <c r="M1429" i="1" s="1"/>
  <c r="S1429" i="1" s="1"/>
  <c r="U1429" i="1" s="1"/>
  <c r="I1428" i="1"/>
  <c r="J1428" i="1" s="1"/>
  <c r="K1428" i="1" s="1"/>
  <c r="M1428" i="1" s="1"/>
  <c r="S1428" i="1" s="1"/>
  <c r="I1427" i="1"/>
  <c r="J1427" i="1" s="1"/>
  <c r="K1427" i="1" s="1"/>
  <c r="M1427" i="1" s="1"/>
  <c r="S1427" i="1" s="1"/>
  <c r="I1426" i="1"/>
  <c r="J1426" i="1" s="1"/>
  <c r="K1426" i="1" s="1"/>
  <c r="M1426" i="1" s="1"/>
  <c r="S1426" i="1" s="1"/>
  <c r="U1426" i="1" s="1"/>
  <c r="I1425" i="1"/>
  <c r="J1425" i="1" s="1"/>
  <c r="K1425" i="1" s="1"/>
  <c r="M1425" i="1" s="1"/>
  <c r="S1425" i="1" s="1"/>
  <c r="I1424" i="1"/>
  <c r="J1424" i="1" s="1"/>
  <c r="K1424" i="1" s="1"/>
  <c r="M1424" i="1" s="1"/>
  <c r="S1424" i="1" s="1"/>
  <c r="I1423" i="1"/>
  <c r="J1423" i="1" s="1"/>
  <c r="K1423" i="1" s="1"/>
  <c r="M1423" i="1" s="1"/>
  <c r="S1423" i="1" s="1"/>
  <c r="W1423" i="1" s="1"/>
  <c r="I1422" i="1"/>
  <c r="J1422" i="1" s="1"/>
  <c r="K1422" i="1" s="1"/>
  <c r="M1422" i="1" s="1"/>
  <c r="S1422" i="1" s="1"/>
  <c r="I1421" i="1"/>
  <c r="J1421" i="1" s="1"/>
  <c r="K1421" i="1" s="1"/>
  <c r="M1421" i="1" s="1"/>
  <c r="S1421" i="1" s="1"/>
  <c r="U1421" i="1" s="1"/>
  <c r="I1420" i="1"/>
  <c r="J1420" i="1" s="1"/>
  <c r="K1420" i="1" s="1"/>
  <c r="M1420" i="1" s="1"/>
  <c r="S1420" i="1" s="1"/>
  <c r="U1420" i="1" s="1"/>
  <c r="I1419" i="1"/>
  <c r="J1419" i="1" s="1"/>
  <c r="K1419" i="1" s="1"/>
  <c r="M1419" i="1" s="1"/>
  <c r="S1419" i="1" s="1"/>
  <c r="I1418" i="1"/>
  <c r="J1418" i="1" s="1"/>
  <c r="K1418" i="1" s="1"/>
  <c r="M1418" i="1" s="1"/>
  <c r="S1418" i="1" s="1"/>
  <c r="I1417" i="1"/>
  <c r="J1417" i="1" s="1"/>
  <c r="K1417" i="1" s="1"/>
  <c r="M1417" i="1" s="1"/>
  <c r="S1417" i="1" s="1"/>
  <c r="I1416" i="1"/>
  <c r="J1416" i="1" s="1"/>
  <c r="K1416" i="1" s="1"/>
  <c r="M1416" i="1" s="1"/>
  <c r="S1416" i="1" s="1"/>
  <c r="W1416" i="1" s="1"/>
  <c r="I1415" i="1"/>
  <c r="J1415" i="1" s="1"/>
  <c r="K1415" i="1" s="1"/>
  <c r="M1415" i="1" s="1"/>
  <c r="S1415" i="1" s="1"/>
  <c r="I1414" i="1"/>
  <c r="J1414" i="1" s="1"/>
  <c r="K1414" i="1" s="1"/>
  <c r="M1414" i="1" s="1"/>
  <c r="S1414" i="1" s="1"/>
  <c r="I1413" i="1"/>
  <c r="J1413" i="1" s="1"/>
  <c r="K1413" i="1" s="1"/>
  <c r="M1413" i="1" s="1"/>
  <c r="S1413" i="1" s="1"/>
  <c r="U1413" i="1" s="1"/>
  <c r="I1412" i="1"/>
  <c r="J1412" i="1" s="1"/>
  <c r="K1412" i="1" s="1"/>
  <c r="M1412" i="1" s="1"/>
  <c r="S1412" i="1" s="1"/>
  <c r="U1412" i="1" s="1"/>
  <c r="I1411" i="1"/>
  <c r="J1411" i="1" s="1"/>
  <c r="K1411" i="1" s="1"/>
  <c r="M1411" i="1" s="1"/>
  <c r="S1411" i="1" s="1"/>
  <c r="I1410" i="1"/>
  <c r="J1410" i="1" s="1"/>
  <c r="K1410" i="1" s="1"/>
  <c r="M1410" i="1" s="1"/>
  <c r="S1410" i="1" s="1"/>
  <c r="U1410" i="1" s="1"/>
  <c r="I1409" i="1"/>
  <c r="J1409" i="1" s="1"/>
  <c r="K1409" i="1" s="1"/>
  <c r="M1409" i="1" s="1"/>
  <c r="S1409" i="1" s="1"/>
  <c r="I1408" i="1"/>
  <c r="J1408" i="1" s="1"/>
  <c r="K1408" i="1" s="1"/>
  <c r="M1408" i="1" s="1"/>
  <c r="S1408" i="1" s="1"/>
  <c r="I1407" i="1"/>
  <c r="J1407" i="1" s="1"/>
  <c r="K1407" i="1" s="1"/>
  <c r="M1407" i="1" s="1"/>
  <c r="S1407" i="1" s="1"/>
  <c r="W1407" i="1" s="1"/>
  <c r="I1406" i="1"/>
  <c r="J1406" i="1" s="1"/>
  <c r="K1406" i="1" s="1"/>
  <c r="M1406" i="1" s="1"/>
  <c r="S1406" i="1" s="1"/>
  <c r="I1405" i="1"/>
  <c r="J1405" i="1" s="1"/>
  <c r="K1405" i="1" s="1"/>
  <c r="M1405" i="1" s="1"/>
  <c r="S1405" i="1" s="1"/>
  <c r="U1405" i="1" s="1"/>
  <c r="I1404" i="1"/>
  <c r="J1404" i="1" s="1"/>
  <c r="K1404" i="1" s="1"/>
  <c r="M1404" i="1" s="1"/>
  <c r="S1404" i="1" s="1"/>
  <c r="U1404" i="1" s="1"/>
  <c r="I1403" i="1"/>
  <c r="J1403" i="1" s="1"/>
  <c r="K1403" i="1" s="1"/>
  <c r="M1403" i="1" s="1"/>
  <c r="S1403" i="1" s="1"/>
  <c r="I1402" i="1"/>
  <c r="J1402" i="1" s="1"/>
  <c r="K1402" i="1" s="1"/>
  <c r="M1402" i="1" s="1"/>
  <c r="S1402" i="1" s="1"/>
  <c r="I1401" i="1"/>
  <c r="J1401" i="1" s="1"/>
  <c r="K1401" i="1" s="1"/>
  <c r="M1401" i="1" s="1"/>
  <c r="S1401" i="1" s="1"/>
  <c r="I1400" i="1"/>
  <c r="J1400" i="1" s="1"/>
  <c r="K1400" i="1" s="1"/>
  <c r="M1400" i="1" s="1"/>
  <c r="S1400" i="1" s="1"/>
  <c r="I1399" i="1"/>
  <c r="J1399" i="1" s="1"/>
  <c r="K1399" i="1" s="1"/>
  <c r="M1399" i="1" s="1"/>
  <c r="S1399" i="1" s="1"/>
  <c r="I1398" i="1"/>
  <c r="J1398" i="1" s="1"/>
  <c r="K1398" i="1" s="1"/>
  <c r="M1398" i="1" s="1"/>
  <c r="S1398" i="1" s="1"/>
  <c r="I1397" i="1"/>
  <c r="J1397" i="1" s="1"/>
  <c r="K1397" i="1" s="1"/>
  <c r="M1397" i="1" s="1"/>
  <c r="S1397" i="1" s="1"/>
  <c r="U1397" i="1" s="1"/>
  <c r="I1396" i="1"/>
  <c r="J1396" i="1" s="1"/>
  <c r="K1396" i="1" s="1"/>
  <c r="M1396" i="1" s="1"/>
  <c r="S1396" i="1" s="1"/>
  <c r="I1395" i="1"/>
  <c r="J1395" i="1" s="1"/>
  <c r="K1395" i="1" s="1"/>
  <c r="M1395" i="1" s="1"/>
  <c r="S1395" i="1" s="1"/>
  <c r="I1394" i="1"/>
  <c r="J1394" i="1" s="1"/>
  <c r="K1394" i="1" s="1"/>
  <c r="M1394" i="1" s="1"/>
  <c r="S1394" i="1" s="1"/>
  <c r="U1394" i="1" s="1"/>
  <c r="I1393" i="1"/>
  <c r="J1393" i="1" s="1"/>
  <c r="K1393" i="1" s="1"/>
  <c r="M1393" i="1" s="1"/>
  <c r="S1393" i="1" s="1"/>
  <c r="I1392" i="1"/>
  <c r="J1392" i="1" s="1"/>
  <c r="K1392" i="1" s="1"/>
  <c r="M1392" i="1" s="1"/>
  <c r="S1392" i="1" s="1"/>
  <c r="I1391" i="1"/>
  <c r="J1391" i="1" s="1"/>
  <c r="K1391" i="1" s="1"/>
  <c r="M1391" i="1" s="1"/>
  <c r="S1391" i="1" s="1"/>
  <c r="W1391" i="1" s="1"/>
  <c r="I1390" i="1"/>
  <c r="J1390" i="1" s="1"/>
  <c r="I1389" i="1"/>
  <c r="J1389" i="1" s="1"/>
  <c r="K1389" i="1" s="1"/>
  <c r="M1389" i="1" s="1"/>
  <c r="S1389" i="1" s="1"/>
  <c r="U1389" i="1" s="1"/>
  <c r="I1388" i="1"/>
  <c r="J1388" i="1" s="1"/>
  <c r="K1388" i="1" s="1"/>
  <c r="M1388" i="1" s="1"/>
  <c r="S1388" i="1" s="1"/>
  <c r="U1388" i="1" s="1"/>
  <c r="I1387" i="1"/>
  <c r="J1387" i="1" s="1"/>
  <c r="K1387" i="1" s="1"/>
  <c r="M1387" i="1" s="1"/>
  <c r="S1387" i="1" s="1"/>
  <c r="I1386" i="1"/>
  <c r="J1386" i="1" s="1"/>
  <c r="I1385" i="1"/>
  <c r="J1385" i="1" s="1"/>
  <c r="K1385" i="1" s="1"/>
  <c r="M1385" i="1" s="1"/>
  <c r="S1385" i="1" s="1"/>
  <c r="I1384" i="1"/>
  <c r="J1384" i="1" s="1"/>
  <c r="K1384" i="1" s="1"/>
  <c r="M1384" i="1" s="1"/>
  <c r="S1384" i="1" s="1"/>
  <c r="I1383" i="1"/>
  <c r="J1383" i="1" s="1"/>
  <c r="K1383" i="1" s="1"/>
  <c r="M1383" i="1" s="1"/>
  <c r="S1383" i="1" s="1"/>
  <c r="I1382" i="1"/>
  <c r="J1382" i="1" s="1"/>
  <c r="I1381" i="1"/>
  <c r="J1381" i="1" s="1"/>
  <c r="K1381" i="1" s="1"/>
  <c r="M1381" i="1" s="1"/>
  <c r="S1381" i="1" s="1"/>
  <c r="U1381" i="1" s="1"/>
  <c r="I1380" i="1"/>
  <c r="J1380" i="1" s="1"/>
  <c r="K1380" i="1" s="1"/>
  <c r="M1380" i="1" s="1"/>
  <c r="S1380" i="1" s="1"/>
  <c r="I1379" i="1"/>
  <c r="J1379" i="1" s="1"/>
  <c r="K1379" i="1" s="1"/>
  <c r="M1379" i="1" s="1"/>
  <c r="S1379" i="1" s="1"/>
  <c r="I1378" i="1"/>
  <c r="I1377" i="1"/>
  <c r="J1377" i="1" s="1"/>
  <c r="K1377" i="1" s="1"/>
  <c r="M1377" i="1" s="1"/>
  <c r="S1377" i="1" s="1"/>
  <c r="I1376" i="1"/>
  <c r="J1376" i="1" s="1"/>
  <c r="K1376" i="1" s="1"/>
  <c r="M1376" i="1" s="1"/>
  <c r="S1376" i="1" s="1"/>
  <c r="I1375" i="1"/>
  <c r="J1375" i="1" s="1"/>
  <c r="K1375" i="1" s="1"/>
  <c r="M1375" i="1" s="1"/>
  <c r="S1375" i="1" s="1"/>
  <c r="W1375" i="1" s="1"/>
  <c r="I1374" i="1"/>
  <c r="J1374" i="1" s="1"/>
  <c r="I1373" i="1"/>
  <c r="J1373" i="1" s="1"/>
  <c r="K1373" i="1" s="1"/>
  <c r="M1373" i="1" s="1"/>
  <c r="S1373" i="1" s="1"/>
  <c r="U1373" i="1" s="1"/>
  <c r="I1372" i="1"/>
  <c r="J1372" i="1" s="1"/>
  <c r="K1372" i="1" s="1"/>
  <c r="M1372" i="1" s="1"/>
  <c r="S1372" i="1" s="1"/>
  <c r="U1372" i="1" s="1"/>
  <c r="I1371" i="1"/>
  <c r="J1371" i="1" s="1"/>
  <c r="K1371" i="1" s="1"/>
  <c r="M1371" i="1" s="1"/>
  <c r="S1371" i="1" s="1"/>
  <c r="I1370" i="1"/>
  <c r="J1370" i="1" s="1"/>
  <c r="I1369" i="1"/>
  <c r="J1369" i="1" s="1"/>
  <c r="K1369" i="1" s="1"/>
  <c r="M1369" i="1" s="1"/>
  <c r="S1369" i="1" s="1"/>
  <c r="I1368" i="1"/>
  <c r="J1368" i="1" s="1"/>
  <c r="K1368" i="1" s="1"/>
  <c r="M1368" i="1" s="1"/>
  <c r="S1368" i="1" s="1"/>
  <c r="I1367" i="1"/>
  <c r="J1367" i="1" s="1"/>
  <c r="K1367" i="1" s="1"/>
  <c r="M1367" i="1" s="1"/>
  <c r="S1367" i="1" s="1"/>
  <c r="I1366" i="1"/>
  <c r="J1366" i="1" s="1"/>
  <c r="I1365" i="1"/>
  <c r="J1365" i="1" s="1"/>
  <c r="K1365" i="1" s="1"/>
  <c r="M1365" i="1" s="1"/>
  <c r="S1365" i="1" s="1"/>
  <c r="U1365" i="1" s="1"/>
  <c r="I1364" i="1"/>
  <c r="J1364" i="1" s="1"/>
  <c r="K1364" i="1" s="1"/>
  <c r="M1364" i="1" s="1"/>
  <c r="S1364" i="1" s="1"/>
  <c r="I1363" i="1"/>
  <c r="J1363" i="1" s="1"/>
  <c r="K1363" i="1" s="1"/>
  <c r="M1363" i="1" s="1"/>
  <c r="S1363" i="1" s="1"/>
  <c r="I1362" i="1"/>
  <c r="J1362" i="1" s="1"/>
  <c r="I1361" i="1"/>
  <c r="J1361" i="1" s="1"/>
  <c r="K1361" i="1" s="1"/>
  <c r="M1361" i="1" s="1"/>
  <c r="S1361" i="1" s="1"/>
  <c r="I1360" i="1"/>
  <c r="J1360" i="1" s="1"/>
  <c r="K1360" i="1" s="1"/>
  <c r="M1360" i="1" s="1"/>
  <c r="S1360" i="1" s="1"/>
  <c r="I1359" i="1"/>
  <c r="J1359" i="1" s="1"/>
  <c r="K1359" i="1" s="1"/>
  <c r="M1359" i="1" s="1"/>
  <c r="S1359" i="1" s="1"/>
  <c r="W1359" i="1" s="1"/>
  <c r="I1358" i="1"/>
  <c r="J1358" i="1" s="1"/>
  <c r="I1357" i="1"/>
  <c r="J1357" i="1" s="1"/>
  <c r="K1357" i="1" s="1"/>
  <c r="M1357" i="1" s="1"/>
  <c r="S1357" i="1" s="1"/>
  <c r="U1357" i="1" s="1"/>
  <c r="I1356" i="1"/>
  <c r="J1356" i="1" s="1"/>
  <c r="K1356" i="1" s="1"/>
  <c r="M1356" i="1" s="1"/>
  <c r="S1356" i="1" s="1"/>
  <c r="U1356" i="1" s="1"/>
  <c r="I1355" i="1"/>
  <c r="J1355" i="1" s="1"/>
  <c r="K1355" i="1" s="1"/>
  <c r="M1355" i="1" s="1"/>
  <c r="S1355" i="1" s="1"/>
  <c r="I1354" i="1"/>
  <c r="J1354" i="1" s="1"/>
  <c r="K1354" i="1" s="1"/>
  <c r="M1354" i="1" s="1"/>
  <c r="S1354" i="1" s="1"/>
  <c r="I1353" i="1"/>
  <c r="J1353" i="1" s="1"/>
  <c r="K1353" i="1" s="1"/>
  <c r="M1353" i="1" s="1"/>
  <c r="S1353" i="1" s="1"/>
  <c r="I1352" i="1"/>
  <c r="J1352" i="1" s="1"/>
  <c r="K1352" i="1" s="1"/>
  <c r="M1352" i="1" s="1"/>
  <c r="S1352" i="1" s="1"/>
  <c r="I1351" i="1"/>
  <c r="J1351" i="1" s="1"/>
  <c r="K1351" i="1" s="1"/>
  <c r="M1351" i="1" s="1"/>
  <c r="S1351" i="1" s="1"/>
  <c r="I1350" i="1"/>
  <c r="J1350" i="1" s="1"/>
  <c r="I1349" i="1"/>
  <c r="J1349" i="1" s="1"/>
  <c r="K1349" i="1" s="1"/>
  <c r="M1349" i="1" s="1"/>
  <c r="S1349" i="1" s="1"/>
  <c r="U1349" i="1" s="1"/>
  <c r="I1348" i="1"/>
  <c r="J1348" i="1" s="1"/>
  <c r="K1348" i="1" s="1"/>
  <c r="M1348" i="1" s="1"/>
  <c r="S1348" i="1" s="1"/>
  <c r="I1347" i="1"/>
  <c r="J1347" i="1" s="1"/>
  <c r="K1347" i="1" s="1"/>
  <c r="M1347" i="1" s="1"/>
  <c r="S1347" i="1" s="1"/>
  <c r="I1346" i="1"/>
  <c r="I1345" i="1"/>
  <c r="J1345" i="1" s="1"/>
  <c r="K1345" i="1" s="1"/>
  <c r="M1345" i="1" s="1"/>
  <c r="S1345" i="1" s="1"/>
  <c r="I1344" i="1"/>
  <c r="J1344" i="1" s="1"/>
  <c r="I1343" i="1"/>
  <c r="J1343" i="1" s="1"/>
  <c r="K1343" i="1" s="1"/>
  <c r="M1343" i="1" s="1"/>
  <c r="S1343" i="1" s="1"/>
  <c r="W1343" i="1" s="1"/>
  <c r="I1342" i="1"/>
  <c r="J1342" i="1" s="1"/>
  <c r="I1341" i="1"/>
  <c r="J1341" i="1" s="1"/>
  <c r="K1341" i="1" s="1"/>
  <c r="M1341" i="1" s="1"/>
  <c r="S1341" i="1" s="1"/>
  <c r="U1341" i="1" s="1"/>
  <c r="I1340" i="1"/>
  <c r="I1339" i="1"/>
  <c r="J1339" i="1" s="1"/>
  <c r="K1339" i="1" s="1"/>
  <c r="M1339" i="1" s="1"/>
  <c r="S1339" i="1" s="1"/>
  <c r="I1338" i="1"/>
  <c r="I1337" i="1"/>
  <c r="J1337" i="1" s="1"/>
  <c r="K1337" i="1" s="1"/>
  <c r="M1337" i="1" s="1"/>
  <c r="S1337" i="1" s="1"/>
  <c r="I1336" i="1"/>
  <c r="J1336" i="1" s="1"/>
  <c r="K1336" i="1" s="1"/>
  <c r="M1336" i="1" s="1"/>
  <c r="S1336" i="1" s="1"/>
  <c r="I1335" i="1"/>
  <c r="J1335" i="1" s="1"/>
  <c r="K1335" i="1" s="1"/>
  <c r="M1335" i="1" s="1"/>
  <c r="S1335" i="1" s="1"/>
  <c r="I1334" i="1"/>
  <c r="I1333" i="1"/>
  <c r="J1333" i="1" s="1"/>
  <c r="K1333" i="1" s="1"/>
  <c r="M1333" i="1" s="1"/>
  <c r="S1333" i="1" s="1"/>
  <c r="U1333" i="1" s="1"/>
  <c r="I1332" i="1"/>
  <c r="I1331" i="1"/>
  <c r="J1331" i="1" s="1"/>
  <c r="K1331" i="1" s="1"/>
  <c r="M1331" i="1" s="1"/>
  <c r="S1331" i="1" s="1"/>
  <c r="I1330" i="1"/>
  <c r="J1330" i="1" s="1"/>
  <c r="K1330" i="1" s="1"/>
  <c r="M1330" i="1" s="1"/>
  <c r="S1330" i="1" s="1"/>
  <c r="U1330" i="1" s="1"/>
  <c r="I1329" i="1"/>
  <c r="J1329" i="1" s="1"/>
  <c r="K1329" i="1" s="1"/>
  <c r="M1329" i="1" s="1"/>
  <c r="S1329" i="1" s="1"/>
  <c r="I1328" i="1"/>
  <c r="I1327" i="1"/>
  <c r="J1327" i="1" s="1"/>
  <c r="K1327" i="1" s="1"/>
  <c r="M1327" i="1" s="1"/>
  <c r="S1327" i="1" s="1"/>
  <c r="W1327" i="1" s="1"/>
  <c r="I1326" i="1"/>
  <c r="J1326" i="1" s="1"/>
  <c r="K1326" i="1" s="1"/>
  <c r="M1326" i="1" s="1"/>
  <c r="S1326" i="1" s="1"/>
  <c r="I1325" i="1"/>
  <c r="J1325" i="1" s="1"/>
  <c r="K1325" i="1" s="1"/>
  <c r="M1325" i="1" s="1"/>
  <c r="S1325" i="1" s="1"/>
  <c r="U1325" i="1" s="1"/>
  <c r="I1324" i="1"/>
  <c r="J1324" i="1" s="1"/>
  <c r="K1324" i="1" s="1"/>
  <c r="M1324" i="1" s="1"/>
  <c r="S1324" i="1" s="1"/>
  <c r="U1324" i="1" s="1"/>
  <c r="I1323" i="1"/>
  <c r="J1323" i="1" s="1"/>
  <c r="K1323" i="1" s="1"/>
  <c r="M1323" i="1" s="1"/>
  <c r="S1323" i="1" s="1"/>
  <c r="I1322" i="1"/>
  <c r="J1322" i="1" s="1"/>
  <c r="I1321" i="1"/>
  <c r="I1320" i="1"/>
  <c r="J1320" i="1" s="1"/>
  <c r="I1319" i="1"/>
  <c r="I1318" i="1"/>
  <c r="I1317" i="1"/>
  <c r="J1317" i="1" s="1"/>
  <c r="K1317" i="1" s="1"/>
  <c r="M1317" i="1" s="1"/>
  <c r="S1317" i="1" s="1"/>
  <c r="V1317" i="1" s="1"/>
  <c r="I1316" i="1"/>
  <c r="J1316" i="1" s="1"/>
  <c r="I1315" i="1"/>
  <c r="J1315" i="1" s="1"/>
  <c r="K1315" i="1" s="1"/>
  <c r="M1315" i="1" s="1"/>
  <c r="S1315" i="1" s="1"/>
  <c r="I1314" i="1"/>
  <c r="J1314" i="1" s="1"/>
  <c r="I1313" i="1"/>
  <c r="J1313" i="1" s="1"/>
  <c r="I1312" i="1"/>
  <c r="I1311" i="1"/>
  <c r="I1310" i="1"/>
  <c r="J1310" i="1" s="1"/>
  <c r="K1310" i="1" s="1"/>
  <c r="M1310" i="1" s="1"/>
  <c r="S1310" i="1" s="1"/>
  <c r="I1309" i="1"/>
  <c r="I1308" i="1"/>
  <c r="J1308" i="1" s="1"/>
  <c r="K1308" i="1" s="1"/>
  <c r="M1308" i="1" s="1"/>
  <c r="S1308" i="1" s="1"/>
  <c r="U1308" i="1" s="1"/>
  <c r="I1307" i="1"/>
  <c r="J1307" i="1" s="1"/>
  <c r="I1306" i="1"/>
  <c r="I1305" i="1"/>
  <c r="J1305" i="1" s="1"/>
  <c r="I1304" i="1"/>
  <c r="I1303" i="1"/>
  <c r="I1302" i="1"/>
  <c r="I1301" i="1"/>
  <c r="J1301" i="1" s="1"/>
  <c r="I1300" i="1"/>
  <c r="I1299" i="1"/>
  <c r="J1299" i="1" s="1"/>
  <c r="I1298" i="1"/>
  <c r="J1298" i="1" s="1"/>
  <c r="K1298" i="1" s="1"/>
  <c r="M1298" i="1" s="1"/>
  <c r="S1298" i="1" s="1"/>
  <c r="U1298" i="1" s="1"/>
  <c r="I1297" i="1"/>
  <c r="J1297" i="1" s="1"/>
  <c r="I1296" i="1"/>
  <c r="J1296" i="1" s="1"/>
  <c r="I1295" i="1"/>
  <c r="J1295" i="1" s="1"/>
  <c r="I1294" i="1"/>
  <c r="J1294" i="1" s="1"/>
  <c r="K1294" i="1" s="1"/>
  <c r="M1294" i="1" s="1"/>
  <c r="S1294" i="1" s="1"/>
  <c r="I1293" i="1"/>
  <c r="J1293" i="1" s="1"/>
  <c r="I1292" i="1"/>
  <c r="I1291" i="1"/>
  <c r="J1291" i="1" s="1"/>
  <c r="I1290" i="1"/>
  <c r="J1290" i="1" s="1"/>
  <c r="I1289" i="1"/>
  <c r="I1288" i="1"/>
  <c r="I1287" i="1"/>
  <c r="I1286" i="1"/>
  <c r="I1285" i="1"/>
  <c r="J1285" i="1" s="1"/>
  <c r="I1284" i="1"/>
  <c r="J1284" i="1" s="1"/>
  <c r="I1283" i="1"/>
  <c r="I1282" i="1"/>
  <c r="I1281" i="1"/>
  <c r="J1281" i="1" s="1"/>
  <c r="I1280" i="1"/>
  <c r="J1280" i="1" s="1"/>
  <c r="K1280" i="1" s="1"/>
  <c r="M1280" i="1" s="1"/>
  <c r="S1280" i="1" s="1"/>
  <c r="I1279" i="1"/>
  <c r="I1278" i="1"/>
  <c r="J1278" i="1" s="1"/>
  <c r="K1278" i="1" s="1"/>
  <c r="M1278" i="1" s="1"/>
  <c r="S1278" i="1" s="1"/>
  <c r="I1277" i="1"/>
  <c r="I1276" i="1"/>
  <c r="J1276" i="1" s="1"/>
  <c r="K1276" i="1" s="1"/>
  <c r="M1276" i="1" s="1"/>
  <c r="S1276" i="1" s="1"/>
  <c r="U1276" i="1" s="1"/>
  <c r="I1275" i="1"/>
  <c r="I1274" i="1"/>
  <c r="J1274" i="1" s="1"/>
  <c r="K1274" i="1" s="1"/>
  <c r="M1274" i="1" s="1"/>
  <c r="S1274" i="1" s="1"/>
  <c r="I1273" i="1"/>
  <c r="J1273" i="1" s="1"/>
  <c r="I1272" i="1"/>
  <c r="J1272" i="1" s="1"/>
  <c r="K1272" i="1" s="1"/>
  <c r="M1272" i="1" s="1"/>
  <c r="S1272" i="1" s="1"/>
  <c r="I1271" i="1"/>
  <c r="J1271" i="1" s="1"/>
  <c r="I1270" i="1"/>
  <c r="J1270" i="1" s="1"/>
  <c r="K1270" i="1" s="1"/>
  <c r="M1270" i="1" s="1"/>
  <c r="S1270" i="1" s="1"/>
  <c r="I1269" i="1"/>
  <c r="I1268" i="1"/>
  <c r="J1268" i="1" s="1"/>
  <c r="K1268" i="1" s="1"/>
  <c r="M1268" i="1" s="1"/>
  <c r="S1268" i="1" s="1"/>
  <c r="I1267" i="1"/>
  <c r="J1267" i="1" s="1"/>
  <c r="K1267" i="1" s="1"/>
  <c r="M1267" i="1" s="1"/>
  <c r="S1267" i="1" s="1"/>
  <c r="I1266" i="1"/>
  <c r="J1266" i="1" s="1"/>
  <c r="K1266" i="1" s="1"/>
  <c r="M1266" i="1" s="1"/>
  <c r="S1266" i="1" s="1"/>
  <c r="U1266" i="1" s="1"/>
  <c r="I1265" i="1"/>
  <c r="J1265" i="1" s="1"/>
  <c r="I1264" i="1"/>
  <c r="J1264" i="1" s="1"/>
  <c r="K1264" i="1" s="1"/>
  <c r="M1264" i="1" s="1"/>
  <c r="S1264" i="1" s="1"/>
  <c r="I1263" i="1"/>
  <c r="I1262" i="1"/>
  <c r="J1262" i="1" s="1"/>
  <c r="K1262" i="1" s="1"/>
  <c r="M1262" i="1" s="1"/>
  <c r="S1262" i="1" s="1"/>
  <c r="I1261" i="1"/>
  <c r="I1260" i="1"/>
  <c r="J1260" i="1" s="1"/>
  <c r="K1260" i="1" s="1"/>
  <c r="M1260" i="1" s="1"/>
  <c r="S1260" i="1" s="1"/>
  <c r="U1260" i="1" s="1"/>
  <c r="I1259" i="1"/>
  <c r="J1259" i="1" s="1"/>
  <c r="I1258" i="1"/>
  <c r="J1258" i="1" s="1"/>
  <c r="K1258" i="1" s="1"/>
  <c r="M1258" i="1" s="1"/>
  <c r="S1258" i="1" s="1"/>
  <c r="V1258" i="1" s="1"/>
  <c r="I1257" i="1"/>
  <c r="I1256" i="1"/>
  <c r="J1256" i="1" s="1"/>
  <c r="K1256" i="1" s="1"/>
  <c r="M1256" i="1" s="1"/>
  <c r="S1256" i="1" s="1"/>
  <c r="I1255" i="1"/>
  <c r="I1254" i="1"/>
  <c r="J1254" i="1" s="1"/>
  <c r="K1254" i="1" s="1"/>
  <c r="M1254" i="1" s="1"/>
  <c r="S1254" i="1" s="1"/>
  <c r="I1253" i="1"/>
  <c r="J1253" i="1" s="1"/>
  <c r="I1252" i="1"/>
  <c r="J1252" i="1" s="1"/>
  <c r="K1252" i="1" s="1"/>
  <c r="M1252" i="1" s="1"/>
  <c r="S1252" i="1" s="1"/>
  <c r="I1251" i="1"/>
  <c r="J1251" i="1" s="1"/>
  <c r="I1250" i="1"/>
  <c r="J1250" i="1" s="1"/>
  <c r="K1250" i="1" s="1"/>
  <c r="M1250" i="1" s="1"/>
  <c r="S1250" i="1" s="1"/>
  <c r="U1250" i="1" s="1"/>
  <c r="I1249" i="1"/>
  <c r="J1249" i="1" s="1"/>
  <c r="I1248" i="1"/>
  <c r="J1248" i="1" s="1"/>
  <c r="K1248" i="1" s="1"/>
  <c r="M1248" i="1" s="1"/>
  <c r="S1248" i="1" s="1"/>
  <c r="V1248" i="1" s="1"/>
  <c r="I1247" i="1"/>
  <c r="I1246" i="1"/>
  <c r="J1246" i="1" s="1"/>
  <c r="K1246" i="1" s="1"/>
  <c r="M1246" i="1" s="1"/>
  <c r="S1246" i="1" s="1"/>
  <c r="I1245" i="1"/>
  <c r="I1244" i="1"/>
  <c r="J1244" i="1" s="1"/>
  <c r="K1244" i="1" s="1"/>
  <c r="M1244" i="1" s="1"/>
  <c r="S1244" i="1" s="1"/>
  <c r="U1244" i="1" s="1"/>
  <c r="I1243" i="1"/>
  <c r="I1242" i="1"/>
  <c r="J1242" i="1" s="1"/>
  <c r="K1242" i="1" s="1"/>
  <c r="M1242" i="1" s="1"/>
  <c r="S1242" i="1" s="1"/>
  <c r="I1241" i="1"/>
  <c r="J1241" i="1" s="1"/>
  <c r="I1240" i="1"/>
  <c r="J1240" i="1" s="1"/>
  <c r="K1240" i="1" s="1"/>
  <c r="M1240" i="1" s="1"/>
  <c r="S1240" i="1" s="1"/>
  <c r="I1239" i="1"/>
  <c r="I1238" i="1"/>
  <c r="J1238" i="1" s="1"/>
  <c r="K1238" i="1" s="1"/>
  <c r="M1238" i="1" s="1"/>
  <c r="S1238" i="1" s="1"/>
  <c r="I1237" i="1"/>
  <c r="I1236" i="1"/>
  <c r="J1236" i="1" s="1"/>
  <c r="K1236" i="1" s="1"/>
  <c r="M1236" i="1" s="1"/>
  <c r="S1236" i="1" s="1"/>
  <c r="I1235" i="1"/>
  <c r="J1235" i="1" s="1"/>
  <c r="I1234" i="1"/>
  <c r="J1234" i="1" s="1"/>
  <c r="K1234" i="1" s="1"/>
  <c r="M1234" i="1" s="1"/>
  <c r="S1234" i="1" s="1"/>
  <c r="U1234" i="1" s="1"/>
  <c r="I1233" i="1"/>
  <c r="J1233" i="1" s="1"/>
  <c r="I1232" i="1"/>
  <c r="J1232" i="1" s="1"/>
  <c r="K1232" i="1" s="1"/>
  <c r="M1232" i="1" s="1"/>
  <c r="S1232" i="1" s="1"/>
  <c r="I1231" i="1"/>
  <c r="I1230" i="1"/>
  <c r="J1230" i="1" s="1"/>
  <c r="K1230" i="1" s="1"/>
  <c r="M1230" i="1" s="1"/>
  <c r="S1230" i="1" s="1"/>
  <c r="I1229" i="1"/>
  <c r="I1228" i="1"/>
  <c r="J1228" i="1" s="1"/>
  <c r="K1228" i="1" s="1"/>
  <c r="M1228" i="1" s="1"/>
  <c r="S1228" i="1" s="1"/>
  <c r="U1228" i="1" s="1"/>
  <c r="I1227" i="1"/>
  <c r="J1227" i="1" s="1"/>
  <c r="I1226" i="1"/>
  <c r="J1226" i="1" s="1"/>
  <c r="K1226" i="1" s="1"/>
  <c r="M1226" i="1" s="1"/>
  <c r="S1226" i="1" s="1"/>
  <c r="V1226" i="1" s="1"/>
  <c r="I1225" i="1"/>
  <c r="I1224" i="1"/>
  <c r="J1224" i="1" s="1"/>
  <c r="K1224" i="1" s="1"/>
  <c r="M1224" i="1" s="1"/>
  <c r="S1224" i="1" s="1"/>
  <c r="I1223" i="1"/>
  <c r="J1223" i="1" s="1"/>
  <c r="I1222" i="1"/>
  <c r="J1222" i="1" s="1"/>
  <c r="K1222" i="1" s="1"/>
  <c r="M1222" i="1" s="1"/>
  <c r="S1222" i="1" s="1"/>
  <c r="I1221" i="1"/>
  <c r="I1220" i="1"/>
  <c r="J1220" i="1" s="1"/>
  <c r="K1220" i="1" s="1"/>
  <c r="M1220" i="1" s="1"/>
  <c r="S1220" i="1" s="1"/>
  <c r="I1219" i="1"/>
  <c r="J1219" i="1" s="1"/>
  <c r="I1218" i="1"/>
  <c r="J1218" i="1" s="1"/>
  <c r="K1218" i="1" s="1"/>
  <c r="M1218" i="1" s="1"/>
  <c r="S1218" i="1" s="1"/>
  <c r="U1218" i="1" s="1"/>
  <c r="I1217" i="1"/>
  <c r="J1217" i="1" s="1"/>
  <c r="I1216" i="1"/>
  <c r="J1216" i="1" s="1"/>
  <c r="K1216" i="1" s="1"/>
  <c r="M1216" i="1" s="1"/>
  <c r="S1216" i="1" s="1"/>
  <c r="I1215" i="1"/>
  <c r="I1214" i="1"/>
  <c r="J1214" i="1" s="1"/>
  <c r="K1214" i="1" s="1"/>
  <c r="M1214" i="1" s="1"/>
  <c r="S1214" i="1" s="1"/>
  <c r="I1213" i="1"/>
  <c r="J1213" i="1" s="1"/>
  <c r="K1213" i="1" s="1"/>
  <c r="M1213" i="1" s="1"/>
  <c r="S1213" i="1" s="1"/>
  <c r="U1213" i="1" s="1"/>
  <c r="I1212" i="1"/>
  <c r="J1212" i="1" s="1"/>
  <c r="K1212" i="1" s="1"/>
  <c r="M1212" i="1" s="1"/>
  <c r="S1212" i="1" s="1"/>
  <c r="U1212" i="1" s="1"/>
  <c r="I1211" i="1"/>
  <c r="J1211" i="1" s="1"/>
  <c r="K1211" i="1" s="1"/>
  <c r="M1211" i="1" s="1"/>
  <c r="S1211" i="1" s="1"/>
  <c r="I1210" i="1"/>
  <c r="J1210" i="1" s="1"/>
  <c r="K1210" i="1" s="1"/>
  <c r="M1210" i="1" s="1"/>
  <c r="S1210" i="1" s="1"/>
  <c r="I1209" i="1"/>
  <c r="J1209" i="1" s="1"/>
  <c r="K1209" i="1" s="1"/>
  <c r="M1209" i="1" s="1"/>
  <c r="S1209" i="1" s="1"/>
  <c r="I1208" i="1"/>
  <c r="J1208" i="1" s="1"/>
  <c r="K1208" i="1" s="1"/>
  <c r="M1208" i="1" s="1"/>
  <c r="S1208" i="1" s="1"/>
  <c r="I1207" i="1"/>
  <c r="J1207" i="1" s="1"/>
  <c r="K1207" i="1" s="1"/>
  <c r="M1207" i="1" s="1"/>
  <c r="S1207" i="1" s="1"/>
  <c r="I1206" i="1"/>
  <c r="I1205" i="1"/>
  <c r="J1205" i="1" s="1"/>
  <c r="K1205" i="1" s="1"/>
  <c r="M1205" i="1" s="1"/>
  <c r="S1205" i="1" s="1"/>
  <c r="U1205" i="1" s="1"/>
  <c r="I1204" i="1"/>
  <c r="I1203" i="1"/>
  <c r="J1203" i="1" s="1"/>
  <c r="K1203" i="1" s="1"/>
  <c r="M1203" i="1" s="1"/>
  <c r="S1203" i="1" s="1"/>
  <c r="I1202" i="1"/>
  <c r="J1202" i="1" s="1"/>
  <c r="K1202" i="1" s="1"/>
  <c r="M1202" i="1" s="1"/>
  <c r="S1202" i="1" s="1"/>
  <c r="U1202" i="1" s="1"/>
  <c r="I1201" i="1"/>
  <c r="I1200" i="1"/>
  <c r="J1200" i="1" s="1"/>
  <c r="K1200" i="1" s="1"/>
  <c r="M1200" i="1" s="1"/>
  <c r="S1200" i="1" s="1"/>
  <c r="I1199" i="1"/>
  <c r="I1198" i="1"/>
  <c r="I1197" i="1"/>
  <c r="J1197" i="1" s="1"/>
  <c r="I1196" i="1"/>
  <c r="J1196" i="1" s="1"/>
  <c r="K1196" i="1" s="1"/>
  <c r="M1196" i="1" s="1"/>
  <c r="S1196" i="1" s="1"/>
  <c r="U1196" i="1" s="1"/>
  <c r="I1195" i="1"/>
  <c r="I1194" i="1"/>
  <c r="J1194" i="1" s="1"/>
  <c r="I1193" i="1"/>
  <c r="I1192" i="1"/>
  <c r="J1192" i="1" s="1"/>
  <c r="I1191" i="1"/>
  <c r="I1190" i="1"/>
  <c r="I1189" i="1"/>
  <c r="J1189" i="1" s="1"/>
  <c r="I1188" i="1"/>
  <c r="I1187" i="1"/>
  <c r="J1187" i="1" s="1"/>
  <c r="K1187" i="1" s="1"/>
  <c r="M1187" i="1" s="1"/>
  <c r="S1187" i="1" s="1"/>
  <c r="I1186" i="1"/>
  <c r="J1186" i="1" s="1"/>
  <c r="K1186" i="1" s="1"/>
  <c r="M1186" i="1" s="1"/>
  <c r="S1186" i="1" s="1"/>
  <c r="U1186" i="1" s="1"/>
  <c r="I1185" i="1"/>
  <c r="J1185" i="1" s="1"/>
  <c r="I1184" i="1"/>
  <c r="I1183" i="1"/>
  <c r="I1182" i="1"/>
  <c r="I1181" i="1"/>
  <c r="I1180" i="1"/>
  <c r="J1180" i="1" s="1"/>
  <c r="I1179" i="1"/>
  <c r="J1179" i="1" s="1"/>
  <c r="I1178" i="1"/>
  <c r="J1178" i="1" s="1"/>
  <c r="K1178" i="1" s="1"/>
  <c r="M1178" i="1" s="1"/>
  <c r="S1178" i="1" s="1"/>
  <c r="U1178" i="1" s="1"/>
  <c r="I1177" i="1"/>
  <c r="J1177" i="1" s="1"/>
  <c r="I1176" i="1"/>
  <c r="I1175" i="1"/>
  <c r="I1174" i="1"/>
  <c r="I1173" i="1"/>
  <c r="J1173" i="1" s="1"/>
  <c r="I1172" i="1"/>
  <c r="I1171" i="1"/>
  <c r="I1170" i="1"/>
  <c r="I1169" i="1"/>
  <c r="I1168" i="1"/>
  <c r="J1168" i="1" s="1"/>
  <c r="K1168" i="1" s="1"/>
  <c r="M1168" i="1" s="1"/>
  <c r="S1168" i="1" s="1"/>
  <c r="I1167" i="1"/>
  <c r="J1167" i="1" s="1"/>
  <c r="I1166" i="1"/>
  <c r="I1165" i="1"/>
  <c r="J1165" i="1" s="1"/>
  <c r="I1164" i="1"/>
  <c r="I1163" i="1"/>
  <c r="I1162" i="1"/>
  <c r="I1161" i="1"/>
  <c r="J1161" i="1" s="1"/>
  <c r="I1160" i="1"/>
  <c r="I1159" i="1"/>
  <c r="J1159" i="1" s="1"/>
  <c r="K1159" i="1" s="1"/>
  <c r="M1159" i="1" s="1"/>
  <c r="S1159" i="1" s="1"/>
  <c r="I1158" i="1"/>
  <c r="J1158" i="1" s="1"/>
  <c r="I1157" i="1"/>
  <c r="J1157" i="1" s="1"/>
  <c r="K1157" i="1" s="1"/>
  <c r="M1157" i="1" s="1"/>
  <c r="S1157" i="1" s="1"/>
  <c r="U1157" i="1" s="1"/>
  <c r="I1156" i="1"/>
  <c r="J1156" i="1" s="1"/>
  <c r="K1156" i="1" s="1"/>
  <c r="M1156" i="1" s="1"/>
  <c r="S1156" i="1" s="1"/>
  <c r="I1155" i="1"/>
  <c r="J1155" i="1" s="1"/>
  <c r="I1154" i="1"/>
  <c r="I1153" i="1"/>
  <c r="J1153" i="1" s="1"/>
  <c r="I1152" i="1"/>
  <c r="I1151" i="1"/>
  <c r="I1150" i="1"/>
  <c r="I1149" i="1"/>
  <c r="J1149" i="1" s="1"/>
  <c r="I1148" i="1"/>
  <c r="I1147" i="1"/>
  <c r="J1147" i="1" s="1"/>
  <c r="I1146" i="1"/>
  <c r="I1145" i="1"/>
  <c r="I1144" i="1"/>
  <c r="I1143" i="1"/>
  <c r="J1143" i="1" s="1"/>
  <c r="K1143" i="1" s="1"/>
  <c r="M1143" i="1" s="1"/>
  <c r="S1143" i="1" s="1"/>
  <c r="I1142" i="1"/>
  <c r="I1141" i="1"/>
  <c r="J1141" i="1" s="1"/>
  <c r="I1140" i="1"/>
  <c r="J1140" i="1" s="1"/>
  <c r="K1140" i="1" s="1"/>
  <c r="M1140" i="1" s="1"/>
  <c r="S1140" i="1" s="1"/>
  <c r="U1140" i="1" s="1"/>
  <c r="I1139" i="1"/>
  <c r="I1138" i="1"/>
  <c r="J1138" i="1" s="1"/>
  <c r="K1138" i="1" s="1"/>
  <c r="M1138" i="1" s="1"/>
  <c r="S1138" i="1" s="1"/>
  <c r="U1138" i="1" s="1"/>
  <c r="I1137" i="1"/>
  <c r="J1137" i="1" s="1"/>
  <c r="I1136" i="1"/>
  <c r="I1135" i="1"/>
  <c r="J1135" i="1" s="1"/>
  <c r="I1134" i="1"/>
  <c r="J1134" i="1" s="1"/>
  <c r="K1134" i="1" s="1"/>
  <c r="M1134" i="1" s="1"/>
  <c r="S1134" i="1" s="1"/>
  <c r="I1133" i="1"/>
  <c r="I1132" i="1"/>
  <c r="I1131" i="1"/>
  <c r="J1131" i="1" s="1"/>
  <c r="I1130" i="1"/>
  <c r="I1129" i="1"/>
  <c r="J1129" i="1" s="1"/>
  <c r="I1128" i="1"/>
  <c r="J1128" i="1" s="1"/>
  <c r="K1128" i="1" s="1"/>
  <c r="M1128" i="1" s="1"/>
  <c r="S1128" i="1" s="1"/>
  <c r="I1127" i="1"/>
  <c r="I1126" i="1"/>
  <c r="I1125" i="1"/>
  <c r="I1124" i="1"/>
  <c r="I1123" i="1"/>
  <c r="J1123" i="1" s="1"/>
  <c r="K1123" i="1" s="1"/>
  <c r="M1123" i="1" s="1"/>
  <c r="S1123" i="1" s="1"/>
  <c r="I1122" i="1"/>
  <c r="J1122" i="1" s="1"/>
  <c r="K1122" i="1" s="1"/>
  <c r="M1122" i="1" s="1"/>
  <c r="S1122" i="1" s="1"/>
  <c r="U1122" i="1" s="1"/>
  <c r="I1121" i="1"/>
  <c r="J1121" i="1" s="1"/>
  <c r="K1121" i="1" s="1"/>
  <c r="M1121" i="1" s="1"/>
  <c r="S1121" i="1" s="1"/>
  <c r="I1120" i="1"/>
  <c r="I1119" i="1"/>
  <c r="I1118" i="1"/>
  <c r="I1117" i="1"/>
  <c r="J1117" i="1" s="1"/>
  <c r="I1116" i="1"/>
  <c r="J1116" i="1" s="1"/>
  <c r="K1116" i="1" s="1"/>
  <c r="M1116" i="1" s="1"/>
  <c r="S1116" i="1" s="1"/>
  <c r="U1116" i="1" s="1"/>
  <c r="I1115" i="1"/>
  <c r="I1114" i="1"/>
  <c r="J1114" i="1" s="1"/>
  <c r="K1114" i="1" s="1"/>
  <c r="M1114" i="1" s="1"/>
  <c r="S1114" i="1" s="1"/>
  <c r="I1113" i="1"/>
  <c r="I1112" i="1"/>
  <c r="I1111" i="1"/>
  <c r="J1111" i="1" s="1"/>
  <c r="I1110" i="1"/>
  <c r="I1109" i="1"/>
  <c r="I1108" i="1"/>
  <c r="I1107" i="1"/>
  <c r="I1106" i="1"/>
  <c r="I1105" i="1"/>
  <c r="J1105" i="1" s="1"/>
  <c r="I1104" i="1"/>
  <c r="I1103" i="1"/>
  <c r="J1103" i="1" s="1"/>
  <c r="I1102" i="1"/>
  <c r="I1101" i="1"/>
  <c r="I1100" i="1"/>
  <c r="I1099" i="1"/>
  <c r="J1099" i="1" s="1"/>
  <c r="I1098" i="1"/>
  <c r="I1097" i="1"/>
  <c r="J1097" i="1" s="1"/>
  <c r="I1096" i="1"/>
  <c r="J1096" i="1" s="1"/>
  <c r="I1095" i="1"/>
  <c r="I1094" i="1"/>
  <c r="J1094" i="1" s="1"/>
  <c r="K1094" i="1" s="1"/>
  <c r="M1094" i="1" s="1"/>
  <c r="S1094" i="1" s="1"/>
  <c r="I1093" i="1"/>
  <c r="J1093" i="1" s="1"/>
  <c r="I1092" i="1"/>
  <c r="I1091" i="1"/>
  <c r="J1091" i="1" s="1"/>
  <c r="I1090" i="1"/>
  <c r="I1089" i="1"/>
  <c r="I1088" i="1"/>
  <c r="I1087" i="1"/>
  <c r="I1086" i="1"/>
  <c r="I1085" i="1"/>
  <c r="J1085" i="1" s="1"/>
  <c r="I1084" i="1"/>
  <c r="J1084" i="1" s="1"/>
  <c r="K1084" i="1" s="1"/>
  <c r="M1084" i="1" s="1"/>
  <c r="S1084" i="1" s="1"/>
  <c r="U1084" i="1" s="1"/>
  <c r="I1083" i="1"/>
  <c r="I1082" i="1"/>
  <c r="I1081" i="1"/>
  <c r="J1081" i="1" s="1"/>
  <c r="I1080" i="1"/>
  <c r="I1079" i="1"/>
  <c r="J1079" i="1" s="1"/>
  <c r="I1078" i="1"/>
  <c r="I1077" i="1"/>
  <c r="J1077" i="1" s="1"/>
  <c r="I1076" i="1"/>
  <c r="I1075" i="1"/>
  <c r="I1074" i="1"/>
  <c r="I1073" i="1"/>
  <c r="J1073" i="1" s="1"/>
  <c r="I1072" i="1"/>
  <c r="I1071" i="1"/>
  <c r="J1071" i="1" s="1"/>
  <c r="I1070" i="1"/>
  <c r="I1069" i="1"/>
  <c r="I1068" i="1"/>
  <c r="J1068" i="1" s="1"/>
  <c r="K1068" i="1" s="1"/>
  <c r="M1068" i="1" s="1"/>
  <c r="S1068" i="1" s="1"/>
  <c r="U1068" i="1" s="1"/>
  <c r="I1067" i="1"/>
  <c r="J1067" i="1" s="1"/>
  <c r="I1066" i="1"/>
  <c r="I1065" i="1"/>
  <c r="J1065" i="1" s="1"/>
  <c r="I1064" i="1"/>
  <c r="J1064" i="1" s="1"/>
  <c r="I1063" i="1"/>
  <c r="I1062" i="1"/>
  <c r="J1062" i="1" s="1"/>
  <c r="I1061" i="1"/>
  <c r="J1061" i="1" s="1"/>
  <c r="I1060" i="1"/>
  <c r="I1059" i="1"/>
  <c r="J1059" i="1" s="1"/>
  <c r="I1058" i="1"/>
  <c r="I1057" i="1"/>
  <c r="I1056" i="1"/>
  <c r="I1055" i="1"/>
  <c r="J1055" i="1" s="1"/>
  <c r="I1054" i="1"/>
  <c r="J1054" i="1" s="1"/>
  <c r="I1053" i="1"/>
  <c r="I1052" i="1"/>
  <c r="I1051" i="1"/>
  <c r="J1051" i="1" s="1"/>
  <c r="I1050" i="1"/>
  <c r="J1050" i="1" s="1"/>
  <c r="K1050" i="1" s="1"/>
  <c r="M1050" i="1" s="1"/>
  <c r="S1050" i="1" s="1"/>
  <c r="V1050" i="1" s="1"/>
  <c r="I1049" i="1"/>
  <c r="J1049" i="1" s="1"/>
  <c r="I1048" i="1"/>
  <c r="I1047" i="1"/>
  <c r="J1047" i="1" s="1"/>
  <c r="I1046" i="1"/>
  <c r="I1045" i="1"/>
  <c r="J1045" i="1" s="1"/>
  <c r="K1045" i="1" s="1"/>
  <c r="M1045" i="1" s="1"/>
  <c r="S1045" i="1" s="1"/>
  <c r="U1045" i="1" s="1"/>
  <c r="I1044" i="1"/>
  <c r="J1044" i="1" s="1"/>
  <c r="K1044" i="1" s="1"/>
  <c r="M1044" i="1" s="1"/>
  <c r="S1044" i="1" s="1"/>
  <c r="I1043" i="1"/>
  <c r="I1042" i="1"/>
  <c r="J1042" i="1" s="1"/>
  <c r="K1042" i="1" s="1"/>
  <c r="M1042" i="1" s="1"/>
  <c r="S1042" i="1" s="1"/>
  <c r="U1042" i="1" s="1"/>
  <c r="I1041" i="1"/>
  <c r="I1040" i="1"/>
  <c r="J1040" i="1" s="1"/>
  <c r="K1040" i="1" s="1"/>
  <c r="M1040" i="1" s="1"/>
  <c r="S1040" i="1" s="1"/>
  <c r="I1039" i="1"/>
  <c r="I1038" i="1"/>
  <c r="J1038" i="1" s="1"/>
  <c r="K1038" i="1" s="1"/>
  <c r="M1038" i="1" s="1"/>
  <c r="S1038" i="1" s="1"/>
  <c r="I1037" i="1"/>
  <c r="I1036" i="1"/>
  <c r="J1036" i="1" s="1"/>
  <c r="K1036" i="1" s="1"/>
  <c r="M1036" i="1" s="1"/>
  <c r="S1036" i="1" s="1"/>
  <c r="U1036" i="1" s="1"/>
  <c r="I1035" i="1"/>
  <c r="I1034" i="1"/>
  <c r="J1034" i="1" s="1"/>
  <c r="K1034" i="1" s="1"/>
  <c r="M1034" i="1" s="1"/>
  <c r="S1034" i="1" s="1"/>
  <c r="I1033" i="1"/>
  <c r="I1032" i="1"/>
  <c r="J1032" i="1" s="1"/>
  <c r="K1032" i="1" s="1"/>
  <c r="M1032" i="1" s="1"/>
  <c r="S1032" i="1" s="1"/>
  <c r="I1031" i="1"/>
  <c r="I1030" i="1"/>
  <c r="J1030" i="1" s="1"/>
  <c r="K1030" i="1" s="1"/>
  <c r="M1030" i="1" s="1"/>
  <c r="S1030" i="1" s="1"/>
  <c r="I1029" i="1"/>
  <c r="I1028" i="1"/>
  <c r="J1028" i="1" s="1"/>
  <c r="K1028" i="1" s="1"/>
  <c r="M1028" i="1" s="1"/>
  <c r="S1028" i="1" s="1"/>
  <c r="I1027" i="1"/>
  <c r="I1026" i="1"/>
  <c r="J1026" i="1" s="1"/>
  <c r="K1026" i="1" s="1"/>
  <c r="M1026" i="1" s="1"/>
  <c r="S1026" i="1" s="1"/>
  <c r="U1026" i="1" s="1"/>
  <c r="I1025" i="1"/>
  <c r="I1024" i="1"/>
  <c r="J1024" i="1" s="1"/>
  <c r="K1024" i="1" s="1"/>
  <c r="M1024" i="1" s="1"/>
  <c r="S1024" i="1" s="1"/>
  <c r="I1023" i="1"/>
  <c r="I1022" i="1"/>
  <c r="J1022" i="1" s="1"/>
  <c r="K1022" i="1" s="1"/>
  <c r="M1022" i="1" s="1"/>
  <c r="S1022" i="1" s="1"/>
  <c r="I1021" i="1"/>
  <c r="I1020" i="1"/>
  <c r="J1020" i="1" s="1"/>
  <c r="K1020" i="1" s="1"/>
  <c r="M1020" i="1" s="1"/>
  <c r="S1020" i="1" s="1"/>
  <c r="U1020" i="1" s="1"/>
  <c r="I1019" i="1"/>
  <c r="I1018" i="1"/>
  <c r="J1018" i="1" s="1"/>
  <c r="K1018" i="1" s="1"/>
  <c r="M1018" i="1" s="1"/>
  <c r="S1018" i="1" s="1"/>
  <c r="I1017" i="1"/>
  <c r="I1016" i="1"/>
  <c r="J1016" i="1" s="1"/>
  <c r="K1016" i="1" s="1"/>
  <c r="M1016" i="1" s="1"/>
  <c r="S1016" i="1" s="1"/>
  <c r="W1016" i="1" s="1"/>
  <c r="I1015" i="1"/>
  <c r="I1014" i="1"/>
  <c r="J1014" i="1" s="1"/>
  <c r="K1014" i="1" s="1"/>
  <c r="M1014" i="1" s="1"/>
  <c r="S1014" i="1" s="1"/>
  <c r="I1013" i="1"/>
  <c r="I1012" i="1"/>
  <c r="J1012" i="1" s="1"/>
  <c r="K1012" i="1" s="1"/>
  <c r="M1012" i="1" s="1"/>
  <c r="S1012" i="1" s="1"/>
  <c r="U1012" i="1" s="1"/>
  <c r="I1011" i="1"/>
  <c r="I1010" i="1"/>
  <c r="J1010" i="1" s="1"/>
  <c r="I1009" i="1"/>
  <c r="I1008" i="1"/>
  <c r="J1008" i="1" s="1"/>
  <c r="I1007" i="1"/>
  <c r="I1006" i="1"/>
  <c r="I1005" i="1"/>
  <c r="I1004" i="1"/>
  <c r="I1003" i="1"/>
  <c r="I1002" i="1"/>
  <c r="I1001" i="1"/>
  <c r="I1000" i="1"/>
  <c r="J1000" i="1" s="1"/>
  <c r="I999" i="1"/>
  <c r="I998" i="1"/>
  <c r="J998" i="1" s="1"/>
  <c r="I997" i="1"/>
  <c r="I996" i="1"/>
  <c r="I995" i="1"/>
  <c r="I994" i="1"/>
  <c r="J994" i="1" s="1"/>
  <c r="I993" i="1"/>
  <c r="I992" i="1"/>
  <c r="I991" i="1"/>
  <c r="I990" i="1"/>
  <c r="J990" i="1" s="1"/>
  <c r="I989" i="1"/>
  <c r="I988" i="1"/>
  <c r="J988" i="1" s="1"/>
  <c r="I987" i="1"/>
  <c r="I986" i="1"/>
  <c r="J986" i="1" s="1"/>
  <c r="I985" i="1"/>
  <c r="I984" i="1"/>
  <c r="J984" i="1" s="1"/>
  <c r="I983" i="1"/>
  <c r="I982" i="1"/>
  <c r="I981" i="1"/>
  <c r="I980" i="1"/>
  <c r="I979" i="1"/>
  <c r="I978" i="1"/>
  <c r="I977" i="1"/>
  <c r="I976" i="1"/>
  <c r="J976" i="1" s="1"/>
  <c r="I975" i="1"/>
  <c r="I974" i="1"/>
  <c r="J974" i="1" s="1"/>
  <c r="I973" i="1"/>
  <c r="I972" i="1"/>
  <c r="I971" i="1"/>
  <c r="I970" i="1"/>
  <c r="J970" i="1" s="1"/>
  <c r="I969" i="1"/>
  <c r="I968" i="1"/>
  <c r="I967" i="1"/>
  <c r="I966" i="1"/>
  <c r="I965" i="1"/>
  <c r="I964" i="1"/>
  <c r="J964" i="1" s="1"/>
  <c r="I963" i="1"/>
  <c r="I962" i="1"/>
  <c r="J962" i="1" s="1"/>
  <c r="I961" i="1"/>
  <c r="I960" i="1"/>
  <c r="J960" i="1" s="1"/>
  <c r="I959" i="1"/>
  <c r="I958" i="1"/>
  <c r="I957" i="1"/>
  <c r="I956" i="1"/>
  <c r="J956" i="1" s="1"/>
  <c r="I955" i="1"/>
  <c r="I954" i="1"/>
  <c r="I953" i="1"/>
  <c r="I952" i="1"/>
  <c r="I951" i="1"/>
  <c r="I950" i="1"/>
  <c r="I949" i="1"/>
  <c r="I948" i="1"/>
  <c r="I947" i="1"/>
  <c r="I946" i="1"/>
  <c r="J946" i="1" s="1"/>
  <c r="I945" i="1"/>
  <c r="I944" i="1"/>
  <c r="I943" i="1"/>
  <c r="I942" i="1"/>
  <c r="I941" i="1"/>
  <c r="I940" i="1"/>
  <c r="I939" i="1"/>
  <c r="I938" i="1"/>
  <c r="I937" i="1"/>
  <c r="I936" i="1"/>
  <c r="I935" i="1"/>
  <c r="I934" i="1"/>
  <c r="J934" i="1" s="1"/>
  <c r="I933" i="1"/>
  <c r="I932" i="1"/>
  <c r="J932" i="1" s="1"/>
  <c r="I931" i="1"/>
  <c r="I930" i="1"/>
  <c r="I929" i="1"/>
  <c r="I928" i="1"/>
  <c r="I927" i="1"/>
  <c r="I926" i="1"/>
  <c r="I925" i="1"/>
  <c r="I924" i="1"/>
  <c r="J924" i="1" s="1"/>
  <c r="I923" i="1"/>
  <c r="I922" i="1"/>
  <c r="I921" i="1"/>
  <c r="I920" i="1"/>
  <c r="I919" i="1"/>
  <c r="I918" i="1"/>
  <c r="J918" i="1" s="1"/>
  <c r="I917" i="1"/>
  <c r="I916" i="1"/>
  <c r="I915" i="1"/>
  <c r="I914" i="1"/>
  <c r="I913" i="1"/>
  <c r="I912" i="1"/>
  <c r="I911" i="1"/>
  <c r="I910" i="1"/>
  <c r="I909" i="1"/>
  <c r="I908" i="1"/>
  <c r="J908" i="1" s="1"/>
  <c r="I907" i="1"/>
  <c r="I906" i="1"/>
  <c r="J906" i="1" s="1"/>
  <c r="I905" i="1"/>
  <c r="I904" i="1"/>
  <c r="J904" i="1" s="1"/>
  <c r="I903" i="1"/>
  <c r="I902" i="1"/>
  <c r="I901" i="1"/>
  <c r="I900" i="1"/>
  <c r="J900" i="1" s="1"/>
  <c r="I899" i="1"/>
  <c r="I898" i="1"/>
  <c r="J898" i="1" s="1"/>
  <c r="I897" i="1"/>
  <c r="I896" i="1"/>
  <c r="J896" i="1" s="1"/>
  <c r="I895" i="1"/>
  <c r="I894" i="1"/>
  <c r="J894" i="1" s="1"/>
  <c r="I893" i="1"/>
  <c r="I892" i="1"/>
  <c r="I891" i="1"/>
  <c r="I890" i="1"/>
  <c r="J890" i="1" s="1"/>
  <c r="I889" i="1"/>
  <c r="I888" i="1"/>
  <c r="I887" i="1"/>
  <c r="I886" i="1"/>
  <c r="J886" i="1" s="1"/>
  <c r="I885" i="1"/>
  <c r="I884" i="1"/>
  <c r="J884" i="1" s="1"/>
  <c r="I883" i="1"/>
  <c r="I882" i="1"/>
  <c r="I881" i="1"/>
  <c r="I880" i="1"/>
  <c r="J880" i="1" s="1"/>
  <c r="I879" i="1"/>
  <c r="I878" i="1"/>
  <c r="I877" i="1"/>
  <c r="I876" i="1"/>
  <c r="I875" i="1"/>
  <c r="I874" i="1"/>
  <c r="I873" i="1"/>
  <c r="I872" i="1"/>
  <c r="J872" i="1" s="1"/>
  <c r="I871" i="1"/>
  <c r="I870" i="1"/>
  <c r="J870" i="1" s="1"/>
  <c r="I869" i="1"/>
  <c r="I868" i="1"/>
  <c r="I867" i="1"/>
  <c r="I866" i="1"/>
  <c r="J866" i="1" s="1"/>
  <c r="I865" i="1"/>
  <c r="I864" i="1"/>
  <c r="I863" i="1"/>
  <c r="I862" i="1"/>
  <c r="J862" i="1" s="1"/>
  <c r="I861" i="1"/>
  <c r="I860" i="1"/>
  <c r="J860" i="1" s="1"/>
  <c r="I859" i="1"/>
  <c r="I858" i="1"/>
  <c r="J858" i="1" s="1"/>
  <c r="I857" i="1"/>
  <c r="I856" i="1"/>
  <c r="J856" i="1" s="1"/>
  <c r="I855" i="1"/>
  <c r="I854" i="1"/>
  <c r="I853" i="1"/>
  <c r="I852" i="1"/>
  <c r="J852" i="1" s="1"/>
  <c r="I851" i="1"/>
  <c r="I850" i="1"/>
  <c r="I849" i="1"/>
  <c r="I848" i="1"/>
  <c r="J848" i="1" s="1"/>
  <c r="I847" i="1"/>
  <c r="I846" i="1"/>
  <c r="J846" i="1" s="1"/>
  <c r="I845" i="1"/>
  <c r="I844" i="1"/>
  <c r="J844" i="1" s="1"/>
  <c r="I843" i="1"/>
  <c r="I842" i="1"/>
  <c r="J842" i="1" s="1"/>
  <c r="I841" i="1"/>
  <c r="I840" i="1"/>
  <c r="I839" i="1"/>
  <c r="I838" i="1"/>
  <c r="I837" i="1"/>
  <c r="I836" i="1"/>
  <c r="J836" i="1" s="1"/>
  <c r="I835" i="1"/>
  <c r="I834" i="1"/>
  <c r="J834" i="1" s="1"/>
  <c r="I833" i="1"/>
  <c r="I832" i="1"/>
  <c r="J832" i="1" s="1"/>
  <c r="I831" i="1"/>
  <c r="I830" i="1"/>
  <c r="I829" i="1"/>
  <c r="I828" i="1"/>
  <c r="J828" i="1" s="1"/>
  <c r="I827" i="1"/>
  <c r="I826" i="1"/>
  <c r="I825" i="1"/>
  <c r="I824" i="1"/>
  <c r="I823" i="1"/>
  <c r="I822" i="1"/>
  <c r="J822" i="1" s="1"/>
  <c r="I821" i="1"/>
  <c r="I820" i="1"/>
  <c r="J820" i="1" s="1"/>
  <c r="I819" i="1"/>
  <c r="I818" i="1"/>
  <c r="J818" i="1" s="1"/>
  <c r="I817" i="1"/>
  <c r="I816" i="1"/>
  <c r="I815" i="1"/>
  <c r="I814" i="1"/>
  <c r="J814" i="1" s="1"/>
  <c r="I813" i="1"/>
  <c r="I812" i="1"/>
  <c r="I811" i="1"/>
  <c r="I810" i="1"/>
  <c r="I809" i="1"/>
  <c r="I808" i="1"/>
  <c r="J808" i="1" s="1"/>
  <c r="I807" i="1"/>
  <c r="I806" i="1"/>
  <c r="I805" i="1"/>
  <c r="I804" i="1"/>
  <c r="J804" i="1" s="1"/>
  <c r="I803" i="1"/>
  <c r="I802" i="1"/>
  <c r="I801" i="1"/>
  <c r="I800" i="1"/>
  <c r="I799" i="1"/>
  <c r="I798" i="1"/>
  <c r="I797" i="1"/>
  <c r="I796" i="1"/>
  <c r="J796" i="1" s="1"/>
  <c r="I795" i="1"/>
  <c r="I794" i="1"/>
  <c r="I793" i="1"/>
  <c r="I792" i="1"/>
  <c r="I791" i="1"/>
  <c r="I790" i="1"/>
  <c r="I789" i="1"/>
  <c r="I788" i="1"/>
  <c r="I787" i="1"/>
  <c r="I786" i="1"/>
  <c r="I785" i="1"/>
  <c r="I784" i="1"/>
  <c r="I783" i="1"/>
  <c r="I782" i="1"/>
  <c r="J782" i="1" s="1"/>
  <c r="I781" i="1"/>
  <c r="I780" i="1"/>
  <c r="J780" i="1" s="1"/>
  <c r="I779" i="1"/>
  <c r="I778" i="1"/>
  <c r="I777" i="1"/>
  <c r="I776" i="1"/>
  <c r="I775" i="1"/>
  <c r="I774" i="1"/>
  <c r="I773" i="1"/>
  <c r="I772" i="1"/>
  <c r="J772" i="1" s="1"/>
  <c r="I771" i="1"/>
  <c r="I770" i="1"/>
  <c r="J770" i="1" s="1"/>
  <c r="I769" i="1"/>
  <c r="I768" i="1"/>
  <c r="J768" i="1" s="1"/>
  <c r="I767" i="1"/>
  <c r="I766" i="1"/>
  <c r="I765" i="1"/>
  <c r="I764" i="1"/>
  <c r="J764" i="1" s="1"/>
  <c r="I763" i="1"/>
  <c r="I762" i="1"/>
  <c r="J762" i="1" s="1"/>
  <c r="I761" i="1"/>
  <c r="I760" i="1"/>
  <c r="I759" i="1"/>
  <c r="I758" i="1"/>
  <c r="I757" i="1"/>
  <c r="J757" i="1" s="1"/>
  <c r="I756" i="1"/>
  <c r="J756" i="1" s="1"/>
  <c r="I755" i="1"/>
  <c r="J755" i="1" s="1"/>
  <c r="K755" i="1" s="1"/>
  <c r="M755" i="1" s="1"/>
  <c r="S755" i="1" s="1"/>
  <c r="I754" i="1"/>
  <c r="J754" i="1" s="1"/>
  <c r="I753" i="1"/>
  <c r="J753" i="1" s="1"/>
  <c r="K753" i="1" s="1"/>
  <c r="M753" i="1" s="1"/>
  <c r="S753" i="1" s="1"/>
  <c r="I752" i="1"/>
  <c r="J752" i="1" s="1"/>
  <c r="I751" i="1"/>
  <c r="J751" i="1" s="1"/>
  <c r="K751" i="1" s="1"/>
  <c r="M751" i="1" s="1"/>
  <c r="S751" i="1" s="1"/>
  <c r="I750" i="1"/>
  <c r="J750" i="1" s="1"/>
  <c r="I749" i="1"/>
  <c r="J749" i="1" s="1"/>
  <c r="K749" i="1" s="1"/>
  <c r="M749" i="1" s="1"/>
  <c r="S749" i="1" s="1"/>
  <c r="I748" i="1"/>
  <c r="J748" i="1" s="1"/>
  <c r="I747" i="1"/>
  <c r="J747" i="1" s="1"/>
  <c r="K747" i="1" s="1"/>
  <c r="M747" i="1" s="1"/>
  <c r="S747" i="1" s="1"/>
  <c r="V747" i="1" s="1"/>
  <c r="I746" i="1"/>
  <c r="J746" i="1" s="1"/>
  <c r="I745" i="1"/>
  <c r="J745" i="1" s="1"/>
  <c r="K745" i="1" s="1"/>
  <c r="M745" i="1" s="1"/>
  <c r="S745" i="1" s="1"/>
  <c r="I744" i="1"/>
  <c r="J744" i="1" s="1"/>
  <c r="I743" i="1"/>
  <c r="J743" i="1" s="1"/>
  <c r="K743" i="1" s="1"/>
  <c r="M743" i="1" s="1"/>
  <c r="S743" i="1" s="1"/>
  <c r="I742" i="1"/>
  <c r="J742" i="1" s="1"/>
  <c r="I741" i="1"/>
  <c r="J741" i="1" s="1"/>
  <c r="K741" i="1" s="1"/>
  <c r="M741" i="1" s="1"/>
  <c r="S741" i="1" s="1"/>
  <c r="I740" i="1"/>
  <c r="J740" i="1" s="1"/>
  <c r="I739" i="1"/>
  <c r="J739" i="1" s="1"/>
  <c r="K739" i="1" s="1"/>
  <c r="M739" i="1" s="1"/>
  <c r="S739" i="1" s="1"/>
  <c r="I738" i="1"/>
  <c r="J738" i="1" s="1"/>
  <c r="I737" i="1"/>
  <c r="J737" i="1" s="1"/>
  <c r="K737" i="1" s="1"/>
  <c r="M737" i="1" s="1"/>
  <c r="S737" i="1" s="1"/>
  <c r="I736" i="1"/>
  <c r="J736" i="1" s="1"/>
  <c r="I735" i="1"/>
  <c r="J735" i="1" s="1"/>
  <c r="K735" i="1" s="1"/>
  <c r="M735" i="1" s="1"/>
  <c r="S735" i="1" s="1"/>
  <c r="I734" i="1"/>
  <c r="J734" i="1" s="1"/>
  <c r="I733" i="1"/>
  <c r="J733" i="1" s="1"/>
  <c r="K733" i="1" s="1"/>
  <c r="M733" i="1" s="1"/>
  <c r="S733" i="1" s="1"/>
  <c r="I732" i="1"/>
  <c r="J732" i="1" s="1"/>
  <c r="I731" i="1"/>
  <c r="J731" i="1" s="1"/>
  <c r="K731" i="1" s="1"/>
  <c r="M731" i="1" s="1"/>
  <c r="S731" i="1" s="1"/>
  <c r="I730" i="1"/>
  <c r="J730" i="1" s="1"/>
  <c r="I729" i="1"/>
  <c r="J729" i="1" s="1"/>
  <c r="K729" i="1" s="1"/>
  <c r="M729" i="1" s="1"/>
  <c r="S729" i="1" s="1"/>
  <c r="I728" i="1"/>
  <c r="J728" i="1" s="1"/>
  <c r="I727" i="1"/>
  <c r="J727" i="1" s="1"/>
  <c r="K727" i="1" s="1"/>
  <c r="M727" i="1" s="1"/>
  <c r="S727" i="1" s="1"/>
  <c r="I726" i="1"/>
  <c r="J726" i="1" s="1"/>
  <c r="I725" i="1"/>
  <c r="J725" i="1" s="1"/>
  <c r="K725" i="1" s="1"/>
  <c r="M725" i="1" s="1"/>
  <c r="S725" i="1" s="1"/>
  <c r="V725" i="1" s="1"/>
  <c r="I724" i="1"/>
  <c r="J724" i="1" s="1"/>
  <c r="I723" i="1"/>
  <c r="J723" i="1" s="1"/>
  <c r="K723" i="1" s="1"/>
  <c r="M723" i="1" s="1"/>
  <c r="S723" i="1" s="1"/>
  <c r="I722" i="1"/>
  <c r="J722" i="1" s="1"/>
  <c r="I721" i="1"/>
  <c r="J721" i="1" s="1"/>
  <c r="K721" i="1" s="1"/>
  <c r="M721" i="1" s="1"/>
  <c r="S721" i="1" s="1"/>
  <c r="I720" i="1"/>
  <c r="J720" i="1" s="1"/>
  <c r="I719" i="1"/>
  <c r="J719" i="1" s="1"/>
  <c r="K719" i="1" s="1"/>
  <c r="M719" i="1" s="1"/>
  <c r="S719" i="1" s="1"/>
  <c r="I718" i="1"/>
  <c r="J718" i="1" s="1"/>
  <c r="I717" i="1"/>
  <c r="J717" i="1" s="1"/>
  <c r="K717" i="1" s="1"/>
  <c r="M717" i="1" s="1"/>
  <c r="S717" i="1" s="1"/>
  <c r="I716" i="1"/>
  <c r="J716" i="1" s="1"/>
  <c r="I715" i="1"/>
  <c r="J715" i="1" s="1"/>
  <c r="K715" i="1" s="1"/>
  <c r="M715" i="1" s="1"/>
  <c r="S715" i="1" s="1"/>
  <c r="V715" i="1" s="1"/>
  <c r="I714" i="1"/>
  <c r="J714" i="1" s="1"/>
  <c r="I713" i="1"/>
  <c r="J713" i="1" s="1"/>
  <c r="K713" i="1" s="1"/>
  <c r="M713" i="1" s="1"/>
  <c r="S713" i="1" s="1"/>
  <c r="I712" i="1"/>
  <c r="J712" i="1" s="1"/>
  <c r="I711" i="1"/>
  <c r="J711" i="1" s="1"/>
  <c r="K711" i="1" s="1"/>
  <c r="M711" i="1" s="1"/>
  <c r="S711" i="1" s="1"/>
  <c r="I710" i="1"/>
  <c r="J710" i="1" s="1"/>
  <c r="I709" i="1"/>
  <c r="J709" i="1" s="1"/>
  <c r="K709" i="1" s="1"/>
  <c r="M709" i="1" s="1"/>
  <c r="S709" i="1" s="1"/>
  <c r="I708" i="1"/>
  <c r="J708" i="1" s="1"/>
  <c r="I707" i="1"/>
  <c r="J707" i="1" s="1"/>
  <c r="K707" i="1" s="1"/>
  <c r="M707" i="1" s="1"/>
  <c r="S707" i="1" s="1"/>
  <c r="I706" i="1"/>
  <c r="J706" i="1" s="1"/>
  <c r="I705" i="1"/>
  <c r="J705" i="1" s="1"/>
  <c r="K705" i="1" s="1"/>
  <c r="M705" i="1" s="1"/>
  <c r="S705" i="1" s="1"/>
  <c r="I704" i="1"/>
  <c r="J704" i="1" s="1"/>
  <c r="I703" i="1"/>
  <c r="J703" i="1" s="1"/>
  <c r="K703" i="1" s="1"/>
  <c r="M703" i="1" s="1"/>
  <c r="S703" i="1" s="1"/>
  <c r="V703" i="1" s="1"/>
  <c r="I702" i="1"/>
  <c r="J702" i="1" s="1"/>
  <c r="I701" i="1"/>
  <c r="J701" i="1" s="1"/>
  <c r="K701" i="1" s="1"/>
  <c r="M701" i="1" s="1"/>
  <c r="S701" i="1" s="1"/>
  <c r="I700" i="1"/>
  <c r="J700" i="1" s="1"/>
  <c r="I699" i="1"/>
  <c r="J699" i="1" s="1"/>
  <c r="K699" i="1" s="1"/>
  <c r="M699" i="1" s="1"/>
  <c r="S699" i="1" s="1"/>
  <c r="I698" i="1"/>
  <c r="J698" i="1" s="1"/>
  <c r="I697" i="1"/>
  <c r="J697" i="1" s="1"/>
  <c r="K697" i="1" s="1"/>
  <c r="M697" i="1" s="1"/>
  <c r="S697" i="1" s="1"/>
  <c r="I696" i="1"/>
  <c r="J696" i="1" s="1"/>
  <c r="I695" i="1"/>
  <c r="J695" i="1" s="1"/>
  <c r="K695" i="1" s="1"/>
  <c r="M695" i="1" s="1"/>
  <c r="S695" i="1" s="1"/>
  <c r="I694" i="1"/>
  <c r="J694" i="1" s="1"/>
  <c r="I693" i="1"/>
  <c r="J693" i="1" s="1"/>
  <c r="K693" i="1" s="1"/>
  <c r="M693" i="1" s="1"/>
  <c r="S693" i="1" s="1"/>
  <c r="I692" i="1"/>
  <c r="J692" i="1" s="1"/>
  <c r="I691" i="1"/>
  <c r="J691" i="1" s="1"/>
  <c r="K691" i="1" s="1"/>
  <c r="M691" i="1" s="1"/>
  <c r="S691" i="1" s="1"/>
  <c r="I690" i="1"/>
  <c r="J690" i="1" s="1"/>
  <c r="I689" i="1"/>
  <c r="J689" i="1" s="1"/>
  <c r="K689" i="1" s="1"/>
  <c r="M689" i="1" s="1"/>
  <c r="S689" i="1" s="1"/>
  <c r="I688" i="1"/>
  <c r="J688" i="1" s="1"/>
  <c r="I687" i="1"/>
  <c r="J687" i="1" s="1"/>
  <c r="K687" i="1" s="1"/>
  <c r="M687" i="1" s="1"/>
  <c r="S687" i="1" s="1"/>
  <c r="V687" i="1" s="1"/>
  <c r="I686" i="1"/>
  <c r="J686" i="1" s="1"/>
  <c r="I685" i="1"/>
  <c r="J685" i="1" s="1"/>
  <c r="K685" i="1" s="1"/>
  <c r="M685" i="1" s="1"/>
  <c r="S685" i="1" s="1"/>
  <c r="I684" i="1"/>
  <c r="J684" i="1" s="1"/>
  <c r="I683" i="1"/>
  <c r="J683" i="1" s="1"/>
  <c r="K683" i="1" s="1"/>
  <c r="M683" i="1" s="1"/>
  <c r="S683" i="1" s="1"/>
  <c r="I682" i="1"/>
  <c r="J682" i="1" s="1"/>
  <c r="I681" i="1"/>
  <c r="J681" i="1" s="1"/>
  <c r="K681" i="1" s="1"/>
  <c r="M681" i="1" s="1"/>
  <c r="S681" i="1" s="1"/>
  <c r="I680" i="1"/>
  <c r="J680" i="1" s="1"/>
  <c r="I679" i="1"/>
  <c r="J679" i="1" s="1"/>
  <c r="K679" i="1" s="1"/>
  <c r="M679" i="1" s="1"/>
  <c r="S679" i="1" s="1"/>
  <c r="I678" i="1"/>
  <c r="J678" i="1" s="1"/>
  <c r="I677" i="1"/>
  <c r="J677" i="1" s="1"/>
  <c r="K677" i="1" s="1"/>
  <c r="M677" i="1" s="1"/>
  <c r="S677" i="1" s="1"/>
  <c r="I676" i="1"/>
  <c r="J676" i="1" s="1"/>
  <c r="I675" i="1"/>
  <c r="J675" i="1" s="1"/>
  <c r="K675" i="1" s="1"/>
  <c r="M675" i="1" s="1"/>
  <c r="S675" i="1" s="1"/>
  <c r="I674" i="1"/>
  <c r="J674" i="1" s="1"/>
  <c r="I673" i="1"/>
  <c r="J673" i="1" s="1"/>
  <c r="K673" i="1" s="1"/>
  <c r="M673" i="1" s="1"/>
  <c r="S673" i="1" s="1"/>
  <c r="I672" i="1"/>
  <c r="J672" i="1" s="1"/>
  <c r="I671" i="1"/>
  <c r="J671" i="1" s="1"/>
  <c r="K671" i="1" s="1"/>
  <c r="M671" i="1" s="1"/>
  <c r="S671" i="1" s="1"/>
  <c r="V671" i="1" s="1"/>
  <c r="I670" i="1"/>
  <c r="J670" i="1" s="1"/>
  <c r="I669" i="1"/>
  <c r="J669" i="1" s="1"/>
  <c r="K669" i="1" s="1"/>
  <c r="M669" i="1" s="1"/>
  <c r="S669" i="1" s="1"/>
  <c r="I668" i="1"/>
  <c r="J668" i="1" s="1"/>
  <c r="I667" i="1"/>
  <c r="J667" i="1" s="1"/>
  <c r="K667" i="1" s="1"/>
  <c r="M667" i="1" s="1"/>
  <c r="S667" i="1" s="1"/>
  <c r="I666" i="1"/>
  <c r="J666" i="1" s="1"/>
  <c r="I665" i="1"/>
  <c r="J665" i="1" s="1"/>
  <c r="K665" i="1" s="1"/>
  <c r="M665" i="1" s="1"/>
  <c r="S665" i="1" s="1"/>
  <c r="I664" i="1"/>
  <c r="J664" i="1" s="1"/>
  <c r="I663" i="1"/>
  <c r="J663" i="1" s="1"/>
  <c r="K663" i="1" s="1"/>
  <c r="M663" i="1" s="1"/>
  <c r="S663" i="1" s="1"/>
  <c r="W663" i="1" s="1"/>
  <c r="I662" i="1"/>
  <c r="J662" i="1" s="1"/>
  <c r="I661" i="1"/>
  <c r="J661" i="1" s="1"/>
  <c r="K661" i="1" s="1"/>
  <c r="M661" i="1" s="1"/>
  <c r="S661" i="1" s="1"/>
  <c r="I660" i="1"/>
  <c r="I659" i="1"/>
  <c r="I658" i="1"/>
  <c r="J658" i="1" s="1"/>
  <c r="I657" i="1"/>
  <c r="I656" i="1"/>
  <c r="J656" i="1" s="1"/>
  <c r="I655" i="1"/>
  <c r="J655" i="1" s="1"/>
  <c r="K655" i="1" s="1"/>
  <c r="M655" i="1" s="1"/>
  <c r="S655" i="1" s="1"/>
  <c r="V655" i="1" s="1"/>
  <c r="I654" i="1"/>
  <c r="J654" i="1" s="1"/>
  <c r="I653" i="1"/>
  <c r="J653" i="1" s="1"/>
  <c r="K653" i="1" s="1"/>
  <c r="M653" i="1" s="1"/>
  <c r="S653" i="1" s="1"/>
  <c r="I652" i="1"/>
  <c r="I651" i="1"/>
  <c r="J651" i="1" s="1"/>
  <c r="K651" i="1" s="1"/>
  <c r="M651" i="1" s="1"/>
  <c r="S651" i="1" s="1"/>
  <c r="I650" i="1"/>
  <c r="I649" i="1"/>
  <c r="J649" i="1" s="1"/>
  <c r="K649" i="1" s="1"/>
  <c r="M649" i="1" s="1"/>
  <c r="S649" i="1" s="1"/>
  <c r="I648" i="1"/>
  <c r="I647" i="1"/>
  <c r="J647" i="1" s="1"/>
  <c r="K647" i="1" s="1"/>
  <c r="M647" i="1" s="1"/>
  <c r="S647" i="1" s="1"/>
  <c r="I646" i="1"/>
  <c r="J646" i="1" s="1"/>
  <c r="I645" i="1"/>
  <c r="I644" i="1"/>
  <c r="I643" i="1"/>
  <c r="J643" i="1" s="1"/>
  <c r="I642" i="1"/>
  <c r="J642" i="1" s="1"/>
  <c r="I641" i="1"/>
  <c r="I640" i="1"/>
  <c r="I639" i="1"/>
  <c r="J639" i="1" s="1"/>
  <c r="I638" i="1"/>
  <c r="I637" i="1"/>
  <c r="J637" i="1" s="1"/>
  <c r="I636" i="1"/>
  <c r="I635" i="1"/>
  <c r="I634" i="1"/>
  <c r="I633" i="1"/>
  <c r="I632" i="1"/>
  <c r="I631" i="1"/>
  <c r="I630" i="1"/>
  <c r="I629" i="1"/>
  <c r="J629" i="1" s="1"/>
  <c r="I628" i="1"/>
  <c r="I627" i="1"/>
  <c r="I626" i="1"/>
  <c r="I625" i="1"/>
  <c r="I624" i="1"/>
  <c r="I623" i="1"/>
  <c r="J623" i="1" s="1"/>
  <c r="I622" i="1"/>
  <c r="I621" i="1"/>
  <c r="J621" i="1" s="1"/>
  <c r="I620" i="1"/>
  <c r="I619" i="1"/>
  <c r="I618" i="1"/>
  <c r="I617" i="1"/>
  <c r="I616" i="1"/>
  <c r="I615" i="1"/>
  <c r="I614" i="1"/>
  <c r="I613" i="1"/>
  <c r="J613" i="1" s="1"/>
  <c r="I612" i="1"/>
  <c r="I611" i="1"/>
  <c r="J611" i="1" s="1"/>
  <c r="I610" i="1"/>
  <c r="I609" i="1"/>
  <c r="I608" i="1"/>
  <c r="I607" i="1"/>
  <c r="J607" i="1" s="1"/>
  <c r="I606" i="1"/>
  <c r="I605" i="1"/>
  <c r="J605" i="1" s="1"/>
  <c r="I604" i="1"/>
  <c r="I603" i="1"/>
  <c r="I602" i="1"/>
  <c r="I601" i="1"/>
  <c r="I600" i="1"/>
  <c r="I599" i="1"/>
  <c r="I598" i="1"/>
  <c r="I597" i="1"/>
  <c r="J597" i="1" s="1"/>
  <c r="I596" i="1"/>
  <c r="I595" i="1"/>
  <c r="I594" i="1"/>
  <c r="I593" i="1"/>
  <c r="I592" i="1"/>
  <c r="I591" i="1"/>
  <c r="J591" i="1" s="1"/>
  <c r="I590" i="1"/>
  <c r="I589" i="1"/>
  <c r="J589" i="1" s="1"/>
  <c r="I588" i="1"/>
  <c r="I587" i="1"/>
  <c r="I586" i="1"/>
  <c r="I585" i="1"/>
  <c r="I584" i="1"/>
  <c r="I583" i="1"/>
  <c r="I582" i="1"/>
  <c r="I581" i="1"/>
  <c r="J581" i="1" s="1"/>
  <c r="I580" i="1"/>
  <c r="I579" i="1"/>
  <c r="J579" i="1" s="1"/>
  <c r="I578" i="1"/>
  <c r="I577" i="1"/>
  <c r="I576" i="1"/>
  <c r="I575" i="1"/>
  <c r="J575" i="1" s="1"/>
  <c r="I574" i="1"/>
  <c r="I573" i="1"/>
  <c r="J573" i="1" s="1"/>
  <c r="I572" i="1"/>
  <c r="I571" i="1"/>
  <c r="I570" i="1"/>
  <c r="I569" i="1"/>
  <c r="I568" i="1"/>
  <c r="I567" i="1"/>
  <c r="I566" i="1"/>
  <c r="I565" i="1"/>
  <c r="J565" i="1" s="1"/>
  <c r="I564" i="1"/>
  <c r="I563" i="1"/>
  <c r="I562" i="1"/>
  <c r="I561" i="1"/>
  <c r="I560" i="1"/>
  <c r="I559" i="1"/>
  <c r="J559" i="1" s="1"/>
  <c r="I558" i="1"/>
  <c r="I557" i="1"/>
  <c r="J557" i="1" s="1"/>
  <c r="I556" i="1"/>
  <c r="I555" i="1"/>
  <c r="I554" i="1"/>
  <c r="I553" i="1"/>
  <c r="I552" i="1"/>
  <c r="I551" i="1"/>
  <c r="I550" i="1"/>
  <c r="I549" i="1"/>
  <c r="J549" i="1" s="1"/>
  <c r="I548" i="1"/>
  <c r="I547" i="1"/>
  <c r="J547" i="1" s="1"/>
  <c r="I546" i="1"/>
  <c r="I545" i="1"/>
  <c r="I544" i="1"/>
  <c r="I543" i="1"/>
  <c r="J543" i="1" s="1"/>
  <c r="I542" i="1"/>
  <c r="I541" i="1"/>
  <c r="J541" i="1" s="1"/>
  <c r="I540" i="1"/>
  <c r="I539" i="1"/>
  <c r="I538" i="1"/>
  <c r="I537" i="1"/>
  <c r="I536" i="1"/>
  <c r="I535" i="1"/>
  <c r="I534" i="1"/>
  <c r="I533" i="1"/>
  <c r="J533" i="1" s="1"/>
  <c r="I532" i="1"/>
  <c r="I531" i="1"/>
  <c r="I530" i="1"/>
  <c r="I529" i="1"/>
  <c r="I528" i="1"/>
  <c r="I527" i="1"/>
  <c r="J527" i="1" s="1"/>
  <c r="I526" i="1"/>
  <c r="I525" i="1"/>
  <c r="J525" i="1" s="1"/>
  <c r="I524" i="1"/>
  <c r="I523" i="1"/>
  <c r="I522" i="1"/>
  <c r="I521" i="1"/>
  <c r="I520" i="1"/>
  <c r="I519" i="1"/>
  <c r="I518" i="1"/>
  <c r="I517" i="1"/>
  <c r="J517" i="1" s="1"/>
  <c r="I516" i="1"/>
  <c r="I515" i="1"/>
  <c r="J515" i="1" s="1"/>
  <c r="I514" i="1"/>
  <c r="I513" i="1"/>
  <c r="I512" i="1"/>
  <c r="I511" i="1"/>
  <c r="J511" i="1" s="1"/>
  <c r="I510" i="1"/>
  <c r="I509" i="1"/>
  <c r="J509" i="1" s="1"/>
  <c r="I508" i="1"/>
  <c r="I507" i="1"/>
  <c r="I506" i="1"/>
  <c r="I505" i="1"/>
  <c r="I504" i="1"/>
  <c r="I503" i="1"/>
  <c r="I502" i="1"/>
  <c r="I501" i="1"/>
  <c r="J501" i="1" s="1"/>
  <c r="I500" i="1"/>
  <c r="I499" i="1"/>
  <c r="I498" i="1"/>
  <c r="I497" i="1"/>
  <c r="I496" i="1"/>
  <c r="I495" i="1"/>
  <c r="J495" i="1" s="1"/>
  <c r="I494" i="1"/>
  <c r="I493" i="1"/>
  <c r="J493" i="1" s="1"/>
  <c r="I492" i="1"/>
  <c r="I491" i="1"/>
  <c r="I490" i="1"/>
  <c r="I489" i="1"/>
  <c r="I488" i="1"/>
  <c r="I487" i="1"/>
  <c r="I486" i="1"/>
  <c r="I485" i="1"/>
  <c r="J485" i="1" s="1"/>
  <c r="I484" i="1"/>
  <c r="I483" i="1"/>
  <c r="J483" i="1" s="1"/>
  <c r="I482" i="1"/>
  <c r="I481" i="1"/>
  <c r="I480" i="1"/>
  <c r="I479" i="1"/>
  <c r="J479" i="1" s="1"/>
  <c r="I478" i="1"/>
  <c r="I477" i="1"/>
  <c r="J477" i="1" s="1"/>
  <c r="I476" i="1"/>
  <c r="I475" i="1"/>
  <c r="I474" i="1"/>
  <c r="I473" i="1"/>
  <c r="I472" i="1"/>
  <c r="I471" i="1"/>
  <c r="I470" i="1"/>
  <c r="I469" i="1"/>
  <c r="J469" i="1" s="1"/>
  <c r="I468" i="1"/>
  <c r="I467" i="1"/>
  <c r="I466" i="1"/>
  <c r="I465" i="1"/>
  <c r="I464" i="1"/>
  <c r="I463" i="1"/>
  <c r="J463" i="1" s="1"/>
  <c r="I462" i="1"/>
  <c r="I461" i="1"/>
  <c r="J461" i="1" s="1"/>
  <c r="I460" i="1"/>
  <c r="I459" i="1"/>
  <c r="I458" i="1"/>
  <c r="I457" i="1"/>
  <c r="I456" i="1"/>
  <c r="I455" i="1"/>
  <c r="I454" i="1"/>
  <c r="I453" i="1"/>
  <c r="J453" i="1" s="1"/>
  <c r="I452" i="1"/>
  <c r="I451" i="1"/>
  <c r="J451" i="1" s="1"/>
  <c r="I450" i="1"/>
  <c r="I449" i="1"/>
  <c r="I448" i="1"/>
  <c r="I447" i="1"/>
  <c r="J447" i="1" s="1"/>
  <c r="I446" i="1"/>
  <c r="I445" i="1"/>
  <c r="J445" i="1" s="1"/>
  <c r="I444" i="1"/>
  <c r="I443" i="1"/>
  <c r="I442" i="1"/>
  <c r="I441" i="1"/>
  <c r="I440" i="1"/>
  <c r="I439" i="1"/>
  <c r="I438" i="1"/>
  <c r="I437" i="1"/>
  <c r="J437" i="1" s="1"/>
  <c r="I436" i="1"/>
  <c r="I435" i="1"/>
  <c r="I434" i="1"/>
  <c r="I433" i="1"/>
  <c r="I432" i="1"/>
  <c r="I431" i="1"/>
  <c r="J431" i="1" s="1"/>
  <c r="I430" i="1"/>
  <c r="I429" i="1"/>
  <c r="J429" i="1" s="1"/>
  <c r="I428" i="1"/>
  <c r="I427" i="1"/>
  <c r="J427" i="1" s="1"/>
  <c r="I426" i="1"/>
  <c r="I425" i="1"/>
  <c r="I424" i="1"/>
  <c r="I423" i="1"/>
  <c r="I422" i="1"/>
  <c r="I421" i="1"/>
  <c r="J421" i="1" s="1"/>
  <c r="I420" i="1"/>
  <c r="I419" i="1"/>
  <c r="J419" i="1" s="1"/>
  <c r="I418" i="1"/>
  <c r="I417" i="1"/>
  <c r="I416" i="1"/>
  <c r="I415" i="1"/>
  <c r="I414" i="1"/>
  <c r="I413" i="1"/>
  <c r="I412" i="1"/>
  <c r="I411" i="1"/>
  <c r="J411" i="1" s="1"/>
  <c r="I410" i="1"/>
  <c r="I409" i="1"/>
  <c r="I408" i="1"/>
  <c r="I407" i="1"/>
  <c r="J407" i="1" s="1"/>
  <c r="I406" i="1"/>
  <c r="I405" i="1"/>
  <c r="J405" i="1" s="1"/>
  <c r="I404" i="1"/>
  <c r="I403" i="1"/>
  <c r="J403" i="1" s="1"/>
  <c r="K403" i="1" s="1"/>
  <c r="M403" i="1" s="1"/>
  <c r="S403" i="1" s="1"/>
  <c r="I402" i="1"/>
  <c r="I401" i="1"/>
  <c r="I400" i="1"/>
  <c r="I399" i="1"/>
  <c r="I398" i="1"/>
  <c r="I397" i="1"/>
  <c r="J397" i="1" s="1"/>
  <c r="K397" i="1" s="1"/>
  <c r="M397" i="1" s="1"/>
  <c r="S397" i="1" s="1"/>
  <c r="I396" i="1"/>
  <c r="I395" i="1"/>
  <c r="I394" i="1"/>
  <c r="I393" i="1"/>
  <c r="I392" i="1"/>
  <c r="I391" i="1"/>
  <c r="J391" i="1" s="1"/>
  <c r="I390" i="1"/>
  <c r="I389" i="1"/>
  <c r="J389" i="1" s="1"/>
  <c r="I388" i="1"/>
  <c r="I387" i="1"/>
  <c r="J387" i="1" s="1"/>
  <c r="K387" i="1" s="1"/>
  <c r="M387" i="1" s="1"/>
  <c r="S387" i="1" s="1"/>
  <c r="I386" i="1"/>
  <c r="I385" i="1"/>
  <c r="I384" i="1"/>
  <c r="I383" i="1"/>
  <c r="I382" i="1"/>
  <c r="I381" i="1"/>
  <c r="J381" i="1" s="1"/>
  <c r="K381" i="1" s="1"/>
  <c r="M381" i="1" s="1"/>
  <c r="S381" i="1" s="1"/>
  <c r="I380" i="1"/>
  <c r="I379" i="1"/>
  <c r="J379" i="1" s="1"/>
  <c r="K379" i="1" s="1"/>
  <c r="M379" i="1" s="1"/>
  <c r="S379" i="1" s="1"/>
  <c r="I378" i="1"/>
  <c r="I377" i="1"/>
  <c r="I376" i="1"/>
  <c r="I375" i="1"/>
  <c r="I374" i="1"/>
  <c r="I373" i="1"/>
  <c r="J373" i="1" s="1"/>
  <c r="I372" i="1"/>
  <c r="I371" i="1"/>
  <c r="I370" i="1"/>
  <c r="I369" i="1"/>
  <c r="I368" i="1"/>
  <c r="I367" i="1"/>
  <c r="J367" i="1" s="1"/>
  <c r="I366" i="1"/>
  <c r="J366" i="1" s="1"/>
  <c r="K366" i="1" s="1"/>
  <c r="M366" i="1" s="1"/>
  <c r="S366" i="1" s="1"/>
  <c r="I365" i="1"/>
  <c r="I364" i="1"/>
  <c r="J364" i="1" s="1"/>
  <c r="K364" i="1" s="1"/>
  <c r="M364" i="1" s="1"/>
  <c r="S364" i="1" s="1"/>
  <c r="U364" i="1" s="1"/>
  <c r="I363" i="1"/>
  <c r="I362" i="1"/>
  <c r="J362" i="1" s="1"/>
  <c r="K362" i="1" s="1"/>
  <c r="M362" i="1" s="1"/>
  <c r="S362" i="1" s="1"/>
  <c r="U362" i="1" s="1"/>
  <c r="I361" i="1"/>
  <c r="I360" i="1"/>
  <c r="J360" i="1" s="1"/>
  <c r="K360" i="1" s="1"/>
  <c r="M360" i="1" s="1"/>
  <c r="S360" i="1" s="1"/>
  <c r="V360" i="1" s="1"/>
  <c r="I359" i="1"/>
  <c r="J359" i="1" s="1"/>
  <c r="I358" i="1"/>
  <c r="I357" i="1"/>
  <c r="J357" i="1" s="1"/>
  <c r="I356" i="1"/>
  <c r="J356" i="1" s="1"/>
  <c r="I355" i="1"/>
  <c r="J355" i="1" s="1"/>
  <c r="I354" i="1"/>
  <c r="J354" i="1" s="1"/>
  <c r="I353" i="1"/>
  <c r="J353" i="1" s="1"/>
  <c r="I352" i="1"/>
  <c r="J352" i="1" s="1"/>
  <c r="K352" i="1" s="1"/>
  <c r="M352" i="1" s="1"/>
  <c r="S352" i="1" s="1"/>
  <c r="I351" i="1"/>
  <c r="J351" i="1" s="1"/>
  <c r="I350" i="1"/>
  <c r="J350" i="1" s="1"/>
  <c r="K350" i="1" s="1"/>
  <c r="M350" i="1" s="1"/>
  <c r="S350" i="1" s="1"/>
  <c r="I349" i="1"/>
  <c r="I348" i="1"/>
  <c r="J348" i="1" s="1"/>
  <c r="K348" i="1" s="1"/>
  <c r="M348" i="1" s="1"/>
  <c r="S348" i="1" s="1"/>
  <c r="U348" i="1" s="1"/>
  <c r="I347" i="1"/>
  <c r="I346" i="1"/>
  <c r="J346" i="1" s="1"/>
  <c r="K346" i="1" s="1"/>
  <c r="M346" i="1" s="1"/>
  <c r="S346" i="1" s="1"/>
  <c r="I345" i="1"/>
  <c r="I344" i="1"/>
  <c r="I343" i="1"/>
  <c r="I342" i="1"/>
  <c r="J342" i="1" s="1"/>
  <c r="I341" i="1"/>
  <c r="J341" i="1" s="1"/>
  <c r="I340" i="1"/>
  <c r="I339" i="1"/>
  <c r="J339" i="1" s="1"/>
  <c r="I338" i="1"/>
  <c r="I337" i="1"/>
  <c r="J337" i="1" s="1"/>
  <c r="I336" i="1"/>
  <c r="J336" i="1" s="1"/>
  <c r="K336" i="1" s="1"/>
  <c r="M336" i="1" s="1"/>
  <c r="S336" i="1" s="1"/>
  <c r="I335" i="1"/>
  <c r="J335" i="1" s="1"/>
  <c r="I334" i="1"/>
  <c r="J334" i="1" s="1"/>
  <c r="K334" i="1" s="1"/>
  <c r="M334" i="1" s="1"/>
  <c r="S334" i="1" s="1"/>
  <c r="I333" i="1"/>
  <c r="I332" i="1"/>
  <c r="J332" i="1" s="1"/>
  <c r="K332" i="1" s="1"/>
  <c r="M332" i="1" s="1"/>
  <c r="S332" i="1" s="1"/>
  <c r="U332" i="1" s="1"/>
  <c r="I331" i="1"/>
  <c r="I330" i="1"/>
  <c r="J330" i="1" s="1"/>
  <c r="K330" i="1" s="1"/>
  <c r="M330" i="1" s="1"/>
  <c r="S330" i="1" s="1"/>
  <c r="U330" i="1" s="1"/>
  <c r="I329" i="1"/>
  <c r="I328" i="1"/>
  <c r="J328" i="1" s="1"/>
  <c r="K328" i="1" s="1"/>
  <c r="M328" i="1" s="1"/>
  <c r="S328" i="1" s="1"/>
  <c r="V328" i="1" s="1"/>
  <c r="I327" i="1"/>
  <c r="J327" i="1" s="1"/>
  <c r="I326" i="1"/>
  <c r="I325" i="1"/>
  <c r="J325" i="1" s="1"/>
  <c r="I324" i="1"/>
  <c r="I323" i="1"/>
  <c r="J323" i="1" s="1"/>
  <c r="I322" i="1"/>
  <c r="J322" i="1" s="1"/>
  <c r="I321" i="1"/>
  <c r="J321" i="1" s="1"/>
  <c r="I320" i="1"/>
  <c r="J320" i="1" s="1"/>
  <c r="K320" i="1" s="1"/>
  <c r="M320" i="1" s="1"/>
  <c r="S320" i="1" s="1"/>
  <c r="I319" i="1"/>
  <c r="J319" i="1" s="1"/>
  <c r="I318" i="1"/>
  <c r="J318" i="1" s="1"/>
  <c r="K318" i="1" s="1"/>
  <c r="M318" i="1" s="1"/>
  <c r="S318" i="1" s="1"/>
  <c r="I317" i="1"/>
  <c r="I316" i="1"/>
  <c r="J316" i="1" s="1"/>
  <c r="K316" i="1" s="1"/>
  <c r="M316" i="1" s="1"/>
  <c r="S316" i="1" s="1"/>
  <c r="U316" i="1" s="1"/>
  <c r="I315" i="1"/>
  <c r="I314" i="1"/>
  <c r="J314" i="1" s="1"/>
  <c r="K314" i="1" s="1"/>
  <c r="M314" i="1" s="1"/>
  <c r="S314" i="1" s="1"/>
  <c r="U314" i="1" s="1"/>
  <c r="I313" i="1"/>
  <c r="I312" i="1"/>
  <c r="I311" i="1"/>
  <c r="I310" i="1"/>
  <c r="J310" i="1" s="1"/>
  <c r="K310" i="1" s="1"/>
  <c r="M310" i="1" s="1"/>
  <c r="S310" i="1" s="1"/>
  <c r="I309" i="1"/>
  <c r="J309" i="1" s="1"/>
  <c r="I308" i="1"/>
  <c r="I307" i="1"/>
  <c r="J307" i="1" s="1"/>
  <c r="I306" i="1"/>
  <c r="I305" i="1"/>
  <c r="J305" i="1" s="1"/>
  <c r="I304" i="1"/>
  <c r="J304" i="1" s="1"/>
  <c r="K304" i="1" s="1"/>
  <c r="M304" i="1" s="1"/>
  <c r="S304" i="1" s="1"/>
  <c r="U304" i="1" s="1"/>
  <c r="I303" i="1"/>
  <c r="J303" i="1" s="1"/>
  <c r="I302" i="1"/>
  <c r="J302" i="1" s="1"/>
  <c r="K302" i="1" s="1"/>
  <c r="M302" i="1" s="1"/>
  <c r="S302" i="1" s="1"/>
  <c r="I301" i="1"/>
  <c r="I300" i="1"/>
  <c r="J300" i="1" s="1"/>
  <c r="K300" i="1" s="1"/>
  <c r="M300" i="1" s="1"/>
  <c r="S300" i="1" s="1"/>
  <c r="U300" i="1" s="1"/>
  <c r="I299" i="1"/>
  <c r="I298" i="1"/>
  <c r="J298" i="1" s="1"/>
  <c r="K298" i="1" s="1"/>
  <c r="M298" i="1" s="1"/>
  <c r="S298" i="1" s="1"/>
  <c r="I297" i="1"/>
  <c r="I296" i="1"/>
  <c r="I295" i="1"/>
  <c r="J295" i="1" s="1"/>
  <c r="I294" i="1"/>
  <c r="I293" i="1"/>
  <c r="J293" i="1" s="1"/>
  <c r="I292" i="1"/>
  <c r="J292" i="1" s="1"/>
  <c r="I291" i="1"/>
  <c r="J291" i="1" s="1"/>
  <c r="I290" i="1"/>
  <c r="I289" i="1"/>
  <c r="J289" i="1" s="1"/>
  <c r="I288" i="1"/>
  <c r="J288" i="1" s="1"/>
  <c r="K288" i="1" s="1"/>
  <c r="M288" i="1" s="1"/>
  <c r="S288" i="1" s="1"/>
  <c r="I287" i="1"/>
  <c r="J287" i="1" s="1"/>
  <c r="I286" i="1"/>
  <c r="J286" i="1" s="1"/>
  <c r="K286" i="1" s="1"/>
  <c r="M286" i="1" s="1"/>
  <c r="S286" i="1" s="1"/>
  <c r="I285" i="1"/>
  <c r="I284" i="1"/>
  <c r="J284" i="1" s="1"/>
  <c r="K284" i="1" s="1"/>
  <c r="M284" i="1" s="1"/>
  <c r="S284" i="1" s="1"/>
  <c r="U284" i="1" s="1"/>
  <c r="I283" i="1"/>
  <c r="I282" i="1"/>
  <c r="J282" i="1" s="1"/>
  <c r="K282" i="1" s="1"/>
  <c r="M282" i="1" s="1"/>
  <c r="S282" i="1" s="1"/>
  <c r="U282" i="1" s="1"/>
  <c r="I281" i="1"/>
  <c r="I280" i="1"/>
  <c r="J280" i="1" s="1"/>
  <c r="K280" i="1" s="1"/>
  <c r="M280" i="1" s="1"/>
  <c r="S280" i="1" s="1"/>
  <c r="V280" i="1" s="1"/>
  <c r="I279" i="1"/>
  <c r="I278" i="1"/>
  <c r="J278" i="1" s="1"/>
  <c r="K278" i="1" s="1"/>
  <c r="M278" i="1" s="1"/>
  <c r="S278" i="1" s="1"/>
  <c r="I277" i="1"/>
  <c r="J277" i="1" s="1"/>
  <c r="I276" i="1"/>
  <c r="I275" i="1"/>
  <c r="J275" i="1" s="1"/>
  <c r="I274" i="1"/>
  <c r="J274" i="1" s="1"/>
  <c r="K274" i="1" s="1"/>
  <c r="M274" i="1" s="1"/>
  <c r="S274" i="1" s="1"/>
  <c r="I273" i="1"/>
  <c r="J273" i="1" s="1"/>
  <c r="I272" i="1"/>
  <c r="J272" i="1" s="1"/>
  <c r="K272" i="1" s="1"/>
  <c r="M272" i="1" s="1"/>
  <c r="S272" i="1" s="1"/>
  <c r="I271" i="1"/>
  <c r="J271" i="1" s="1"/>
  <c r="I270" i="1"/>
  <c r="J270" i="1" s="1"/>
  <c r="K270" i="1" s="1"/>
  <c r="M270" i="1" s="1"/>
  <c r="S270" i="1" s="1"/>
  <c r="I269" i="1"/>
  <c r="I268" i="1"/>
  <c r="J268" i="1" s="1"/>
  <c r="K268" i="1" s="1"/>
  <c r="M268" i="1" s="1"/>
  <c r="S268" i="1" s="1"/>
  <c r="U268" i="1" s="1"/>
  <c r="I267" i="1"/>
  <c r="I266" i="1"/>
  <c r="J266" i="1" s="1"/>
  <c r="K266" i="1" s="1"/>
  <c r="M266" i="1" s="1"/>
  <c r="S266" i="1" s="1"/>
  <c r="U266" i="1" s="1"/>
  <c r="I265" i="1"/>
  <c r="I264" i="1"/>
  <c r="I263" i="1"/>
  <c r="J263" i="1" s="1"/>
  <c r="I262" i="1"/>
  <c r="I261" i="1"/>
  <c r="J261" i="1" s="1"/>
  <c r="I260" i="1"/>
  <c r="J260" i="1" s="1"/>
  <c r="I259" i="1"/>
  <c r="J259" i="1" s="1"/>
  <c r="I258" i="1"/>
  <c r="I257" i="1"/>
  <c r="J257" i="1" s="1"/>
  <c r="I256" i="1"/>
  <c r="J256" i="1" s="1"/>
  <c r="K256" i="1" s="1"/>
  <c r="M256" i="1" s="1"/>
  <c r="S256" i="1" s="1"/>
  <c r="I255" i="1"/>
  <c r="J255" i="1" s="1"/>
  <c r="I254" i="1"/>
  <c r="J254" i="1" s="1"/>
  <c r="K254" i="1" s="1"/>
  <c r="M254" i="1" s="1"/>
  <c r="S254" i="1" s="1"/>
  <c r="I253" i="1"/>
  <c r="I252" i="1"/>
  <c r="J252" i="1" s="1"/>
  <c r="K252" i="1" s="1"/>
  <c r="M252" i="1" s="1"/>
  <c r="S252" i="1" s="1"/>
  <c r="U252" i="1" s="1"/>
  <c r="I251" i="1"/>
  <c r="I250" i="1"/>
  <c r="J250" i="1" s="1"/>
  <c r="K250" i="1" s="1"/>
  <c r="M250" i="1" s="1"/>
  <c r="S250" i="1" s="1"/>
  <c r="I249" i="1"/>
  <c r="I248" i="1"/>
  <c r="J248" i="1" s="1"/>
  <c r="K248" i="1" s="1"/>
  <c r="M248" i="1" s="1"/>
  <c r="S248" i="1" s="1"/>
  <c r="V248" i="1" s="1"/>
  <c r="I247" i="1"/>
  <c r="I246" i="1"/>
  <c r="J246" i="1" s="1"/>
  <c r="K246" i="1" s="1"/>
  <c r="M246" i="1" s="1"/>
  <c r="S246" i="1" s="1"/>
  <c r="I245" i="1"/>
  <c r="J245" i="1" s="1"/>
  <c r="I244" i="1"/>
  <c r="I243" i="1"/>
  <c r="J243" i="1" s="1"/>
  <c r="I242" i="1"/>
  <c r="I241" i="1"/>
  <c r="J241" i="1" s="1"/>
  <c r="I240" i="1"/>
  <c r="J240" i="1" s="1"/>
  <c r="K240" i="1" s="1"/>
  <c r="M240" i="1" s="1"/>
  <c r="S240" i="1" s="1"/>
  <c r="U240" i="1" s="1"/>
  <c r="I239" i="1"/>
  <c r="J239" i="1" s="1"/>
  <c r="I238" i="1"/>
  <c r="J238" i="1" s="1"/>
  <c r="K238" i="1" s="1"/>
  <c r="M238" i="1" s="1"/>
  <c r="S238" i="1" s="1"/>
  <c r="I237" i="1"/>
  <c r="I236" i="1"/>
  <c r="J236" i="1" s="1"/>
  <c r="K236" i="1" s="1"/>
  <c r="M236" i="1" s="1"/>
  <c r="S236" i="1" s="1"/>
  <c r="U236" i="1" s="1"/>
  <c r="I235" i="1"/>
  <c r="I234" i="1"/>
  <c r="J234" i="1" s="1"/>
  <c r="K234" i="1" s="1"/>
  <c r="M234" i="1" s="1"/>
  <c r="S234" i="1" s="1"/>
  <c r="I233" i="1"/>
  <c r="I232" i="1"/>
  <c r="J232" i="1" s="1"/>
  <c r="K232" i="1" s="1"/>
  <c r="M232" i="1" s="1"/>
  <c r="S232" i="1" s="1"/>
  <c r="V232" i="1" s="1"/>
  <c r="I231" i="1"/>
  <c r="J231" i="1" s="1"/>
  <c r="I230" i="1"/>
  <c r="I229" i="1"/>
  <c r="J229" i="1" s="1"/>
  <c r="I228" i="1"/>
  <c r="I227" i="1"/>
  <c r="J227" i="1" s="1"/>
  <c r="I226" i="1"/>
  <c r="J226" i="1" s="1"/>
  <c r="I225" i="1"/>
  <c r="J225" i="1" s="1"/>
  <c r="I224" i="1"/>
  <c r="J224" i="1" s="1"/>
  <c r="K224" i="1" s="1"/>
  <c r="M224" i="1" s="1"/>
  <c r="S224" i="1" s="1"/>
  <c r="I223" i="1"/>
  <c r="J223" i="1" s="1"/>
  <c r="I222" i="1"/>
  <c r="J222" i="1" s="1"/>
  <c r="K222" i="1" s="1"/>
  <c r="M222" i="1" s="1"/>
  <c r="S222" i="1" s="1"/>
  <c r="I221" i="1"/>
  <c r="I220" i="1"/>
  <c r="J220" i="1" s="1"/>
  <c r="K220" i="1" s="1"/>
  <c r="M220" i="1" s="1"/>
  <c r="S220" i="1" s="1"/>
  <c r="U220" i="1" s="1"/>
  <c r="I219" i="1"/>
  <c r="I218" i="1"/>
  <c r="J218" i="1" s="1"/>
  <c r="K218" i="1" s="1"/>
  <c r="M218" i="1" s="1"/>
  <c r="S218" i="1" s="1"/>
  <c r="U218" i="1" s="1"/>
  <c r="I217" i="1"/>
  <c r="I216" i="1"/>
  <c r="I215" i="1"/>
  <c r="I214" i="1"/>
  <c r="J214" i="1" s="1"/>
  <c r="I213" i="1"/>
  <c r="J213" i="1" s="1"/>
  <c r="I212" i="1"/>
  <c r="I211" i="1"/>
  <c r="J211" i="1" s="1"/>
  <c r="I210" i="1"/>
  <c r="I209" i="1"/>
  <c r="J209" i="1" s="1"/>
  <c r="I208" i="1"/>
  <c r="J208" i="1" s="1"/>
  <c r="K208" i="1" s="1"/>
  <c r="M208" i="1" s="1"/>
  <c r="S208" i="1" s="1"/>
  <c r="I207" i="1"/>
  <c r="J207" i="1" s="1"/>
  <c r="I206" i="1"/>
  <c r="J206" i="1" s="1"/>
  <c r="K206" i="1" s="1"/>
  <c r="M206" i="1" s="1"/>
  <c r="S206" i="1" s="1"/>
  <c r="I205" i="1"/>
  <c r="I204" i="1"/>
  <c r="J204" i="1" s="1"/>
  <c r="K204" i="1" s="1"/>
  <c r="M204" i="1" s="1"/>
  <c r="S204" i="1" s="1"/>
  <c r="U204" i="1" s="1"/>
  <c r="I203" i="1"/>
  <c r="I202" i="1"/>
  <c r="J202" i="1" s="1"/>
  <c r="K202" i="1" s="1"/>
  <c r="M202" i="1" s="1"/>
  <c r="S202" i="1" s="1"/>
  <c r="U202" i="1" s="1"/>
  <c r="I201" i="1"/>
  <c r="I200" i="1"/>
  <c r="J200" i="1" s="1"/>
  <c r="K200" i="1" s="1"/>
  <c r="M200" i="1" s="1"/>
  <c r="S200" i="1" s="1"/>
  <c r="V200" i="1" s="1"/>
  <c r="I199" i="1"/>
  <c r="J199" i="1" s="1"/>
  <c r="I198" i="1"/>
  <c r="I197" i="1"/>
  <c r="J197" i="1" s="1"/>
  <c r="I196" i="1"/>
  <c r="I195" i="1"/>
  <c r="J195" i="1" s="1"/>
  <c r="I194" i="1"/>
  <c r="J194" i="1" s="1"/>
  <c r="I193" i="1"/>
  <c r="J193" i="1" s="1"/>
  <c r="I192" i="1"/>
  <c r="J192" i="1" s="1"/>
  <c r="K192" i="1" s="1"/>
  <c r="M192" i="1" s="1"/>
  <c r="S192" i="1" s="1"/>
  <c r="I191" i="1"/>
  <c r="J191" i="1" s="1"/>
  <c r="I190" i="1"/>
  <c r="J190" i="1" s="1"/>
  <c r="K190" i="1" s="1"/>
  <c r="M190" i="1" s="1"/>
  <c r="S190" i="1" s="1"/>
  <c r="I189" i="1"/>
  <c r="I188" i="1"/>
  <c r="J188" i="1" s="1"/>
  <c r="K188" i="1" s="1"/>
  <c r="M188" i="1" s="1"/>
  <c r="S188" i="1" s="1"/>
  <c r="U188" i="1" s="1"/>
  <c r="I187" i="1"/>
  <c r="I186" i="1"/>
  <c r="J186" i="1" s="1"/>
  <c r="K186" i="1" s="1"/>
  <c r="M186" i="1" s="1"/>
  <c r="S186" i="1" s="1"/>
  <c r="U186" i="1" s="1"/>
  <c r="I185" i="1"/>
  <c r="I184" i="1"/>
  <c r="J184" i="1" s="1"/>
  <c r="K184" i="1" s="1"/>
  <c r="M184" i="1" s="1"/>
  <c r="S184" i="1" s="1"/>
  <c r="V184" i="1" s="1"/>
  <c r="I183" i="1"/>
  <c r="I182" i="1"/>
  <c r="I181" i="1"/>
  <c r="J181" i="1" s="1"/>
  <c r="I180" i="1"/>
  <c r="J180" i="1" s="1"/>
  <c r="I179" i="1"/>
  <c r="J179" i="1" s="1"/>
  <c r="I178" i="1"/>
  <c r="J178" i="1" s="1"/>
  <c r="I177" i="1"/>
  <c r="J177" i="1" s="1"/>
  <c r="I176" i="1"/>
  <c r="J176" i="1" s="1"/>
  <c r="K176" i="1" s="1"/>
  <c r="M176" i="1" s="1"/>
  <c r="S176" i="1" s="1"/>
  <c r="U176" i="1" s="1"/>
  <c r="I175" i="1"/>
  <c r="J175" i="1" s="1"/>
  <c r="I174" i="1"/>
  <c r="J174" i="1" s="1"/>
  <c r="K174" i="1" s="1"/>
  <c r="M174" i="1" s="1"/>
  <c r="S174" i="1" s="1"/>
  <c r="I173" i="1"/>
  <c r="J173" i="1" s="1"/>
  <c r="I172" i="1"/>
  <c r="J172" i="1" s="1"/>
  <c r="K172" i="1" s="1"/>
  <c r="M172" i="1" s="1"/>
  <c r="S172" i="1" s="1"/>
  <c r="U172" i="1" s="1"/>
  <c r="I171" i="1"/>
  <c r="I170" i="1"/>
  <c r="J170" i="1" s="1"/>
  <c r="K170" i="1" s="1"/>
  <c r="M170" i="1" s="1"/>
  <c r="S170" i="1" s="1"/>
  <c r="I169" i="1"/>
  <c r="J169" i="1" s="1"/>
  <c r="I168" i="1"/>
  <c r="J168" i="1" s="1"/>
  <c r="K168" i="1" s="1"/>
  <c r="M168" i="1" s="1"/>
  <c r="S168" i="1" s="1"/>
  <c r="V168" i="1" s="1"/>
  <c r="I167" i="1"/>
  <c r="I166" i="1"/>
  <c r="I165" i="1"/>
  <c r="J165" i="1" s="1"/>
  <c r="I164" i="1"/>
  <c r="I163" i="1"/>
  <c r="J163" i="1" s="1"/>
  <c r="I162" i="1"/>
  <c r="J162" i="1" s="1"/>
  <c r="I161" i="1"/>
  <c r="J161" i="1" s="1"/>
  <c r="I160" i="1"/>
  <c r="J160" i="1" s="1"/>
  <c r="K160" i="1" s="1"/>
  <c r="M160" i="1" s="1"/>
  <c r="S160" i="1" s="1"/>
  <c r="I159" i="1"/>
  <c r="J159" i="1" s="1"/>
  <c r="I158" i="1"/>
  <c r="J158" i="1" s="1"/>
  <c r="K158" i="1" s="1"/>
  <c r="M158" i="1" s="1"/>
  <c r="S158" i="1" s="1"/>
  <c r="I157" i="1"/>
  <c r="I156" i="1"/>
  <c r="J156" i="1" s="1"/>
  <c r="K156" i="1" s="1"/>
  <c r="M156" i="1" s="1"/>
  <c r="S156" i="1" s="1"/>
  <c r="U156" i="1" s="1"/>
  <c r="I155" i="1"/>
  <c r="I154" i="1"/>
  <c r="J154" i="1" s="1"/>
  <c r="K154" i="1" s="1"/>
  <c r="M154" i="1" s="1"/>
  <c r="S154" i="1" s="1"/>
  <c r="U154" i="1" s="1"/>
  <c r="I153" i="1"/>
  <c r="J153" i="1" s="1"/>
  <c r="I152" i="1"/>
  <c r="J152" i="1" s="1"/>
  <c r="K152" i="1" s="1"/>
  <c r="M152" i="1" s="1"/>
  <c r="S152" i="1" s="1"/>
  <c r="V152" i="1" s="1"/>
  <c r="I151" i="1"/>
  <c r="I150" i="1"/>
  <c r="I149" i="1"/>
  <c r="J149" i="1" s="1"/>
  <c r="I148" i="1"/>
  <c r="I147" i="1"/>
  <c r="J147" i="1" s="1"/>
  <c r="I146" i="1"/>
  <c r="J146" i="1" s="1"/>
  <c r="I145" i="1"/>
  <c r="J145" i="1" s="1"/>
  <c r="I144" i="1"/>
  <c r="J144" i="1" s="1"/>
  <c r="K144" i="1" s="1"/>
  <c r="M144" i="1" s="1"/>
  <c r="S144" i="1" s="1"/>
  <c r="I143" i="1"/>
  <c r="J143" i="1" s="1"/>
  <c r="I142" i="1"/>
  <c r="J142" i="1" s="1"/>
  <c r="K142" i="1" s="1"/>
  <c r="M142" i="1" s="1"/>
  <c r="S142" i="1" s="1"/>
  <c r="I141" i="1"/>
  <c r="I140" i="1"/>
  <c r="J140" i="1" s="1"/>
  <c r="K140" i="1" s="1"/>
  <c r="M140" i="1" s="1"/>
  <c r="S140" i="1" s="1"/>
  <c r="U140" i="1" s="1"/>
  <c r="I139" i="1"/>
  <c r="I138" i="1"/>
  <c r="J138" i="1" s="1"/>
  <c r="K138" i="1" s="1"/>
  <c r="M138" i="1" s="1"/>
  <c r="S138" i="1" s="1"/>
  <c r="U138" i="1" s="1"/>
  <c r="I137" i="1"/>
  <c r="J137" i="1" s="1"/>
  <c r="I136" i="1"/>
  <c r="J136" i="1" s="1"/>
  <c r="K136" i="1" s="1"/>
  <c r="M136" i="1" s="1"/>
  <c r="S136" i="1" s="1"/>
  <c r="V136" i="1" s="1"/>
  <c r="I135" i="1"/>
  <c r="I134" i="1"/>
  <c r="I133" i="1"/>
  <c r="J133" i="1" s="1"/>
  <c r="I132" i="1"/>
  <c r="J132" i="1" s="1"/>
  <c r="K132" i="1" s="1"/>
  <c r="M132" i="1" s="1"/>
  <c r="S132" i="1" s="1"/>
  <c r="U132" i="1" s="1"/>
  <c r="I131" i="1"/>
  <c r="I130" i="1"/>
  <c r="J130" i="1" s="1"/>
  <c r="K130" i="1" s="1"/>
  <c r="M130" i="1" s="1"/>
  <c r="S130" i="1" s="1"/>
  <c r="I129" i="1"/>
  <c r="I128" i="1"/>
  <c r="I127" i="1"/>
  <c r="J127" i="1" s="1"/>
  <c r="K127" i="1" s="1"/>
  <c r="M127" i="1" s="1"/>
  <c r="S127" i="1" s="1"/>
  <c r="V127" i="1" s="1"/>
  <c r="I126" i="1"/>
  <c r="J126" i="1" s="1"/>
  <c r="K126" i="1" s="1"/>
  <c r="M126" i="1" s="1"/>
  <c r="S126" i="1" s="1"/>
  <c r="I125" i="1"/>
  <c r="J125" i="1" s="1"/>
  <c r="K125" i="1" s="1"/>
  <c r="M125" i="1" s="1"/>
  <c r="S125" i="1" s="1"/>
  <c r="I124" i="1"/>
  <c r="I123" i="1"/>
  <c r="I122" i="1"/>
  <c r="I121" i="1"/>
  <c r="J121" i="1" s="1"/>
  <c r="K121" i="1" s="1"/>
  <c r="M121" i="1" s="1"/>
  <c r="S121" i="1" s="1"/>
  <c r="I120" i="1"/>
  <c r="I119" i="1"/>
  <c r="J119" i="1" s="1"/>
  <c r="K119" i="1" s="1"/>
  <c r="M119" i="1" s="1"/>
  <c r="S119" i="1" s="1"/>
  <c r="I118" i="1"/>
  <c r="I117" i="1"/>
  <c r="J117" i="1" s="1"/>
  <c r="K117" i="1" s="1"/>
  <c r="M117" i="1" s="1"/>
  <c r="S117" i="1" s="1"/>
  <c r="U117" i="1" s="1"/>
  <c r="I116" i="1"/>
  <c r="I115" i="1"/>
  <c r="I114" i="1"/>
  <c r="I113" i="1"/>
  <c r="J113" i="1" s="1"/>
  <c r="K113" i="1" s="1"/>
  <c r="M113" i="1" s="1"/>
  <c r="S113" i="1" s="1"/>
  <c r="I112" i="1"/>
  <c r="I111" i="1"/>
  <c r="J111" i="1" s="1"/>
  <c r="K111" i="1" s="1"/>
  <c r="M111" i="1" s="1"/>
  <c r="S111" i="1" s="1"/>
  <c r="V111" i="1" s="1"/>
  <c r="I110" i="1"/>
  <c r="I109" i="1"/>
  <c r="J109" i="1" s="1"/>
  <c r="K109" i="1" s="1"/>
  <c r="M109" i="1" s="1"/>
  <c r="S109" i="1" s="1"/>
  <c r="I108" i="1"/>
  <c r="I107" i="1"/>
  <c r="J107" i="1" s="1"/>
  <c r="I106" i="1"/>
  <c r="I105" i="1"/>
  <c r="J105" i="1" s="1"/>
  <c r="K105" i="1" s="1"/>
  <c r="M105" i="1" s="1"/>
  <c r="S105" i="1" s="1"/>
  <c r="I104" i="1"/>
  <c r="I103" i="1"/>
  <c r="I102" i="1"/>
  <c r="I101" i="1"/>
  <c r="J101" i="1" s="1"/>
  <c r="K101" i="1" s="1"/>
  <c r="M101" i="1" s="1"/>
  <c r="S101" i="1" s="1"/>
  <c r="W101" i="1" s="1"/>
  <c r="I100" i="1"/>
  <c r="I99" i="1"/>
  <c r="J99" i="1" s="1"/>
  <c r="K99" i="1" s="1"/>
  <c r="M99" i="1" s="1"/>
  <c r="S99" i="1" s="1"/>
  <c r="I98" i="1"/>
  <c r="I97" i="1"/>
  <c r="J97" i="1" s="1"/>
  <c r="K97" i="1" s="1"/>
  <c r="M97" i="1" s="1"/>
  <c r="S97" i="1" s="1"/>
  <c r="I96" i="1"/>
  <c r="I95" i="1"/>
  <c r="J95" i="1" s="1"/>
  <c r="I94" i="1"/>
  <c r="I93" i="1"/>
  <c r="J93" i="1" s="1"/>
  <c r="K93" i="1" s="1"/>
  <c r="M93" i="1" s="1"/>
  <c r="S93" i="1" s="1"/>
  <c r="I92" i="1"/>
  <c r="I91" i="1"/>
  <c r="I90" i="1"/>
  <c r="I89" i="1"/>
  <c r="J89" i="1" s="1"/>
  <c r="K89" i="1" s="1"/>
  <c r="M89" i="1" s="1"/>
  <c r="S89" i="1" s="1"/>
  <c r="I88" i="1"/>
  <c r="I87" i="1"/>
  <c r="J87" i="1" s="1"/>
  <c r="K87" i="1" s="1"/>
  <c r="M87" i="1" s="1"/>
  <c r="S87" i="1" s="1"/>
  <c r="I86" i="1"/>
  <c r="I85" i="1"/>
  <c r="J85" i="1" s="1"/>
  <c r="K85" i="1" s="1"/>
  <c r="M85" i="1" s="1"/>
  <c r="S85" i="1" s="1"/>
  <c r="I84" i="1"/>
  <c r="I83" i="1"/>
  <c r="J83" i="1" s="1"/>
  <c r="K83" i="1" s="1"/>
  <c r="M83" i="1" s="1"/>
  <c r="S83" i="1" s="1"/>
  <c r="I82" i="1"/>
  <c r="I81" i="1"/>
  <c r="J81" i="1" s="1"/>
  <c r="K81" i="1" s="1"/>
  <c r="M81" i="1" s="1"/>
  <c r="S81" i="1" s="1"/>
  <c r="I80" i="1"/>
  <c r="I79" i="1"/>
  <c r="J79" i="1" s="1"/>
  <c r="K79" i="1" s="1"/>
  <c r="M79" i="1" s="1"/>
  <c r="S79" i="1" s="1"/>
  <c r="V79" i="1" s="1"/>
  <c r="I78" i="1"/>
  <c r="I77" i="1"/>
  <c r="J77" i="1" s="1"/>
  <c r="K77" i="1" s="1"/>
  <c r="M77" i="1" s="1"/>
  <c r="S77" i="1" s="1"/>
  <c r="I76" i="1"/>
  <c r="I75" i="1"/>
  <c r="J75" i="1" s="1"/>
  <c r="I74" i="1"/>
  <c r="I73" i="1"/>
  <c r="J73" i="1" s="1"/>
  <c r="K73" i="1" s="1"/>
  <c r="M73" i="1" s="1"/>
  <c r="S73" i="1" s="1"/>
  <c r="I72" i="1"/>
  <c r="I71" i="1"/>
  <c r="I70" i="1"/>
  <c r="I69" i="1"/>
  <c r="J69" i="1" s="1"/>
  <c r="K69" i="1" s="1"/>
  <c r="M69" i="1" s="1"/>
  <c r="S69" i="1" s="1"/>
  <c r="I68" i="1"/>
  <c r="I67" i="1"/>
  <c r="J67" i="1" s="1"/>
  <c r="K67" i="1" s="1"/>
  <c r="M67" i="1" s="1"/>
  <c r="S67" i="1" s="1"/>
  <c r="I66" i="1"/>
  <c r="I65" i="1"/>
  <c r="J65" i="1" s="1"/>
  <c r="K65" i="1" s="1"/>
  <c r="M65" i="1" s="1"/>
  <c r="S65" i="1" s="1"/>
  <c r="I64" i="1"/>
  <c r="I63" i="1"/>
  <c r="J63" i="1" s="1"/>
  <c r="I62" i="1"/>
  <c r="I61" i="1"/>
  <c r="J61" i="1" s="1"/>
  <c r="K61" i="1" s="1"/>
  <c r="M61" i="1" s="1"/>
  <c r="S61" i="1" s="1"/>
  <c r="I60" i="1"/>
  <c r="I59" i="1"/>
  <c r="I58" i="1"/>
  <c r="I57" i="1"/>
  <c r="J57" i="1" s="1"/>
  <c r="K57" i="1" s="1"/>
  <c r="M57" i="1" s="1"/>
  <c r="S57" i="1" s="1"/>
  <c r="I56" i="1"/>
  <c r="I55" i="1"/>
  <c r="J55" i="1" s="1"/>
  <c r="K55" i="1" s="1"/>
  <c r="M55" i="1" s="1"/>
  <c r="S55" i="1" s="1"/>
  <c r="I54" i="1"/>
  <c r="I53" i="1"/>
  <c r="J53" i="1" s="1"/>
  <c r="K53" i="1" s="1"/>
  <c r="M53" i="1" s="1"/>
  <c r="S53" i="1" s="1"/>
  <c r="I52" i="1"/>
  <c r="I51" i="1"/>
  <c r="J51" i="1" s="1"/>
  <c r="K51" i="1" s="1"/>
  <c r="M51" i="1" s="1"/>
  <c r="S51" i="1" s="1"/>
  <c r="I50" i="1"/>
  <c r="I49" i="1"/>
  <c r="J49" i="1" s="1"/>
  <c r="K49" i="1" s="1"/>
  <c r="M49" i="1" s="1"/>
  <c r="S49" i="1" s="1"/>
  <c r="I48" i="1"/>
  <c r="I47" i="1"/>
  <c r="J47" i="1" s="1"/>
  <c r="K47" i="1" s="1"/>
  <c r="M47" i="1" s="1"/>
  <c r="S47" i="1" s="1"/>
  <c r="V47" i="1" s="1"/>
  <c r="I46" i="1"/>
  <c r="I45" i="1"/>
  <c r="J45" i="1" s="1"/>
  <c r="K45" i="1" s="1"/>
  <c r="M45" i="1" s="1"/>
  <c r="S45" i="1" s="1"/>
  <c r="I44" i="1"/>
  <c r="I43" i="1"/>
  <c r="J43" i="1" s="1"/>
  <c r="I42" i="1"/>
  <c r="I41" i="1"/>
  <c r="J41" i="1" s="1"/>
  <c r="K41" i="1" s="1"/>
  <c r="M41" i="1" s="1"/>
  <c r="S41" i="1" s="1"/>
  <c r="I40" i="1"/>
  <c r="I39" i="1"/>
  <c r="I38" i="1"/>
  <c r="I37" i="1"/>
  <c r="J37" i="1" s="1"/>
  <c r="K37" i="1" s="1"/>
  <c r="M37" i="1" s="1"/>
  <c r="S37" i="1" s="1"/>
  <c r="I36" i="1"/>
  <c r="I35" i="1"/>
  <c r="J35" i="1" s="1"/>
  <c r="K35" i="1" s="1"/>
  <c r="M35" i="1" s="1"/>
  <c r="S35" i="1" s="1"/>
  <c r="I34" i="1"/>
  <c r="I33" i="1"/>
  <c r="J33" i="1" s="1"/>
  <c r="K33" i="1" s="1"/>
  <c r="M33" i="1" s="1"/>
  <c r="S33" i="1" s="1"/>
  <c r="I32" i="1"/>
  <c r="I31" i="1"/>
  <c r="J31" i="1" s="1"/>
  <c r="I30" i="1"/>
  <c r="I29" i="1"/>
  <c r="J29" i="1" s="1"/>
  <c r="K29" i="1" s="1"/>
  <c r="M29" i="1" s="1"/>
  <c r="S29" i="1" s="1"/>
  <c r="I28" i="1"/>
  <c r="I27" i="1"/>
  <c r="I26" i="1"/>
  <c r="I25" i="1"/>
  <c r="J25" i="1" s="1"/>
  <c r="K25" i="1" s="1"/>
  <c r="M25" i="1" s="1"/>
  <c r="S25" i="1" s="1"/>
  <c r="I24" i="1"/>
  <c r="I23" i="1"/>
  <c r="J23" i="1" s="1"/>
  <c r="K23" i="1" s="1"/>
  <c r="M23" i="1" s="1"/>
  <c r="S23" i="1" s="1"/>
  <c r="I22" i="1"/>
  <c r="I21" i="1"/>
  <c r="J21" i="1" s="1"/>
  <c r="K21" i="1" s="1"/>
  <c r="M21" i="1" s="1"/>
  <c r="S21" i="1" s="1"/>
  <c r="I20" i="1"/>
  <c r="I19" i="1"/>
  <c r="J19" i="1" s="1"/>
  <c r="K19" i="1" s="1"/>
  <c r="M19" i="1" s="1"/>
  <c r="S19" i="1" s="1"/>
  <c r="I18" i="1"/>
  <c r="I17" i="1"/>
  <c r="J17" i="1" s="1"/>
  <c r="K17" i="1" s="1"/>
  <c r="M17" i="1" s="1"/>
  <c r="S17" i="1" s="1"/>
  <c r="I16" i="1"/>
  <c r="I15" i="1"/>
  <c r="J15" i="1" s="1"/>
  <c r="K15" i="1" s="1"/>
  <c r="M15" i="1" s="1"/>
  <c r="S15" i="1" s="1"/>
  <c r="V15" i="1" s="1"/>
  <c r="I14" i="1"/>
  <c r="I13" i="1"/>
  <c r="J13" i="1" s="1"/>
  <c r="K13" i="1" s="1"/>
  <c r="M13" i="1" s="1"/>
  <c r="S13" i="1" s="1"/>
  <c r="I12" i="1"/>
  <c r="I11" i="1"/>
  <c r="J11" i="1" s="1"/>
  <c r="I10" i="1"/>
  <c r="I9" i="1"/>
  <c r="J9" i="1" s="1"/>
  <c r="K9" i="1" s="1"/>
  <c r="M9" i="1" s="1"/>
  <c r="S9" i="1" s="1"/>
  <c r="I8" i="1"/>
  <c r="I7" i="1"/>
  <c r="I6" i="1"/>
  <c r="I5" i="1"/>
  <c r="J5" i="1" s="1"/>
  <c r="K5" i="1" s="1"/>
  <c r="M5" i="1" s="1"/>
  <c r="S5" i="1" s="1"/>
  <c r="I4" i="1"/>
  <c r="U1994" i="1" l="1"/>
  <c r="U1866" i="1"/>
  <c r="U1050" i="1"/>
  <c r="U1930" i="1"/>
  <c r="V1898" i="1"/>
  <c r="V1812" i="1"/>
  <c r="V1412" i="1"/>
  <c r="U1317" i="1"/>
  <c r="V1732" i="1"/>
  <c r="W1456" i="1"/>
  <c r="U1962" i="1"/>
  <c r="U1834" i="1"/>
  <c r="U1258" i="1"/>
  <c r="V176" i="1"/>
  <c r="W1280" i="1"/>
  <c r="V1498" i="1"/>
  <c r="W735" i="1"/>
  <c r="V735" i="1"/>
  <c r="W751" i="1"/>
  <c r="U144" i="1"/>
  <c r="V144" i="1"/>
  <c r="U160" i="1"/>
  <c r="V160" i="1"/>
  <c r="U224" i="1"/>
  <c r="V224" i="1"/>
  <c r="U288" i="1"/>
  <c r="V288" i="1"/>
  <c r="U320" i="1"/>
  <c r="V320" i="1"/>
  <c r="U336" i="1"/>
  <c r="V336" i="1"/>
  <c r="U352" i="1"/>
  <c r="V352" i="1"/>
  <c r="U1028" i="1"/>
  <c r="V1028" i="1"/>
  <c r="W1040" i="1"/>
  <c r="V1040" i="1"/>
  <c r="U1044" i="1"/>
  <c r="V1044" i="1"/>
  <c r="W1168" i="1"/>
  <c r="V1168" i="1"/>
  <c r="W1232" i="1"/>
  <c r="V1232" i="1"/>
  <c r="W1248" i="1"/>
  <c r="V1264" i="1"/>
  <c r="W1264" i="1"/>
  <c r="U1268" i="1"/>
  <c r="V1268" i="1"/>
  <c r="W1376" i="1"/>
  <c r="V1376" i="1"/>
  <c r="W1408" i="1"/>
  <c r="V1408" i="1"/>
  <c r="V1424" i="1"/>
  <c r="U1444" i="1"/>
  <c r="V1444" i="1"/>
  <c r="U1460" i="1"/>
  <c r="V1460" i="1"/>
  <c r="U1472" i="1"/>
  <c r="W1472" i="1"/>
  <c r="V1472" i="1"/>
  <c r="U1488" i="1"/>
  <c r="V1488" i="1"/>
  <c r="U1492" i="1"/>
  <c r="V1492" i="1"/>
  <c r="U1504" i="1"/>
  <c r="V1504" i="1"/>
  <c r="W1504" i="1"/>
  <c r="U1508" i="1"/>
  <c r="V1508" i="1"/>
  <c r="U1524" i="1"/>
  <c r="V1524" i="1"/>
  <c r="U1536" i="1"/>
  <c r="W1536" i="1"/>
  <c r="V1536" i="1"/>
  <c r="U1552" i="1"/>
  <c r="V1552" i="1"/>
  <c r="U1572" i="1"/>
  <c r="V1572" i="1"/>
  <c r="U1584" i="1"/>
  <c r="W1584" i="1"/>
  <c r="U1588" i="1"/>
  <c r="V1588" i="1"/>
  <c r="U1600" i="1"/>
  <c r="W1600" i="1"/>
  <c r="V1600" i="1"/>
  <c r="U1604" i="1"/>
  <c r="V1604" i="1"/>
  <c r="U1668" i="1"/>
  <c r="V1668" i="1"/>
  <c r="U1744" i="1"/>
  <c r="V1744" i="1"/>
  <c r="U1760" i="1"/>
  <c r="W1760" i="1"/>
  <c r="V1760" i="1"/>
  <c r="U1780" i="1"/>
  <c r="V1780" i="1"/>
  <c r="U1796" i="1"/>
  <c r="V1796" i="1"/>
  <c r="U1824" i="1"/>
  <c r="W1824" i="1"/>
  <c r="V1824" i="1"/>
  <c r="U1828" i="1"/>
  <c r="V1828" i="1"/>
  <c r="U1840" i="1"/>
  <c r="V1840" i="1"/>
  <c r="W1840" i="1"/>
  <c r="U1844" i="1"/>
  <c r="V1844" i="1"/>
  <c r="U1856" i="1"/>
  <c r="W1856" i="1"/>
  <c r="U1872" i="1"/>
  <c r="V1872" i="1"/>
  <c r="U1888" i="1"/>
  <c r="W1888" i="1"/>
  <c r="V1888" i="1"/>
  <c r="U1892" i="1"/>
  <c r="V1892" i="1"/>
  <c r="U1904" i="1"/>
  <c r="V1904" i="1"/>
  <c r="W1904" i="1"/>
  <c r="U1908" i="1"/>
  <c r="V1908" i="1"/>
  <c r="U1920" i="1"/>
  <c r="W1920" i="1"/>
  <c r="U1924" i="1"/>
  <c r="V1924" i="1"/>
  <c r="U1936" i="1"/>
  <c r="V1936" i="1"/>
  <c r="U1952" i="1"/>
  <c r="W1952" i="1"/>
  <c r="V1952" i="1"/>
  <c r="U1956" i="1"/>
  <c r="V1956" i="1"/>
  <c r="U1968" i="1"/>
  <c r="V1968" i="1"/>
  <c r="W1968" i="1"/>
  <c r="U1972" i="1"/>
  <c r="V1972" i="1"/>
  <c r="U1984" i="1"/>
  <c r="W1984" i="1"/>
  <c r="U1988" i="1"/>
  <c r="V1988" i="1"/>
  <c r="U2000" i="1"/>
  <c r="V2000" i="1"/>
  <c r="V1876" i="1"/>
  <c r="V1716" i="1"/>
  <c r="V1584" i="1"/>
  <c r="V1476" i="1"/>
  <c r="V1392" i="1"/>
  <c r="V1216" i="1"/>
  <c r="W1552" i="1"/>
  <c r="W1424" i="1"/>
  <c r="W1216" i="1"/>
  <c r="V1717" i="1"/>
  <c r="U1717" i="1"/>
  <c r="U1733" i="1"/>
  <c r="U1226" i="1"/>
  <c r="V1940" i="1"/>
  <c r="V1856" i="1"/>
  <c r="V1770" i="1"/>
  <c r="V1684" i="1"/>
  <c r="V1540" i="1"/>
  <c r="V1456" i="1"/>
  <c r="V1360" i="1"/>
  <c r="V1140" i="1"/>
  <c r="V304" i="1"/>
  <c r="W2000" i="1"/>
  <c r="W1744" i="1"/>
  <c r="W1520" i="1"/>
  <c r="W1392" i="1"/>
  <c r="W1024" i="1"/>
  <c r="U192" i="1"/>
  <c r="V192" i="1"/>
  <c r="U208" i="1"/>
  <c r="V208" i="1"/>
  <c r="U256" i="1"/>
  <c r="V256" i="1"/>
  <c r="U272" i="1"/>
  <c r="V272" i="1"/>
  <c r="U1156" i="1"/>
  <c r="V1156" i="1"/>
  <c r="W1200" i="1"/>
  <c r="V1200" i="1"/>
  <c r="U1220" i="1"/>
  <c r="V1220" i="1"/>
  <c r="U1236" i="1"/>
  <c r="V1236" i="1"/>
  <c r="U1252" i="1"/>
  <c r="V1252" i="1"/>
  <c r="U1348" i="1"/>
  <c r="V1348" i="1"/>
  <c r="U1364" i="1"/>
  <c r="V1364" i="1"/>
  <c r="U1380" i="1"/>
  <c r="V1380" i="1"/>
  <c r="U1396" i="1"/>
  <c r="V1396" i="1"/>
  <c r="U1428" i="1"/>
  <c r="V1428" i="1"/>
  <c r="U1440" i="1"/>
  <c r="V1440" i="1"/>
  <c r="W1440" i="1"/>
  <c r="U1616" i="1"/>
  <c r="W1616" i="1"/>
  <c r="U1620" i="1"/>
  <c r="V1620" i="1"/>
  <c r="U1632" i="1"/>
  <c r="V1632" i="1"/>
  <c r="U1648" i="1"/>
  <c r="W1648" i="1"/>
  <c r="V1648" i="1"/>
  <c r="U1664" i="1"/>
  <c r="V1664" i="1"/>
  <c r="W1664" i="1"/>
  <c r="U1680" i="1"/>
  <c r="W1680" i="1"/>
  <c r="V1680" i="1"/>
  <c r="U1696" i="1"/>
  <c r="V1696" i="1"/>
  <c r="U1712" i="1"/>
  <c r="W1712" i="1"/>
  <c r="V1712" i="1"/>
  <c r="U1728" i="1"/>
  <c r="W1728" i="1"/>
  <c r="V1728" i="1"/>
  <c r="U1764" i="1"/>
  <c r="V1764" i="1"/>
  <c r="U1776" i="1"/>
  <c r="V1776" i="1"/>
  <c r="W1776" i="1"/>
  <c r="U1792" i="1"/>
  <c r="W1792" i="1"/>
  <c r="U1808" i="1"/>
  <c r="V1808" i="1"/>
  <c r="U1860" i="1"/>
  <c r="V1860" i="1"/>
  <c r="V1114" i="1"/>
  <c r="U1114" i="1"/>
  <c r="V1210" i="1"/>
  <c r="U1210" i="1"/>
  <c r="V1242" i="1"/>
  <c r="U1242" i="1"/>
  <c r="V1274" i="1"/>
  <c r="U1274" i="1"/>
  <c r="U1354" i="1"/>
  <c r="V1354" i="1"/>
  <c r="V1402" i="1"/>
  <c r="U1402" i="1"/>
  <c r="V1418" i="1"/>
  <c r="U1418" i="1"/>
  <c r="U1450" i="1"/>
  <c r="V1450" i="1"/>
  <c r="V1466" i="1"/>
  <c r="U1466" i="1"/>
  <c r="V1482" i="1"/>
  <c r="U1482" i="1"/>
  <c r="U1514" i="1"/>
  <c r="V1514" i="1"/>
  <c r="V1530" i="1"/>
  <c r="U1530" i="1"/>
  <c r="V1546" i="1"/>
  <c r="U1546" i="1"/>
  <c r="V1578" i="1"/>
  <c r="U1578" i="1"/>
  <c r="V1594" i="1"/>
  <c r="U1594" i="1"/>
  <c r="V1610" i="1"/>
  <c r="U1610" i="1"/>
  <c r="V1626" i="1"/>
  <c r="U1626" i="1"/>
  <c r="V1706" i="1"/>
  <c r="U1706" i="1"/>
  <c r="V1722" i="1"/>
  <c r="U1722" i="1"/>
  <c r="U1738" i="1"/>
  <c r="V1738" i="1"/>
  <c r="V1754" i="1"/>
  <c r="U1754" i="1"/>
  <c r="V1786" i="1"/>
  <c r="U1786" i="1"/>
  <c r="V1818" i="1"/>
  <c r="U1818" i="1"/>
  <c r="U1978" i="1"/>
  <c r="U1946" i="1"/>
  <c r="U1914" i="1"/>
  <c r="U1882" i="1"/>
  <c r="U1850" i="1"/>
  <c r="U1802" i="1"/>
  <c r="U101" i="1"/>
  <c r="V1920" i="1"/>
  <c r="V1748" i="1"/>
  <c r="V1652" i="1"/>
  <c r="V1520" i="1"/>
  <c r="V1434" i="1"/>
  <c r="V1280" i="1"/>
  <c r="V1024" i="1"/>
  <c r="V240" i="1"/>
  <c r="W1936" i="1"/>
  <c r="W1696" i="1"/>
  <c r="W1488" i="1"/>
  <c r="W1360" i="1"/>
  <c r="W5" i="1"/>
  <c r="V5" i="1"/>
  <c r="U5" i="1"/>
  <c r="W9" i="1"/>
  <c r="V9" i="1"/>
  <c r="U9" i="1"/>
  <c r="W13" i="1"/>
  <c r="V13" i="1"/>
  <c r="U13" i="1"/>
  <c r="W17" i="1"/>
  <c r="V17" i="1"/>
  <c r="U17" i="1"/>
  <c r="W21" i="1"/>
  <c r="V21" i="1"/>
  <c r="U21" i="1"/>
  <c r="W25" i="1"/>
  <c r="V25" i="1"/>
  <c r="U25" i="1"/>
  <c r="W29" i="1"/>
  <c r="V29" i="1"/>
  <c r="U29" i="1"/>
  <c r="W33" i="1"/>
  <c r="V33" i="1"/>
  <c r="U33" i="1"/>
  <c r="W37" i="1"/>
  <c r="V37" i="1"/>
  <c r="W41" i="1"/>
  <c r="V41" i="1"/>
  <c r="U41" i="1"/>
  <c r="W45" i="1"/>
  <c r="V45" i="1"/>
  <c r="U45" i="1"/>
  <c r="V49" i="1"/>
  <c r="W49" i="1"/>
  <c r="U49" i="1"/>
  <c r="V53" i="1"/>
  <c r="W53" i="1"/>
  <c r="U53" i="1"/>
  <c r="V57" i="1"/>
  <c r="W57" i="1"/>
  <c r="U57" i="1"/>
  <c r="W126" i="1"/>
  <c r="V126" i="1"/>
  <c r="U126" i="1"/>
  <c r="W130" i="1"/>
  <c r="V130" i="1"/>
  <c r="U130" i="1"/>
  <c r="W142" i="1"/>
  <c r="V142" i="1"/>
  <c r="U142" i="1"/>
  <c r="W158" i="1"/>
  <c r="V158" i="1"/>
  <c r="U158" i="1"/>
  <c r="W170" i="1"/>
  <c r="V170" i="1"/>
  <c r="W174" i="1"/>
  <c r="V174" i="1"/>
  <c r="U174" i="1"/>
  <c r="W190" i="1"/>
  <c r="V190" i="1"/>
  <c r="U190" i="1"/>
  <c r="W206" i="1"/>
  <c r="V206" i="1"/>
  <c r="U206" i="1"/>
  <c r="W218" i="1"/>
  <c r="V218" i="1"/>
  <c r="W238" i="1"/>
  <c r="V238" i="1"/>
  <c r="U238" i="1"/>
  <c r="W246" i="1"/>
  <c r="V246" i="1"/>
  <c r="U246" i="1"/>
  <c r="W250" i="1"/>
  <c r="V250" i="1"/>
  <c r="W266" i="1"/>
  <c r="V266" i="1"/>
  <c r="W274" i="1"/>
  <c r="V274" i="1"/>
  <c r="U274" i="1"/>
  <c r="W278" i="1"/>
  <c r="V278" i="1"/>
  <c r="U278" i="1"/>
  <c r="W286" i="1"/>
  <c r="V286" i="1"/>
  <c r="U286" i="1"/>
  <c r="W302" i="1"/>
  <c r="V302" i="1"/>
  <c r="U302" i="1"/>
  <c r="W310" i="1"/>
  <c r="V310" i="1"/>
  <c r="U310" i="1"/>
  <c r="W318" i="1"/>
  <c r="V318" i="1"/>
  <c r="U318" i="1"/>
  <c r="W334" i="1"/>
  <c r="V334" i="1"/>
  <c r="U334" i="1"/>
  <c r="W350" i="1"/>
  <c r="V350" i="1"/>
  <c r="U350" i="1"/>
  <c r="W362" i="1"/>
  <c r="V362" i="1"/>
  <c r="W1014" i="1"/>
  <c r="V1014" i="1"/>
  <c r="U1014" i="1"/>
  <c r="W1018" i="1"/>
  <c r="V1018" i="1"/>
  <c r="W1022" i="1"/>
  <c r="V1022" i="1"/>
  <c r="U1022" i="1"/>
  <c r="W1026" i="1"/>
  <c r="V1026" i="1"/>
  <c r="W1030" i="1"/>
  <c r="V1030" i="1"/>
  <c r="U1030" i="1"/>
  <c r="W1034" i="1"/>
  <c r="V1034" i="1"/>
  <c r="W1038" i="1"/>
  <c r="V1038" i="1"/>
  <c r="U1038" i="1"/>
  <c r="W1042" i="1"/>
  <c r="V1042" i="1"/>
  <c r="U1034" i="1"/>
  <c r="U1018" i="1"/>
  <c r="U250" i="1"/>
  <c r="W138" i="1"/>
  <c r="V138" i="1"/>
  <c r="W154" i="1"/>
  <c r="V154" i="1"/>
  <c r="W186" i="1"/>
  <c r="V186" i="1"/>
  <c r="W202" i="1"/>
  <c r="V202" i="1"/>
  <c r="W222" i="1"/>
  <c r="V222" i="1"/>
  <c r="U222" i="1"/>
  <c r="W234" i="1"/>
  <c r="V234" i="1"/>
  <c r="W254" i="1"/>
  <c r="V254" i="1"/>
  <c r="U254" i="1"/>
  <c r="W270" i="1"/>
  <c r="V270" i="1"/>
  <c r="U270" i="1"/>
  <c r="W282" i="1"/>
  <c r="V282" i="1"/>
  <c r="W298" i="1"/>
  <c r="V298" i="1"/>
  <c r="W314" i="1"/>
  <c r="V314" i="1"/>
  <c r="W330" i="1"/>
  <c r="V330" i="1"/>
  <c r="W346" i="1"/>
  <c r="V346" i="1"/>
  <c r="W366" i="1"/>
  <c r="V366" i="1"/>
  <c r="U366" i="1"/>
  <c r="U346" i="1"/>
  <c r="U298" i="1"/>
  <c r="U234" i="1"/>
  <c r="U170" i="1"/>
  <c r="U37" i="1"/>
  <c r="V61" i="1"/>
  <c r="W61" i="1"/>
  <c r="U61" i="1"/>
  <c r="V65" i="1"/>
  <c r="W65" i="1"/>
  <c r="U65" i="1"/>
  <c r="V69" i="1"/>
  <c r="V73" i="1"/>
  <c r="W73" i="1"/>
  <c r="U73" i="1"/>
  <c r="V77" i="1"/>
  <c r="W77" i="1"/>
  <c r="U77" i="1"/>
  <c r="V81" i="1"/>
  <c r="W81" i="1"/>
  <c r="U81" i="1"/>
  <c r="V85" i="1"/>
  <c r="W85" i="1"/>
  <c r="V89" i="1"/>
  <c r="W89" i="1"/>
  <c r="U89" i="1"/>
  <c r="V93" i="1"/>
  <c r="W93" i="1"/>
  <c r="U93" i="1"/>
  <c r="V97" i="1"/>
  <c r="W97" i="1"/>
  <c r="U97" i="1"/>
  <c r="V101" i="1"/>
  <c r="V105" i="1"/>
  <c r="W105" i="1"/>
  <c r="U105" i="1"/>
  <c r="V109" i="1"/>
  <c r="W109" i="1"/>
  <c r="U109" i="1"/>
  <c r="V113" i="1"/>
  <c r="W113" i="1"/>
  <c r="U113" i="1"/>
  <c r="V117" i="1"/>
  <c r="W117" i="1"/>
  <c r="V121" i="1"/>
  <c r="W121" i="1"/>
  <c r="U121" i="1"/>
  <c r="V125" i="1"/>
  <c r="W125" i="1"/>
  <c r="U125" i="1"/>
  <c r="V381" i="1"/>
  <c r="W381" i="1"/>
  <c r="U381" i="1"/>
  <c r="V397" i="1"/>
  <c r="W397" i="1"/>
  <c r="U397" i="1"/>
  <c r="V649" i="1"/>
  <c r="W649" i="1"/>
  <c r="U649" i="1"/>
  <c r="V653" i="1"/>
  <c r="W653" i="1"/>
  <c r="U653" i="1"/>
  <c r="V661" i="1"/>
  <c r="W661" i="1"/>
  <c r="U661" i="1"/>
  <c r="V665" i="1"/>
  <c r="W665" i="1"/>
  <c r="U665" i="1"/>
  <c r="V669" i="1"/>
  <c r="W669" i="1"/>
  <c r="U669" i="1"/>
  <c r="V673" i="1"/>
  <c r="W673" i="1"/>
  <c r="U673" i="1"/>
  <c r="V677" i="1"/>
  <c r="U677" i="1"/>
  <c r="V681" i="1"/>
  <c r="W681" i="1"/>
  <c r="U681" i="1"/>
  <c r="V685" i="1"/>
  <c r="W685" i="1"/>
  <c r="U685" i="1"/>
  <c r="V689" i="1"/>
  <c r="W689" i="1"/>
  <c r="U689" i="1"/>
  <c r="V693" i="1"/>
  <c r="W693" i="1"/>
  <c r="U693" i="1"/>
  <c r="V697" i="1"/>
  <c r="W697" i="1"/>
  <c r="U697" i="1"/>
  <c r="V701" i="1"/>
  <c r="W701" i="1"/>
  <c r="U701" i="1"/>
  <c r="W705" i="1"/>
  <c r="V705" i="1"/>
  <c r="U705" i="1"/>
  <c r="U709" i="1"/>
  <c r="V709" i="1"/>
  <c r="W713" i="1"/>
  <c r="V713" i="1"/>
  <c r="U713" i="1"/>
  <c r="W717" i="1"/>
  <c r="V717" i="1"/>
  <c r="U717" i="1"/>
  <c r="W721" i="1"/>
  <c r="V721" i="1"/>
  <c r="U721" i="1"/>
  <c r="W725" i="1"/>
  <c r="U725" i="1"/>
  <c r="W729" i="1"/>
  <c r="V729" i="1"/>
  <c r="U729" i="1"/>
  <c r="W733" i="1"/>
  <c r="V733" i="1"/>
  <c r="U733" i="1"/>
  <c r="W737" i="1"/>
  <c r="V737" i="1"/>
  <c r="U737" i="1"/>
  <c r="W741" i="1"/>
  <c r="U741" i="1"/>
  <c r="V741" i="1"/>
  <c r="W745" i="1"/>
  <c r="V745" i="1"/>
  <c r="U745" i="1"/>
  <c r="W749" i="1"/>
  <c r="V749" i="1"/>
  <c r="U749" i="1"/>
  <c r="W753" i="1"/>
  <c r="V753" i="1"/>
  <c r="U753" i="1"/>
  <c r="W1045" i="1"/>
  <c r="W1121" i="1"/>
  <c r="V1121" i="1"/>
  <c r="W1157" i="1"/>
  <c r="W1205" i="1"/>
  <c r="W1209" i="1"/>
  <c r="V1209" i="1"/>
  <c r="W1213" i="1"/>
  <c r="V1213" i="1"/>
  <c r="W1317" i="1"/>
  <c r="W1325" i="1"/>
  <c r="V1325" i="1"/>
  <c r="W1329" i="1"/>
  <c r="V1329" i="1"/>
  <c r="W1333" i="1"/>
  <c r="W1337" i="1"/>
  <c r="V1337" i="1"/>
  <c r="W1341" i="1"/>
  <c r="V1341" i="1"/>
  <c r="W1345" i="1"/>
  <c r="V1345" i="1"/>
  <c r="W1349" i="1"/>
  <c r="W1353" i="1"/>
  <c r="V1353" i="1"/>
  <c r="W1357" i="1"/>
  <c r="V1357" i="1"/>
  <c r="W1361" i="1"/>
  <c r="V1361" i="1"/>
  <c r="W1365" i="1"/>
  <c r="W1369" i="1"/>
  <c r="V1369" i="1"/>
  <c r="W1373" i="1"/>
  <c r="V1373" i="1"/>
  <c r="W1377" i="1"/>
  <c r="V1377" i="1"/>
  <c r="W1381" i="1"/>
  <c r="W1385" i="1"/>
  <c r="V1385" i="1"/>
  <c r="W1389" i="1"/>
  <c r="V1389" i="1"/>
  <c r="W1393" i="1"/>
  <c r="V1393" i="1"/>
  <c r="W1397" i="1"/>
  <c r="W1401" i="1"/>
  <c r="V1401" i="1"/>
  <c r="W1405" i="1"/>
  <c r="V1405" i="1"/>
  <c r="W1409" i="1"/>
  <c r="V1409" i="1"/>
  <c r="W1413" i="1"/>
  <c r="W1417" i="1"/>
  <c r="V1417" i="1"/>
  <c r="W1421" i="1"/>
  <c r="V1421" i="1"/>
  <c r="W1425" i="1"/>
  <c r="V1425" i="1"/>
  <c r="W1429" i="1"/>
  <c r="W1433" i="1"/>
  <c r="V1433" i="1"/>
  <c r="W1437" i="1"/>
  <c r="V1437" i="1"/>
  <c r="W1441" i="1"/>
  <c r="V1441" i="1"/>
  <c r="W1445" i="1"/>
  <c r="W1449" i="1"/>
  <c r="V1449" i="1"/>
  <c r="W1453" i="1"/>
  <c r="V1453" i="1"/>
  <c r="W1457" i="1"/>
  <c r="V1457" i="1"/>
  <c r="W1461" i="1"/>
  <c r="W1465" i="1"/>
  <c r="V1465" i="1"/>
  <c r="W1469" i="1"/>
  <c r="V1469" i="1"/>
  <c r="W1473" i="1"/>
  <c r="V1473" i="1"/>
  <c r="W1477" i="1"/>
  <c r="W1481" i="1"/>
  <c r="V1481" i="1"/>
  <c r="W1485" i="1"/>
  <c r="V1485" i="1"/>
  <c r="W1489" i="1"/>
  <c r="V1489" i="1"/>
  <c r="W1493" i="1"/>
  <c r="W1497" i="1"/>
  <c r="V1497" i="1"/>
  <c r="W1501" i="1"/>
  <c r="V1501" i="1"/>
  <c r="W1505" i="1"/>
  <c r="V1505" i="1"/>
  <c r="W1509" i="1"/>
  <c r="W1513" i="1"/>
  <c r="V1513" i="1"/>
  <c r="W1517" i="1"/>
  <c r="V1517" i="1"/>
  <c r="W1521" i="1"/>
  <c r="V1521" i="1"/>
  <c r="W1525" i="1"/>
  <c r="W1529" i="1"/>
  <c r="V1529" i="1"/>
  <c r="W1533" i="1"/>
  <c r="V1533" i="1"/>
  <c r="W1537" i="1"/>
  <c r="V1537" i="1"/>
  <c r="W1541" i="1"/>
  <c r="W1545" i="1"/>
  <c r="V1545" i="1"/>
  <c r="W1549" i="1"/>
  <c r="V1549" i="1"/>
  <c r="W1717" i="1"/>
  <c r="W1721" i="1"/>
  <c r="V1721" i="1"/>
  <c r="W1733" i="1"/>
  <c r="W1737" i="1"/>
  <c r="V1737" i="1"/>
  <c r="W1753" i="1"/>
  <c r="V1753" i="1"/>
  <c r="W1761" i="1"/>
  <c r="V1761" i="1"/>
  <c r="T1769" i="1"/>
  <c r="W1769" i="1"/>
  <c r="V1769" i="1"/>
  <c r="T1825" i="1"/>
  <c r="W1825" i="1"/>
  <c r="V1825" i="1"/>
  <c r="U1825" i="1"/>
  <c r="U1769" i="1"/>
  <c r="U1761" i="1"/>
  <c r="U1753" i="1"/>
  <c r="U1737" i="1"/>
  <c r="U1721" i="1"/>
  <c r="U1545" i="1"/>
  <c r="U1537" i="1"/>
  <c r="U1529" i="1"/>
  <c r="U1521" i="1"/>
  <c r="U1513" i="1"/>
  <c r="U1505" i="1"/>
  <c r="U1497" i="1"/>
  <c r="U1489" i="1"/>
  <c r="U1481" i="1"/>
  <c r="U1473" i="1"/>
  <c r="U1465" i="1"/>
  <c r="U1457" i="1"/>
  <c r="U1449" i="1"/>
  <c r="U1441" i="1"/>
  <c r="U1433" i="1"/>
  <c r="U1425" i="1"/>
  <c r="U1417" i="1"/>
  <c r="U1409" i="1"/>
  <c r="U1401" i="1"/>
  <c r="U1393" i="1"/>
  <c r="U1385" i="1"/>
  <c r="U1377" i="1"/>
  <c r="U1369" i="1"/>
  <c r="U1361" i="1"/>
  <c r="U1353" i="1"/>
  <c r="U1345" i="1"/>
  <c r="U1337" i="1"/>
  <c r="U1329" i="1"/>
  <c r="U1209" i="1"/>
  <c r="U1121" i="1"/>
  <c r="U69" i="1"/>
  <c r="V1541" i="1"/>
  <c r="V1525" i="1"/>
  <c r="V1509" i="1"/>
  <c r="V1493" i="1"/>
  <c r="V1477" i="1"/>
  <c r="V1461" i="1"/>
  <c r="V1445" i="1"/>
  <c r="V1429" i="1"/>
  <c r="V1413" i="1"/>
  <c r="V1397" i="1"/>
  <c r="V1381" i="1"/>
  <c r="V1365" i="1"/>
  <c r="V1349" i="1"/>
  <c r="V1333" i="1"/>
  <c r="V1205" i="1"/>
  <c r="V1045" i="1"/>
  <c r="W709" i="1"/>
  <c r="W69" i="1"/>
  <c r="W1050" i="1"/>
  <c r="W1094" i="1"/>
  <c r="V1094" i="1"/>
  <c r="W1114" i="1"/>
  <c r="W1122" i="1"/>
  <c r="V1122" i="1"/>
  <c r="W1134" i="1"/>
  <c r="V1134" i="1"/>
  <c r="W1138" i="1"/>
  <c r="V1138" i="1"/>
  <c r="W1178" i="1"/>
  <c r="W1186" i="1"/>
  <c r="V1186" i="1"/>
  <c r="W1202" i="1"/>
  <c r="V1202" i="1"/>
  <c r="W1210" i="1"/>
  <c r="W1214" i="1"/>
  <c r="V1214" i="1"/>
  <c r="W1218" i="1"/>
  <c r="V1218" i="1"/>
  <c r="W1222" i="1"/>
  <c r="V1222" i="1"/>
  <c r="W1226" i="1"/>
  <c r="W1230" i="1"/>
  <c r="V1230" i="1"/>
  <c r="W1234" i="1"/>
  <c r="V1234" i="1"/>
  <c r="W1238" i="1"/>
  <c r="V1238" i="1"/>
  <c r="W1242" i="1"/>
  <c r="W1246" i="1"/>
  <c r="V1246" i="1"/>
  <c r="W1250" i="1"/>
  <c r="V1250" i="1"/>
  <c r="W1254" i="1"/>
  <c r="V1254" i="1"/>
  <c r="W1258" i="1"/>
  <c r="W1262" i="1"/>
  <c r="V1262" i="1"/>
  <c r="W1266" i="1"/>
  <c r="V1266" i="1"/>
  <c r="W1270" i="1"/>
  <c r="V1270" i="1"/>
  <c r="W1274" i="1"/>
  <c r="W1278" i="1"/>
  <c r="V1278" i="1"/>
  <c r="W1294" i="1"/>
  <c r="V1294" i="1"/>
  <c r="W1298" i="1"/>
  <c r="V1298" i="1"/>
  <c r="W1310" i="1"/>
  <c r="V1310" i="1"/>
  <c r="W1326" i="1"/>
  <c r="V1326" i="1"/>
  <c r="W1330" i="1"/>
  <c r="V1330" i="1"/>
  <c r="W1354" i="1"/>
  <c r="W1394" i="1"/>
  <c r="V1394" i="1"/>
  <c r="W1398" i="1"/>
  <c r="V1398" i="1"/>
  <c r="W1402" i="1"/>
  <c r="W1406" i="1"/>
  <c r="V1406" i="1"/>
  <c r="W1410" i="1"/>
  <c r="V1410" i="1"/>
  <c r="W1414" i="1"/>
  <c r="V1414" i="1"/>
  <c r="W1418" i="1"/>
  <c r="W1422" i="1"/>
  <c r="V1422" i="1"/>
  <c r="W1426" i="1"/>
  <c r="V1426" i="1"/>
  <c r="T1430" i="1"/>
  <c r="W1430" i="1"/>
  <c r="V1430" i="1"/>
  <c r="W1434" i="1"/>
  <c r="W1438" i="1"/>
  <c r="V1438" i="1"/>
  <c r="W1442" i="1"/>
  <c r="V1442" i="1"/>
  <c r="T1446" i="1"/>
  <c r="W1446" i="1"/>
  <c r="V1446" i="1"/>
  <c r="W1450" i="1"/>
  <c r="W1454" i="1"/>
  <c r="V1454" i="1"/>
  <c r="W1458" i="1"/>
  <c r="V1458" i="1"/>
  <c r="T1462" i="1"/>
  <c r="W1462" i="1"/>
  <c r="V1462" i="1"/>
  <c r="W1466" i="1"/>
  <c r="W1470" i="1"/>
  <c r="V1470" i="1"/>
  <c r="W1474" i="1"/>
  <c r="V1474" i="1"/>
  <c r="T1478" i="1"/>
  <c r="W1478" i="1"/>
  <c r="V1478" i="1"/>
  <c r="W1482" i="1"/>
  <c r="W1486" i="1"/>
  <c r="V1486" i="1"/>
  <c r="W1490" i="1"/>
  <c r="V1490" i="1"/>
  <c r="T1494" i="1"/>
  <c r="W1494" i="1"/>
  <c r="V1494" i="1"/>
  <c r="W1498" i="1"/>
  <c r="W1502" i="1"/>
  <c r="V1502" i="1"/>
  <c r="W1506" i="1"/>
  <c r="V1506" i="1"/>
  <c r="T1510" i="1"/>
  <c r="W1510" i="1"/>
  <c r="V1510" i="1"/>
  <c r="W1514" i="1"/>
  <c r="W1518" i="1"/>
  <c r="V1518" i="1"/>
  <c r="W1522" i="1"/>
  <c r="V1522" i="1"/>
  <c r="T1526" i="1"/>
  <c r="W1526" i="1"/>
  <c r="V1526" i="1"/>
  <c r="W1530" i="1"/>
  <c r="W1534" i="1"/>
  <c r="V1534" i="1"/>
  <c r="W1538" i="1"/>
  <c r="V1538" i="1"/>
  <c r="T1542" i="1"/>
  <c r="W1542" i="1"/>
  <c r="V1542" i="1"/>
  <c r="W1546" i="1"/>
  <c r="W1550" i="1"/>
  <c r="V1550" i="1"/>
  <c r="W1570" i="1"/>
  <c r="V1570" i="1"/>
  <c r="T1574" i="1"/>
  <c r="W1574" i="1"/>
  <c r="V1574" i="1"/>
  <c r="W1578" i="1"/>
  <c r="W1582" i="1"/>
  <c r="V1582" i="1"/>
  <c r="W1586" i="1"/>
  <c r="V1586" i="1"/>
  <c r="T1590" i="1"/>
  <c r="W1590" i="1"/>
  <c r="V1590" i="1"/>
  <c r="W1594" i="1"/>
  <c r="W1598" i="1"/>
  <c r="V1598" i="1"/>
  <c r="W1602" i="1"/>
  <c r="V1602" i="1"/>
  <c r="T1606" i="1"/>
  <c r="W1606" i="1"/>
  <c r="V1606" i="1"/>
  <c r="W1610" i="1"/>
  <c r="W1614" i="1"/>
  <c r="V1614" i="1"/>
  <c r="W1618" i="1"/>
  <c r="V1618" i="1"/>
  <c r="T1622" i="1"/>
  <c r="W1622" i="1"/>
  <c r="V1622" i="1"/>
  <c r="W1626" i="1"/>
  <c r="W1630" i="1"/>
  <c r="V1630" i="1"/>
  <c r="T1638" i="1"/>
  <c r="W1638" i="1"/>
  <c r="V1638" i="1"/>
  <c r="W1642" i="1"/>
  <c r="W1646" i="1"/>
  <c r="V1646" i="1"/>
  <c r="W1650" i="1"/>
  <c r="V1650" i="1"/>
  <c r="T1654" i="1"/>
  <c r="W1654" i="1"/>
  <c r="V1654" i="1"/>
  <c r="W1658" i="1"/>
  <c r="W1674" i="1"/>
  <c r="W1678" i="1"/>
  <c r="V1678" i="1"/>
  <c r="W1682" i="1"/>
  <c r="V1682" i="1"/>
  <c r="T1686" i="1"/>
  <c r="W1686" i="1"/>
  <c r="V1686" i="1"/>
  <c r="W1690" i="1"/>
  <c r="W1694" i="1"/>
  <c r="V1694" i="1"/>
  <c r="W1698" i="1"/>
  <c r="V1698" i="1"/>
  <c r="T1702" i="1"/>
  <c r="W1702" i="1"/>
  <c r="V1702" i="1"/>
  <c r="W1706" i="1"/>
  <c r="W1710" i="1"/>
  <c r="V1710" i="1"/>
  <c r="W1714" i="1"/>
  <c r="V1714" i="1"/>
  <c r="T1718" i="1"/>
  <c r="W1718" i="1"/>
  <c r="V1718" i="1"/>
  <c r="W1722" i="1"/>
  <c r="W1726" i="1"/>
  <c r="V1726" i="1"/>
  <c r="W1730" i="1"/>
  <c r="V1730" i="1"/>
  <c r="T1734" i="1"/>
  <c r="W1734" i="1"/>
  <c r="V1734" i="1"/>
  <c r="W1738" i="1"/>
  <c r="W1742" i="1"/>
  <c r="V1742" i="1"/>
  <c r="W1746" i="1"/>
  <c r="V1746" i="1"/>
  <c r="T1750" i="1"/>
  <c r="W1750" i="1"/>
  <c r="V1750" i="1"/>
  <c r="W1754" i="1"/>
  <c r="W1758" i="1"/>
  <c r="V1758" i="1"/>
  <c r="W1762" i="1"/>
  <c r="V1762" i="1"/>
  <c r="W1766" i="1"/>
  <c r="V1766" i="1"/>
  <c r="W1770" i="1"/>
  <c r="W1774" i="1"/>
  <c r="V1774" i="1"/>
  <c r="W1778" i="1"/>
  <c r="V1778" i="1"/>
  <c r="W1782" i="1"/>
  <c r="V1782" i="1"/>
  <c r="W1786" i="1"/>
  <c r="W1790" i="1"/>
  <c r="V1790" i="1"/>
  <c r="W1794" i="1"/>
  <c r="V1794" i="1"/>
  <c r="W1798" i="1"/>
  <c r="V1798" i="1"/>
  <c r="W1802" i="1"/>
  <c r="W1806" i="1"/>
  <c r="V1806" i="1"/>
  <c r="W1810" i="1"/>
  <c r="V1810" i="1"/>
  <c r="W1814" i="1"/>
  <c r="V1814" i="1"/>
  <c r="W1818" i="1"/>
  <c r="W1822" i="1"/>
  <c r="V1822" i="1"/>
  <c r="W1826" i="1"/>
  <c r="V1826" i="1"/>
  <c r="W1830" i="1"/>
  <c r="V1830" i="1"/>
  <c r="W1834" i="1"/>
  <c r="W1838" i="1"/>
  <c r="V1838" i="1"/>
  <c r="W1842" i="1"/>
  <c r="V1842" i="1"/>
  <c r="W1846" i="1"/>
  <c r="V1846" i="1"/>
  <c r="W1850" i="1"/>
  <c r="W1854" i="1"/>
  <c r="V1854" i="1"/>
  <c r="W1858" i="1"/>
  <c r="V1858" i="1"/>
  <c r="W1862" i="1"/>
  <c r="V1862" i="1"/>
  <c r="W1866" i="1"/>
  <c r="W1870" i="1"/>
  <c r="V1870" i="1"/>
  <c r="W1874" i="1"/>
  <c r="V1874" i="1"/>
  <c r="W1878" i="1"/>
  <c r="V1878" i="1"/>
  <c r="W1882" i="1"/>
  <c r="W1886" i="1"/>
  <c r="V1886" i="1"/>
  <c r="W1890" i="1"/>
  <c r="V1890" i="1"/>
  <c r="W1894" i="1"/>
  <c r="V1894" i="1"/>
  <c r="W1898" i="1"/>
  <c r="W1902" i="1"/>
  <c r="V1902" i="1"/>
  <c r="W1906" i="1"/>
  <c r="V1906" i="1"/>
  <c r="W1910" i="1"/>
  <c r="V1910" i="1"/>
  <c r="W1914" i="1"/>
  <c r="W1918" i="1"/>
  <c r="V1918" i="1"/>
  <c r="W1922" i="1"/>
  <c r="V1922" i="1"/>
  <c r="W1926" i="1"/>
  <c r="V1926" i="1"/>
  <c r="W1930" i="1"/>
  <c r="W1934" i="1"/>
  <c r="V1934" i="1"/>
  <c r="W1938" i="1"/>
  <c r="V1938" i="1"/>
  <c r="W1942" i="1"/>
  <c r="V1942" i="1"/>
  <c r="W1946" i="1"/>
  <c r="W1950" i="1"/>
  <c r="V1950" i="1"/>
  <c r="W1954" i="1"/>
  <c r="V1954" i="1"/>
  <c r="W1958" i="1"/>
  <c r="V1958" i="1"/>
  <c r="W1962" i="1"/>
  <c r="W1966" i="1"/>
  <c r="V1966" i="1"/>
  <c r="W1970" i="1"/>
  <c r="V1970" i="1"/>
  <c r="W1974" i="1"/>
  <c r="V1974" i="1"/>
  <c r="W1978" i="1"/>
  <c r="W1982" i="1"/>
  <c r="V1982" i="1"/>
  <c r="W1986" i="1"/>
  <c r="V1986" i="1"/>
  <c r="W1990" i="1"/>
  <c r="V1990" i="1"/>
  <c r="W1994" i="1"/>
  <c r="W1998" i="1"/>
  <c r="V1998" i="1"/>
  <c r="U1998" i="1"/>
  <c r="U1990" i="1"/>
  <c r="U1982" i="1"/>
  <c r="U1974" i="1"/>
  <c r="U1966" i="1"/>
  <c r="U1958" i="1"/>
  <c r="U1950" i="1"/>
  <c r="U1942" i="1"/>
  <c r="U1934" i="1"/>
  <c r="U1926" i="1"/>
  <c r="U1918" i="1"/>
  <c r="U1910" i="1"/>
  <c r="U1902" i="1"/>
  <c r="U1894" i="1"/>
  <c r="U1886" i="1"/>
  <c r="U1878" i="1"/>
  <c r="U1870" i="1"/>
  <c r="U1862" i="1"/>
  <c r="U1854" i="1"/>
  <c r="U1846" i="1"/>
  <c r="U1838" i="1"/>
  <c r="U1830" i="1"/>
  <c r="U1822" i="1"/>
  <c r="U1814" i="1"/>
  <c r="U1806" i="1"/>
  <c r="U1798" i="1"/>
  <c r="U1790" i="1"/>
  <c r="U1782" i="1"/>
  <c r="U1774" i="1"/>
  <c r="U1766" i="1"/>
  <c r="U1758" i="1"/>
  <c r="U1750" i="1"/>
  <c r="U1742" i="1"/>
  <c r="U1734" i="1"/>
  <c r="U1726" i="1"/>
  <c r="U1718" i="1"/>
  <c r="U1710" i="1"/>
  <c r="U1702" i="1"/>
  <c r="U1694" i="1"/>
  <c r="U1686" i="1"/>
  <c r="U1678" i="1"/>
  <c r="U1654" i="1"/>
  <c r="U1646" i="1"/>
  <c r="U1638" i="1"/>
  <c r="U1630" i="1"/>
  <c r="U1622" i="1"/>
  <c r="U1614" i="1"/>
  <c r="U1606" i="1"/>
  <c r="U1598" i="1"/>
  <c r="U1590" i="1"/>
  <c r="U1582" i="1"/>
  <c r="U1574" i="1"/>
  <c r="U1550" i="1"/>
  <c r="U1542" i="1"/>
  <c r="U1534" i="1"/>
  <c r="U1526" i="1"/>
  <c r="U1518" i="1"/>
  <c r="U1510" i="1"/>
  <c r="U1502" i="1"/>
  <c r="U1494" i="1"/>
  <c r="U1486" i="1"/>
  <c r="U1478" i="1"/>
  <c r="U1470" i="1"/>
  <c r="U1462" i="1"/>
  <c r="U1454" i="1"/>
  <c r="U1446" i="1"/>
  <c r="U1438" i="1"/>
  <c r="U1430" i="1"/>
  <c r="U1422" i="1"/>
  <c r="U1414" i="1"/>
  <c r="U1406" i="1"/>
  <c r="U1398" i="1"/>
  <c r="U1326" i="1"/>
  <c r="U1310" i="1"/>
  <c r="U1294" i="1"/>
  <c r="U1278" i="1"/>
  <c r="U1270" i="1"/>
  <c r="U1262" i="1"/>
  <c r="U1254" i="1"/>
  <c r="U1246" i="1"/>
  <c r="U1238" i="1"/>
  <c r="U1230" i="1"/>
  <c r="U1222" i="1"/>
  <c r="U1214" i="1"/>
  <c r="U1134" i="1"/>
  <c r="U1094" i="1"/>
  <c r="U85" i="1"/>
  <c r="V1690" i="1"/>
  <c r="V1674" i="1"/>
  <c r="V1658" i="1"/>
  <c r="V1642" i="1"/>
  <c r="V1178" i="1"/>
  <c r="V1157" i="1"/>
  <c r="W677" i="1"/>
  <c r="W132" i="1"/>
  <c r="W15" i="1"/>
  <c r="U15" i="1"/>
  <c r="W19" i="1"/>
  <c r="V19" i="1"/>
  <c r="U19" i="1"/>
  <c r="W23" i="1"/>
  <c r="U23" i="1"/>
  <c r="W35" i="1"/>
  <c r="V35" i="1"/>
  <c r="U35" i="1"/>
  <c r="W47" i="1"/>
  <c r="U47" i="1"/>
  <c r="W51" i="1"/>
  <c r="V51" i="1"/>
  <c r="U51" i="1"/>
  <c r="W55" i="1"/>
  <c r="U55" i="1"/>
  <c r="W67" i="1"/>
  <c r="V67" i="1"/>
  <c r="U67" i="1"/>
  <c r="W79" i="1"/>
  <c r="U79" i="1"/>
  <c r="W83" i="1"/>
  <c r="V83" i="1"/>
  <c r="U83" i="1"/>
  <c r="W87" i="1"/>
  <c r="U87" i="1"/>
  <c r="W99" i="1"/>
  <c r="V99" i="1"/>
  <c r="U99" i="1"/>
  <c r="W111" i="1"/>
  <c r="U111" i="1"/>
  <c r="W119" i="1"/>
  <c r="U119" i="1"/>
  <c r="W127" i="1"/>
  <c r="W379" i="1"/>
  <c r="V379" i="1"/>
  <c r="W387" i="1"/>
  <c r="V387" i="1"/>
  <c r="W403" i="1"/>
  <c r="V403" i="1"/>
  <c r="W647" i="1"/>
  <c r="W651" i="1"/>
  <c r="V651" i="1"/>
  <c r="W655" i="1"/>
  <c r="W667" i="1"/>
  <c r="V667" i="1"/>
  <c r="W671" i="1"/>
  <c r="W675" i="1"/>
  <c r="V675" i="1"/>
  <c r="W679" i="1"/>
  <c r="W683" i="1"/>
  <c r="V683" i="1"/>
  <c r="W687" i="1"/>
  <c r="W691" i="1"/>
  <c r="V691" i="1"/>
  <c r="W695" i="1"/>
  <c r="W699" i="1"/>
  <c r="V699" i="1"/>
  <c r="W703" i="1"/>
  <c r="W707" i="1"/>
  <c r="V707" i="1"/>
  <c r="W711" i="1"/>
  <c r="V711" i="1"/>
  <c r="W715" i="1"/>
  <c r="W719" i="1"/>
  <c r="W723" i="1"/>
  <c r="V723" i="1"/>
  <c r="W727" i="1"/>
  <c r="V727" i="1"/>
  <c r="W731" i="1"/>
  <c r="W739" i="1"/>
  <c r="V739" i="1"/>
  <c r="V743" i="1"/>
  <c r="W747" i="1"/>
  <c r="W755" i="1"/>
  <c r="V755" i="1"/>
  <c r="W1123" i="1"/>
  <c r="V1123" i="1"/>
  <c r="V1143" i="1"/>
  <c r="V1159" i="1"/>
  <c r="W1187" i="1"/>
  <c r="V1187" i="1"/>
  <c r="W1203" i="1"/>
  <c r="V1203" i="1"/>
  <c r="V1207" i="1"/>
  <c r="T1211" i="1"/>
  <c r="W1211" i="1"/>
  <c r="V1211" i="1"/>
  <c r="W1267" i="1"/>
  <c r="V1267" i="1"/>
  <c r="W1315" i="1"/>
  <c r="V1315" i="1"/>
  <c r="T1323" i="1"/>
  <c r="W1323" i="1"/>
  <c r="V1323" i="1"/>
  <c r="V1327" i="1"/>
  <c r="T1331" i="1"/>
  <c r="W1331" i="1"/>
  <c r="V1331" i="1"/>
  <c r="V1335" i="1"/>
  <c r="T1339" i="1"/>
  <c r="W1339" i="1"/>
  <c r="V1339" i="1"/>
  <c r="V1343" i="1"/>
  <c r="T1347" i="1"/>
  <c r="W1347" i="1"/>
  <c r="V1347" i="1"/>
  <c r="V1351" i="1"/>
  <c r="T1355" i="1"/>
  <c r="W1355" i="1"/>
  <c r="V1355" i="1"/>
  <c r="V1359" i="1"/>
  <c r="T1363" i="1"/>
  <c r="W1363" i="1"/>
  <c r="V1363" i="1"/>
  <c r="V1367" i="1"/>
  <c r="T1371" i="1"/>
  <c r="W1371" i="1"/>
  <c r="V1371" i="1"/>
  <c r="V1375" i="1"/>
  <c r="T1379" i="1"/>
  <c r="W1379" i="1"/>
  <c r="V1379" i="1"/>
  <c r="V1383" i="1"/>
  <c r="T1387" i="1"/>
  <c r="W1387" i="1"/>
  <c r="V1387" i="1"/>
  <c r="V1391" i="1"/>
  <c r="T1395" i="1"/>
  <c r="W1395" i="1"/>
  <c r="V1395" i="1"/>
  <c r="V1399" i="1"/>
  <c r="T1403" i="1"/>
  <c r="W1403" i="1"/>
  <c r="V1403" i="1"/>
  <c r="V1407" i="1"/>
  <c r="T1411" i="1"/>
  <c r="W1411" i="1"/>
  <c r="V1411" i="1"/>
  <c r="T1415" i="1"/>
  <c r="V1415" i="1"/>
  <c r="W1419" i="1"/>
  <c r="V1419" i="1"/>
  <c r="T1423" i="1"/>
  <c r="V1423" i="1"/>
  <c r="T1427" i="1"/>
  <c r="W1427" i="1"/>
  <c r="V1427" i="1"/>
  <c r="T1431" i="1"/>
  <c r="V1431" i="1"/>
  <c r="T1435" i="1"/>
  <c r="W1435" i="1"/>
  <c r="V1435" i="1"/>
  <c r="T1439" i="1"/>
  <c r="V1439" i="1"/>
  <c r="T1443" i="1"/>
  <c r="W1443" i="1"/>
  <c r="V1443" i="1"/>
  <c r="T1447" i="1"/>
  <c r="V1447" i="1"/>
  <c r="T1451" i="1"/>
  <c r="W1451" i="1"/>
  <c r="V1451" i="1"/>
  <c r="T1455" i="1"/>
  <c r="V1455" i="1"/>
  <c r="T1459" i="1"/>
  <c r="W1459" i="1"/>
  <c r="V1459" i="1"/>
  <c r="T1463" i="1"/>
  <c r="V1463" i="1"/>
  <c r="T1467" i="1"/>
  <c r="W1467" i="1"/>
  <c r="V1467" i="1"/>
  <c r="T1471" i="1"/>
  <c r="V1471" i="1"/>
  <c r="T1475" i="1"/>
  <c r="W1475" i="1"/>
  <c r="V1475" i="1"/>
  <c r="T1479" i="1"/>
  <c r="V1479" i="1"/>
  <c r="T1483" i="1"/>
  <c r="W1483" i="1"/>
  <c r="V1483" i="1"/>
  <c r="T1487" i="1"/>
  <c r="V1487" i="1"/>
  <c r="T1491" i="1"/>
  <c r="W1491" i="1"/>
  <c r="V1491" i="1"/>
  <c r="T1495" i="1"/>
  <c r="V1495" i="1"/>
  <c r="T1499" i="1"/>
  <c r="W1499" i="1"/>
  <c r="V1499" i="1"/>
  <c r="T1503" i="1"/>
  <c r="V1503" i="1"/>
  <c r="T1507" i="1"/>
  <c r="W1507" i="1"/>
  <c r="V1507" i="1"/>
  <c r="T1511" i="1"/>
  <c r="V1511" i="1"/>
  <c r="T1515" i="1"/>
  <c r="W1515" i="1"/>
  <c r="V1515" i="1"/>
  <c r="T1519" i="1"/>
  <c r="V1519" i="1"/>
  <c r="T1523" i="1"/>
  <c r="W1523" i="1"/>
  <c r="V1523" i="1"/>
  <c r="T1527" i="1"/>
  <c r="V1527" i="1"/>
  <c r="T1531" i="1"/>
  <c r="W1531" i="1"/>
  <c r="V1531" i="1"/>
  <c r="T1535" i="1"/>
  <c r="V1535" i="1"/>
  <c r="T1539" i="1"/>
  <c r="W1539" i="1"/>
  <c r="V1539" i="1"/>
  <c r="T1543" i="1"/>
  <c r="V1543" i="1"/>
  <c r="T1547" i="1"/>
  <c r="W1547" i="1"/>
  <c r="V1547" i="1"/>
  <c r="T1551" i="1"/>
  <c r="V1551" i="1"/>
  <c r="T1715" i="1"/>
  <c r="W1715" i="1"/>
  <c r="V1715" i="1"/>
  <c r="T1731" i="1"/>
  <c r="W1731" i="1"/>
  <c r="V1731" i="1"/>
  <c r="T1735" i="1"/>
  <c r="V1735" i="1"/>
  <c r="T1743" i="1"/>
  <c r="V1743" i="1"/>
  <c r="T1747" i="1"/>
  <c r="W1747" i="1"/>
  <c r="V1747" i="1"/>
  <c r="T1755" i="1"/>
  <c r="W1755" i="1"/>
  <c r="V1755" i="1"/>
  <c r="T1763" i="1"/>
  <c r="W1763" i="1"/>
  <c r="V1763" i="1"/>
  <c r="T1795" i="1"/>
  <c r="W1795" i="1"/>
  <c r="V1795" i="1"/>
  <c r="U1992" i="1"/>
  <c r="U1976" i="1"/>
  <c r="U1960" i="1"/>
  <c r="U1944" i="1"/>
  <c r="U1928" i="1"/>
  <c r="U1912" i="1"/>
  <c r="U1896" i="1"/>
  <c r="U1880" i="1"/>
  <c r="U1864" i="1"/>
  <c r="U1848" i="1"/>
  <c r="U1832" i="1"/>
  <c r="U1816" i="1"/>
  <c r="U1800" i="1"/>
  <c r="U1784" i="1"/>
  <c r="U1768" i="1"/>
  <c r="U1752" i="1"/>
  <c r="U1736" i="1"/>
  <c r="U1720" i="1"/>
  <c r="U1704" i="1"/>
  <c r="U1672" i="1"/>
  <c r="U1656" i="1"/>
  <c r="U1640" i="1"/>
  <c r="U1624" i="1"/>
  <c r="U1608" i="1"/>
  <c r="U1592" i="1"/>
  <c r="U1576" i="1"/>
  <c r="U1544" i="1"/>
  <c r="U1528" i="1"/>
  <c r="U1512" i="1"/>
  <c r="U1496" i="1"/>
  <c r="U1480" i="1"/>
  <c r="U1464" i="1"/>
  <c r="U1448" i="1"/>
  <c r="U1432" i="1"/>
  <c r="U1424" i="1"/>
  <c r="U1416" i="1"/>
  <c r="U1408" i="1"/>
  <c r="U1400" i="1"/>
  <c r="U1392" i="1"/>
  <c r="U1384" i="1"/>
  <c r="U1376" i="1"/>
  <c r="U1368" i="1"/>
  <c r="U1360" i="1"/>
  <c r="U1352" i="1"/>
  <c r="U1336" i="1"/>
  <c r="U1280" i="1"/>
  <c r="U1272" i="1"/>
  <c r="U1264" i="1"/>
  <c r="U1256" i="1"/>
  <c r="U1248" i="1"/>
  <c r="U1240" i="1"/>
  <c r="U1232" i="1"/>
  <c r="U1224" i="1"/>
  <c r="U1216" i="1"/>
  <c r="U1208" i="1"/>
  <c r="U1200" i="1"/>
  <c r="U1168" i="1"/>
  <c r="U1128" i="1"/>
  <c r="U1040" i="1"/>
  <c r="U1032" i="1"/>
  <c r="U1024" i="1"/>
  <c r="U1016" i="1"/>
  <c r="U360" i="1"/>
  <c r="U328" i="1"/>
  <c r="U280" i="1"/>
  <c r="U248" i="1"/>
  <c r="U232" i="1"/>
  <c r="U200" i="1"/>
  <c r="U184" i="1"/>
  <c r="U168" i="1"/>
  <c r="U152" i="1"/>
  <c r="U136" i="1"/>
  <c r="V1992" i="1"/>
  <c r="V1976" i="1"/>
  <c r="V1960" i="1"/>
  <c r="V1944" i="1"/>
  <c r="V1928" i="1"/>
  <c r="V1912" i="1"/>
  <c r="V1896" i="1"/>
  <c r="V1880" i="1"/>
  <c r="V1864" i="1"/>
  <c r="V1848" i="1"/>
  <c r="V1832" i="1"/>
  <c r="V1816" i="1"/>
  <c r="V1800" i="1"/>
  <c r="V1784" i="1"/>
  <c r="V1768" i="1"/>
  <c r="V1752" i="1"/>
  <c r="V1736" i="1"/>
  <c r="V1720" i="1"/>
  <c r="V1704" i="1"/>
  <c r="V1672" i="1"/>
  <c r="V1656" i="1"/>
  <c r="V1640" i="1"/>
  <c r="V1624" i="1"/>
  <c r="V1608" i="1"/>
  <c r="V1592" i="1"/>
  <c r="V1576" i="1"/>
  <c r="V1544" i="1"/>
  <c r="V1528" i="1"/>
  <c r="V1512" i="1"/>
  <c r="V1496" i="1"/>
  <c r="V1480" i="1"/>
  <c r="V1464" i="1"/>
  <c r="V1448" i="1"/>
  <c r="V1432" i="1"/>
  <c r="V1416" i="1"/>
  <c r="V1400" i="1"/>
  <c r="V1384" i="1"/>
  <c r="V1368" i="1"/>
  <c r="V1352" i="1"/>
  <c r="V1336" i="1"/>
  <c r="V1272" i="1"/>
  <c r="V1256" i="1"/>
  <c r="V1240" i="1"/>
  <c r="V1224" i="1"/>
  <c r="V1208" i="1"/>
  <c r="V1128" i="1"/>
  <c r="V1032" i="1"/>
  <c r="V731" i="1"/>
  <c r="W1736" i="1"/>
  <c r="W1720" i="1"/>
  <c r="W1704" i="1"/>
  <c r="W1672" i="1"/>
  <c r="W1656" i="1"/>
  <c r="W1640" i="1"/>
  <c r="W1624" i="1"/>
  <c r="W1608" i="1"/>
  <c r="W1592" i="1"/>
  <c r="W1576" i="1"/>
  <c r="W1544" i="1"/>
  <c r="W1528" i="1"/>
  <c r="W1512" i="1"/>
  <c r="W1496" i="1"/>
  <c r="W1480" i="1"/>
  <c r="W1464" i="1"/>
  <c r="W1448" i="1"/>
  <c r="W1432" i="1"/>
  <c r="W1400" i="1"/>
  <c r="W1384" i="1"/>
  <c r="W1368" i="1"/>
  <c r="W1352" i="1"/>
  <c r="W1336" i="1"/>
  <c r="W1272" i="1"/>
  <c r="W1256" i="1"/>
  <c r="W1240" i="1"/>
  <c r="W1224" i="1"/>
  <c r="W1208" i="1"/>
  <c r="W1128" i="1"/>
  <c r="W1032" i="1"/>
  <c r="V132" i="1"/>
  <c r="W136" i="1"/>
  <c r="W140" i="1"/>
  <c r="V140" i="1"/>
  <c r="W144" i="1"/>
  <c r="W152" i="1"/>
  <c r="W156" i="1"/>
  <c r="V156" i="1"/>
  <c r="W160" i="1"/>
  <c r="W168" i="1"/>
  <c r="W172" i="1"/>
  <c r="V172" i="1"/>
  <c r="W176" i="1"/>
  <c r="W184" i="1"/>
  <c r="W188" i="1"/>
  <c r="V188" i="1"/>
  <c r="W192" i="1"/>
  <c r="W200" i="1"/>
  <c r="W204" i="1"/>
  <c r="V204" i="1"/>
  <c r="W208" i="1"/>
  <c r="W220" i="1"/>
  <c r="V220" i="1"/>
  <c r="W224" i="1"/>
  <c r="W232" i="1"/>
  <c r="W236" i="1"/>
  <c r="V236" i="1"/>
  <c r="W240" i="1"/>
  <c r="W248" i="1"/>
  <c r="W252" i="1"/>
  <c r="V252" i="1"/>
  <c r="W256" i="1"/>
  <c r="W268" i="1"/>
  <c r="V268" i="1"/>
  <c r="W272" i="1"/>
  <c r="W280" i="1"/>
  <c r="W284" i="1"/>
  <c r="V284" i="1"/>
  <c r="W288" i="1"/>
  <c r="W300" i="1"/>
  <c r="V300" i="1"/>
  <c r="W304" i="1"/>
  <c r="W316" i="1"/>
  <c r="V316" i="1"/>
  <c r="W320" i="1"/>
  <c r="W328" i="1"/>
  <c r="W332" i="1"/>
  <c r="V332" i="1"/>
  <c r="W336" i="1"/>
  <c r="W348" i="1"/>
  <c r="V348" i="1"/>
  <c r="W352" i="1"/>
  <c r="W360" i="1"/>
  <c r="W364" i="1"/>
  <c r="V364" i="1"/>
  <c r="W1012" i="1"/>
  <c r="V1012" i="1"/>
  <c r="V1016" i="1"/>
  <c r="W1020" i="1"/>
  <c r="W1028" i="1"/>
  <c r="W1036" i="1"/>
  <c r="W1044" i="1"/>
  <c r="W1068" i="1"/>
  <c r="W1084" i="1"/>
  <c r="W1116" i="1"/>
  <c r="W1140" i="1"/>
  <c r="W1156" i="1"/>
  <c r="W1196" i="1"/>
  <c r="W1212" i="1"/>
  <c r="W1220" i="1"/>
  <c r="W1228" i="1"/>
  <c r="W1236" i="1"/>
  <c r="W1244" i="1"/>
  <c r="W1252" i="1"/>
  <c r="W1260" i="1"/>
  <c r="W1268" i="1"/>
  <c r="W1276" i="1"/>
  <c r="W1308" i="1"/>
  <c r="W1324" i="1"/>
  <c r="W1348" i="1"/>
  <c r="W1356" i="1"/>
  <c r="W1364" i="1"/>
  <c r="W1372" i="1"/>
  <c r="W1380" i="1"/>
  <c r="W1388" i="1"/>
  <c r="W1396" i="1"/>
  <c r="W1404" i="1"/>
  <c r="W1412" i="1"/>
  <c r="T1416" i="1"/>
  <c r="W1420" i="1"/>
  <c r="W1428" i="1"/>
  <c r="W1436" i="1"/>
  <c r="T1440" i="1"/>
  <c r="W1444" i="1"/>
  <c r="W1452" i="1"/>
  <c r="T1456" i="1"/>
  <c r="W1460" i="1"/>
  <c r="W1468" i="1"/>
  <c r="T1472" i="1"/>
  <c r="W1476" i="1"/>
  <c r="W1484" i="1"/>
  <c r="T1488" i="1"/>
  <c r="W1492" i="1"/>
  <c r="W1500" i="1"/>
  <c r="T1504" i="1"/>
  <c r="W1508" i="1"/>
  <c r="W1516" i="1"/>
  <c r="T1520" i="1"/>
  <c r="W1524" i="1"/>
  <c r="W1532" i="1"/>
  <c r="T1536" i="1"/>
  <c r="W1540" i="1"/>
  <c r="W1548" i="1"/>
  <c r="T1552" i="1"/>
  <c r="W1572" i="1"/>
  <c r="W1580" i="1"/>
  <c r="T1584" i="1"/>
  <c r="W1588" i="1"/>
  <c r="W1596" i="1"/>
  <c r="T1600" i="1"/>
  <c r="W1604" i="1"/>
  <c r="W1612" i="1"/>
  <c r="T1616" i="1"/>
  <c r="W1620" i="1"/>
  <c r="W1628" i="1"/>
  <c r="T1632" i="1"/>
  <c r="T1648" i="1"/>
  <c r="W1652" i="1"/>
  <c r="W1660" i="1"/>
  <c r="T1664" i="1"/>
  <c r="W1668" i="1"/>
  <c r="W1676" i="1"/>
  <c r="T1680" i="1"/>
  <c r="W1684" i="1"/>
  <c r="T1696" i="1"/>
  <c r="T1712" i="1"/>
  <c r="W1716" i="1"/>
  <c r="W1724" i="1"/>
  <c r="T1728" i="1"/>
  <c r="W1732" i="1"/>
  <c r="W1740" i="1"/>
  <c r="T1744" i="1"/>
  <c r="T1748" i="1"/>
  <c r="W1748" i="1"/>
  <c r="T1752" i="1"/>
  <c r="T1756" i="1"/>
  <c r="W1756" i="1"/>
  <c r="T1760" i="1"/>
  <c r="T1764" i="1"/>
  <c r="W1764" i="1"/>
  <c r="T1768" i="1"/>
  <c r="T1772" i="1"/>
  <c r="W1772" i="1"/>
  <c r="T1776" i="1"/>
  <c r="T1780" i="1"/>
  <c r="W1780" i="1"/>
  <c r="T1784" i="1"/>
  <c r="T1788" i="1"/>
  <c r="W1788" i="1"/>
  <c r="T1792" i="1"/>
  <c r="T1796" i="1"/>
  <c r="W1796" i="1"/>
  <c r="T1800" i="1"/>
  <c r="T1804" i="1"/>
  <c r="W1804" i="1"/>
  <c r="T1808" i="1"/>
  <c r="T1812" i="1"/>
  <c r="W1812" i="1"/>
  <c r="T1816" i="1"/>
  <c r="T1820" i="1"/>
  <c r="W1820" i="1"/>
  <c r="T1824" i="1"/>
  <c r="T1828" i="1"/>
  <c r="W1828" i="1"/>
  <c r="T1832" i="1"/>
  <c r="T1836" i="1"/>
  <c r="W1836" i="1"/>
  <c r="T1840" i="1"/>
  <c r="T1844" i="1"/>
  <c r="W1844" i="1"/>
  <c r="T1848" i="1"/>
  <c r="T1852" i="1"/>
  <c r="W1852" i="1"/>
  <c r="T1856" i="1"/>
  <c r="T1860" i="1"/>
  <c r="W1860" i="1"/>
  <c r="T1864" i="1"/>
  <c r="T1868" i="1"/>
  <c r="W1868" i="1"/>
  <c r="T1872" i="1"/>
  <c r="T1876" i="1"/>
  <c r="W1876" i="1"/>
  <c r="T1880" i="1"/>
  <c r="T1884" i="1"/>
  <c r="W1884" i="1"/>
  <c r="T1888" i="1"/>
  <c r="T1892" i="1"/>
  <c r="W1892" i="1"/>
  <c r="T1896" i="1"/>
  <c r="T1900" i="1"/>
  <c r="W1900" i="1"/>
  <c r="T1904" i="1"/>
  <c r="T1908" i="1"/>
  <c r="W1908" i="1"/>
  <c r="T1912" i="1"/>
  <c r="T1916" i="1"/>
  <c r="W1916" i="1"/>
  <c r="T1920" i="1"/>
  <c r="T1924" i="1"/>
  <c r="W1924" i="1"/>
  <c r="T1928" i="1"/>
  <c r="T1932" i="1"/>
  <c r="W1932" i="1"/>
  <c r="T1936" i="1"/>
  <c r="T1940" i="1"/>
  <c r="W1940" i="1"/>
  <c r="T1944" i="1"/>
  <c r="T1948" i="1"/>
  <c r="W1948" i="1"/>
  <c r="T1952" i="1"/>
  <c r="T1956" i="1"/>
  <c r="W1956" i="1"/>
  <c r="T1960" i="1"/>
  <c r="T1964" i="1"/>
  <c r="W1964" i="1"/>
  <c r="T1968" i="1"/>
  <c r="T1972" i="1"/>
  <c r="W1972" i="1"/>
  <c r="T1976" i="1"/>
  <c r="T1980" i="1"/>
  <c r="W1980" i="1"/>
  <c r="T1984" i="1"/>
  <c r="T1988" i="1"/>
  <c r="W1988" i="1"/>
  <c r="T1992" i="1"/>
  <c r="T1996" i="1"/>
  <c r="W1996" i="1"/>
  <c r="T2000" i="1"/>
  <c r="U1795" i="1"/>
  <c r="U1763" i="1"/>
  <c r="U1755" i="1"/>
  <c r="U1747" i="1"/>
  <c r="U1743" i="1"/>
  <c r="U1735" i="1"/>
  <c r="U1731" i="1"/>
  <c r="U1715" i="1"/>
  <c r="U1551" i="1"/>
  <c r="U1547" i="1"/>
  <c r="U1543" i="1"/>
  <c r="U1539" i="1"/>
  <c r="U1535" i="1"/>
  <c r="U1531" i="1"/>
  <c r="U1527" i="1"/>
  <c r="U1523" i="1"/>
  <c r="U1519" i="1"/>
  <c r="U1515" i="1"/>
  <c r="U1511" i="1"/>
  <c r="U1507" i="1"/>
  <c r="U1503" i="1"/>
  <c r="U1499" i="1"/>
  <c r="U1495" i="1"/>
  <c r="U1491" i="1"/>
  <c r="U1487" i="1"/>
  <c r="U1483" i="1"/>
  <c r="U1479" i="1"/>
  <c r="U1475" i="1"/>
  <c r="U1471" i="1"/>
  <c r="U1467" i="1"/>
  <c r="U1463" i="1"/>
  <c r="U1459" i="1"/>
  <c r="U1455" i="1"/>
  <c r="U1451" i="1"/>
  <c r="U1447" i="1"/>
  <c r="U1443" i="1"/>
  <c r="U1439" i="1"/>
  <c r="U1435" i="1"/>
  <c r="U1431" i="1"/>
  <c r="U1427" i="1"/>
  <c r="U1423" i="1"/>
  <c r="U1419" i="1"/>
  <c r="U1415" i="1"/>
  <c r="U1411" i="1"/>
  <c r="U1407" i="1"/>
  <c r="U1403" i="1"/>
  <c r="U1399" i="1"/>
  <c r="U1395" i="1"/>
  <c r="U1391" i="1"/>
  <c r="U1387" i="1"/>
  <c r="U1383" i="1"/>
  <c r="U1379" i="1"/>
  <c r="U1375" i="1"/>
  <c r="U1371" i="1"/>
  <c r="U1367" i="1"/>
  <c r="U1363" i="1"/>
  <c r="U1359" i="1"/>
  <c r="U1355" i="1"/>
  <c r="U1351" i="1"/>
  <c r="U1347" i="1"/>
  <c r="U1343" i="1"/>
  <c r="U1339" i="1"/>
  <c r="U1335" i="1"/>
  <c r="U1331" i="1"/>
  <c r="U1327" i="1"/>
  <c r="U1323" i="1"/>
  <c r="U1315" i="1"/>
  <c r="U1267" i="1"/>
  <c r="U1211" i="1"/>
  <c r="U1207" i="1"/>
  <c r="U1203" i="1"/>
  <c r="U1187" i="1"/>
  <c r="U1159" i="1"/>
  <c r="U1143" i="1"/>
  <c r="U1123" i="1"/>
  <c r="U755" i="1"/>
  <c r="U751" i="1"/>
  <c r="U747" i="1"/>
  <c r="U743" i="1"/>
  <c r="U739" i="1"/>
  <c r="U735" i="1"/>
  <c r="U731" i="1"/>
  <c r="U727" i="1"/>
  <c r="U723" i="1"/>
  <c r="U719" i="1"/>
  <c r="U715" i="1"/>
  <c r="U711" i="1"/>
  <c r="U707" i="1"/>
  <c r="U703" i="1"/>
  <c r="U699" i="1"/>
  <c r="U695" i="1"/>
  <c r="U691" i="1"/>
  <c r="U687" i="1"/>
  <c r="U683" i="1"/>
  <c r="U679" i="1"/>
  <c r="U675" i="1"/>
  <c r="U671" i="1"/>
  <c r="U667" i="1"/>
  <c r="U663" i="1"/>
  <c r="U655" i="1"/>
  <c r="U651" i="1"/>
  <c r="U647" i="1"/>
  <c r="U403" i="1"/>
  <c r="U387" i="1"/>
  <c r="U379" i="1"/>
  <c r="U127" i="1"/>
  <c r="V1996" i="1"/>
  <c r="V1980" i="1"/>
  <c r="V1964" i="1"/>
  <c r="V1948" i="1"/>
  <c r="V1932" i="1"/>
  <c r="V1916" i="1"/>
  <c r="V1900" i="1"/>
  <c r="V1884" i="1"/>
  <c r="V1868" i="1"/>
  <c r="V1852" i="1"/>
  <c r="V1836" i="1"/>
  <c r="V1820" i="1"/>
  <c r="V1804" i="1"/>
  <c r="V1788" i="1"/>
  <c r="V1772" i="1"/>
  <c r="V1756" i="1"/>
  <c r="V1740" i="1"/>
  <c r="V1724" i="1"/>
  <c r="V1676" i="1"/>
  <c r="V1660" i="1"/>
  <c r="V1628" i="1"/>
  <c r="V1612" i="1"/>
  <c r="V1596" i="1"/>
  <c r="V1580" i="1"/>
  <c r="V1548" i="1"/>
  <c r="V1532" i="1"/>
  <c r="V1516" i="1"/>
  <c r="V1500" i="1"/>
  <c r="V1484" i="1"/>
  <c r="V1468" i="1"/>
  <c r="V1452" i="1"/>
  <c r="V1436" i="1"/>
  <c r="V1420" i="1"/>
  <c r="V1404" i="1"/>
  <c r="V1388" i="1"/>
  <c r="V1372" i="1"/>
  <c r="V1356" i="1"/>
  <c r="V1324" i="1"/>
  <c r="V1308" i="1"/>
  <c r="V1276" i="1"/>
  <c r="V1260" i="1"/>
  <c r="V1244" i="1"/>
  <c r="V1228" i="1"/>
  <c r="V1212" i="1"/>
  <c r="V1196" i="1"/>
  <c r="V1116" i="1"/>
  <c r="V1084" i="1"/>
  <c r="V1068" i="1"/>
  <c r="V1036" i="1"/>
  <c r="V1020" i="1"/>
  <c r="V751" i="1"/>
  <c r="V719" i="1"/>
  <c r="V695" i="1"/>
  <c r="V679" i="1"/>
  <c r="V663" i="1"/>
  <c r="V647" i="1"/>
  <c r="V119" i="1"/>
  <c r="V87" i="1"/>
  <c r="V55" i="1"/>
  <c r="V23" i="1"/>
  <c r="W1735" i="1"/>
  <c r="W1543" i="1"/>
  <c r="W1527" i="1"/>
  <c r="W1511" i="1"/>
  <c r="W1495" i="1"/>
  <c r="W1479" i="1"/>
  <c r="W1463" i="1"/>
  <c r="W1447" i="1"/>
  <c r="W1431" i="1"/>
  <c r="W1415" i="1"/>
  <c r="W1399" i="1"/>
  <c r="W1383" i="1"/>
  <c r="W1367" i="1"/>
  <c r="W1351" i="1"/>
  <c r="W1335" i="1"/>
  <c r="W1207" i="1"/>
  <c r="W1159" i="1"/>
  <c r="W1143" i="1"/>
  <c r="W743" i="1"/>
  <c r="T83" i="1"/>
  <c r="T99" i="1"/>
  <c r="T119" i="1"/>
  <c r="T651" i="1"/>
  <c r="T663" i="1"/>
  <c r="T675" i="1"/>
  <c r="T683" i="1"/>
  <c r="T691" i="1"/>
  <c r="T699" i="1"/>
  <c r="T707" i="1"/>
  <c r="T715" i="1"/>
  <c r="T723" i="1"/>
  <c r="T731" i="1"/>
  <c r="T739" i="1"/>
  <c r="T747" i="1"/>
  <c r="T755" i="1"/>
  <c r="T1014" i="1"/>
  <c r="T1022" i="1"/>
  <c r="T1030" i="1"/>
  <c r="T1038" i="1"/>
  <c r="T1050" i="1"/>
  <c r="T1114" i="1"/>
  <c r="T1138" i="1"/>
  <c r="T1186" i="1"/>
  <c r="T1214" i="1"/>
  <c r="T1218" i="1"/>
  <c r="T1226" i="1"/>
  <c r="T1234" i="1"/>
  <c r="T1242" i="1"/>
  <c r="T1250" i="1"/>
  <c r="T1258" i="1"/>
  <c r="T1266" i="1"/>
  <c r="T1278" i="1"/>
  <c r="T1298" i="1"/>
  <c r="T1326" i="1"/>
  <c r="T1398" i="1"/>
  <c r="T1406" i="1"/>
  <c r="T1414" i="1"/>
  <c r="T1418" i="1"/>
  <c r="T1426" i="1"/>
  <c r="T1434" i="1"/>
  <c r="T1454" i="1"/>
  <c r="T1458" i="1"/>
  <c r="T1466" i="1"/>
  <c r="T1486" i="1"/>
  <c r="T1490" i="1"/>
  <c r="T1498" i="1"/>
  <c r="T1518" i="1"/>
  <c r="T1534" i="1"/>
  <c r="T1538" i="1"/>
  <c r="T1550" i="1"/>
  <c r="T1570" i="1"/>
  <c r="T1578" i="1"/>
  <c r="T1586" i="1"/>
  <c r="T1594" i="1"/>
  <c r="T1598" i="1"/>
  <c r="T1602" i="1"/>
  <c r="T1610" i="1"/>
  <c r="T1618" i="1"/>
  <c r="T1626" i="1"/>
  <c r="T1646" i="1"/>
  <c r="T1674" i="1"/>
  <c r="T1694" i="1"/>
  <c r="T1710" i="1"/>
  <c r="T1714" i="1"/>
  <c r="T1726" i="1"/>
  <c r="T1730" i="1"/>
  <c r="T1738" i="1"/>
  <c r="T1758" i="1"/>
  <c r="T1766" i="1"/>
  <c r="T1770" i="1"/>
  <c r="T1778" i="1"/>
  <c r="T1786" i="1"/>
  <c r="T1794" i="1"/>
  <c r="T1802" i="1"/>
  <c r="T1810" i="1"/>
  <c r="T1818" i="1"/>
  <c r="T1826" i="1"/>
  <c r="T1830" i="1"/>
  <c r="T1842" i="1"/>
  <c r="T1846" i="1"/>
  <c r="T1858" i="1"/>
  <c r="T1866" i="1"/>
  <c r="T1874" i="1"/>
  <c r="T1882" i="1"/>
  <c r="T1890" i="1"/>
  <c r="T1898" i="1"/>
  <c r="T1906" i="1"/>
  <c r="T1914" i="1"/>
  <c r="T1918" i="1"/>
  <c r="T1926" i="1"/>
  <c r="T1934" i="1"/>
  <c r="T1942" i="1"/>
  <c r="T1950" i="1"/>
  <c r="T1958" i="1"/>
  <c r="T1966" i="1"/>
  <c r="T1974" i="1"/>
  <c r="T1982" i="1"/>
  <c r="T1998" i="1"/>
  <c r="T5" i="1"/>
  <c r="T17" i="1"/>
  <c r="T29" i="1"/>
  <c r="T37" i="1"/>
  <c r="T45" i="1"/>
  <c r="T57" i="1"/>
  <c r="T73" i="1"/>
  <c r="T140" i="1"/>
  <c r="T156" i="1"/>
  <c r="T172" i="1"/>
  <c r="T192" i="1"/>
  <c r="T200" i="1"/>
  <c r="T220" i="1"/>
  <c r="T236" i="1"/>
  <c r="T252" i="1"/>
  <c r="T268" i="1"/>
  <c r="T284" i="1"/>
  <c r="T304" i="1"/>
  <c r="T320" i="1"/>
  <c r="T336" i="1"/>
  <c r="T352" i="1"/>
  <c r="T1123" i="1"/>
  <c r="T1143" i="1"/>
  <c r="T1159" i="1"/>
  <c r="T1187" i="1"/>
  <c r="T1203" i="1"/>
  <c r="T1207" i="1"/>
  <c r="T1267" i="1"/>
  <c r="T1315" i="1"/>
  <c r="T79" i="1"/>
  <c r="T87" i="1"/>
  <c r="T111" i="1"/>
  <c r="T127" i="1"/>
  <c r="T379" i="1"/>
  <c r="T387" i="1"/>
  <c r="T403" i="1"/>
  <c r="T647" i="1"/>
  <c r="T655" i="1"/>
  <c r="T667" i="1"/>
  <c r="T671" i="1"/>
  <c r="T679" i="1"/>
  <c r="T687" i="1"/>
  <c r="T695" i="1"/>
  <c r="T703" i="1"/>
  <c r="T711" i="1"/>
  <c r="T719" i="1"/>
  <c r="T727" i="1"/>
  <c r="T735" i="1"/>
  <c r="T743" i="1"/>
  <c r="T751" i="1"/>
  <c r="T1018" i="1"/>
  <c r="T1026" i="1"/>
  <c r="T1034" i="1"/>
  <c r="T1042" i="1"/>
  <c r="T1094" i="1"/>
  <c r="T1122" i="1"/>
  <c r="T1134" i="1"/>
  <c r="T1178" i="1"/>
  <c r="T1202" i="1"/>
  <c r="T1210" i="1"/>
  <c r="T1222" i="1"/>
  <c r="T1230" i="1"/>
  <c r="T1238" i="1"/>
  <c r="T1246" i="1"/>
  <c r="T1254" i="1"/>
  <c r="T1262" i="1"/>
  <c r="T1270" i="1"/>
  <c r="T1274" i="1"/>
  <c r="T1294" i="1"/>
  <c r="T1310" i="1"/>
  <c r="T1330" i="1"/>
  <c r="T1354" i="1"/>
  <c r="T1394" i="1"/>
  <c r="T1402" i="1"/>
  <c r="T1410" i="1"/>
  <c r="T1422" i="1"/>
  <c r="T1438" i="1"/>
  <c r="T1442" i="1"/>
  <c r="T1450" i="1"/>
  <c r="T1470" i="1"/>
  <c r="T1474" i="1"/>
  <c r="T1482" i="1"/>
  <c r="T1502" i="1"/>
  <c r="T1506" i="1"/>
  <c r="T1514" i="1"/>
  <c r="T1522" i="1"/>
  <c r="T1530" i="1"/>
  <c r="T1546" i="1"/>
  <c r="T1582" i="1"/>
  <c r="T1614" i="1"/>
  <c r="T1630" i="1"/>
  <c r="T1642" i="1"/>
  <c r="T1650" i="1"/>
  <c r="T1658" i="1"/>
  <c r="T1678" i="1"/>
  <c r="T1682" i="1"/>
  <c r="T1690" i="1"/>
  <c r="T1698" i="1"/>
  <c r="T1706" i="1"/>
  <c r="T1722" i="1"/>
  <c r="T1742" i="1"/>
  <c r="T1746" i="1"/>
  <c r="T1754" i="1"/>
  <c r="T1762" i="1"/>
  <c r="T1774" i="1"/>
  <c r="T1782" i="1"/>
  <c r="T1790" i="1"/>
  <c r="T1798" i="1"/>
  <c r="T1806" i="1"/>
  <c r="T1814" i="1"/>
  <c r="T1822" i="1"/>
  <c r="T1834" i="1"/>
  <c r="T1838" i="1"/>
  <c r="T1850" i="1"/>
  <c r="T1854" i="1"/>
  <c r="T1862" i="1"/>
  <c r="T1870" i="1"/>
  <c r="T1878" i="1"/>
  <c r="T1886" i="1"/>
  <c r="T1894" i="1"/>
  <c r="T1902" i="1"/>
  <c r="T1910" i="1"/>
  <c r="T1922" i="1"/>
  <c r="T1930" i="1"/>
  <c r="T1938" i="1"/>
  <c r="T1946" i="1"/>
  <c r="T1954" i="1"/>
  <c r="T1962" i="1"/>
  <c r="T1970" i="1"/>
  <c r="T1978" i="1"/>
  <c r="T1986" i="1"/>
  <c r="T1994" i="1"/>
  <c r="T13" i="1"/>
  <c r="T25" i="1"/>
  <c r="T41" i="1"/>
  <c r="T49" i="1"/>
  <c r="T61" i="1"/>
  <c r="T69" i="1"/>
  <c r="T136" i="1"/>
  <c r="T144" i="1"/>
  <c r="T160" i="1"/>
  <c r="T176" i="1"/>
  <c r="T188" i="1"/>
  <c r="T204" i="1"/>
  <c r="T224" i="1"/>
  <c r="T240" i="1"/>
  <c r="T256" i="1"/>
  <c r="T272" i="1"/>
  <c r="T288" i="1"/>
  <c r="T316" i="1"/>
  <c r="T328" i="1"/>
  <c r="T348" i="1"/>
  <c r="T364" i="1"/>
  <c r="T77" i="1"/>
  <c r="T85" i="1"/>
  <c r="T89" i="1"/>
  <c r="T97" i="1"/>
  <c r="T101" i="1"/>
  <c r="T109" i="1"/>
  <c r="T117" i="1"/>
  <c r="T125" i="1"/>
  <c r="T381" i="1"/>
  <c r="T649" i="1"/>
  <c r="T653" i="1"/>
  <c r="T661" i="1"/>
  <c r="T665" i="1"/>
  <c r="T669" i="1"/>
  <c r="T673" i="1"/>
  <c r="T677" i="1"/>
  <c r="T681" i="1"/>
  <c r="T685" i="1"/>
  <c r="T689" i="1"/>
  <c r="T693" i="1"/>
  <c r="T697" i="1"/>
  <c r="T701" i="1"/>
  <c r="T709" i="1"/>
  <c r="T713" i="1"/>
  <c r="T717" i="1"/>
  <c r="T721" i="1"/>
  <c r="T725" i="1"/>
  <c r="T729" i="1"/>
  <c r="T733" i="1"/>
  <c r="T737" i="1"/>
  <c r="T741" i="1"/>
  <c r="T745" i="1"/>
  <c r="T749" i="1"/>
  <c r="T753" i="1"/>
  <c r="T1012" i="1"/>
  <c r="T1016" i="1"/>
  <c r="T1020" i="1"/>
  <c r="T1024" i="1"/>
  <c r="T1028" i="1"/>
  <c r="T1032" i="1"/>
  <c r="T1036" i="1"/>
  <c r="T1040" i="1"/>
  <c r="T1044" i="1"/>
  <c r="T1068" i="1"/>
  <c r="T1084" i="1"/>
  <c r="T1116" i="1"/>
  <c r="T1128" i="1"/>
  <c r="T1140" i="1"/>
  <c r="T1156" i="1"/>
  <c r="T1168" i="1"/>
  <c r="T1196" i="1"/>
  <c r="T1200" i="1"/>
  <c r="T1208" i="1"/>
  <c r="T1212" i="1"/>
  <c r="T1216" i="1"/>
  <c r="T1220" i="1"/>
  <c r="T1224" i="1"/>
  <c r="T1228" i="1"/>
  <c r="T1232" i="1"/>
  <c r="T1236" i="1"/>
  <c r="T1240" i="1"/>
  <c r="T1244" i="1"/>
  <c r="T1248" i="1"/>
  <c r="T1252" i="1"/>
  <c r="T1256" i="1"/>
  <c r="T1260" i="1"/>
  <c r="T1264" i="1"/>
  <c r="T1268" i="1"/>
  <c r="T1272" i="1"/>
  <c r="T1276" i="1"/>
  <c r="T1280" i="1"/>
  <c r="T1308" i="1"/>
  <c r="T1324" i="1"/>
  <c r="T1336" i="1"/>
  <c r="T1348" i="1"/>
  <c r="T1352" i="1"/>
  <c r="T1356" i="1"/>
  <c r="T1360" i="1"/>
  <c r="T1364" i="1"/>
  <c r="T1368" i="1"/>
  <c r="T1372" i="1"/>
  <c r="T1376" i="1"/>
  <c r="T1380" i="1"/>
  <c r="T1384" i="1"/>
  <c r="T1388" i="1"/>
  <c r="T1392" i="1"/>
  <c r="T1396" i="1"/>
  <c r="T1400" i="1"/>
  <c r="T1404" i="1"/>
  <c r="T1408" i="1"/>
  <c r="T1412" i="1"/>
  <c r="T1420" i="1"/>
  <c r="T1424" i="1"/>
  <c r="T1428" i="1"/>
  <c r="T1432" i="1"/>
  <c r="T1436" i="1"/>
  <c r="T1444" i="1"/>
  <c r="T1448" i="1"/>
  <c r="T1452" i="1"/>
  <c r="T1460" i="1"/>
  <c r="T1464" i="1"/>
  <c r="T1468" i="1"/>
  <c r="T1476" i="1"/>
  <c r="T1480" i="1"/>
  <c r="T1484" i="1"/>
  <c r="T1492" i="1"/>
  <c r="T1496" i="1"/>
  <c r="T1500" i="1"/>
  <c r="T1508" i="1"/>
  <c r="T1512" i="1"/>
  <c r="T1516" i="1"/>
  <c r="T1524" i="1"/>
  <c r="T1528" i="1"/>
  <c r="T1532" i="1"/>
  <c r="T1540" i="1"/>
  <c r="T1544" i="1"/>
  <c r="T1548" i="1"/>
  <c r="T1572" i="1"/>
  <c r="T1576" i="1"/>
  <c r="T1580" i="1"/>
  <c r="T1588" i="1"/>
  <c r="T1592" i="1"/>
  <c r="T1596" i="1"/>
  <c r="T1604" i="1"/>
  <c r="T1608" i="1"/>
  <c r="T1612" i="1"/>
  <c r="T1620" i="1"/>
  <c r="T1624" i="1"/>
  <c r="T1628" i="1"/>
  <c r="T1640" i="1"/>
  <c r="T1652" i="1"/>
  <c r="T1656" i="1"/>
  <c r="T1660" i="1"/>
  <c r="T1668" i="1"/>
  <c r="T1672" i="1"/>
  <c r="T1676" i="1"/>
  <c r="T1684" i="1"/>
  <c r="T1704" i="1"/>
  <c r="T1716" i="1"/>
  <c r="T1720" i="1"/>
  <c r="T1724" i="1"/>
  <c r="T1732" i="1"/>
  <c r="T1736" i="1"/>
  <c r="T1740" i="1"/>
  <c r="T1990" i="1"/>
  <c r="T9" i="1"/>
  <c r="T21" i="1"/>
  <c r="T33" i="1"/>
  <c r="T53" i="1"/>
  <c r="T65" i="1"/>
  <c r="T132" i="1"/>
  <c r="T152" i="1"/>
  <c r="T168" i="1"/>
  <c r="T184" i="1"/>
  <c r="T208" i="1"/>
  <c r="T232" i="1"/>
  <c r="T248" i="1"/>
  <c r="T280" i="1"/>
  <c r="T300" i="1"/>
  <c r="T332" i="1"/>
  <c r="T360" i="1"/>
  <c r="T81" i="1"/>
  <c r="T93" i="1"/>
  <c r="T105" i="1"/>
  <c r="T113" i="1"/>
  <c r="T121" i="1"/>
  <c r="T397" i="1"/>
  <c r="T705" i="1"/>
  <c r="T15" i="1"/>
  <c r="T19" i="1"/>
  <c r="T23" i="1"/>
  <c r="T35" i="1"/>
  <c r="T47" i="1"/>
  <c r="T51" i="1"/>
  <c r="T55" i="1"/>
  <c r="T67" i="1"/>
  <c r="T126" i="1"/>
  <c r="T130" i="1"/>
  <c r="T138" i="1"/>
  <c r="T142" i="1"/>
  <c r="T154" i="1"/>
  <c r="T158" i="1"/>
  <c r="T170" i="1"/>
  <c r="T174" i="1"/>
  <c r="T186" i="1"/>
  <c r="T190" i="1"/>
  <c r="T202" i="1"/>
  <c r="T206" i="1"/>
  <c r="T218" i="1"/>
  <c r="T222" i="1"/>
  <c r="T234" i="1"/>
  <c r="T238" i="1"/>
  <c r="T246" i="1"/>
  <c r="T250" i="1"/>
  <c r="T254" i="1"/>
  <c r="T266" i="1"/>
  <c r="T270" i="1"/>
  <c r="T274" i="1"/>
  <c r="T278" i="1"/>
  <c r="T282" i="1"/>
  <c r="T286" i="1"/>
  <c r="T298" i="1"/>
  <c r="T302" i="1"/>
  <c r="T310" i="1"/>
  <c r="T314" i="1"/>
  <c r="T318" i="1"/>
  <c r="T330" i="1"/>
  <c r="T334" i="1"/>
  <c r="T346" i="1"/>
  <c r="T350" i="1"/>
  <c r="T362" i="1"/>
  <c r="T366" i="1"/>
  <c r="T1045" i="1"/>
  <c r="T1121" i="1"/>
  <c r="T1157" i="1"/>
  <c r="T1205" i="1"/>
  <c r="T1209" i="1"/>
  <c r="T1213" i="1"/>
  <c r="T1317" i="1"/>
  <c r="T1325" i="1"/>
  <c r="T1329" i="1"/>
  <c r="T1333" i="1"/>
  <c r="T1337" i="1"/>
  <c r="T1341" i="1"/>
  <c r="T1327" i="1"/>
  <c r="T1335" i="1"/>
  <c r="T1343" i="1"/>
  <c r="T1351" i="1"/>
  <c r="T1359" i="1"/>
  <c r="T1367" i="1"/>
  <c r="T1375" i="1"/>
  <c r="T1383" i="1"/>
  <c r="T1391" i="1"/>
  <c r="T1399" i="1"/>
  <c r="T1407" i="1"/>
  <c r="T1419" i="1"/>
  <c r="T1345" i="1"/>
  <c r="T1349" i="1"/>
  <c r="T1353" i="1"/>
  <c r="T1357" i="1"/>
  <c r="T1361" i="1"/>
  <c r="T1365" i="1"/>
  <c r="T1369" i="1"/>
  <c r="T1373" i="1"/>
  <c r="T1377" i="1"/>
  <c r="T1381" i="1"/>
  <c r="T1385" i="1"/>
  <c r="T1389" i="1"/>
  <c r="T1393" i="1"/>
  <c r="T1397" i="1"/>
  <c r="T1401" i="1"/>
  <c r="T1405" i="1"/>
  <c r="T1409" i="1"/>
  <c r="T1413" i="1"/>
  <c r="T1417" i="1"/>
  <c r="T1421" i="1"/>
  <c r="T1425" i="1"/>
  <c r="T1429" i="1"/>
  <c r="T1433" i="1"/>
  <c r="T1437" i="1"/>
  <c r="T1441" i="1"/>
  <c r="T1445" i="1"/>
  <c r="T1449" i="1"/>
  <c r="T1453" i="1"/>
  <c r="T1457" i="1"/>
  <c r="T1461" i="1"/>
  <c r="T1465" i="1"/>
  <c r="T1469" i="1"/>
  <c r="T1473" i="1"/>
  <c r="T1477" i="1"/>
  <c r="T1481" i="1"/>
  <c r="T1485" i="1"/>
  <c r="T1489" i="1"/>
  <c r="T1493" i="1"/>
  <c r="T1497" i="1"/>
  <c r="T1501" i="1"/>
  <c r="T1505" i="1"/>
  <c r="T1509" i="1"/>
  <c r="T1513" i="1"/>
  <c r="T1517" i="1"/>
  <c r="T1521" i="1"/>
  <c r="T1525" i="1"/>
  <c r="T1529" i="1"/>
  <c r="T1533" i="1"/>
  <c r="T1537" i="1"/>
  <c r="T1541" i="1"/>
  <c r="T1545" i="1"/>
  <c r="T1549" i="1"/>
  <c r="T1717" i="1"/>
  <c r="T1721" i="1"/>
  <c r="T1733" i="1"/>
  <c r="T1737" i="1"/>
  <c r="T1753" i="1"/>
  <c r="T1761" i="1"/>
  <c r="K214" i="1"/>
  <c r="M214" i="1" s="1"/>
  <c r="S214" i="1" s="1"/>
  <c r="K1777" i="1"/>
  <c r="M1777" i="1" s="1"/>
  <c r="S1777" i="1" s="1"/>
  <c r="K427" i="1"/>
  <c r="M427" i="1" s="1"/>
  <c r="S427" i="1" s="1"/>
  <c r="K1314" i="1"/>
  <c r="M1314" i="1" s="1"/>
  <c r="S1314" i="1" s="1"/>
  <c r="K1320" i="1"/>
  <c r="M1320" i="1" s="1"/>
  <c r="S1320" i="1" s="1"/>
  <c r="K1688" i="1"/>
  <c r="M1688" i="1" s="1"/>
  <c r="S1688" i="1" s="1"/>
  <c r="K1634" i="1"/>
  <c r="M1634" i="1" s="1"/>
  <c r="S1634" i="1" s="1"/>
  <c r="J210" i="1"/>
  <c r="K210" i="1" s="1"/>
  <c r="M210" i="1" s="1"/>
  <c r="S210" i="1" s="1"/>
  <c r="K1636" i="1"/>
  <c r="M1636" i="1" s="1"/>
  <c r="S1636" i="1" s="1"/>
  <c r="K11" i="1"/>
  <c r="M11" i="1" s="1"/>
  <c r="S11" i="1" s="1"/>
  <c r="K43" i="1"/>
  <c r="M43" i="1" s="1"/>
  <c r="S43" i="1" s="1"/>
  <c r="K75" i="1"/>
  <c r="M75" i="1" s="1"/>
  <c r="S75" i="1" s="1"/>
  <c r="K107" i="1"/>
  <c r="M107" i="1" s="1"/>
  <c r="S107" i="1" s="1"/>
  <c r="J296" i="1"/>
  <c r="K296" i="1" s="1"/>
  <c r="M296" i="1" s="1"/>
  <c r="S296" i="1" s="1"/>
  <c r="J312" i="1"/>
  <c r="K312" i="1" s="1"/>
  <c r="M312" i="1" s="1"/>
  <c r="S312" i="1" s="1"/>
  <c r="J1144" i="1"/>
  <c r="K1144" i="1" s="1"/>
  <c r="M1144" i="1" s="1"/>
  <c r="S1144" i="1" s="1"/>
  <c r="J1162" i="1"/>
  <c r="K1162" i="1" s="1"/>
  <c r="M1162" i="1" s="1"/>
  <c r="S1162" i="1" s="1"/>
  <c r="K1194" i="1"/>
  <c r="M1194" i="1" s="1"/>
  <c r="S1194" i="1" s="1"/>
  <c r="J1340" i="1"/>
  <c r="K1340" i="1" s="1"/>
  <c r="M1340" i="1" s="1"/>
  <c r="S1340" i="1" s="1"/>
  <c r="K1358" i="1"/>
  <c r="M1358" i="1" s="1"/>
  <c r="S1358" i="1" s="1"/>
  <c r="K31" i="1"/>
  <c r="M31" i="1" s="1"/>
  <c r="S31" i="1" s="1"/>
  <c r="K63" i="1"/>
  <c r="M63" i="1" s="1"/>
  <c r="S63" i="1" s="1"/>
  <c r="K95" i="1"/>
  <c r="M95" i="1" s="1"/>
  <c r="S95" i="1" s="1"/>
  <c r="K1708" i="1"/>
  <c r="M1708" i="1" s="1"/>
  <c r="S1708" i="1" s="1"/>
  <c r="K1793" i="1"/>
  <c r="M1793" i="1" s="1"/>
  <c r="S1793" i="1" s="1"/>
  <c r="K1809" i="1"/>
  <c r="M1809" i="1" s="1"/>
  <c r="S1809" i="1" s="1"/>
  <c r="J1120" i="1"/>
  <c r="K1120" i="1" s="1"/>
  <c r="M1120" i="1" s="1"/>
  <c r="S1120" i="1" s="1"/>
  <c r="J1791" i="1"/>
  <c r="K1791" i="1" s="1"/>
  <c r="M1791" i="1" s="1"/>
  <c r="S1791" i="1" s="1"/>
  <c r="J7" i="1"/>
  <c r="K7" i="1" s="1"/>
  <c r="M7" i="1" s="1"/>
  <c r="S7" i="1" s="1"/>
  <c r="J39" i="1"/>
  <c r="K39" i="1" s="1"/>
  <c r="M39" i="1" s="1"/>
  <c r="S39" i="1" s="1"/>
  <c r="J71" i="1"/>
  <c r="K71" i="1" s="1"/>
  <c r="M71" i="1" s="1"/>
  <c r="S71" i="1" s="1"/>
  <c r="J103" i="1"/>
  <c r="K103" i="1" s="1"/>
  <c r="M103" i="1" s="1"/>
  <c r="S103" i="1" s="1"/>
  <c r="J164" i="1"/>
  <c r="K164" i="1" s="1"/>
  <c r="M164" i="1" s="1"/>
  <c r="S164" i="1" s="1"/>
  <c r="J1775" i="1"/>
  <c r="K1775" i="1" s="1"/>
  <c r="M1775" i="1" s="1"/>
  <c r="S1775" i="1" s="1"/>
  <c r="J324" i="1"/>
  <c r="K324" i="1" s="1"/>
  <c r="M324" i="1" s="1"/>
  <c r="S324" i="1" s="1"/>
  <c r="J27" i="1"/>
  <c r="K27" i="1" s="1"/>
  <c r="M27" i="1" s="1"/>
  <c r="S27" i="1" s="1"/>
  <c r="J59" i="1"/>
  <c r="K59" i="1" s="1"/>
  <c r="M59" i="1" s="1"/>
  <c r="S59" i="1" s="1"/>
  <c r="J91" i="1"/>
  <c r="K91" i="1" s="1"/>
  <c r="M91" i="1" s="1"/>
  <c r="S91" i="1" s="1"/>
  <c r="J123" i="1"/>
  <c r="K123" i="1" s="1"/>
  <c r="M123" i="1" s="1"/>
  <c r="S123" i="1" s="1"/>
  <c r="J371" i="1"/>
  <c r="K371" i="1" s="1"/>
  <c r="M371" i="1" s="1"/>
  <c r="S371" i="1" s="1"/>
  <c r="J645" i="1"/>
  <c r="K645" i="1" s="1"/>
  <c r="M645" i="1" s="1"/>
  <c r="S645" i="1" s="1"/>
  <c r="J1282" i="1"/>
  <c r="K1282" i="1" s="1"/>
  <c r="M1282" i="1" s="1"/>
  <c r="S1282" i="1" s="1"/>
  <c r="J1082" i="1"/>
  <c r="K1082" i="1" s="1"/>
  <c r="M1082" i="1" s="1"/>
  <c r="S1082" i="1" s="1"/>
  <c r="J344" i="1"/>
  <c r="K344" i="1" s="1"/>
  <c r="M344" i="1" s="1"/>
  <c r="S344" i="1" s="1"/>
  <c r="J115" i="1"/>
  <c r="K115" i="1" s="1"/>
  <c r="M115" i="1" s="1"/>
  <c r="S115" i="1" s="1"/>
  <c r="J148" i="1"/>
  <c r="K148" i="1" s="1"/>
  <c r="M148" i="1" s="1"/>
  <c r="S148" i="1" s="1"/>
  <c r="J1088" i="1"/>
  <c r="K1088" i="1" s="1"/>
  <c r="M1088" i="1" s="1"/>
  <c r="S1088" i="1" s="1"/>
  <c r="J1174" i="1"/>
  <c r="K1174" i="1" s="1"/>
  <c r="M1174" i="1" s="1"/>
  <c r="S1174" i="1" s="1"/>
  <c r="J1070" i="1"/>
  <c r="K1070" i="1" s="1"/>
  <c r="M1070" i="1" s="1"/>
  <c r="S1070" i="1" s="1"/>
  <c r="J1292" i="1"/>
  <c r="K1292" i="1" s="1"/>
  <c r="M1292" i="1" s="1"/>
  <c r="S1292" i="1" s="1"/>
  <c r="J196" i="1"/>
  <c r="K196" i="1" s="1"/>
  <c r="M196" i="1" s="1"/>
  <c r="S196" i="1" s="1"/>
  <c r="J216" i="1"/>
  <c r="K216" i="1" s="1"/>
  <c r="M216" i="1" s="1"/>
  <c r="S216" i="1" s="1"/>
  <c r="J242" i="1"/>
  <c r="K242" i="1" s="1"/>
  <c r="M242" i="1" s="1"/>
  <c r="S242" i="1" s="1"/>
  <c r="J1052" i="1"/>
  <c r="K1052" i="1" s="1"/>
  <c r="M1052" i="1" s="1"/>
  <c r="S1052" i="1" s="1"/>
  <c r="J1056" i="1"/>
  <c r="K1056" i="1" s="1"/>
  <c r="M1056" i="1" s="1"/>
  <c r="S1056" i="1" s="1"/>
  <c r="J1102" i="1"/>
  <c r="K1102" i="1" s="1"/>
  <c r="M1102" i="1" s="1"/>
  <c r="S1102" i="1" s="1"/>
  <c r="J1132" i="1"/>
  <c r="K1132" i="1" s="1"/>
  <c r="M1132" i="1" s="1"/>
  <c r="S1132" i="1" s="1"/>
  <c r="J1150" i="1"/>
  <c r="K1150" i="1" s="1"/>
  <c r="M1150" i="1" s="1"/>
  <c r="S1150" i="1" s="1"/>
  <c r="J1288" i="1"/>
  <c r="K1288" i="1" s="1"/>
  <c r="M1288" i="1" s="1"/>
  <c r="S1288" i="1" s="1"/>
  <c r="J1662" i="1"/>
  <c r="K1662" i="1" s="1"/>
  <c r="M1662" i="1" s="1"/>
  <c r="S1662" i="1" s="1"/>
  <c r="J1666" i="1"/>
  <c r="K1666" i="1" s="1"/>
  <c r="M1666" i="1" s="1"/>
  <c r="S1666" i="1" s="1"/>
  <c r="J1670" i="1"/>
  <c r="K1670" i="1" s="1"/>
  <c r="M1670" i="1" s="1"/>
  <c r="S1670" i="1" s="1"/>
  <c r="K1745" i="1"/>
  <c r="M1745" i="1" s="1"/>
  <c r="S1745" i="1" s="1"/>
  <c r="J1803" i="1"/>
  <c r="K1803" i="1" s="1"/>
  <c r="M1803" i="1" s="1"/>
  <c r="S1803" i="1" s="1"/>
  <c r="J1815" i="1"/>
  <c r="K1815" i="1" s="1"/>
  <c r="M1815" i="1" s="1"/>
  <c r="S1815" i="1" s="1"/>
  <c r="K180" i="1"/>
  <c r="M180" i="1" s="1"/>
  <c r="S180" i="1" s="1"/>
  <c r="K356" i="1"/>
  <c r="M356" i="1" s="1"/>
  <c r="S356" i="1" s="1"/>
  <c r="J1146" i="1"/>
  <c r="K1146" i="1" s="1"/>
  <c r="M1146" i="1" s="1"/>
  <c r="S1146" i="1" s="1"/>
  <c r="J1164" i="1"/>
  <c r="K1164" i="1" s="1"/>
  <c r="M1164" i="1" s="1"/>
  <c r="S1164" i="1" s="1"/>
  <c r="K1342" i="1"/>
  <c r="M1342" i="1" s="1"/>
  <c r="S1342" i="1" s="1"/>
  <c r="J228" i="1"/>
  <c r="K228" i="1" s="1"/>
  <c r="M228" i="1" s="1"/>
  <c r="S228" i="1" s="1"/>
  <c r="J264" i="1"/>
  <c r="K264" i="1" s="1"/>
  <c r="M264" i="1" s="1"/>
  <c r="S264" i="1" s="1"/>
  <c r="J306" i="1"/>
  <c r="K306" i="1" s="1"/>
  <c r="M306" i="1" s="1"/>
  <c r="S306" i="1" s="1"/>
  <c r="J395" i="1"/>
  <c r="K395" i="1" s="1"/>
  <c r="M395" i="1" s="1"/>
  <c r="S395" i="1" s="1"/>
  <c r="J413" i="1"/>
  <c r="K413" i="1" s="1"/>
  <c r="M413" i="1" s="1"/>
  <c r="S413" i="1" s="1"/>
  <c r="K419" i="1"/>
  <c r="M419" i="1" s="1"/>
  <c r="S419" i="1" s="1"/>
  <c r="J657" i="1"/>
  <c r="K657" i="1" s="1"/>
  <c r="M657" i="1" s="1"/>
  <c r="S657" i="1" s="1"/>
  <c r="K1062" i="1"/>
  <c r="M1062" i="1" s="1"/>
  <c r="S1062" i="1" s="1"/>
  <c r="J1090" i="1"/>
  <c r="K1090" i="1" s="1"/>
  <c r="M1090" i="1" s="1"/>
  <c r="S1090" i="1" s="1"/>
  <c r="J1304" i="1"/>
  <c r="K1304" i="1" s="1"/>
  <c r="M1304" i="1" s="1"/>
  <c r="S1304" i="1" s="1"/>
  <c r="K1374" i="1"/>
  <c r="M1374" i="1" s="1"/>
  <c r="S1374" i="1" s="1"/>
  <c r="K1644" i="1"/>
  <c r="M1644" i="1" s="1"/>
  <c r="S1644" i="1" s="1"/>
  <c r="K1692" i="1"/>
  <c r="M1692" i="1" s="1"/>
  <c r="S1692" i="1" s="1"/>
  <c r="K260" i="1"/>
  <c r="M260" i="1" s="1"/>
  <c r="S260" i="1" s="1"/>
  <c r="J338" i="1"/>
  <c r="K338" i="1" s="1"/>
  <c r="M338" i="1" s="1"/>
  <c r="S338" i="1" s="1"/>
  <c r="K342" i="1"/>
  <c r="M342" i="1" s="1"/>
  <c r="S342" i="1" s="1"/>
  <c r="J1058" i="1"/>
  <c r="K1058" i="1" s="1"/>
  <c r="M1058" i="1" s="1"/>
  <c r="S1058" i="1" s="1"/>
  <c r="J1100" i="1"/>
  <c r="K1100" i="1" s="1"/>
  <c r="M1100" i="1" s="1"/>
  <c r="S1100" i="1" s="1"/>
  <c r="J1152" i="1"/>
  <c r="K1152" i="1" s="1"/>
  <c r="M1152" i="1" s="1"/>
  <c r="S1152" i="1" s="1"/>
  <c r="J1182" i="1"/>
  <c r="K1182" i="1" s="1"/>
  <c r="M1182" i="1" s="1"/>
  <c r="S1182" i="1" s="1"/>
  <c r="K1390" i="1"/>
  <c r="M1390" i="1" s="1"/>
  <c r="S1390" i="1" s="1"/>
  <c r="K1700" i="1"/>
  <c r="M1700" i="1" s="1"/>
  <c r="S1700" i="1" s="1"/>
  <c r="J1783" i="1"/>
  <c r="K1783" i="1" s="1"/>
  <c r="M1783" i="1" s="1"/>
  <c r="S1783" i="1" s="1"/>
  <c r="J1831" i="1"/>
  <c r="K1831" i="1" s="1"/>
  <c r="M1831" i="1" s="1"/>
  <c r="S1831" i="1" s="1"/>
  <c r="K292" i="1"/>
  <c r="M292" i="1" s="1"/>
  <c r="S292" i="1" s="1"/>
  <c r="K1064" i="1"/>
  <c r="M1064" i="1" s="1"/>
  <c r="S1064" i="1" s="1"/>
  <c r="K1096" i="1"/>
  <c r="M1096" i="1" s="1"/>
  <c r="S1096" i="1" s="1"/>
  <c r="K1158" i="1"/>
  <c r="M1158" i="1" s="1"/>
  <c r="S1158" i="1" s="1"/>
  <c r="K1779" i="1"/>
  <c r="M1779" i="1" s="1"/>
  <c r="S1779" i="1" s="1"/>
  <c r="K1807" i="1"/>
  <c r="M1807" i="1" s="1"/>
  <c r="S1807" i="1" s="1"/>
  <c r="K1819" i="1"/>
  <c r="M1819" i="1" s="1"/>
  <c r="S1819" i="1" s="1"/>
  <c r="J311" i="1"/>
  <c r="K311" i="1" s="1"/>
  <c r="M311" i="1" s="1"/>
  <c r="S311" i="1" s="1"/>
  <c r="J948" i="1"/>
  <c r="K948" i="1" s="1"/>
  <c r="M948" i="1" s="1"/>
  <c r="S948" i="1" s="1"/>
  <c r="J1145" i="1"/>
  <c r="K1145" i="1" s="1"/>
  <c r="M1145" i="1" s="1"/>
  <c r="S1145" i="1" s="1"/>
  <c r="K146" i="1"/>
  <c r="M146" i="1" s="1"/>
  <c r="S146" i="1" s="1"/>
  <c r="K162" i="1"/>
  <c r="M162" i="1" s="1"/>
  <c r="S162" i="1" s="1"/>
  <c r="K178" i="1"/>
  <c r="M178" i="1" s="1"/>
  <c r="S178" i="1" s="1"/>
  <c r="K194" i="1"/>
  <c r="M194" i="1" s="1"/>
  <c r="S194" i="1" s="1"/>
  <c r="J212" i="1"/>
  <c r="K212" i="1" s="1"/>
  <c r="M212" i="1" s="1"/>
  <c r="S212" i="1" s="1"/>
  <c r="K322" i="1"/>
  <c r="M322" i="1" s="1"/>
  <c r="S322" i="1" s="1"/>
  <c r="J340" i="1"/>
  <c r="K340" i="1" s="1"/>
  <c r="M340" i="1" s="1"/>
  <c r="S340" i="1" s="1"/>
  <c r="J792" i="1"/>
  <c r="K792" i="1" s="1"/>
  <c r="M792" i="1" s="1"/>
  <c r="S792" i="1" s="1"/>
  <c r="J1089" i="1"/>
  <c r="K1089" i="1" s="1"/>
  <c r="M1089" i="1" s="1"/>
  <c r="S1089" i="1" s="1"/>
  <c r="J308" i="1"/>
  <c r="K308" i="1" s="1"/>
  <c r="M308" i="1" s="1"/>
  <c r="S308" i="1" s="1"/>
  <c r="J1080" i="1"/>
  <c r="K1080" i="1" s="1"/>
  <c r="M1080" i="1" s="1"/>
  <c r="S1080" i="1" s="1"/>
  <c r="J279" i="1"/>
  <c r="K279" i="1" s="1"/>
  <c r="M279" i="1" s="1"/>
  <c r="S279" i="1" s="1"/>
  <c r="J247" i="1"/>
  <c r="K247" i="1" s="1"/>
  <c r="M247" i="1" s="1"/>
  <c r="S247" i="1" s="1"/>
  <c r="J290" i="1"/>
  <c r="K290" i="1" s="1"/>
  <c r="M290" i="1" s="1"/>
  <c r="S290" i="1" s="1"/>
  <c r="K411" i="1"/>
  <c r="M411" i="1" s="1"/>
  <c r="S411" i="1" s="1"/>
  <c r="K768" i="1"/>
  <c r="M768" i="1" s="1"/>
  <c r="S768" i="1" s="1"/>
  <c r="J1074" i="1"/>
  <c r="K1074" i="1" s="1"/>
  <c r="M1074" i="1" s="1"/>
  <c r="S1074" i="1" s="1"/>
  <c r="K643" i="1"/>
  <c r="M643" i="1" s="1"/>
  <c r="S643" i="1" s="1"/>
  <c r="J276" i="1"/>
  <c r="K276" i="1" s="1"/>
  <c r="M276" i="1" s="1"/>
  <c r="S276" i="1" s="1"/>
  <c r="J1118" i="1"/>
  <c r="K1118" i="1" s="1"/>
  <c r="M1118" i="1" s="1"/>
  <c r="S1118" i="1" s="1"/>
  <c r="J215" i="1"/>
  <c r="K215" i="1" s="1"/>
  <c r="M215" i="1" s="1"/>
  <c r="S215" i="1" s="1"/>
  <c r="J258" i="1"/>
  <c r="K258" i="1" s="1"/>
  <c r="M258" i="1" s="1"/>
  <c r="S258" i="1" s="1"/>
  <c r="J343" i="1"/>
  <c r="K343" i="1" s="1"/>
  <c r="M343" i="1" s="1"/>
  <c r="S343" i="1" s="1"/>
  <c r="J816" i="1"/>
  <c r="K816" i="1" s="1"/>
  <c r="M816" i="1" s="1"/>
  <c r="S816" i="1" s="1"/>
  <c r="J830" i="1"/>
  <c r="K830" i="1" s="1"/>
  <c r="M830" i="1" s="1"/>
  <c r="S830" i="1" s="1"/>
  <c r="K226" i="1"/>
  <c r="M226" i="1" s="1"/>
  <c r="S226" i="1" s="1"/>
  <c r="J244" i="1"/>
  <c r="K244" i="1" s="1"/>
  <c r="M244" i="1" s="1"/>
  <c r="S244" i="1" s="1"/>
  <c r="K354" i="1"/>
  <c r="M354" i="1" s="1"/>
  <c r="S354" i="1" s="1"/>
  <c r="J659" i="1"/>
  <c r="K659" i="1" s="1"/>
  <c r="M659" i="1" s="1"/>
  <c r="S659" i="1" s="1"/>
  <c r="J1060" i="1"/>
  <c r="K1060" i="1" s="1"/>
  <c r="M1060" i="1" s="1"/>
  <c r="S1060" i="1" s="1"/>
  <c r="J766" i="1"/>
  <c r="K766" i="1" s="1"/>
  <c r="M766" i="1" s="1"/>
  <c r="S766" i="1" s="1"/>
  <c r="J802" i="1"/>
  <c r="K802" i="1" s="1"/>
  <c r="M802" i="1" s="1"/>
  <c r="S802" i="1" s="1"/>
  <c r="J996" i="1"/>
  <c r="K996" i="1" s="1"/>
  <c r="M996" i="1" s="1"/>
  <c r="S996" i="1" s="1"/>
  <c r="J1083" i="1"/>
  <c r="K1083" i="1" s="1"/>
  <c r="M1083" i="1" s="1"/>
  <c r="S1083" i="1" s="1"/>
  <c r="J1166" i="1"/>
  <c r="K1166" i="1" s="1"/>
  <c r="M1166" i="1" s="1"/>
  <c r="S1166" i="1" s="1"/>
  <c r="J128" i="1"/>
  <c r="K128" i="1" s="1"/>
  <c r="M128" i="1" s="1"/>
  <c r="S128" i="1" s="1"/>
  <c r="J203" i="1"/>
  <c r="K203" i="1" s="1"/>
  <c r="M203" i="1" s="1"/>
  <c r="S203" i="1" s="1"/>
  <c r="J217" i="1"/>
  <c r="K217" i="1" s="1"/>
  <c r="M217" i="1" s="1"/>
  <c r="S217" i="1" s="1"/>
  <c r="J221" i="1"/>
  <c r="K221" i="1" s="1"/>
  <c r="M221" i="1" s="1"/>
  <c r="S221" i="1" s="1"/>
  <c r="J235" i="1"/>
  <c r="K235" i="1" s="1"/>
  <c r="M235" i="1" s="1"/>
  <c r="S235" i="1" s="1"/>
  <c r="J249" i="1"/>
  <c r="K249" i="1" s="1"/>
  <c r="M249" i="1" s="1"/>
  <c r="S249" i="1" s="1"/>
  <c r="J253" i="1"/>
  <c r="K253" i="1" s="1"/>
  <c r="M253" i="1" s="1"/>
  <c r="S253" i="1" s="1"/>
  <c r="J267" i="1"/>
  <c r="K267" i="1" s="1"/>
  <c r="M267" i="1" s="1"/>
  <c r="S267" i="1" s="1"/>
  <c r="J281" i="1"/>
  <c r="K281" i="1" s="1"/>
  <c r="M281" i="1" s="1"/>
  <c r="S281" i="1" s="1"/>
  <c r="J285" i="1"/>
  <c r="K285" i="1" s="1"/>
  <c r="M285" i="1" s="1"/>
  <c r="S285" i="1" s="1"/>
  <c r="J299" i="1"/>
  <c r="K299" i="1" s="1"/>
  <c r="M299" i="1" s="1"/>
  <c r="S299" i="1" s="1"/>
  <c r="J313" i="1"/>
  <c r="K313" i="1" s="1"/>
  <c r="M313" i="1" s="1"/>
  <c r="S313" i="1" s="1"/>
  <c r="J317" i="1"/>
  <c r="K317" i="1" s="1"/>
  <c r="M317" i="1" s="1"/>
  <c r="S317" i="1" s="1"/>
  <c r="J331" i="1"/>
  <c r="K331" i="1" s="1"/>
  <c r="M331" i="1" s="1"/>
  <c r="S331" i="1" s="1"/>
  <c r="J345" i="1"/>
  <c r="K345" i="1" s="1"/>
  <c r="M345" i="1" s="1"/>
  <c r="S345" i="1" s="1"/>
  <c r="J349" i="1"/>
  <c r="K349" i="1" s="1"/>
  <c r="M349" i="1" s="1"/>
  <c r="S349" i="1" s="1"/>
  <c r="J363" i="1"/>
  <c r="K363" i="1" s="1"/>
  <c r="M363" i="1" s="1"/>
  <c r="S363" i="1" s="1"/>
  <c r="K373" i="1"/>
  <c r="M373" i="1" s="1"/>
  <c r="S373" i="1" s="1"/>
  <c r="K421" i="1"/>
  <c r="M421" i="1" s="1"/>
  <c r="S421" i="1" s="1"/>
  <c r="J778" i="1"/>
  <c r="K778" i="1" s="1"/>
  <c r="M778" i="1" s="1"/>
  <c r="S778" i="1" s="1"/>
  <c r="J790" i="1"/>
  <c r="K790" i="1" s="1"/>
  <c r="M790" i="1" s="1"/>
  <c r="S790" i="1" s="1"/>
  <c r="J840" i="1"/>
  <c r="K840" i="1" s="1"/>
  <c r="M840" i="1" s="1"/>
  <c r="S840" i="1" s="1"/>
  <c r="J882" i="1"/>
  <c r="K882" i="1" s="1"/>
  <c r="M882" i="1" s="1"/>
  <c r="S882" i="1" s="1"/>
  <c r="K896" i="1"/>
  <c r="M896" i="1" s="1"/>
  <c r="S896" i="1" s="1"/>
  <c r="J920" i="1"/>
  <c r="K920" i="1" s="1"/>
  <c r="M920" i="1" s="1"/>
  <c r="S920" i="1" s="1"/>
  <c r="K934" i="1"/>
  <c r="M934" i="1" s="1"/>
  <c r="S934" i="1" s="1"/>
  <c r="J954" i="1"/>
  <c r="K954" i="1" s="1"/>
  <c r="M954" i="1" s="1"/>
  <c r="S954" i="1" s="1"/>
  <c r="J972" i="1"/>
  <c r="K972" i="1" s="1"/>
  <c r="M972" i="1" s="1"/>
  <c r="S972" i="1" s="1"/>
  <c r="K1010" i="1"/>
  <c r="M1010" i="1" s="1"/>
  <c r="S1010" i="1" s="1"/>
  <c r="J1106" i="1"/>
  <c r="K1106" i="1" s="1"/>
  <c r="M1106" i="1" s="1"/>
  <c r="S1106" i="1" s="1"/>
  <c r="J1112" i="1"/>
  <c r="K1112" i="1" s="1"/>
  <c r="M1112" i="1" s="1"/>
  <c r="S1112" i="1" s="1"/>
  <c r="J1127" i="1"/>
  <c r="K1127" i="1" s="1"/>
  <c r="M1127" i="1" s="1"/>
  <c r="S1127" i="1" s="1"/>
  <c r="J1136" i="1"/>
  <c r="K1136" i="1" s="1"/>
  <c r="M1136" i="1" s="1"/>
  <c r="S1136" i="1" s="1"/>
  <c r="J1171" i="1"/>
  <c r="K1171" i="1" s="1"/>
  <c r="M1171" i="1" s="1"/>
  <c r="S1171" i="1" s="1"/>
  <c r="K1177" i="1"/>
  <c r="M1177" i="1" s="1"/>
  <c r="S1177" i="1" s="1"/>
  <c r="K1192" i="1"/>
  <c r="M1192" i="1" s="1"/>
  <c r="S1192" i="1" s="1"/>
  <c r="J1198" i="1"/>
  <c r="K1198" i="1" s="1"/>
  <c r="M1198" i="1" s="1"/>
  <c r="S1198" i="1" s="1"/>
  <c r="J1829" i="1"/>
  <c r="K1829" i="1" s="1"/>
  <c r="M1829" i="1" s="1"/>
  <c r="S1829" i="1" s="1"/>
  <c r="J774" i="1"/>
  <c r="K774" i="1" s="1"/>
  <c r="M774" i="1" s="1"/>
  <c r="S774" i="1" s="1"/>
  <c r="J854" i="1"/>
  <c r="K854" i="1" s="1"/>
  <c r="M854" i="1" s="1"/>
  <c r="S854" i="1" s="1"/>
  <c r="J1048" i="1"/>
  <c r="K1048" i="1" s="1"/>
  <c r="M1048" i="1" s="1"/>
  <c r="S1048" i="1" s="1"/>
  <c r="J1133" i="1"/>
  <c r="K1133" i="1" s="1"/>
  <c r="M1133" i="1" s="1"/>
  <c r="S1133" i="1" s="1"/>
  <c r="J1142" i="1"/>
  <c r="K1142" i="1" s="1"/>
  <c r="M1142" i="1" s="1"/>
  <c r="S1142" i="1" s="1"/>
  <c r="J150" i="1"/>
  <c r="K150" i="1" s="1"/>
  <c r="M150" i="1" s="1"/>
  <c r="S150" i="1" s="1"/>
  <c r="J166" i="1"/>
  <c r="K166" i="1" s="1"/>
  <c r="M166" i="1" s="1"/>
  <c r="S166" i="1" s="1"/>
  <c r="J182" i="1"/>
  <c r="K182" i="1" s="1"/>
  <c r="M182" i="1" s="1"/>
  <c r="S182" i="1" s="1"/>
  <c r="J198" i="1"/>
  <c r="K198" i="1" s="1"/>
  <c r="M198" i="1" s="1"/>
  <c r="S198" i="1" s="1"/>
  <c r="J201" i="1"/>
  <c r="K201" i="1" s="1"/>
  <c r="M201" i="1" s="1"/>
  <c r="S201" i="1" s="1"/>
  <c r="J205" i="1"/>
  <c r="K205" i="1" s="1"/>
  <c r="M205" i="1" s="1"/>
  <c r="S205" i="1" s="1"/>
  <c r="J219" i="1"/>
  <c r="K219" i="1" s="1"/>
  <c r="M219" i="1" s="1"/>
  <c r="S219" i="1" s="1"/>
  <c r="J230" i="1"/>
  <c r="K230" i="1" s="1"/>
  <c r="M230" i="1" s="1"/>
  <c r="S230" i="1" s="1"/>
  <c r="J233" i="1"/>
  <c r="K233" i="1" s="1"/>
  <c r="M233" i="1" s="1"/>
  <c r="S233" i="1" s="1"/>
  <c r="J237" i="1"/>
  <c r="K237" i="1" s="1"/>
  <c r="M237" i="1" s="1"/>
  <c r="S237" i="1" s="1"/>
  <c r="J251" i="1"/>
  <c r="K251" i="1" s="1"/>
  <c r="M251" i="1" s="1"/>
  <c r="S251" i="1" s="1"/>
  <c r="J262" i="1"/>
  <c r="K262" i="1" s="1"/>
  <c r="M262" i="1" s="1"/>
  <c r="S262" i="1" s="1"/>
  <c r="J265" i="1"/>
  <c r="K265" i="1" s="1"/>
  <c r="M265" i="1" s="1"/>
  <c r="S265" i="1" s="1"/>
  <c r="J269" i="1"/>
  <c r="K269" i="1" s="1"/>
  <c r="M269" i="1" s="1"/>
  <c r="S269" i="1" s="1"/>
  <c r="J283" i="1"/>
  <c r="K283" i="1" s="1"/>
  <c r="M283" i="1" s="1"/>
  <c r="S283" i="1" s="1"/>
  <c r="J294" i="1"/>
  <c r="K294" i="1" s="1"/>
  <c r="M294" i="1" s="1"/>
  <c r="S294" i="1" s="1"/>
  <c r="J297" i="1"/>
  <c r="K297" i="1" s="1"/>
  <c r="M297" i="1" s="1"/>
  <c r="S297" i="1" s="1"/>
  <c r="J301" i="1"/>
  <c r="K301" i="1" s="1"/>
  <c r="M301" i="1" s="1"/>
  <c r="S301" i="1" s="1"/>
  <c r="J315" i="1"/>
  <c r="K315" i="1" s="1"/>
  <c r="M315" i="1" s="1"/>
  <c r="S315" i="1" s="1"/>
  <c r="J326" i="1"/>
  <c r="K326" i="1" s="1"/>
  <c r="M326" i="1" s="1"/>
  <c r="S326" i="1" s="1"/>
  <c r="J329" i="1"/>
  <c r="K329" i="1" s="1"/>
  <c r="M329" i="1" s="1"/>
  <c r="S329" i="1" s="1"/>
  <c r="J333" i="1"/>
  <c r="K333" i="1" s="1"/>
  <c r="M333" i="1" s="1"/>
  <c r="S333" i="1" s="1"/>
  <c r="J347" i="1"/>
  <c r="K347" i="1" s="1"/>
  <c r="M347" i="1" s="1"/>
  <c r="S347" i="1" s="1"/>
  <c r="J358" i="1"/>
  <c r="K358" i="1" s="1"/>
  <c r="M358" i="1" s="1"/>
  <c r="S358" i="1" s="1"/>
  <c r="J361" i="1"/>
  <c r="K361" i="1" s="1"/>
  <c r="M361" i="1" s="1"/>
  <c r="S361" i="1" s="1"/>
  <c r="J365" i="1"/>
  <c r="K365" i="1" s="1"/>
  <c r="M365" i="1" s="1"/>
  <c r="S365" i="1" s="1"/>
  <c r="J806" i="1"/>
  <c r="K806" i="1" s="1"/>
  <c r="M806" i="1" s="1"/>
  <c r="S806" i="1" s="1"/>
  <c r="J892" i="1"/>
  <c r="K892" i="1" s="1"/>
  <c r="M892" i="1" s="1"/>
  <c r="S892" i="1" s="1"/>
  <c r="J910" i="1"/>
  <c r="K910" i="1" s="1"/>
  <c r="M910" i="1" s="1"/>
  <c r="S910" i="1" s="1"/>
  <c r="J930" i="1"/>
  <c r="K930" i="1" s="1"/>
  <c r="M930" i="1" s="1"/>
  <c r="S930" i="1" s="1"/>
  <c r="J944" i="1"/>
  <c r="K944" i="1" s="1"/>
  <c r="M944" i="1" s="1"/>
  <c r="S944" i="1" s="1"/>
  <c r="J958" i="1"/>
  <c r="K958" i="1" s="1"/>
  <c r="M958" i="1" s="1"/>
  <c r="S958" i="1" s="1"/>
  <c r="J982" i="1"/>
  <c r="K982" i="1" s="1"/>
  <c r="M982" i="1" s="1"/>
  <c r="S982" i="1" s="1"/>
  <c r="J1057" i="1"/>
  <c r="K1057" i="1" s="1"/>
  <c r="M1057" i="1" s="1"/>
  <c r="S1057" i="1" s="1"/>
  <c r="J1086" i="1"/>
  <c r="K1086" i="1" s="1"/>
  <c r="M1086" i="1" s="1"/>
  <c r="S1086" i="1" s="1"/>
  <c r="J1095" i="1"/>
  <c r="K1095" i="1" s="1"/>
  <c r="M1095" i="1" s="1"/>
  <c r="S1095" i="1" s="1"/>
  <c r="J1109" i="1"/>
  <c r="K1109" i="1" s="1"/>
  <c r="M1109" i="1" s="1"/>
  <c r="S1109" i="1" s="1"/>
  <c r="J1124" i="1"/>
  <c r="K1124" i="1" s="1"/>
  <c r="M1124" i="1" s="1"/>
  <c r="S1124" i="1" s="1"/>
  <c r="J1151" i="1"/>
  <c r="K1151" i="1" s="1"/>
  <c r="M1151" i="1" s="1"/>
  <c r="S1151" i="1" s="1"/>
  <c r="J1160" i="1"/>
  <c r="K1160" i="1" s="1"/>
  <c r="M1160" i="1" s="1"/>
  <c r="S1160" i="1" s="1"/>
  <c r="J1183" i="1"/>
  <c r="K1183" i="1" s="1"/>
  <c r="M1183" i="1" s="1"/>
  <c r="S1183" i="1" s="1"/>
  <c r="J1346" i="1"/>
  <c r="K1346" i="1" s="1"/>
  <c r="M1346" i="1" s="1"/>
  <c r="S1346" i="1" s="1"/>
  <c r="J776" i="1"/>
  <c r="K776" i="1" s="1"/>
  <c r="M776" i="1" s="1"/>
  <c r="S776" i="1" s="1"/>
  <c r="K844" i="1"/>
  <c r="M844" i="1" s="1"/>
  <c r="S844" i="1" s="1"/>
  <c r="K906" i="1"/>
  <c r="M906" i="1" s="1"/>
  <c r="S906" i="1" s="1"/>
  <c r="K1054" i="1"/>
  <c r="M1054" i="1" s="1"/>
  <c r="S1054" i="1" s="1"/>
  <c r="K1077" i="1"/>
  <c r="M1077" i="1" s="1"/>
  <c r="S1077" i="1" s="1"/>
  <c r="J1115" i="1"/>
  <c r="K1115" i="1" s="1"/>
  <c r="M1115" i="1" s="1"/>
  <c r="S1115" i="1" s="1"/>
  <c r="J1130" i="1"/>
  <c r="K1130" i="1" s="1"/>
  <c r="M1130" i="1" s="1"/>
  <c r="S1130" i="1" s="1"/>
  <c r="K1180" i="1"/>
  <c r="M1180" i="1" s="1"/>
  <c r="S1180" i="1" s="1"/>
  <c r="J1306" i="1"/>
  <c r="K1306" i="1" s="1"/>
  <c r="M1306" i="1" s="1"/>
  <c r="S1306" i="1" s="1"/>
  <c r="J1312" i="1"/>
  <c r="K1312" i="1" s="1"/>
  <c r="M1312" i="1" s="1"/>
  <c r="S1312" i="1" s="1"/>
  <c r="J968" i="1"/>
  <c r="K968" i="1" s="1"/>
  <c r="M968" i="1" s="1"/>
  <c r="S968" i="1" s="1"/>
  <c r="K199" i="1"/>
  <c r="M199" i="1" s="1"/>
  <c r="S199" i="1" s="1"/>
  <c r="K231" i="1"/>
  <c r="M231" i="1" s="1"/>
  <c r="S231" i="1" s="1"/>
  <c r="K263" i="1"/>
  <c r="M263" i="1" s="1"/>
  <c r="S263" i="1" s="1"/>
  <c r="K295" i="1"/>
  <c r="M295" i="1" s="1"/>
  <c r="S295" i="1" s="1"/>
  <c r="K327" i="1"/>
  <c r="M327" i="1" s="1"/>
  <c r="S327" i="1" s="1"/>
  <c r="K359" i="1"/>
  <c r="M359" i="1" s="1"/>
  <c r="S359" i="1" s="1"/>
  <c r="K782" i="1"/>
  <c r="M782" i="1" s="1"/>
  <c r="S782" i="1" s="1"/>
  <c r="J788" i="1"/>
  <c r="K788" i="1" s="1"/>
  <c r="M788" i="1" s="1"/>
  <c r="S788" i="1" s="1"/>
  <c r="K820" i="1"/>
  <c r="M820" i="1" s="1"/>
  <c r="S820" i="1" s="1"/>
  <c r="J826" i="1"/>
  <c r="K826" i="1" s="1"/>
  <c r="M826" i="1" s="1"/>
  <c r="S826" i="1" s="1"/>
  <c r="J868" i="1"/>
  <c r="K868" i="1" s="1"/>
  <c r="M868" i="1" s="1"/>
  <c r="S868" i="1" s="1"/>
  <c r="J1063" i="1"/>
  <c r="K1063" i="1" s="1"/>
  <c r="M1063" i="1" s="1"/>
  <c r="S1063" i="1" s="1"/>
  <c r="J1092" i="1"/>
  <c r="K1092" i="1" s="1"/>
  <c r="M1092" i="1" s="1"/>
  <c r="S1092" i="1" s="1"/>
  <c r="J1148" i="1"/>
  <c r="K1148" i="1" s="1"/>
  <c r="M1148" i="1" s="1"/>
  <c r="S1148" i="1" s="1"/>
  <c r="J1229" i="1"/>
  <c r="K1229" i="1" s="1"/>
  <c r="M1229" i="1" s="1"/>
  <c r="S1229" i="1" s="1"/>
  <c r="K814" i="1"/>
  <c r="M814" i="1" s="1"/>
  <c r="S814" i="1" s="1"/>
  <c r="K852" i="1"/>
  <c r="M852" i="1" s="1"/>
  <c r="S852" i="1" s="1"/>
  <c r="J1076" i="1"/>
  <c r="K1076" i="1" s="1"/>
  <c r="M1076" i="1" s="1"/>
  <c r="S1076" i="1" s="1"/>
  <c r="K1085" i="1"/>
  <c r="M1085" i="1" s="1"/>
  <c r="S1085" i="1" s="1"/>
  <c r="J1108" i="1"/>
  <c r="K1108" i="1" s="1"/>
  <c r="M1108" i="1" s="1"/>
  <c r="S1108" i="1" s="1"/>
  <c r="K1117" i="1"/>
  <c r="M1117" i="1" s="1"/>
  <c r="S1117" i="1" s="1"/>
  <c r="J1126" i="1"/>
  <c r="K1126" i="1" s="1"/>
  <c r="M1126" i="1" s="1"/>
  <c r="S1126" i="1" s="1"/>
  <c r="K1129" i="1"/>
  <c r="M1129" i="1" s="1"/>
  <c r="S1129" i="1" s="1"/>
  <c r="K1135" i="1"/>
  <c r="M1135" i="1" s="1"/>
  <c r="S1135" i="1" s="1"/>
  <c r="J1170" i="1"/>
  <c r="K1170" i="1" s="1"/>
  <c r="M1170" i="1" s="1"/>
  <c r="S1170" i="1" s="1"/>
  <c r="J1176" i="1"/>
  <c r="K1176" i="1" s="1"/>
  <c r="M1176" i="1" s="1"/>
  <c r="S1176" i="1" s="1"/>
  <c r="K1179" i="1"/>
  <c r="M1179" i="1" s="1"/>
  <c r="S1179" i="1" s="1"/>
  <c r="J1190" i="1"/>
  <c r="K1190" i="1" s="1"/>
  <c r="M1190" i="1" s="1"/>
  <c r="S1190" i="1" s="1"/>
  <c r="J1195" i="1"/>
  <c r="K1195" i="1" s="1"/>
  <c r="M1195" i="1" s="1"/>
  <c r="S1195" i="1" s="1"/>
  <c r="J1261" i="1"/>
  <c r="K1261" i="1" s="1"/>
  <c r="M1261" i="1" s="1"/>
  <c r="S1261" i="1" s="1"/>
  <c r="K1771" i="1"/>
  <c r="M1771" i="1" s="1"/>
  <c r="S1771" i="1" s="1"/>
  <c r="J1781" i="1"/>
  <c r="K1781" i="1" s="1"/>
  <c r="M1781" i="1" s="1"/>
  <c r="S1781" i="1" s="1"/>
  <c r="K1787" i="1"/>
  <c r="M1787" i="1" s="1"/>
  <c r="S1787" i="1" s="1"/>
  <c r="J1797" i="1"/>
  <c r="K1797" i="1" s="1"/>
  <c r="M1797" i="1" s="1"/>
  <c r="S1797" i="1" s="1"/>
  <c r="K772" i="1"/>
  <c r="M772" i="1" s="1"/>
  <c r="S772" i="1" s="1"/>
  <c r="J786" i="1"/>
  <c r="K786" i="1" s="1"/>
  <c r="M786" i="1" s="1"/>
  <c r="S786" i="1" s="1"/>
  <c r="K796" i="1"/>
  <c r="M796" i="1" s="1"/>
  <c r="S796" i="1" s="1"/>
  <c r="J800" i="1"/>
  <c r="K800" i="1" s="1"/>
  <c r="M800" i="1" s="1"/>
  <c r="S800" i="1" s="1"/>
  <c r="J810" i="1"/>
  <c r="K810" i="1" s="1"/>
  <c r="M810" i="1" s="1"/>
  <c r="S810" i="1" s="1"/>
  <c r="J824" i="1"/>
  <c r="K824" i="1" s="1"/>
  <c r="M824" i="1" s="1"/>
  <c r="S824" i="1" s="1"/>
  <c r="K834" i="1"/>
  <c r="M834" i="1" s="1"/>
  <c r="S834" i="1" s="1"/>
  <c r="J838" i="1"/>
  <c r="K838" i="1" s="1"/>
  <c r="M838" i="1" s="1"/>
  <c r="S838" i="1" s="1"/>
  <c r="K848" i="1"/>
  <c r="M848" i="1" s="1"/>
  <c r="S848" i="1" s="1"/>
  <c r="K858" i="1"/>
  <c r="M858" i="1" s="1"/>
  <c r="S858" i="1" s="1"/>
  <c r="K862" i="1"/>
  <c r="M862" i="1" s="1"/>
  <c r="S862" i="1" s="1"/>
  <c r="K872" i="1"/>
  <c r="M872" i="1" s="1"/>
  <c r="S872" i="1" s="1"/>
  <c r="J876" i="1"/>
  <c r="K876" i="1" s="1"/>
  <c r="M876" i="1" s="1"/>
  <c r="S876" i="1" s="1"/>
  <c r="K886" i="1"/>
  <c r="M886" i="1" s="1"/>
  <c r="S886" i="1" s="1"/>
  <c r="K900" i="1"/>
  <c r="M900" i="1" s="1"/>
  <c r="S900" i="1" s="1"/>
  <c r="J914" i="1"/>
  <c r="K914" i="1" s="1"/>
  <c r="M914" i="1" s="1"/>
  <c r="S914" i="1" s="1"/>
  <c r="K924" i="1"/>
  <c r="M924" i="1" s="1"/>
  <c r="S924" i="1" s="1"/>
  <c r="J928" i="1"/>
  <c r="K928" i="1" s="1"/>
  <c r="M928" i="1" s="1"/>
  <c r="S928" i="1" s="1"/>
  <c r="J938" i="1"/>
  <c r="K938" i="1" s="1"/>
  <c r="M938" i="1" s="1"/>
  <c r="S938" i="1" s="1"/>
  <c r="J942" i="1"/>
  <c r="K942" i="1" s="1"/>
  <c r="M942" i="1" s="1"/>
  <c r="S942" i="1" s="1"/>
  <c r="J952" i="1"/>
  <c r="K952" i="1" s="1"/>
  <c r="M952" i="1" s="1"/>
  <c r="S952" i="1" s="1"/>
  <c r="K962" i="1"/>
  <c r="M962" i="1" s="1"/>
  <c r="S962" i="1" s="1"/>
  <c r="J966" i="1"/>
  <c r="K966" i="1" s="1"/>
  <c r="M966" i="1" s="1"/>
  <c r="S966" i="1" s="1"/>
  <c r="K976" i="1"/>
  <c r="M976" i="1" s="1"/>
  <c r="S976" i="1" s="1"/>
  <c r="J980" i="1"/>
  <c r="K980" i="1" s="1"/>
  <c r="M980" i="1" s="1"/>
  <c r="S980" i="1" s="1"/>
  <c r="K986" i="1"/>
  <c r="M986" i="1" s="1"/>
  <c r="S986" i="1" s="1"/>
  <c r="K990" i="1"/>
  <c r="M990" i="1" s="1"/>
  <c r="S990" i="1" s="1"/>
  <c r="K1000" i="1"/>
  <c r="M1000" i="1" s="1"/>
  <c r="S1000" i="1" s="1"/>
  <c r="J1004" i="1"/>
  <c r="K1004" i="1" s="1"/>
  <c r="M1004" i="1" s="1"/>
  <c r="S1004" i="1" s="1"/>
  <c r="J1053" i="1"/>
  <c r="K1053" i="1" s="1"/>
  <c r="M1053" i="1" s="1"/>
  <c r="S1053" i="1" s="1"/>
  <c r="K1059" i="1"/>
  <c r="M1059" i="1" s="1"/>
  <c r="S1059" i="1" s="1"/>
  <c r="K1065" i="1"/>
  <c r="M1065" i="1" s="1"/>
  <c r="S1065" i="1" s="1"/>
  <c r="K1071" i="1"/>
  <c r="M1071" i="1" s="1"/>
  <c r="S1071" i="1" s="1"/>
  <c r="K1091" i="1"/>
  <c r="M1091" i="1" s="1"/>
  <c r="S1091" i="1" s="1"/>
  <c r="K1097" i="1"/>
  <c r="M1097" i="1" s="1"/>
  <c r="S1097" i="1" s="1"/>
  <c r="K1103" i="1"/>
  <c r="M1103" i="1" s="1"/>
  <c r="S1103" i="1" s="1"/>
  <c r="K1141" i="1"/>
  <c r="M1141" i="1" s="1"/>
  <c r="S1141" i="1" s="1"/>
  <c r="K1147" i="1"/>
  <c r="M1147" i="1" s="1"/>
  <c r="S1147" i="1" s="1"/>
  <c r="K1153" i="1"/>
  <c r="M1153" i="1" s="1"/>
  <c r="S1153" i="1" s="1"/>
  <c r="K1165" i="1"/>
  <c r="M1165" i="1" s="1"/>
  <c r="S1165" i="1" s="1"/>
  <c r="J1191" i="1"/>
  <c r="K1191" i="1" s="1"/>
  <c r="M1191" i="1" s="1"/>
  <c r="S1191" i="1" s="1"/>
  <c r="J1215" i="1"/>
  <c r="K1215" i="1" s="1"/>
  <c r="M1215" i="1" s="1"/>
  <c r="S1215" i="1" s="1"/>
  <c r="J1300" i="1"/>
  <c r="K1300" i="1" s="1"/>
  <c r="M1300" i="1" s="1"/>
  <c r="S1300" i="1" s="1"/>
  <c r="J1765" i="1"/>
  <c r="K1765" i="1" s="1"/>
  <c r="M1765" i="1" s="1"/>
  <c r="S1765" i="1" s="1"/>
  <c r="J1204" i="1"/>
  <c r="K1204" i="1" s="1"/>
  <c r="M1204" i="1" s="1"/>
  <c r="S1204" i="1" s="1"/>
  <c r="J1378" i="1"/>
  <c r="K1378" i="1" s="1"/>
  <c r="M1378" i="1" s="1"/>
  <c r="S1378" i="1" s="1"/>
  <c r="J1749" i="1"/>
  <c r="K1749" i="1" s="1"/>
  <c r="M1749" i="1" s="1"/>
  <c r="S1749" i="1" s="1"/>
  <c r="K770" i="1"/>
  <c r="M770" i="1" s="1"/>
  <c r="S770" i="1" s="1"/>
  <c r="K808" i="1"/>
  <c r="M808" i="1" s="1"/>
  <c r="S808" i="1" s="1"/>
  <c r="J812" i="1"/>
  <c r="K812" i="1" s="1"/>
  <c r="M812" i="1" s="1"/>
  <c r="S812" i="1" s="1"/>
  <c r="K822" i="1"/>
  <c r="M822" i="1" s="1"/>
  <c r="S822" i="1" s="1"/>
  <c r="K836" i="1"/>
  <c r="M836" i="1" s="1"/>
  <c r="S836" i="1" s="1"/>
  <c r="J850" i="1"/>
  <c r="K850" i="1" s="1"/>
  <c r="M850" i="1" s="1"/>
  <c r="S850" i="1" s="1"/>
  <c r="K860" i="1"/>
  <c r="M860" i="1" s="1"/>
  <c r="S860" i="1" s="1"/>
  <c r="J864" i="1"/>
  <c r="K864" i="1" s="1"/>
  <c r="M864" i="1" s="1"/>
  <c r="S864" i="1" s="1"/>
  <c r="J874" i="1"/>
  <c r="K874" i="1" s="1"/>
  <c r="M874" i="1" s="1"/>
  <c r="S874" i="1" s="1"/>
  <c r="J878" i="1"/>
  <c r="K878" i="1" s="1"/>
  <c r="M878" i="1" s="1"/>
  <c r="S878" i="1" s="1"/>
  <c r="J888" i="1"/>
  <c r="K888" i="1" s="1"/>
  <c r="M888" i="1" s="1"/>
  <c r="S888" i="1" s="1"/>
  <c r="K898" i="1"/>
  <c r="M898" i="1" s="1"/>
  <c r="S898" i="1" s="1"/>
  <c r="J902" i="1"/>
  <c r="K902" i="1" s="1"/>
  <c r="M902" i="1" s="1"/>
  <c r="S902" i="1" s="1"/>
  <c r="J916" i="1"/>
  <c r="K916" i="1" s="1"/>
  <c r="M916" i="1" s="1"/>
  <c r="S916" i="1" s="1"/>
  <c r="J940" i="1"/>
  <c r="K940" i="1" s="1"/>
  <c r="M940" i="1" s="1"/>
  <c r="S940" i="1" s="1"/>
  <c r="K964" i="1"/>
  <c r="M964" i="1" s="1"/>
  <c r="S964" i="1" s="1"/>
  <c r="J978" i="1"/>
  <c r="K978" i="1" s="1"/>
  <c r="M978" i="1" s="1"/>
  <c r="S978" i="1" s="1"/>
  <c r="K988" i="1"/>
  <c r="M988" i="1" s="1"/>
  <c r="S988" i="1" s="1"/>
  <c r="J992" i="1"/>
  <c r="K992" i="1" s="1"/>
  <c r="M992" i="1" s="1"/>
  <c r="S992" i="1" s="1"/>
  <c r="J1002" i="1"/>
  <c r="K1002" i="1" s="1"/>
  <c r="M1002" i="1" s="1"/>
  <c r="S1002" i="1" s="1"/>
  <c r="J1006" i="1"/>
  <c r="K1006" i="1" s="1"/>
  <c r="M1006" i="1" s="1"/>
  <c r="S1006" i="1" s="1"/>
  <c r="K1055" i="1"/>
  <c r="M1055" i="1" s="1"/>
  <c r="S1055" i="1" s="1"/>
  <c r="J1066" i="1"/>
  <c r="K1066" i="1" s="1"/>
  <c r="M1066" i="1" s="1"/>
  <c r="S1066" i="1" s="1"/>
  <c r="J1069" i="1"/>
  <c r="K1069" i="1" s="1"/>
  <c r="M1069" i="1" s="1"/>
  <c r="S1069" i="1" s="1"/>
  <c r="J1072" i="1"/>
  <c r="K1072" i="1" s="1"/>
  <c r="M1072" i="1" s="1"/>
  <c r="S1072" i="1" s="1"/>
  <c r="J1078" i="1"/>
  <c r="K1078" i="1" s="1"/>
  <c r="M1078" i="1" s="1"/>
  <c r="S1078" i="1" s="1"/>
  <c r="K1081" i="1"/>
  <c r="M1081" i="1" s="1"/>
  <c r="S1081" i="1" s="1"/>
  <c r="J1098" i="1"/>
  <c r="K1098" i="1" s="1"/>
  <c r="M1098" i="1" s="1"/>
  <c r="S1098" i="1" s="1"/>
  <c r="J1101" i="1"/>
  <c r="K1101" i="1" s="1"/>
  <c r="M1101" i="1" s="1"/>
  <c r="S1101" i="1" s="1"/>
  <c r="J1104" i="1"/>
  <c r="K1104" i="1" s="1"/>
  <c r="M1104" i="1" s="1"/>
  <c r="S1104" i="1" s="1"/>
  <c r="J1110" i="1"/>
  <c r="K1110" i="1" s="1"/>
  <c r="M1110" i="1" s="1"/>
  <c r="S1110" i="1" s="1"/>
  <c r="J1139" i="1"/>
  <c r="K1139" i="1" s="1"/>
  <c r="M1139" i="1" s="1"/>
  <c r="S1139" i="1" s="1"/>
  <c r="J1154" i="1"/>
  <c r="K1154" i="1" s="1"/>
  <c r="M1154" i="1" s="1"/>
  <c r="S1154" i="1" s="1"/>
  <c r="J1163" i="1"/>
  <c r="K1163" i="1" s="1"/>
  <c r="M1163" i="1" s="1"/>
  <c r="S1163" i="1" s="1"/>
  <c r="J1169" i="1"/>
  <c r="K1169" i="1" s="1"/>
  <c r="M1169" i="1" s="1"/>
  <c r="S1169" i="1" s="1"/>
  <c r="J1172" i="1"/>
  <c r="K1172" i="1" s="1"/>
  <c r="M1172" i="1" s="1"/>
  <c r="S1172" i="1" s="1"/>
  <c r="J1175" i="1"/>
  <c r="K1175" i="1" s="1"/>
  <c r="M1175" i="1" s="1"/>
  <c r="S1175" i="1" s="1"/>
  <c r="J1188" i="1"/>
  <c r="K1188" i="1" s="1"/>
  <c r="M1188" i="1" s="1"/>
  <c r="S1188" i="1" s="1"/>
  <c r="J1303" i="1"/>
  <c r="K1303" i="1" s="1"/>
  <c r="M1303" i="1" s="1"/>
  <c r="S1303" i="1" s="1"/>
  <c r="J1332" i="1"/>
  <c r="K1332" i="1" s="1"/>
  <c r="M1332" i="1" s="1"/>
  <c r="S1332" i="1" s="1"/>
  <c r="J1813" i="1"/>
  <c r="K1813" i="1" s="1"/>
  <c r="M1813" i="1" s="1"/>
  <c r="S1813" i="1" s="1"/>
  <c r="K780" i="1"/>
  <c r="M780" i="1" s="1"/>
  <c r="S780" i="1" s="1"/>
  <c r="J784" i="1"/>
  <c r="K784" i="1" s="1"/>
  <c r="M784" i="1" s="1"/>
  <c r="S784" i="1" s="1"/>
  <c r="J794" i="1"/>
  <c r="K794" i="1" s="1"/>
  <c r="M794" i="1" s="1"/>
  <c r="S794" i="1" s="1"/>
  <c r="J798" i="1"/>
  <c r="K798" i="1" s="1"/>
  <c r="M798" i="1" s="1"/>
  <c r="S798" i="1" s="1"/>
  <c r="K818" i="1"/>
  <c r="M818" i="1" s="1"/>
  <c r="S818" i="1" s="1"/>
  <c r="K832" i="1"/>
  <c r="M832" i="1" s="1"/>
  <c r="S832" i="1" s="1"/>
  <c r="K842" i="1"/>
  <c r="M842" i="1" s="1"/>
  <c r="S842" i="1" s="1"/>
  <c r="K846" i="1"/>
  <c r="M846" i="1" s="1"/>
  <c r="S846" i="1" s="1"/>
  <c r="K856" i="1"/>
  <c r="M856" i="1" s="1"/>
  <c r="S856" i="1" s="1"/>
  <c r="K870" i="1"/>
  <c r="M870" i="1" s="1"/>
  <c r="S870" i="1" s="1"/>
  <c r="K884" i="1"/>
  <c r="M884" i="1" s="1"/>
  <c r="S884" i="1" s="1"/>
  <c r="K908" i="1"/>
  <c r="M908" i="1" s="1"/>
  <c r="S908" i="1" s="1"/>
  <c r="J912" i="1"/>
  <c r="K912" i="1" s="1"/>
  <c r="M912" i="1" s="1"/>
  <c r="S912" i="1" s="1"/>
  <c r="J922" i="1"/>
  <c r="K922" i="1" s="1"/>
  <c r="M922" i="1" s="1"/>
  <c r="S922" i="1" s="1"/>
  <c r="J926" i="1"/>
  <c r="K926" i="1" s="1"/>
  <c r="M926" i="1" s="1"/>
  <c r="S926" i="1" s="1"/>
  <c r="J936" i="1"/>
  <c r="K936" i="1" s="1"/>
  <c r="M936" i="1" s="1"/>
  <c r="S936" i="1" s="1"/>
  <c r="K946" i="1"/>
  <c r="M946" i="1" s="1"/>
  <c r="S946" i="1" s="1"/>
  <c r="J950" i="1"/>
  <c r="K950" i="1" s="1"/>
  <c r="M950" i="1" s="1"/>
  <c r="S950" i="1" s="1"/>
  <c r="K960" i="1"/>
  <c r="M960" i="1" s="1"/>
  <c r="S960" i="1" s="1"/>
  <c r="K970" i="1"/>
  <c r="M970" i="1" s="1"/>
  <c r="S970" i="1" s="1"/>
  <c r="K974" i="1"/>
  <c r="M974" i="1" s="1"/>
  <c r="S974" i="1" s="1"/>
  <c r="K984" i="1"/>
  <c r="M984" i="1" s="1"/>
  <c r="S984" i="1" s="1"/>
  <c r="K998" i="1"/>
  <c r="M998" i="1" s="1"/>
  <c r="S998" i="1" s="1"/>
  <c r="K1061" i="1"/>
  <c r="M1061" i="1" s="1"/>
  <c r="S1061" i="1" s="1"/>
  <c r="J1075" i="1"/>
  <c r="K1075" i="1" s="1"/>
  <c r="M1075" i="1" s="1"/>
  <c r="S1075" i="1" s="1"/>
  <c r="J1087" i="1"/>
  <c r="K1087" i="1" s="1"/>
  <c r="M1087" i="1" s="1"/>
  <c r="S1087" i="1" s="1"/>
  <c r="K1093" i="1"/>
  <c r="M1093" i="1" s="1"/>
  <c r="S1093" i="1" s="1"/>
  <c r="J1107" i="1"/>
  <c r="K1107" i="1" s="1"/>
  <c r="M1107" i="1" s="1"/>
  <c r="S1107" i="1" s="1"/>
  <c r="J1113" i="1"/>
  <c r="K1113" i="1" s="1"/>
  <c r="M1113" i="1" s="1"/>
  <c r="S1113" i="1" s="1"/>
  <c r="J1119" i="1"/>
  <c r="K1119" i="1" s="1"/>
  <c r="M1119" i="1" s="1"/>
  <c r="S1119" i="1" s="1"/>
  <c r="J1125" i="1"/>
  <c r="K1125" i="1" s="1"/>
  <c r="M1125" i="1" s="1"/>
  <c r="S1125" i="1" s="1"/>
  <c r="K1131" i="1"/>
  <c r="M1131" i="1" s="1"/>
  <c r="S1131" i="1" s="1"/>
  <c r="K1137" i="1"/>
  <c r="M1137" i="1" s="1"/>
  <c r="S1137" i="1" s="1"/>
  <c r="K1149" i="1"/>
  <c r="M1149" i="1" s="1"/>
  <c r="S1149" i="1" s="1"/>
  <c r="K1161" i="1"/>
  <c r="M1161" i="1" s="1"/>
  <c r="S1161" i="1" s="1"/>
  <c r="K1167" i="1"/>
  <c r="M1167" i="1" s="1"/>
  <c r="S1167" i="1" s="1"/>
  <c r="J1181" i="1"/>
  <c r="K1181" i="1" s="1"/>
  <c r="M1181" i="1" s="1"/>
  <c r="S1181" i="1" s="1"/>
  <c r="J1184" i="1"/>
  <c r="K1184" i="1" s="1"/>
  <c r="M1184" i="1" s="1"/>
  <c r="S1184" i="1" s="1"/>
  <c r="K1189" i="1"/>
  <c r="M1189" i="1" s="1"/>
  <c r="S1189" i="1" s="1"/>
  <c r="J1279" i="1"/>
  <c r="K1279" i="1" s="1"/>
  <c r="M1279" i="1" s="1"/>
  <c r="S1279" i="1" s="1"/>
  <c r="J1338" i="1"/>
  <c r="K1338" i="1" s="1"/>
  <c r="M1338" i="1" s="1"/>
  <c r="S1338" i="1" s="1"/>
  <c r="K804" i="1"/>
  <c r="M804" i="1" s="1"/>
  <c r="S804" i="1" s="1"/>
  <c r="K828" i="1"/>
  <c r="M828" i="1" s="1"/>
  <c r="S828" i="1" s="1"/>
  <c r="K866" i="1"/>
  <c r="M866" i="1" s="1"/>
  <c r="S866" i="1" s="1"/>
  <c r="K880" i="1"/>
  <c r="M880" i="1" s="1"/>
  <c r="S880" i="1" s="1"/>
  <c r="K890" i="1"/>
  <c r="M890" i="1" s="1"/>
  <c r="S890" i="1" s="1"/>
  <c r="K894" i="1"/>
  <c r="M894" i="1" s="1"/>
  <c r="S894" i="1" s="1"/>
  <c r="K904" i="1"/>
  <c r="M904" i="1" s="1"/>
  <c r="S904" i="1" s="1"/>
  <c r="K918" i="1"/>
  <c r="M918" i="1" s="1"/>
  <c r="S918" i="1" s="1"/>
  <c r="K932" i="1"/>
  <c r="M932" i="1" s="1"/>
  <c r="S932" i="1" s="1"/>
  <c r="K956" i="1"/>
  <c r="M956" i="1" s="1"/>
  <c r="S956" i="1" s="1"/>
  <c r="K994" i="1"/>
  <c r="M994" i="1" s="1"/>
  <c r="S994" i="1" s="1"/>
  <c r="K1008" i="1"/>
  <c r="M1008" i="1" s="1"/>
  <c r="S1008" i="1" s="1"/>
  <c r="K1067" i="1"/>
  <c r="M1067" i="1" s="1"/>
  <c r="S1067" i="1" s="1"/>
  <c r="K1073" i="1"/>
  <c r="M1073" i="1" s="1"/>
  <c r="S1073" i="1" s="1"/>
  <c r="K1079" i="1"/>
  <c r="M1079" i="1" s="1"/>
  <c r="S1079" i="1" s="1"/>
  <c r="K1099" i="1"/>
  <c r="M1099" i="1" s="1"/>
  <c r="S1099" i="1" s="1"/>
  <c r="K1105" i="1"/>
  <c r="M1105" i="1" s="1"/>
  <c r="S1105" i="1" s="1"/>
  <c r="K1111" i="1"/>
  <c r="M1111" i="1" s="1"/>
  <c r="S1111" i="1" s="1"/>
  <c r="K1155" i="1"/>
  <c r="M1155" i="1" s="1"/>
  <c r="S1155" i="1" s="1"/>
  <c r="K1173" i="1"/>
  <c r="M1173" i="1" s="1"/>
  <c r="S1173" i="1" s="1"/>
  <c r="K1185" i="1"/>
  <c r="M1185" i="1" s="1"/>
  <c r="S1185" i="1" s="1"/>
  <c r="J1201" i="1"/>
  <c r="K1201" i="1" s="1"/>
  <c r="M1201" i="1" s="1"/>
  <c r="S1201" i="1" s="1"/>
  <c r="J1247" i="1"/>
  <c r="K1247" i="1" s="1"/>
  <c r="M1247" i="1" s="1"/>
  <c r="S1247" i="1" s="1"/>
  <c r="J1739" i="1"/>
  <c r="K1739" i="1" s="1"/>
  <c r="M1739" i="1" s="1"/>
  <c r="S1739" i="1" s="1"/>
  <c r="J1206" i="1"/>
  <c r="K1206" i="1" s="1"/>
  <c r="M1206" i="1" s="1"/>
  <c r="S1206" i="1" s="1"/>
  <c r="K1223" i="1"/>
  <c r="M1223" i="1" s="1"/>
  <c r="S1223" i="1" s="1"/>
  <c r="K1284" i="1"/>
  <c r="M1284" i="1" s="1"/>
  <c r="S1284" i="1" s="1"/>
  <c r="K1290" i="1"/>
  <c r="M1290" i="1" s="1"/>
  <c r="S1290" i="1" s="1"/>
  <c r="K1296" i="1"/>
  <c r="M1296" i="1" s="1"/>
  <c r="S1296" i="1" s="1"/>
  <c r="J1302" i="1"/>
  <c r="K1302" i="1" s="1"/>
  <c r="M1302" i="1" s="1"/>
  <c r="S1302" i="1" s="1"/>
  <c r="K1316" i="1"/>
  <c r="M1316" i="1" s="1"/>
  <c r="S1316" i="1" s="1"/>
  <c r="K1322" i="1"/>
  <c r="M1322" i="1" s="1"/>
  <c r="S1322" i="1" s="1"/>
  <c r="J1328" i="1"/>
  <c r="K1328" i="1" s="1"/>
  <c r="M1328" i="1" s="1"/>
  <c r="S1328" i="1" s="1"/>
  <c r="J1334" i="1"/>
  <c r="K1334" i="1" s="1"/>
  <c r="M1334" i="1" s="1"/>
  <c r="S1334" i="1" s="1"/>
  <c r="K1350" i="1"/>
  <c r="M1350" i="1" s="1"/>
  <c r="S1350" i="1" s="1"/>
  <c r="K1382" i="1"/>
  <c r="M1382" i="1" s="1"/>
  <c r="S1382" i="1" s="1"/>
  <c r="J1741" i="1"/>
  <c r="K1741" i="1" s="1"/>
  <c r="M1741" i="1" s="1"/>
  <c r="S1741" i="1" s="1"/>
  <c r="J1751" i="1"/>
  <c r="K1751" i="1" s="1"/>
  <c r="M1751" i="1" s="1"/>
  <c r="S1751" i="1" s="1"/>
  <c r="K1757" i="1"/>
  <c r="M1757" i="1" s="1"/>
  <c r="S1757" i="1" s="1"/>
  <c r="J1767" i="1"/>
  <c r="K1767" i="1" s="1"/>
  <c r="M1767" i="1" s="1"/>
  <c r="S1767" i="1" s="1"/>
  <c r="K1773" i="1"/>
  <c r="M1773" i="1" s="1"/>
  <c r="S1773" i="1" s="1"/>
  <c r="K1789" i="1"/>
  <c r="M1789" i="1" s="1"/>
  <c r="S1789" i="1" s="1"/>
  <c r="J1799" i="1"/>
  <c r="K1799" i="1" s="1"/>
  <c r="M1799" i="1" s="1"/>
  <c r="S1799" i="1" s="1"/>
  <c r="K1805" i="1"/>
  <c r="M1805" i="1" s="1"/>
  <c r="S1805" i="1" s="1"/>
  <c r="K1821" i="1"/>
  <c r="M1821" i="1" s="1"/>
  <c r="S1821" i="1" s="1"/>
  <c r="K1219" i="1"/>
  <c r="M1219" i="1" s="1"/>
  <c r="S1219" i="1" s="1"/>
  <c r="K1233" i="1"/>
  <c r="M1233" i="1" s="1"/>
  <c r="S1233" i="1" s="1"/>
  <c r="J1237" i="1"/>
  <c r="K1237" i="1" s="1"/>
  <c r="M1237" i="1" s="1"/>
  <c r="S1237" i="1" s="1"/>
  <c r="K1251" i="1"/>
  <c r="M1251" i="1" s="1"/>
  <c r="S1251" i="1" s="1"/>
  <c r="J1255" i="1"/>
  <c r="K1255" i="1" s="1"/>
  <c r="M1255" i="1" s="1"/>
  <c r="S1255" i="1" s="1"/>
  <c r="K1265" i="1"/>
  <c r="M1265" i="1" s="1"/>
  <c r="S1265" i="1" s="1"/>
  <c r="J1269" i="1"/>
  <c r="K1269" i="1" s="1"/>
  <c r="M1269" i="1" s="1"/>
  <c r="S1269" i="1" s="1"/>
  <c r="K1285" i="1"/>
  <c r="M1285" i="1" s="1"/>
  <c r="S1285" i="1" s="1"/>
  <c r="K1291" i="1"/>
  <c r="M1291" i="1" s="1"/>
  <c r="S1291" i="1" s="1"/>
  <c r="K1297" i="1"/>
  <c r="M1297" i="1" s="1"/>
  <c r="S1297" i="1" s="1"/>
  <c r="J1311" i="1"/>
  <c r="K1311" i="1" s="1"/>
  <c r="M1311" i="1" s="1"/>
  <c r="S1311" i="1" s="1"/>
  <c r="K1370" i="1"/>
  <c r="M1370" i="1" s="1"/>
  <c r="S1370" i="1" s="1"/>
  <c r="J1225" i="1"/>
  <c r="K1225" i="1" s="1"/>
  <c r="M1225" i="1" s="1"/>
  <c r="S1225" i="1" s="1"/>
  <c r="J1243" i="1"/>
  <c r="K1243" i="1" s="1"/>
  <c r="M1243" i="1" s="1"/>
  <c r="S1243" i="1" s="1"/>
  <c r="K1253" i="1"/>
  <c r="M1253" i="1" s="1"/>
  <c r="S1253" i="1" s="1"/>
  <c r="J1257" i="1"/>
  <c r="K1257" i="1" s="1"/>
  <c r="M1257" i="1" s="1"/>
  <c r="S1257" i="1" s="1"/>
  <c r="K1271" i="1"/>
  <c r="M1271" i="1" s="1"/>
  <c r="S1271" i="1" s="1"/>
  <c r="J1275" i="1"/>
  <c r="K1275" i="1" s="1"/>
  <c r="M1275" i="1" s="1"/>
  <c r="S1275" i="1" s="1"/>
  <c r="J1283" i="1"/>
  <c r="K1283" i="1" s="1"/>
  <c r="M1283" i="1" s="1"/>
  <c r="S1283" i="1" s="1"/>
  <c r="J1286" i="1"/>
  <c r="K1286" i="1" s="1"/>
  <c r="M1286" i="1" s="1"/>
  <c r="S1286" i="1" s="1"/>
  <c r="J1289" i="1"/>
  <c r="K1289" i="1" s="1"/>
  <c r="M1289" i="1" s="1"/>
  <c r="S1289" i="1" s="1"/>
  <c r="K1295" i="1"/>
  <c r="M1295" i="1" s="1"/>
  <c r="S1295" i="1" s="1"/>
  <c r="J1309" i="1"/>
  <c r="K1309" i="1" s="1"/>
  <c r="M1309" i="1" s="1"/>
  <c r="S1309" i="1" s="1"/>
  <c r="J1318" i="1"/>
  <c r="K1318" i="1" s="1"/>
  <c r="M1318" i="1" s="1"/>
  <c r="S1318" i="1" s="1"/>
  <c r="J1321" i="1"/>
  <c r="K1321" i="1" s="1"/>
  <c r="M1321" i="1" s="1"/>
  <c r="S1321" i="1" s="1"/>
  <c r="K1366" i="1"/>
  <c r="M1366" i="1" s="1"/>
  <c r="S1366" i="1" s="1"/>
  <c r="J1759" i="1"/>
  <c r="K1759" i="1" s="1"/>
  <c r="M1759" i="1" s="1"/>
  <c r="S1759" i="1" s="1"/>
  <c r="J1823" i="1"/>
  <c r="K1823" i="1" s="1"/>
  <c r="M1823" i="1" s="1"/>
  <c r="S1823" i="1" s="1"/>
  <c r="J1193" i="1"/>
  <c r="K1193" i="1" s="1"/>
  <c r="M1193" i="1" s="1"/>
  <c r="S1193" i="1" s="1"/>
  <c r="J1199" i="1"/>
  <c r="K1199" i="1" s="1"/>
  <c r="M1199" i="1" s="1"/>
  <c r="S1199" i="1" s="1"/>
  <c r="K1217" i="1"/>
  <c r="M1217" i="1" s="1"/>
  <c r="S1217" i="1" s="1"/>
  <c r="J1221" i="1"/>
  <c r="K1221" i="1" s="1"/>
  <c r="M1221" i="1" s="1"/>
  <c r="S1221" i="1" s="1"/>
  <c r="K1235" i="1"/>
  <c r="M1235" i="1" s="1"/>
  <c r="S1235" i="1" s="1"/>
  <c r="J1239" i="1"/>
  <c r="K1239" i="1" s="1"/>
  <c r="M1239" i="1" s="1"/>
  <c r="S1239" i="1" s="1"/>
  <c r="K1249" i="1"/>
  <c r="M1249" i="1" s="1"/>
  <c r="S1249" i="1" s="1"/>
  <c r="K1281" i="1"/>
  <c r="M1281" i="1" s="1"/>
  <c r="S1281" i="1" s="1"/>
  <c r="K1301" i="1"/>
  <c r="M1301" i="1" s="1"/>
  <c r="S1301" i="1" s="1"/>
  <c r="K1307" i="1"/>
  <c r="M1307" i="1" s="1"/>
  <c r="S1307" i="1" s="1"/>
  <c r="K1313" i="1"/>
  <c r="M1313" i="1" s="1"/>
  <c r="S1313" i="1" s="1"/>
  <c r="K1386" i="1"/>
  <c r="M1386" i="1" s="1"/>
  <c r="S1386" i="1" s="1"/>
  <c r="J1785" i="1"/>
  <c r="K1785" i="1" s="1"/>
  <c r="M1785" i="1" s="1"/>
  <c r="S1785" i="1" s="1"/>
  <c r="J1801" i="1"/>
  <c r="K1801" i="1" s="1"/>
  <c r="M1801" i="1" s="1"/>
  <c r="S1801" i="1" s="1"/>
  <c r="J1817" i="1"/>
  <c r="K1817" i="1" s="1"/>
  <c r="M1817" i="1" s="1"/>
  <c r="S1817" i="1" s="1"/>
  <c r="J1833" i="1"/>
  <c r="K1833" i="1" s="1"/>
  <c r="M1833" i="1" s="1"/>
  <c r="S1833" i="1" s="1"/>
  <c r="K2002" i="1"/>
  <c r="M2002" i="1" s="1"/>
  <c r="S2002" i="1" s="1"/>
  <c r="J1811" i="1"/>
  <c r="K1811" i="1" s="1"/>
  <c r="M1811" i="1" s="1"/>
  <c r="S1811" i="1" s="1"/>
  <c r="J1827" i="1"/>
  <c r="K1827" i="1" s="1"/>
  <c r="M1827" i="1" s="1"/>
  <c r="S1827" i="1" s="1"/>
  <c r="K1197" i="1"/>
  <c r="M1197" i="1" s="1"/>
  <c r="S1197" i="1" s="1"/>
  <c r="K1227" i="1"/>
  <c r="M1227" i="1" s="1"/>
  <c r="S1227" i="1" s="1"/>
  <c r="J1231" i="1"/>
  <c r="K1231" i="1" s="1"/>
  <c r="M1231" i="1" s="1"/>
  <c r="S1231" i="1" s="1"/>
  <c r="K1241" i="1"/>
  <c r="M1241" i="1" s="1"/>
  <c r="S1241" i="1" s="1"/>
  <c r="J1245" i="1"/>
  <c r="K1245" i="1" s="1"/>
  <c r="M1245" i="1" s="1"/>
  <c r="S1245" i="1" s="1"/>
  <c r="K1259" i="1"/>
  <c r="M1259" i="1" s="1"/>
  <c r="S1259" i="1" s="1"/>
  <c r="J1263" i="1"/>
  <c r="K1263" i="1" s="1"/>
  <c r="M1263" i="1" s="1"/>
  <c r="S1263" i="1" s="1"/>
  <c r="K1273" i="1"/>
  <c r="M1273" i="1" s="1"/>
  <c r="S1273" i="1" s="1"/>
  <c r="J1277" i="1"/>
  <c r="K1277" i="1" s="1"/>
  <c r="M1277" i="1" s="1"/>
  <c r="S1277" i="1" s="1"/>
  <c r="J1287" i="1"/>
  <c r="K1287" i="1" s="1"/>
  <c r="M1287" i="1" s="1"/>
  <c r="S1287" i="1" s="1"/>
  <c r="K1293" i="1"/>
  <c r="M1293" i="1" s="1"/>
  <c r="S1293" i="1" s="1"/>
  <c r="K1299" i="1"/>
  <c r="M1299" i="1" s="1"/>
  <c r="S1299" i="1" s="1"/>
  <c r="K1305" i="1"/>
  <c r="M1305" i="1" s="1"/>
  <c r="S1305" i="1" s="1"/>
  <c r="J1319" i="1"/>
  <c r="K1319" i="1" s="1"/>
  <c r="M1319" i="1" s="1"/>
  <c r="S1319" i="1" s="1"/>
  <c r="K1362" i="1"/>
  <c r="M1362" i="1" s="1"/>
  <c r="S1362" i="1" s="1"/>
  <c r="J1719" i="1"/>
  <c r="K1719" i="1" s="1"/>
  <c r="M1719" i="1" s="1"/>
  <c r="S1719" i="1" s="1"/>
  <c r="J426" i="1"/>
  <c r="K426" i="1" s="1"/>
  <c r="M426" i="1" s="1"/>
  <c r="S426" i="1" s="1"/>
  <c r="J456" i="1"/>
  <c r="K456" i="1" s="1"/>
  <c r="M456" i="1" s="1"/>
  <c r="S456" i="1" s="1"/>
  <c r="J488" i="1"/>
  <c r="K488" i="1" s="1"/>
  <c r="M488" i="1" s="1"/>
  <c r="S488" i="1" s="1"/>
  <c r="J520" i="1"/>
  <c r="K520" i="1" s="1"/>
  <c r="M520" i="1" s="1"/>
  <c r="S520" i="1" s="1"/>
  <c r="J552" i="1"/>
  <c r="K552" i="1" s="1"/>
  <c r="M552" i="1" s="1"/>
  <c r="S552" i="1" s="1"/>
  <c r="J584" i="1"/>
  <c r="K584" i="1" s="1"/>
  <c r="M584" i="1" s="1"/>
  <c r="S584" i="1" s="1"/>
  <c r="J616" i="1"/>
  <c r="K616" i="1" s="1"/>
  <c r="M616" i="1" s="1"/>
  <c r="S616" i="1" s="1"/>
  <c r="J793" i="1"/>
  <c r="K793" i="1" s="1"/>
  <c r="M793" i="1" s="1"/>
  <c r="S793" i="1" s="1"/>
  <c r="J131" i="1"/>
  <c r="K131" i="1" s="1"/>
  <c r="M131" i="1" s="1"/>
  <c r="S131" i="1" s="1"/>
  <c r="J134" i="1"/>
  <c r="K134" i="1" s="1"/>
  <c r="M134" i="1" s="1"/>
  <c r="S134" i="1" s="1"/>
  <c r="K147" i="1"/>
  <c r="M147" i="1" s="1"/>
  <c r="S147" i="1" s="1"/>
  <c r="K163" i="1"/>
  <c r="M163" i="1" s="1"/>
  <c r="S163" i="1" s="1"/>
  <c r="K179" i="1"/>
  <c r="M179" i="1" s="1"/>
  <c r="S179" i="1" s="1"/>
  <c r="J185" i="1"/>
  <c r="K185" i="1" s="1"/>
  <c r="M185" i="1" s="1"/>
  <c r="S185" i="1" s="1"/>
  <c r="K195" i="1"/>
  <c r="M195" i="1" s="1"/>
  <c r="S195" i="1" s="1"/>
  <c r="K211" i="1"/>
  <c r="M211" i="1" s="1"/>
  <c r="S211" i="1" s="1"/>
  <c r="K227" i="1"/>
  <c r="M227" i="1" s="1"/>
  <c r="S227" i="1" s="1"/>
  <c r="K243" i="1"/>
  <c r="M243" i="1" s="1"/>
  <c r="S243" i="1" s="1"/>
  <c r="K259" i="1"/>
  <c r="M259" i="1" s="1"/>
  <c r="S259" i="1" s="1"/>
  <c r="K275" i="1"/>
  <c r="M275" i="1" s="1"/>
  <c r="S275" i="1" s="1"/>
  <c r="K291" i="1"/>
  <c r="M291" i="1" s="1"/>
  <c r="S291" i="1" s="1"/>
  <c r="K307" i="1"/>
  <c r="M307" i="1" s="1"/>
  <c r="S307" i="1" s="1"/>
  <c r="K323" i="1"/>
  <c r="M323" i="1" s="1"/>
  <c r="S323" i="1" s="1"/>
  <c r="K339" i="1"/>
  <c r="M339" i="1" s="1"/>
  <c r="S339" i="1" s="1"/>
  <c r="K355" i="1"/>
  <c r="M355" i="1" s="1"/>
  <c r="S355" i="1" s="1"/>
  <c r="J392" i="1"/>
  <c r="K392" i="1" s="1"/>
  <c r="M392" i="1" s="1"/>
  <c r="S392" i="1" s="1"/>
  <c r="K407" i="1"/>
  <c r="M407" i="1" s="1"/>
  <c r="S407" i="1" s="1"/>
  <c r="J417" i="1"/>
  <c r="K417" i="1" s="1"/>
  <c r="M417" i="1" s="1"/>
  <c r="S417" i="1" s="1"/>
  <c r="K451" i="1"/>
  <c r="M451" i="1" s="1"/>
  <c r="S451" i="1" s="1"/>
  <c r="J457" i="1"/>
  <c r="K457" i="1" s="1"/>
  <c r="M457" i="1" s="1"/>
  <c r="S457" i="1" s="1"/>
  <c r="K483" i="1"/>
  <c r="M483" i="1" s="1"/>
  <c r="S483" i="1" s="1"/>
  <c r="J489" i="1"/>
  <c r="K489" i="1" s="1"/>
  <c r="M489" i="1" s="1"/>
  <c r="S489" i="1" s="1"/>
  <c r="K515" i="1"/>
  <c r="M515" i="1" s="1"/>
  <c r="S515" i="1" s="1"/>
  <c r="J521" i="1"/>
  <c r="K521" i="1" s="1"/>
  <c r="M521" i="1" s="1"/>
  <c r="S521" i="1" s="1"/>
  <c r="K547" i="1"/>
  <c r="M547" i="1" s="1"/>
  <c r="S547" i="1" s="1"/>
  <c r="J553" i="1"/>
  <c r="K553" i="1" s="1"/>
  <c r="M553" i="1" s="1"/>
  <c r="S553" i="1" s="1"/>
  <c r="K579" i="1"/>
  <c r="M579" i="1" s="1"/>
  <c r="S579" i="1" s="1"/>
  <c r="J585" i="1"/>
  <c r="K585" i="1" s="1"/>
  <c r="M585" i="1" s="1"/>
  <c r="S585" i="1" s="1"/>
  <c r="K611" i="1"/>
  <c r="M611" i="1" s="1"/>
  <c r="S611" i="1" s="1"/>
  <c r="J617" i="1"/>
  <c r="K617" i="1" s="1"/>
  <c r="M617" i="1" s="1"/>
  <c r="S617" i="1" s="1"/>
  <c r="J650" i="1"/>
  <c r="K650" i="1" s="1"/>
  <c r="M650" i="1" s="1"/>
  <c r="S650" i="1" s="1"/>
  <c r="J378" i="1"/>
  <c r="K378" i="1" s="1"/>
  <c r="M378" i="1" s="1"/>
  <c r="S378" i="1" s="1"/>
  <c r="J432" i="1"/>
  <c r="K432" i="1" s="1"/>
  <c r="M432" i="1" s="1"/>
  <c r="S432" i="1" s="1"/>
  <c r="J464" i="1"/>
  <c r="K464" i="1" s="1"/>
  <c r="M464" i="1" s="1"/>
  <c r="S464" i="1" s="1"/>
  <c r="J496" i="1"/>
  <c r="K496" i="1" s="1"/>
  <c r="M496" i="1" s="1"/>
  <c r="S496" i="1" s="1"/>
  <c r="J528" i="1"/>
  <c r="K528" i="1" s="1"/>
  <c r="M528" i="1" s="1"/>
  <c r="S528" i="1" s="1"/>
  <c r="J560" i="1"/>
  <c r="K560" i="1" s="1"/>
  <c r="M560" i="1" s="1"/>
  <c r="S560" i="1" s="1"/>
  <c r="J592" i="1"/>
  <c r="K592" i="1" s="1"/>
  <c r="M592" i="1" s="1"/>
  <c r="S592" i="1" s="1"/>
  <c r="J624" i="1"/>
  <c r="K624" i="1" s="1"/>
  <c r="M624" i="1" s="1"/>
  <c r="S624" i="1" s="1"/>
  <c r="K137" i="1"/>
  <c r="M137" i="1" s="1"/>
  <c r="S137" i="1" s="1"/>
  <c r="J4" i="1"/>
  <c r="K4" i="1" s="1"/>
  <c r="M4" i="1" s="1"/>
  <c r="S4" i="1" s="1"/>
  <c r="J8" i="1"/>
  <c r="K8" i="1" s="1"/>
  <c r="M8" i="1" s="1"/>
  <c r="S8" i="1" s="1"/>
  <c r="J14" i="1"/>
  <c r="K14" i="1" s="1"/>
  <c r="M14" i="1" s="1"/>
  <c r="S14" i="1" s="1"/>
  <c r="J18" i="1"/>
  <c r="K18" i="1" s="1"/>
  <c r="M18" i="1" s="1"/>
  <c r="S18" i="1" s="1"/>
  <c r="J22" i="1"/>
  <c r="K22" i="1" s="1"/>
  <c r="M22" i="1" s="1"/>
  <c r="S22" i="1" s="1"/>
  <c r="J26" i="1"/>
  <c r="K26" i="1" s="1"/>
  <c r="M26" i="1" s="1"/>
  <c r="S26" i="1" s="1"/>
  <c r="J30" i="1"/>
  <c r="K30" i="1" s="1"/>
  <c r="M30" i="1" s="1"/>
  <c r="S30" i="1" s="1"/>
  <c r="J34" i="1"/>
  <c r="K34" i="1" s="1"/>
  <c r="M34" i="1" s="1"/>
  <c r="S34" i="1" s="1"/>
  <c r="J38" i="1"/>
  <c r="K38" i="1" s="1"/>
  <c r="M38" i="1" s="1"/>
  <c r="S38" i="1" s="1"/>
  <c r="J42" i="1"/>
  <c r="K42" i="1" s="1"/>
  <c r="M42" i="1" s="1"/>
  <c r="S42" i="1" s="1"/>
  <c r="J46" i="1"/>
  <c r="K46" i="1" s="1"/>
  <c r="M46" i="1" s="1"/>
  <c r="S46" i="1" s="1"/>
  <c r="J50" i="1"/>
  <c r="K50" i="1" s="1"/>
  <c r="M50" i="1" s="1"/>
  <c r="S50" i="1" s="1"/>
  <c r="J54" i="1"/>
  <c r="K54" i="1" s="1"/>
  <c r="M54" i="1" s="1"/>
  <c r="S54" i="1" s="1"/>
  <c r="J58" i="1"/>
  <c r="K58" i="1" s="1"/>
  <c r="M58" i="1" s="1"/>
  <c r="S58" i="1" s="1"/>
  <c r="J60" i="1"/>
  <c r="K60" i="1" s="1"/>
  <c r="M60" i="1" s="1"/>
  <c r="S60" i="1" s="1"/>
  <c r="J64" i="1"/>
  <c r="K64" i="1" s="1"/>
  <c r="M64" i="1" s="1"/>
  <c r="S64" i="1" s="1"/>
  <c r="J66" i="1"/>
  <c r="K66" i="1" s="1"/>
  <c r="M66" i="1" s="1"/>
  <c r="S66" i="1" s="1"/>
  <c r="J68" i="1"/>
  <c r="K68" i="1" s="1"/>
  <c r="M68" i="1" s="1"/>
  <c r="S68" i="1" s="1"/>
  <c r="J70" i="1"/>
  <c r="K70" i="1" s="1"/>
  <c r="M70" i="1" s="1"/>
  <c r="S70" i="1" s="1"/>
  <c r="J72" i="1"/>
  <c r="K72" i="1" s="1"/>
  <c r="M72" i="1" s="1"/>
  <c r="S72" i="1" s="1"/>
  <c r="J76" i="1"/>
  <c r="K76" i="1" s="1"/>
  <c r="M76" i="1" s="1"/>
  <c r="S76" i="1" s="1"/>
  <c r="J78" i="1"/>
  <c r="K78" i="1" s="1"/>
  <c r="M78" i="1" s="1"/>
  <c r="S78" i="1" s="1"/>
  <c r="J80" i="1"/>
  <c r="K80" i="1" s="1"/>
  <c r="M80" i="1" s="1"/>
  <c r="S80" i="1" s="1"/>
  <c r="J82" i="1"/>
  <c r="K82" i="1" s="1"/>
  <c r="M82" i="1" s="1"/>
  <c r="S82" i="1" s="1"/>
  <c r="J84" i="1"/>
  <c r="K84" i="1" s="1"/>
  <c r="M84" i="1" s="1"/>
  <c r="S84" i="1" s="1"/>
  <c r="J86" i="1"/>
  <c r="K86" i="1" s="1"/>
  <c r="M86" i="1" s="1"/>
  <c r="S86" i="1" s="1"/>
  <c r="J88" i="1"/>
  <c r="K88" i="1" s="1"/>
  <c r="M88" i="1" s="1"/>
  <c r="S88" i="1" s="1"/>
  <c r="J90" i="1"/>
  <c r="K90" i="1" s="1"/>
  <c r="M90" i="1" s="1"/>
  <c r="S90" i="1" s="1"/>
  <c r="J92" i="1"/>
  <c r="K92" i="1" s="1"/>
  <c r="M92" i="1" s="1"/>
  <c r="S92" i="1" s="1"/>
  <c r="J94" i="1"/>
  <c r="K94" i="1" s="1"/>
  <c r="M94" i="1" s="1"/>
  <c r="S94" i="1" s="1"/>
  <c r="J96" i="1"/>
  <c r="K96" i="1" s="1"/>
  <c r="M96" i="1" s="1"/>
  <c r="S96" i="1" s="1"/>
  <c r="J98" i="1"/>
  <c r="K98" i="1" s="1"/>
  <c r="M98" i="1" s="1"/>
  <c r="S98" i="1" s="1"/>
  <c r="J100" i="1"/>
  <c r="K100" i="1" s="1"/>
  <c r="M100" i="1" s="1"/>
  <c r="S100" i="1" s="1"/>
  <c r="J102" i="1"/>
  <c r="K102" i="1" s="1"/>
  <c r="M102" i="1" s="1"/>
  <c r="S102" i="1" s="1"/>
  <c r="J104" i="1"/>
  <c r="K104" i="1" s="1"/>
  <c r="M104" i="1" s="1"/>
  <c r="S104" i="1" s="1"/>
  <c r="J106" i="1"/>
  <c r="K106" i="1" s="1"/>
  <c r="M106" i="1" s="1"/>
  <c r="S106" i="1" s="1"/>
  <c r="J108" i="1"/>
  <c r="K108" i="1" s="1"/>
  <c r="M108" i="1" s="1"/>
  <c r="S108" i="1" s="1"/>
  <c r="J110" i="1"/>
  <c r="K110" i="1" s="1"/>
  <c r="M110" i="1" s="1"/>
  <c r="S110" i="1" s="1"/>
  <c r="J112" i="1"/>
  <c r="K112" i="1" s="1"/>
  <c r="M112" i="1" s="1"/>
  <c r="S112" i="1" s="1"/>
  <c r="J114" i="1"/>
  <c r="K114" i="1" s="1"/>
  <c r="M114" i="1" s="1"/>
  <c r="S114" i="1" s="1"/>
  <c r="J116" i="1"/>
  <c r="K116" i="1" s="1"/>
  <c r="M116" i="1" s="1"/>
  <c r="S116" i="1" s="1"/>
  <c r="J118" i="1"/>
  <c r="K118" i="1" s="1"/>
  <c r="M118" i="1" s="1"/>
  <c r="S118" i="1" s="1"/>
  <c r="J120" i="1"/>
  <c r="K120" i="1" s="1"/>
  <c r="M120" i="1" s="1"/>
  <c r="S120" i="1" s="1"/>
  <c r="J122" i="1"/>
  <c r="K122" i="1" s="1"/>
  <c r="M122" i="1" s="1"/>
  <c r="S122" i="1" s="1"/>
  <c r="J124" i="1"/>
  <c r="K124" i="1" s="1"/>
  <c r="M124" i="1" s="1"/>
  <c r="S124" i="1" s="1"/>
  <c r="J129" i="1"/>
  <c r="K129" i="1" s="1"/>
  <c r="M129" i="1" s="1"/>
  <c r="S129" i="1" s="1"/>
  <c r="J141" i="1"/>
  <c r="K141" i="1" s="1"/>
  <c r="M141" i="1" s="1"/>
  <c r="S141" i="1" s="1"/>
  <c r="J157" i="1"/>
  <c r="K157" i="1" s="1"/>
  <c r="M157" i="1" s="1"/>
  <c r="S157" i="1" s="1"/>
  <c r="J189" i="1"/>
  <c r="K189" i="1" s="1"/>
  <c r="M189" i="1" s="1"/>
  <c r="S189" i="1" s="1"/>
  <c r="J369" i="1"/>
  <c r="K369" i="1" s="1"/>
  <c r="M369" i="1" s="1"/>
  <c r="S369" i="1" s="1"/>
  <c r="J383" i="1"/>
  <c r="K383" i="1" s="1"/>
  <c r="M383" i="1" s="1"/>
  <c r="S383" i="1" s="1"/>
  <c r="J408" i="1"/>
  <c r="K408" i="1" s="1"/>
  <c r="M408" i="1" s="1"/>
  <c r="S408" i="1" s="1"/>
  <c r="J446" i="1"/>
  <c r="K446" i="1" s="1"/>
  <c r="M446" i="1" s="1"/>
  <c r="S446" i="1" s="1"/>
  <c r="J459" i="1"/>
  <c r="K459" i="1" s="1"/>
  <c r="M459" i="1" s="1"/>
  <c r="S459" i="1" s="1"/>
  <c r="J478" i="1"/>
  <c r="K478" i="1" s="1"/>
  <c r="M478" i="1" s="1"/>
  <c r="S478" i="1" s="1"/>
  <c r="J491" i="1"/>
  <c r="K491" i="1" s="1"/>
  <c r="M491" i="1" s="1"/>
  <c r="S491" i="1" s="1"/>
  <c r="J510" i="1"/>
  <c r="K510" i="1" s="1"/>
  <c r="M510" i="1" s="1"/>
  <c r="S510" i="1" s="1"/>
  <c r="J523" i="1"/>
  <c r="K523" i="1" s="1"/>
  <c r="M523" i="1" s="1"/>
  <c r="S523" i="1" s="1"/>
  <c r="J542" i="1"/>
  <c r="K542" i="1" s="1"/>
  <c r="M542" i="1" s="1"/>
  <c r="S542" i="1" s="1"/>
  <c r="J555" i="1"/>
  <c r="K555" i="1" s="1"/>
  <c r="M555" i="1" s="1"/>
  <c r="S555" i="1" s="1"/>
  <c r="J574" i="1"/>
  <c r="K574" i="1" s="1"/>
  <c r="M574" i="1" s="1"/>
  <c r="S574" i="1" s="1"/>
  <c r="J587" i="1"/>
  <c r="K587" i="1" s="1"/>
  <c r="M587" i="1" s="1"/>
  <c r="S587" i="1" s="1"/>
  <c r="J606" i="1"/>
  <c r="K606" i="1" s="1"/>
  <c r="M606" i="1" s="1"/>
  <c r="S606" i="1" s="1"/>
  <c r="J619" i="1"/>
  <c r="K619" i="1" s="1"/>
  <c r="M619" i="1" s="1"/>
  <c r="S619" i="1" s="1"/>
  <c r="J638" i="1"/>
  <c r="K638" i="1" s="1"/>
  <c r="M638" i="1" s="1"/>
  <c r="S638" i="1" s="1"/>
  <c r="J6" i="1"/>
  <c r="K6" i="1" s="1"/>
  <c r="M6" i="1" s="1"/>
  <c r="S6" i="1" s="1"/>
  <c r="J10" i="1"/>
  <c r="K10" i="1" s="1"/>
  <c r="M10" i="1" s="1"/>
  <c r="S10" i="1" s="1"/>
  <c r="J12" i="1"/>
  <c r="K12" i="1" s="1"/>
  <c r="M12" i="1" s="1"/>
  <c r="S12" i="1" s="1"/>
  <c r="J16" i="1"/>
  <c r="K16" i="1" s="1"/>
  <c r="M16" i="1" s="1"/>
  <c r="S16" i="1" s="1"/>
  <c r="J20" i="1"/>
  <c r="K20" i="1" s="1"/>
  <c r="M20" i="1" s="1"/>
  <c r="S20" i="1" s="1"/>
  <c r="J24" i="1"/>
  <c r="K24" i="1" s="1"/>
  <c r="M24" i="1" s="1"/>
  <c r="S24" i="1" s="1"/>
  <c r="J28" i="1"/>
  <c r="K28" i="1" s="1"/>
  <c r="M28" i="1" s="1"/>
  <c r="S28" i="1" s="1"/>
  <c r="J32" i="1"/>
  <c r="K32" i="1" s="1"/>
  <c r="M32" i="1" s="1"/>
  <c r="S32" i="1" s="1"/>
  <c r="J36" i="1"/>
  <c r="K36" i="1" s="1"/>
  <c r="M36" i="1" s="1"/>
  <c r="S36" i="1" s="1"/>
  <c r="J40" i="1"/>
  <c r="K40" i="1" s="1"/>
  <c r="M40" i="1" s="1"/>
  <c r="S40" i="1" s="1"/>
  <c r="J44" i="1"/>
  <c r="K44" i="1" s="1"/>
  <c r="M44" i="1" s="1"/>
  <c r="S44" i="1" s="1"/>
  <c r="J48" i="1"/>
  <c r="K48" i="1" s="1"/>
  <c r="M48" i="1" s="1"/>
  <c r="S48" i="1" s="1"/>
  <c r="J52" i="1"/>
  <c r="K52" i="1" s="1"/>
  <c r="M52" i="1" s="1"/>
  <c r="S52" i="1" s="1"/>
  <c r="J56" i="1"/>
  <c r="K56" i="1" s="1"/>
  <c r="M56" i="1" s="1"/>
  <c r="S56" i="1" s="1"/>
  <c r="J62" i="1"/>
  <c r="K62" i="1" s="1"/>
  <c r="M62" i="1" s="1"/>
  <c r="S62" i="1" s="1"/>
  <c r="J74" i="1"/>
  <c r="K74" i="1" s="1"/>
  <c r="M74" i="1" s="1"/>
  <c r="S74" i="1" s="1"/>
  <c r="J135" i="1"/>
  <c r="K135" i="1" s="1"/>
  <c r="M135" i="1" s="1"/>
  <c r="S135" i="1" s="1"/>
  <c r="K145" i="1"/>
  <c r="M145" i="1" s="1"/>
  <c r="S145" i="1" s="1"/>
  <c r="J151" i="1"/>
  <c r="K151" i="1" s="1"/>
  <c r="M151" i="1" s="1"/>
  <c r="S151" i="1" s="1"/>
  <c r="K161" i="1"/>
  <c r="M161" i="1" s="1"/>
  <c r="S161" i="1" s="1"/>
  <c r="J167" i="1"/>
  <c r="K167" i="1" s="1"/>
  <c r="M167" i="1" s="1"/>
  <c r="S167" i="1" s="1"/>
  <c r="K177" i="1"/>
  <c r="M177" i="1" s="1"/>
  <c r="S177" i="1" s="1"/>
  <c r="J183" i="1"/>
  <c r="K183" i="1" s="1"/>
  <c r="M183" i="1" s="1"/>
  <c r="S183" i="1" s="1"/>
  <c r="K193" i="1"/>
  <c r="M193" i="1" s="1"/>
  <c r="S193" i="1" s="1"/>
  <c r="K209" i="1"/>
  <c r="M209" i="1" s="1"/>
  <c r="S209" i="1" s="1"/>
  <c r="K225" i="1"/>
  <c r="M225" i="1" s="1"/>
  <c r="S225" i="1" s="1"/>
  <c r="K241" i="1"/>
  <c r="M241" i="1" s="1"/>
  <c r="S241" i="1" s="1"/>
  <c r="K257" i="1"/>
  <c r="M257" i="1" s="1"/>
  <c r="S257" i="1" s="1"/>
  <c r="K273" i="1"/>
  <c r="M273" i="1" s="1"/>
  <c r="S273" i="1" s="1"/>
  <c r="K289" i="1"/>
  <c r="M289" i="1" s="1"/>
  <c r="S289" i="1" s="1"/>
  <c r="K305" i="1"/>
  <c r="M305" i="1" s="1"/>
  <c r="S305" i="1" s="1"/>
  <c r="K321" i="1"/>
  <c r="M321" i="1" s="1"/>
  <c r="S321" i="1" s="1"/>
  <c r="K337" i="1"/>
  <c r="M337" i="1" s="1"/>
  <c r="S337" i="1" s="1"/>
  <c r="K353" i="1"/>
  <c r="M353" i="1" s="1"/>
  <c r="S353" i="1" s="1"/>
  <c r="J384" i="1"/>
  <c r="K384" i="1" s="1"/>
  <c r="M384" i="1" s="1"/>
  <c r="S384" i="1" s="1"/>
  <c r="K389" i="1"/>
  <c r="M389" i="1" s="1"/>
  <c r="S389" i="1" s="1"/>
  <c r="J394" i="1"/>
  <c r="K394" i="1" s="1"/>
  <c r="M394" i="1" s="1"/>
  <c r="S394" i="1" s="1"/>
  <c r="J423" i="1"/>
  <c r="K423" i="1" s="1"/>
  <c r="M423" i="1" s="1"/>
  <c r="S423" i="1" s="1"/>
  <c r="J440" i="1"/>
  <c r="K440" i="1" s="1"/>
  <c r="M440" i="1" s="1"/>
  <c r="S440" i="1" s="1"/>
  <c r="J472" i="1"/>
  <c r="K472" i="1" s="1"/>
  <c r="M472" i="1" s="1"/>
  <c r="S472" i="1" s="1"/>
  <c r="J504" i="1"/>
  <c r="K504" i="1" s="1"/>
  <c r="M504" i="1" s="1"/>
  <c r="S504" i="1" s="1"/>
  <c r="J536" i="1"/>
  <c r="K536" i="1" s="1"/>
  <c r="M536" i="1" s="1"/>
  <c r="S536" i="1" s="1"/>
  <c r="J568" i="1"/>
  <c r="K568" i="1" s="1"/>
  <c r="M568" i="1" s="1"/>
  <c r="S568" i="1" s="1"/>
  <c r="J600" i="1"/>
  <c r="K600" i="1" s="1"/>
  <c r="M600" i="1" s="1"/>
  <c r="S600" i="1" s="1"/>
  <c r="J632" i="1"/>
  <c r="K632" i="1" s="1"/>
  <c r="M632" i="1" s="1"/>
  <c r="S632" i="1" s="1"/>
  <c r="K173" i="1"/>
  <c r="M173" i="1" s="1"/>
  <c r="S173" i="1" s="1"/>
  <c r="J385" i="1"/>
  <c r="K385" i="1" s="1"/>
  <c r="M385" i="1" s="1"/>
  <c r="S385" i="1" s="1"/>
  <c r="J399" i="1"/>
  <c r="K399" i="1" s="1"/>
  <c r="M399" i="1" s="1"/>
  <c r="S399" i="1" s="1"/>
  <c r="J424" i="1"/>
  <c r="K424" i="1" s="1"/>
  <c r="M424" i="1" s="1"/>
  <c r="S424" i="1" s="1"/>
  <c r="J441" i="1"/>
  <c r="K441" i="1" s="1"/>
  <c r="M441" i="1" s="1"/>
  <c r="S441" i="1" s="1"/>
  <c r="J473" i="1"/>
  <c r="K473" i="1" s="1"/>
  <c r="M473" i="1" s="1"/>
  <c r="S473" i="1" s="1"/>
  <c r="J505" i="1"/>
  <c r="K505" i="1" s="1"/>
  <c r="M505" i="1" s="1"/>
  <c r="S505" i="1" s="1"/>
  <c r="J537" i="1"/>
  <c r="K537" i="1" s="1"/>
  <c r="M537" i="1" s="1"/>
  <c r="S537" i="1" s="1"/>
  <c r="J569" i="1"/>
  <c r="K569" i="1" s="1"/>
  <c r="M569" i="1" s="1"/>
  <c r="S569" i="1" s="1"/>
  <c r="J601" i="1"/>
  <c r="K601" i="1" s="1"/>
  <c r="M601" i="1" s="1"/>
  <c r="S601" i="1" s="1"/>
  <c r="J633" i="1"/>
  <c r="K633" i="1" s="1"/>
  <c r="M633" i="1" s="1"/>
  <c r="S633" i="1" s="1"/>
  <c r="J648" i="1"/>
  <c r="K648" i="1" s="1"/>
  <c r="M648" i="1" s="1"/>
  <c r="S648" i="1" s="1"/>
  <c r="K153" i="1"/>
  <c r="M153" i="1" s="1"/>
  <c r="S153" i="1" s="1"/>
  <c r="J416" i="1"/>
  <c r="K416" i="1" s="1"/>
  <c r="M416" i="1" s="1"/>
  <c r="S416" i="1" s="1"/>
  <c r="K133" i="1"/>
  <c r="M133" i="1" s="1"/>
  <c r="S133" i="1" s="1"/>
  <c r="J139" i="1"/>
  <c r="K139" i="1" s="1"/>
  <c r="M139" i="1" s="1"/>
  <c r="S139" i="1" s="1"/>
  <c r="K149" i="1"/>
  <c r="M149" i="1" s="1"/>
  <c r="S149" i="1" s="1"/>
  <c r="J155" i="1"/>
  <c r="K155" i="1" s="1"/>
  <c r="M155" i="1" s="1"/>
  <c r="S155" i="1" s="1"/>
  <c r="K165" i="1"/>
  <c r="M165" i="1" s="1"/>
  <c r="S165" i="1" s="1"/>
  <c r="J171" i="1"/>
  <c r="K171" i="1" s="1"/>
  <c r="M171" i="1" s="1"/>
  <c r="S171" i="1" s="1"/>
  <c r="K181" i="1"/>
  <c r="M181" i="1" s="1"/>
  <c r="S181" i="1" s="1"/>
  <c r="J187" i="1"/>
  <c r="K187" i="1" s="1"/>
  <c r="M187" i="1" s="1"/>
  <c r="S187" i="1" s="1"/>
  <c r="K197" i="1"/>
  <c r="M197" i="1" s="1"/>
  <c r="S197" i="1" s="1"/>
  <c r="K213" i="1"/>
  <c r="M213" i="1" s="1"/>
  <c r="S213" i="1" s="1"/>
  <c r="K229" i="1"/>
  <c r="M229" i="1" s="1"/>
  <c r="S229" i="1" s="1"/>
  <c r="K245" i="1"/>
  <c r="M245" i="1" s="1"/>
  <c r="S245" i="1" s="1"/>
  <c r="K261" i="1"/>
  <c r="M261" i="1" s="1"/>
  <c r="S261" i="1" s="1"/>
  <c r="K277" i="1"/>
  <c r="M277" i="1" s="1"/>
  <c r="S277" i="1" s="1"/>
  <c r="K293" i="1"/>
  <c r="M293" i="1" s="1"/>
  <c r="S293" i="1" s="1"/>
  <c r="K309" i="1"/>
  <c r="M309" i="1" s="1"/>
  <c r="S309" i="1" s="1"/>
  <c r="K325" i="1"/>
  <c r="M325" i="1" s="1"/>
  <c r="S325" i="1" s="1"/>
  <c r="K341" i="1"/>
  <c r="M341" i="1" s="1"/>
  <c r="S341" i="1" s="1"/>
  <c r="K357" i="1"/>
  <c r="M357" i="1" s="1"/>
  <c r="S357" i="1" s="1"/>
  <c r="J375" i="1"/>
  <c r="K375" i="1" s="1"/>
  <c r="M375" i="1" s="1"/>
  <c r="S375" i="1" s="1"/>
  <c r="J400" i="1"/>
  <c r="K400" i="1" s="1"/>
  <c r="M400" i="1" s="1"/>
  <c r="S400" i="1" s="1"/>
  <c r="K405" i="1"/>
  <c r="M405" i="1" s="1"/>
  <c r="S405" i="1" s="1"/>
  <c r="J410" i="1"/>
  <c r="K410" i="1" s="1"/>
  <c r="M410" i="1" s="1"/>
  <c r="S410" i="1" s="1"/>
  <c r="J435" i="1"/>
  <c r="K435" i="1" s="1"/>
  <c r="M435" i="1" s="1"/>
  <c r="S435" i="1" s="1"/>
  <c r="J448" i="1"/>
  <c r="K448" i="1" s="1"/>
  <c r="M448" i="1" s="1"/>
  <c r="S448" i="1" s="1"/>
  <c r="J467" i="1"/>
  <c r="K467" i="1" s="1"/>
  <c r="M467" i="1" s="1"/>
  <c r="S467" i="1" s="1"/>
  <c r="J480" i="1"/>
  <c r="K480" i="1" s="1"/>
  <c r="M480" i="1" s="1"/>
  <c r="S480" i="1" s="1"/>
  <c r="J499" i="1"/>
  <c r="K499" i="1" s="1"/>
  <c r="M499" i="1" s="1"/>
  <c r="S499" i="1" s="1"/>
  <c r="J512" i="1"/>
  <c r="K512" i="1" s="1"/>
  <c r="M512" i="1" s="1"/>
  <c r="S512" i="1" s="1"/>
  <c r="J531" i="1"/>
  <c r="K531" i="1" s="1"/>
  <c r="M531" i="1" s="1"/>
  <c r="S531" i="1" s="1"/>
  <c r="J544" i="1"/>
  <c r="K544" i="1" s="1"/>
  <c r="M544" i="1" s="1"/>
  <c r="S544" i="1" s="1"/>
  <c r="J563" i="1"/>
  <c r="K563" i="1" s="1"/>
  <c r="M563" i="1" s="1"/>
  <c r="S563" i="1" s="1"/>
  <c r="J576" i="1"/>
  <c r="K576" i="1" s="1"/>
  <c r="M576" i="1" s="1"/>
  <c r="S576" i="1" s="1"/>
  <c r="J595" i="1"/>
  <c r="K595" i="1" s="1"/>
  <c r="M595" i="1" s="1"/>
  <c r="S595" i="1" s="1"/>
  <c r="J608" i="1"/>
  <c r="K608" i="1" s="1"/>
  <c r="M608" i="1" s="1"/>
  <c r="S608" i="1" s="1"/>
  <c r="J627" i="1"/>
  <c r="K627" i="1" s="1"/>
  <c r="M627" i="1" s="1"/>
  <c r="S627" i="1" s="1"/>
  <c r="J640" i="1"/>
  <c r="K640" i="1" s="1"/>
  <c r="M640" i="1" s="1"/>
  <c r="S640" i="1" s="1"/>
  <c r="K169" i="1"/>
  <c r="M169" i="1" s="1"/>
  <c r="S169" i="1" s="1"/>
  <c r="K143" i="1"/>
  <c r="M143" i="1" s="1"/>
  <c r="S143" i="1" s="1"/>
  <c r="K159" i="1"/>
  <c r="M159" i="1" s="1"/>
  <c r="S159" i="1" s="1"/>
  <c r="K175" i="1"/>
  <c r="M175" i="1" s="1"/>
  <c r="S175" i="1" s="1"/>
  <c r="K191" i="1"/>
  <c r="M191" i="1" s="1"/>
  <c r="S191" i="1" s="1"/>
  <c r="K207" i="1"/>
  <c r="M207" i="1" s="1"/>
  <c r="S207" i="1" s="1"/>
  <c r="K223" i="1"/>
  <c r="M223" i="1" s="1"/>
  <c r="S223" i="1" s="1"/>
  <c r="K239" i="1"/>
  <c r="M239" i="1" s="1"/>
  <c r="S239" i="1" s="1"/>
  <c r="K255" i="1"/>
  <c r="M255" i="1" s="1"/>
  <c r="S255" i="1" s="1"/>
  <c r="K271" i="1"/>
  <c r="M271" i="1" s="1"/>
  <c r="S271" i="1" s="1"/>
  <c r="K287" i="1"/>
  <c r="M287" i="1" s="1"/>
  <c r="S287" i="1" s="1"/>
  <c r="K303" i="1"/>
  <c r="M303" i="1" s="1"/>
  <c r="S303" i="1" s="1"/>
  <c r="K319" i="1"/>
  <c r="M319" i="1" s="1"/>
  <c r="S319" i="1" s="1"/>
  <c r="K335" i="1"/>
  <c r="M335" i="1" s="1"/>
  <c r="S335" i="1" s="1"/>
  <c r="K351" i="1"/>
  <c r="M351" i="1" s="1"/>
  <c r="S351" i="1" s="1"/>
  <c r="K367" i="1"/>
  <c r="M367" i="1" s="1"/>
  <c r="S367" i="1" s="1"/>
  <c r="J376" i="1"/>
  <c r="K376" i="1" s="1"/>
  <c r="M376" i="1" s="1"/>
  <c r="S376" i="1" s="1"/>
  <c r="K391" i="1"/>
  <c r="M391" i="1" s="1"/>
  <c r="S391" i="1" s="1"/>
  <c r="J401" i="1"/>
  <c r="K401" i="1" s="1"/>
  <c r="M401" i="1" s="1"/>
  <c r="S401" i="1" s="1"/>
  <c r="J415" i="1"/>
  <c r="K415" i="1" s="1"/>
  <c r="M415" i="1" s="1"/>
  <c r="S415" i="1" s="1"/>
  <c r="J430" i="1"/>
  <c r="K430" i="1" s="1"/>
  <c r="M430" i="1" s="1"/>
  <c r="S430" i="1" s="1"/>
  <c r="J443" i="1"/>
  <c r="K443" i="1" s="1"/>
  <c r="M443" i="1" s="1"/>
  <c r="S443" i="1" s="1"/>
  <c r="J462" i="1"/>
  <c r="K462" i="1" s="1"/>
  <c r="M462" i="1" s="1"/>
  <c r="S462" i="1" s="1"/>
  <c r="J475" i="1"/>
  <c r="K475" i="1" s="1"/>
  <c r="M475" i="1" s="1"/>
  <c r="S475" i="1" s="1"/>
  <c r="J494" i="1"/>
  <c r="K494" i="1" s="1"/>
  <c r="M494" i="1" s="1"/>
  <c r="S494" i="1" s="1"/>
  <c r="J507" i="1"/>
  <c r="K507" i="1" s="1"/>
  <c r="M507" i="1" s="1"/>
  <c r="S507" i="1" s="1"/>
  <c r="J526" i="1"/>
  <c r="K526" i="1" s="1"/>
  <c r="M526" i="1" s="1"/>
  <c r="S526" i="1" s="1"/>
  <c r="J539" i="1"/>
  <c r="K539" i="1" s="1"/>
  <c r="M539" i="1" s="1"/>
  <c r="S539" i="1" s="1"/>
  <c r="J558" i="1"/>
  <c r="K558" i="1" s="1"/>
  <c r="M558" i="1" s="1"/>
  <c r="S558" i="1" s="1"/>
  <c r="J571" i="1"/>
  <c r="K571" i="1" s="1"/>
  <c r="M571" i="1" s="1"/>
  <c r="S571" i="1" s="1"/>
  <c r="J590" i="1"/>
  <c r="K590" i="1" s="1"/>
  <c r="M590" i="1" s="1"/>
  <c r="S590" i="1" s="1"/>
  <c r="J603" i="1"/>
  <c r="K603" i="1" s="1"/>
  <c r="M603" i="1" s="1"/>
  <c r="S603" i="1" s="1"/>
  <c r="J622" i="1"/>
  <c r="K622" i="1" s="1"/>
  <c r="M622" i="1" s="1"/>
  <c r="S622" i="1" s="1"/>
  <c r="J635" i="1"/>
  <c r="K635" i="1" s="1"/>
  <c r="M635" i="1" s="1"/>
  <c r="S635" i="1" s="1"/>
  <c r="J372" i="1"/>
  <c r="K372" i="1" s="1"/>
  <c r="M372" i="1" s="1"/>
  <c r="S372" i="1" s="1"/>
  <c r="J388" i="1"/>
  <c r="K388" i="1" s="1"/>
  <c r="M388" i="1" s="1"/>
  <c r="S388" i="1" s="1"/>
  <c r="J404" i="1"/>
  <c r="K404" i="1" s="1"/>
  <c r="M404" i="1" s="1"/>
  <c r="S404" i="1" s="1"/>
  <c r="J420" i="1"/>
  <c r="K420" i="1" s="1"/>
  <c r="M420" i="1" s="1"/>
  <c r="S420" i="1" s="1"/>
  <c r="K431" i="1"/>
  <c r="M431" i="1" s="1"/>
  <c r="S431" i="1" s="1"/>
  <c r="J436" i="1"/>
  <c r="K436" i="1" s="1"/>
  <c r="M436" i="1" s="1"/>
  <c r="S436" i="1" s="1"/>
  <c r="K447" i="1"/>
  <c r="M447" i="1" s="1"/>
  <c r="S447" i="1" s="1"/>
  <c r="J452" i="1"/>
  <c r="K452" i="1" s="1"/>
  <c r="M452" i="1" s="1"/>
  <c r="S452" i="1" s="1"/>
  <c r="K463" i="1"/>
  <c r="M463" i="1" s="1"/>
  <c r="S463" i="1" s="1"/>
  <c r="J468" i="1"/>
  <c r="K468" i="1" s="1"/>
  <c r="M468" i="1" s="1"/>
  <c r="S468" i="1" s="1"/>
  <c r="K479" i="1"/>
  <c r="M479" i="1" s="1"/>
  <c r="S479" i="1" s="1"/>
  <c r="J484" i="1"/>
  <c r="K484" i="1" s="1"/>
  <c r="M484" i="1" s="1"/>
  <c r="S484" i="1" s="1"/>
  <c r="K495" i="1"/>
  <c r="M495" i="1" s="1"/>
  <c r="S495" i="1" s="1"/>
  <c r="J500" i="1"/>
  <c r="K500" i="1" s="1"/>
  <c r="M500" i="1" s="1"/>
  <c r="S500" i="1" s="1"/>
  <c r="K511" i="1"/>
  <c r="M511" i="1" s="1"/>
  <c r="S511" i="1" s="1"/>
  <c r="J516" i="1"/>
  <c r="K516" i="1" s="1"/>
  <c r="M516" i="1" s="1"/>
  <c r="S516" i="1" s="1"/>
  <c r="K527" i="1"/>
  <c r="M527" i="1" s="1"/>
  <c r="S527" i="1" s="1"/>
  <c r="J532" i="1"/>
  <c r="K532" i="1" s="1"/>
  <c r="M532" i="1" s="1"/>
  <c r="S532" i="1" s="1"/>
  <c r="K543" i="1"/>
  <c r="M543" i="1" s="1"/>
  <c r="S543" i="1" s="1"/>
  <c r="J548" i="1"/>
  <c r="K548" i="1" s="1"/>
  <c r="M548" i="1" s="1"/>
  <c r="S548" i="1" s="1"/>
  <c r="K559" i="1"/>
  <c r="M559" i="1" s="1"/>
  <c r="S559" i="1" s="1"/>
  <c r="J564" i="1"/>
  <c r="K564" i="1" s="1"/>
  <c r="M564" i="1" s="1"/>
  <c r="S564" i="1" s="1"/>
  <c r="K575" i="1"/>
  <c r="M575" i="1" s="1"/>
  <c r="S575" i="1" s="1"/>
  <c r="J580" i="1"/>
  <c r="K580" i="1" s="1"/>
  <c r="M580" i="1" s="1"/>
  <c r="S580" i="1" s="1"/>
  <c r="K591" i="1"/>
  <c r="M591" i="1" s="1"/>
  <c r="S591" i="1" s="1"/>
  <c r="J596" i="1"/>
  <c r="K596" i="1" s="1"/>
  <c r="M596" i="1" s="1"/>
  <c r="S596" i="1" s="1"/>
  <c r="K607" i="1"/>
  <c r="M607" i="1" s="1"/>
  <c r="S607" i="1" s="1"/>
  <c r="J612" i="1"/>
  <c r="K612" i="1" s="1"/>
  <c r="M612" i="1" s="1"/>
  <c r="S612" i="1" s="1"/>
  <c r="K623" i="1"/>
  <c r="M623" i="1" s="1"/>
  <c r="S623" i="1" s="1"/>
  <c r="J628" i="1"/>
  <c r="K628" i="1" s="1"/>
  <c r="M628" i="1" s="1"/>
  <c r="S628" i="1" s="1"/>
  <c r="K639" i="1"/>
  <c r="M639" i="1" s="1"/>
  <c r="S639" i="1" s="1"/>
  <c r="K656" i="1"/>
  <c r="M656" i="1" s="1"/>
  <c r="S656" i="1" s="1"/>
  <c r="J382" i="1"/>
  <c r="K382" i="1" s="1"/>
  <c r="M382" i="1" s="1"/>
  <c r="S382" i="1" s="1"/>
  <c r="J398" i="1"/>
  <c r="K398" i="1" s="1"/>
  <c r="M398" i="1" s="1"/>
  <c r="S398" i="1" s="1"/>
  <c r="J414" i="1"/>
  <c r="K414" i="1" s="1"/>
  <c r="M414" i="1" s="1"/>
  <c r="S414" i="1" s="1"/>
  <c r="K437" i="1"/>
  <c r="M437" i="1" s="1"/>
  <c r="S437" i="1" s="1"/>
  <c r="J442" i="1"/>
  <c r="K442" i="1" s="1"/>
  <c r="M442" i="1" s="1"/>
  <c r="S442" i="1" s="1"/>
  <c r="K453" i="1"/>
  <c r="M453" i="1" s="1"/>
  <c r="S453" i="1" s="1"/>
  <c r="J458" i="1"/>
  <c r="K458" i="1" s="1"/>
  <c r="M458" i="1" s="1"/>
  <c r="S458" i="1" s="1"/>
  <c r="K469" i="1"/>
  <c r="M469" i="1" s="1"/>
  <c r="S469" i="1" s="1"/>
  <c r="J474" i="1"/>
  <c r="K474" i="1" s="1"/>
  <c r="M474" i="1" s="1"/>
  <c r="S474" i="1" s="1"/>
  <c r="K485" i="1"/>
  <c r="M485" i="1" s="1"/>
  <c r="S485" i="1" s="1"/>
  <c r="J490" i="1"/>
  <c r="K490" i="1" s="1"/>
  <c r="M490" i="1" s="1"/>
  <c r="S490" i="1" s="1"/>
  <c r="K501" i="1"/>
  <c r="M501" i="1" s="1"/>
  <c r="S501" i="1" s="1"/>
  <c r="J506" i="1"/>
  <c r="K506" i="1" s="1"/>
  <c r="M506" i="1" s="1"/>
  <c r="S506" i="1" s="1"/>
  <c r="K517" i="1"/>
  <c r="M517" i="1" s="1"/>
  <c r="S517" i="1" s="1"/>
  <c r="J522" i="1"/>
  <c r="K522" i="1" s="1"/>
  <c r="M522" i="1" s="1"/>
  <c r="S522" i="1" s="1"/>
  <c r="K533" i="1"/>
  <c r="M533" i="1" s="1"/>
  <c r="S533" i="1" s="1"/>
  <c r="J538" i="1"/>
  <c r="K538" i="1" s="1"/>
  <c r="M538" i="1" s="1"/>
  <c r="S538" i="1" s="1"/>
  <c r="K549" i="1"/>
  <c r="M549" i="1" s="1"/>
  <c r="S549" i="1" s="1"/>
  <c r="J554" i="1"/>
  <c r="K554" i="1" s="1"/>
  <c r="M554" i="1" s="1"/>
  <c r="S554" i="1" s="1"/>
  <c r="K565" i="1"/>
  <c r="M565" i="1" s="1"/>
  <c r="S565" i="1" s="1"/>
  <c r="J570" i="1"/>
  <c r="K570" i="1" s="1"/>
  <c r="M570" i="1" s="1"/>
  <c r="S570" i="1" s="1"/>
  <c r="K581" i="1"/>
  <c r="M581" i="1" s="1"/>
  <c r="S581" i="1" s="1"/>
  <c r="J586" i="1"/>
  <c r="K586" i="1" s="1"/>
  <c r="M586" i="1" s="1"/>
  <c r="S586" i="1" s="1"/>
  <c r="K597" i="1"/>
  <c r="M597" i="1" s="1"/>
  <c r="S597" i="1" s="1"/>
  <c r="J602" i="1"/>
  <c r="K602" i="1" s="1"/>
  <c r="M602" i="1" s="1"/>
  <c r="S602" i="1" s="1"/>
  <c r="K613" i="1"/>
  <c r="M613" i="1" s="1"/>
  <c r="S613" i="1" s="1"/>
  <c r="J618" i="1"/>
  <c r="K618" i="1" s="1"/>
  <c r="M618" i="1" s="1"/>
  <c r="S618" i="1" s="1"/>
  <c r="K629" i="1"/>
  <c r="M629" i="1" s="1"/>
  <c r="S629" i="1" s="1"/>
  <c r="J634" i="1"/>
  <c r="K634" i="1" s="1"/>
  <c r="M634" i="1" s="1"/>
  <c r="S634" i="1" s="1"/>
  <c r="J370" i="1"/>
  <c r="K370" i="1" s="1"/>
  <c r="M370" i="1" s="1"/>
  <c r="S370" i="1" s="1"/>
  <c r="J386" i="1"/>
  <c r="K386" i="1" s="1"/>
  <c r="M386" i="1" s="1"/>
  <c r="S386" i="1" s="1"/>
  <c r="J402" i="1"/>
  <c r="K402" i="1" s="1"/>
  <c r="M402" i="1" s="1"/>
  <c r="S402" i="1" s="1"/>
  <c r="J418" i="1"/>
  <c r="K418" i="1" s="1"/>
  <c r="M418" i="1" s="1"/>
  <c r="S418" i="1" s="1"/>
  <c r="J438" i="1"/>
  <c r="K438" i="1" s="1"/>
  <c r="M438" i="1" s="1"/>
  <c r="S438" i="1" s="1"/>
  <c r="J454" i="1"/>
  <c r="K454" i="1" s="1"/>
  <c r="M454" i="1" s="1"/>
  <c r="S454" i="1" s="1"/>
  <c r="J470" i="1"/>
  <c r="K470" i="1" s="1"/>
  <c r="M470" i="1" s="1"/>
  <c r="S470" i="1" s="1"/>
  <c r="J486" i="1"/>
  <c r="K486" i="1" s="1"/>
  <c r="M486" i="1" s="1"/>
  <c r="S486" i="1" s="1"/>
  <c r="J502" i="1"/>
  <c r="K502" i="1" s="1"/>
  <c r="M502" i="1" s="1"/>
  <c r="S502" i="1" s="1"/>
  <c r="J518" i="1"/>
  <c r="K518" i="1" s="1"/>
  <c r="M518" i="1" s="1"/>
  <c r="S518" i="1" s="1"/>
  <c r="J534" i="1"/>
  <c r="K534" i="1" s="1"/>
  <c r="M534" i="1" s="1"/>
  <c r="S534" i="1" s="1"/>
  <c r="J550" i="1"/>
  <c r="K550" i="1" s="1"/>
  <c r="M550" i="1" s="1"/>
  <c r="S550" i="1" s="1"/>
  <c r="J566" i="1"/>
  <c r="K566" i="1" s="1"/>
  <c r="M566" i="1" s="1"/>
  <c r="S566" i="1" s="1"/>
  <c r="J582" i="1"/>
  <c r="K582" i="1" s="1"/>
  <c r="M582" i="1" s="1"/>
  <c r="S582" i="1" s="1"/>
  <c r="J598" i="1"/>
  <c r="K598" i="1" s="1"/>
  <c r="M598" i="1" s="1"/>
  <c r="S598" i="1" s="1"/>
  <c r="J614" i="1"/>
  <c r="K614" i="1" s="1"/>
  <c r="M614" i="1" s="1"/>
  <c r="S614" i="1" s="1"/>
  <c r="J630" i="1"/>
  <c r="K630" i="1" s="1"/>
  <c r="M630" i="1" s="1"/>
  <c r="S630" i="1" s="1"/>
  <c r="J377" i="1"/>
  <c r="K377" i="1" s="1"/>
  <c r="M377" i="1" s="1"/>
  <c r="S377" i="1" s="1"/>
  <c r="J380" i="1"/>
  <c r="K380" i="1" s="1"/>
  <c r="M380" i="1" s="1"/>
  <c r="S380" i="1" s="1"/>
  <c r="J393" i="1"/>
  <c r="K393" i="1" s="1"/>
  <c r="M393" i="1" s="1"/>
  <c r="S393" i="1" s="1"/>
  <c r="J396" i="1"/>
  <c r="K396" i="1" s="1"/>
  <c r="M396" i="1" s="1"/>
  <c r="S396" i="1" s="1"/>
  <c r="J409" i="1"/>
  <c r="K409" i="1" s="1"/>
  <c r="M409" i="1" s="1"/>
  <c r="S409" i="1" s="1"/>
  <c r="J412" i="1"/>
  <c r="K412" i="1" s="1"/>
  <c r="M412" i="1" s="1"/>
  <c r="S412" i="1" s="1"/>
  <c r="J425" i="1"/>
  <c r="K425" i="1" s="1"/>
  <c r="M425" i="1" s="1"/>
  <c r="S425" i="1" s="1"/>
  <c r="J428" i="1"/>
  <c r="K428" i="1" s="1"/>
  <c r="M428" i="1" s="1"/>
  <c r="S428" i="1" s="1"/>
  <c r="J433" i="1"/>
  <c r="K433" i="1" s="1"/>
  <c r="M433" i="1" s="1"/>
  <c r="S433" i="1" s="1"/>
  <c r="J444" i="1"/>
  <c r="K444" i="1" s="1"/>
  <c r="M444" i="1" s="1"/>
  <c r="S444" i="1" s="1"/>
  <c r="J449" i="1"/>
  <c r="K449" i="1" s="1"/>
  <c r="M449" i="1" s="1"/>
  <c r="S449" i="1" s="1"/>
  <c r="J460" i="1"/>
  <c r="K460" i="1" s="1"/>
  <c r="M460" i="1" s="1"/>
  <c r="S460" i="1" s="1"/>
  <c r="J465" i="1"/>
  <c r="K465" i="1" s="1"/>
  <c r="M465" i="1" s="1"/>
  <c r="S465" i="1" s="1"/>
  <c r="J476" i="1"/>
  <c r="K476" i="1" s="1"/>
  <c r="M476" i="1" s="1"/>
  <c r="S476" i="1" s="1"/>
  <c r="J481" i="1"/>
  <c r="K481" i="1" s="1"/>
  <c r="M481" i="1" s="1"/>
  <c r="S481" i="1" s="1"/>
  <c r="J492" i="1"/>
  <c r="K492" i="1" s="1"/>
  <c r="M492" i="1" s="1"/>
  <c r="S492" i="1" s="1"/>
  <c r="J497" i="1"/>
  <c r="K497" i="1" s="1"/>
  <c r="M497" i="1" s="1"/>
  <c r="S497" i="1" s="1"/>
  <c r="J508" i="1"/>
  <c r="K508" i="1" s="1"/>
  <c r="M508" i="1" s="1"/>
  <c r="S508" i="1" s="1"/>
  <c r="J513" i="1"/>
  <c r="K513" i="1" s="1"/>
  <c r="M513" i="1" s="1"/>
  <c r="S513" i="1" s="1"/>
  <c r="J524" i="1"/>
  <c r="K524" i="1" s="1"/>
  <c r="M524" i="1" s="1"/>
  <c r="S524" i="1" s="1"/>
  <c r="J529" i="1"/>
  <c r="K529" i="1" s="1"/>
  <c r="M529" i="1" s="1"/>
  <c r="S529" i="1" s="1"/>
  <c r="J540" i="1"/>
  <c r="K540" i="1" s="1"/>
  <c r="M540" i="1" s="1"/>
  <c r="S540" i="1" s="1"/>
  <c r="J545" i="1"/>
  <c r="K545" i="1" s="1"/>
  <c r="M545" i="1" s="1"/>
  <c r="S545" i="1" s="1"/>
  <c r="J556" i="1"/>
  <c r="K556" i="1" s="1"/>
  <c r="M556" i="1" s="1"/>
  <c r="S556" i="1" s="1"/>
  <c r="J561" i="1"/>
  <c r="K561" i="1" s="1"/>
  <c r="M561" i="1" s="1"/>
  <c r="S561" i="1" s="1"/>
  <c r="J572" i="1"/>
  <c r="K572" i="1" s="1"/>
  <c r="M572" i="1" s="1"/>
  <c r="S572" i="1" s="1"/>
  <c r="J577" i="1"/>
  <c r="K577" i="1" s="1"/>
  <c r="M577" i="1" s="1"/>
  <c r="S577" i="1" s="1"/>
  <c r="J588" i="1"/>
  <c r="K588" i="1" s="1"/>
  <c r="M588" i="1" s="1"/>
  <c r="S588" i="1" s="1"/>
  <c r="J593" i="1"/>
  <c r="K593" i="1" s="1"/>
  <c r="M593" i="1" s="1"/>
  <c r="S593" i="1" s="1"/>
  <c r="J604" i="1"/>
  <c r="K604" i="1" s="1"/>
  <c r="M604" i="1" s="1"/>
  <c r="S604" i="1" s="1"/>
  <c r="J609" i="1"/>
  <c r="K609" i="1" s="1"/>
  <c r="M609" i="1" s="1"/>
  <c r="S609" i="1" s="1"/>
  <c r="J620" i="1"/>
  <c r="K620" i="1" s="1"/>
  <c r="M620" i="1" s="1"/>
  <c r="S620" i="1" s="1"/>
  <c r="J625" i="1"/>
  <c r="K625" i="1" s="1"/>
  <c r="M625" i="1" s="1"/>
  <c r="S625" i="1" s="1"/>
  <c r="J636" i="1"/>
  <c r="K636" i="1" s="1"/>
  <c r="M636" i="1" s="1"/>
  <c r="S636" i="1" s="1"/>
  <c r="J641" i="1"/>
  <c r="K641" i="1" s="1"/>
  <c r="M641" i="1" s="1"/>
  <c r="S641" i="1" s="1"/>
  <c r="J769" i="1"/>
  <c r="K769" i="1" s="1"/>
  <c r="M769" i="1" s="1"/>
  <c r="S769" i="1" s="1"/>
  <c r="J368" i="1"/>
  <c r="K368" i="1" s="1"/>
  <c r="M368" i="1" s="1"/>
  <c r="S368" i="1" s="1"/>
  <c r="J374" i="1"/>
  <c r="K374" i="1" s="1"/>
  <c r="M374" i="1" s="1"/>
  <c r="S374" i="1" s="1"/>
  <c r="J390" i="1"/>
  <c r="K390" i="1" s="1"/>
  <c r="M390" i="1" s="1"/>
  <c r="S390" i="1" s="1"/>
  <c r="J406" i="1"/>
  <c r="K406" i="1" s="1"/>
  <c r="M406" i="1" s="1"/>
  <c r="S406" i="1" s="1"/>
  <c r="J422" i="1"/>
  <c r="K422" i="1" s="1"/>
  <c r="M422" i="1" s="1"/>
  <c r="S422" i="1" s="1"/>
  <c r="K429" i="1"/>
  <c r="M429" i="1" s="1"/>
  <c r="S429" i="1" s="1"/>
  <c r="J434" i="1"/>
  <c r="K434" i="1" s="1"/>
  <c r="M434" i="1" s="1"/>
  <c r="S434" i="1" s="1"/>
  <c r="J439" i="1"/>
  <c r="K439" i="1" s="1"/>
  <c r="M439" i="1" s="1"/>
  <c r="S439" i="1" s="1"/>
  <c r="K445" i="1"/>
  <c r="M445" i="1" s="1"/>
  <c r="S445" i="1" s="1"/>
  <c r="J450" i="1"/>
  <c r="K450" i="1" s="1"/>
  <c r="M450" i="1" s="1"/>
  <c r="S450" i="1" s="1"/>
  <c r="J455" i="1"/>
  <c r="K455" i="1" s="1"/>
  <c r="M455" i="1" s="1"/>
  <c r="S455" i="1" s="1"/>
  <c r="K461" i="1"/>
  <c r="M461" i="1" s="1"/>
  <c r="S461" i="1" s="1"/>
  <c r="J466" i="1"/>
  <c r="K466" i="1" s="1"/>
  <c r="M466" i="1" s="1"/>
  <c r="S466" i="1" s="1"/>
  <c r="J471" i="1"/>
  <c r="K471" i="1" s="1"/>
  <c r="M471" i="1" s="1"/>
  <c r="S471" i="1" s="1"/>
  <c r="K477" i="1"/>
  <c r="M477" i="1" s="1"/>
  <c r="S477" i="1" s="1"/>
  <c r="J482" i="1"/>
  <c r="K482" i="1" s="1"/>
  <c r="M482" i="1" s="1"/>
  <c r="S482" i="1" s="1"/>
  <c r="J487" i="1"/>
  <c r="K487" i="1" s="1"/>
  <c r="M487" i="1" s="1"/>
  <c r="S487" i="1" s="1"/>
  <c r="K493" i="1"/>
  <c r="M493" i="1" s="1"/>
  <c r="S493" i="1" s="1"/>
  <c r="J498" i="1"/>
  <c r="K498" i="1" s="1"/>
  <c r="M498" i="1" s="1"/>
  <c r="S498" i="1" s="1"/>
  <c r="J503" i="1"/>
  <c r="K503" i="1" s="1"/>
  <c r="M503" i="1" s="1"/>
  <c r="S503" i="1" s="1"/>
  <c r="K509" i="1"/>
  <c r="M509" i="1" s="1"/>
  <c r="S509" i="1" s="1"/>
  <c r="J514" i="1"/>
  <c r="K514" i="1" s="1"/>
  <c r="M514" i="1" s="1"/>
  <c r="S514" i="1" s="1"/>
  <c r="J519" i="1"/>
  <c r="K519" i="1" s="1"/>
  <c r="M519" i="1" s="1"/>
  <c r="S519" i="1" s="1"/>
  <c r="K525" i="1"/>
  <c r="M525" i="1" s="1"/>
  <c r="S525" i="1" s="1"/>
  <c r="J530" i="1"/>
  <c r="K530" i="1" s="1"/>
  <c r="M530" i="1" s="1"/>
  <c r="S530" i="1" s="1"/>
  <c r="J535" i="1"/>
  <c r="K535" i="1" s="1"/>
  <c r="M535" i="1" s="1"/>
  <c r="S535" i="1" s="1"/>
  <c r="K541" i="1"/>
  <c r="M541" i="1" s="1"/>
  <c r="S541" i="1" s="1"/>
  <c r="J546" i="1"/>
  <c r="K546" i="1" s="1"/>
  <c r="M546" i="1" s="1"/>
  <c r="S546" i="1" s="1"/>
  <c r="J551" i="1"/>
  <c r="K551" i="1" s="1"/>
  <c r="M551" i="1" s="1"/>
  <c r="S551" i="1" s="1"/>
  <c r="K557" i="1"/>
  <c r="M557" i="1" s="1"/>
  <c r="S557" i="1" s="1"/>
  <c r="J562" i="1"/>
  <c r="K562" i="1" s="1"/>
  <c r="M562" i="1" s="1"/>
  <c r="S562" i="1" s="1"/>
  <c r="J567" i="1"/>
  <c r="K567" i="1" s="1"/>
  <c r="M567" i="1" s="1"/>
  <c r="S567" i="1" s="1"/>
  <c r="K573" i="1"/>
  <c r="M573" i="1" s="1"/>
  <c r="S573" i="1" s="1"/>
  <c r="J578" i="1"/>
  <c r="K578" i="1" s="1"/>
  <c r="M578" i="1" s="1"/>
  <c r="S578" i="1" s="1"/>
  <c r="J583" i="1"/>
  <c r="K583" i="1" s="1"/>
  <c r="M583" i="1" s="1"/>
  <c r="S583" i="1" s="1"/>
  <c r="K589" i="1"/>
  <c r="M589" i="1" s="1"/>
  <c r="S589" i="1" s="1"/>
  <c r="J594" i="1"/>
  <c r="K594" i="1" s="1"/>
  <c r="M594" i="1" s="1"/>
  <c r="S594" i="1" s="1"/>
  <c r="J599" i="1"/>
  <c r="K599" i="1" s="1"/>
  <c r="M599" i="1" s="1"/>
  <c r="S599" i="1" s="1"/>
  <c r="K605" i="1"/>
  <c r="M605" i="1" s="1"/>
  <c r="S605" i="1" s="1"/>
  <c r="J610" i="1"/>
  <c r="K610" i="1" s="1"/>
  <c r="M610" i="1" s="1"/>
  <c r="S610" i="1" s="1"/>
  <c r="J615" i="1"/>
  <c r="K615" i="1" s="1"/>
  <c r="M615" i="1" s="1"/>
  <c r="S615" i="1" s="1"/>
  <c r="K621" i="1"/>
  <c r="M621" i="1" s="1"/>
  <c r="S621" i="1" s="1"/>
  <c r="J626" i="1"/>
  <c r="K626" i="1" s="1"/>
  <c r="M626" i="1" s="1"/>
  <c r="S626" i="1" s="1"/>
  <c r="J631" i="1"/>
  <c r="K631" i="1" s="1"/>
  <c r="M631" i="1" s="1"/>
  <c r="S631" i="1" s="1"/>
  <c r="K637" i="1"/>
  <c r="M637" i="1" s="1"/>
  <c r="S637" i="1" s="1"/>
  <c r="K642" i="1"/>
  <c r="M642" i="1" s="1"/>
  <c r="S642" i="1" s="1"/>
  <c r="J644" i="1"/>
  <c r="K644" i="1" s="1"/>
  <c r="M644" i="1" s="1"/>
  <c r="S644" i="1" s="1"/>
  <c r="K654" i="1"/>
  <c r="M654" i="1" s="1"/>
  <c r="S654" i="1" s="1"/>
  <c r="J660" i="1"/>
  <c r="K660" i="1" s="1"/>
  <c r="M660" i="1" s="1"/>
  <c r="S660" i="1" s="1"/>
  <c r="K664" i="1"/>
  <c r="M664" i="1" s="1"/>
  <c r="S664" i="1" s="1"/>
  <c r="K668" i="1"/>
  <c r="M668" i="1" s="1"/>
  <c r="S668" i="1" s="1"/>
  <c r="K672" i="1"/>
  <c r="M672" i="1" s="1"/>
  <c r="S672" i="1" s="1"/>
  <c r="K676" i="1"/>
  <c r="M676" i="1" s="1"/>
  <c r="S676" i="1" s="1"/>
  <c r="K680" i="1"/>
  <c r="M680" i="1" s="1"/>
  <c r="S680" i="1" s="1"/>
  <c r="K684" i="1"/>
  <c r="M684" i="1" s="1"/>
  <c r="S684" i="1" s="1"/>
  <c r="K688" i="1"/>
  <c r="M688" i="1" s="1"/>
  <c r="S688" i="1" s="1"/>
  <c r="K692" i="1"/>
  <c r="M692" i="1" s="1"/>
  <c r="S692" i="1" s="1"/>
  <c r="K696" i="1"/>
  <c r="M696" i="1" s="1"/>
  <c r="S696" i="1" s="1"/>
  <c r="K700" i="1"/>
  <c r="M700" i="1" s="1"/>
  <c r="S700" i="1" s="1"/>
  <c r="K704" i="1"/>
  <c r="M704" i="1" s="1"/>
  <c r="S704" i="1" s="1"/>
  <c r="K708" i="1"/>
  <c r="M708" i="1" s="1"/>
  <c r="S708" i="1" s="1"/>
  <c r="K712" i="1"/>
  <c r="M712" i="1" s="1"/>
  <c r="S712" i="1" s="1"/>
  <c r="K716" i="1"/>
  <c r="M716" i="1" s="1"/>
  <c r="S716" i="1" s="1"/>
  <c r="K720" i="1"/>
  <c r="M720" i="1" s="1"/>
  <c r="S720" i="1" s="1"/>
  <c r="K724" i="1"/>
  <c r="M724" i="1" s="1"/>
  <c r="S724" i="1" s="1"/>
  <c r="K728" i="1"/>
  <c r="M728" i="1" s="1"/>
  <c r="S728" i="1" s="1"/>
  <c r="K732" i="1"/>
  <c r="M732" i="1" s="1"/>
  <c r="S732" i="1" s="1"/>
  <c r="K736" i="1"/>
  <c r="M736" i="1" s="1"/>
  <c r="S736" i="1" s="1"/>
  <c r="K740" i="1"/>
  <c r="M740" i="1" s="1"/>
  <c r="S740" i="1" s="1"/>
  <c r="K744" i="1"/>
  <c r="M744" i="1" s="1"/>
  <c r="S744" i="1" s="1"/>
  <c r="K748" i="1"/>
  <c r="M748" i="1" s="1"/>
  <c r="S748" i="1" s="1"/>
  <c r="K752" i="1"/>
  <c r="M752" i="1" s="1"/>
  <c r="S752" i="1" s="1"/>
  <c r="J761" i="1"/>
  <c r="K761" i="1" s="1"/>
  <c r="M761" i="1" s="1"/>
  <c r="S761" i="1" s="1"/>
  <c r="J801" i="1"/>
  <c r="K801" i="1" s="1"/>
  <c r="M801" i="1" s="1"/>
  <c r="S801" i="1" s="1"/>
  <c r="K658" i="1"/>
  <c r="M658" i="1" s="1"/>
  <c r="S658" i="1" s="1"/>
  <c r="J785" i="1"/>
  <c r="K785" i="1" s="1"/>
  <c r="M785" i="1" s="1"/>
  <c r="S785" i="1" s="1"/>
  <c r="K646" i="1"/>
  <c r="M646" i="1" s="1"/>
  <c r="S646" i="1" s="1"/>
  <c r="J652" i="1"/>
  <c r="K652" i="1" s="1"/>
  <c r="M652" i="1" s="1"/>
  <c r="S652" i="1" s="1"/>
  <c r="K662" i="1"/>
  <c r="M662" i="1" s="1"/>
  <c r="S662" i="1" s="1"/>
  <c r="K666" i="1"/>
  <c r="M666" i="1" s="1"/>
  <c r="S666" i="1" s="1"/>
  <c r="K670" i="1"/>
  <c r="M670" i="1" s="1"/>
  <c r="S670" i="1" s="1"/>
  <c r="K674" i="1"/>
  <c r="M674" i="1" s="1"/>
  <c r="S674" i="1" s="1"/>
  <c r="K678" i="1"/>
  <c r="M678" i="1" s="1"/>
  <c r="S678" i="1" s="1"/>
  <c r="K682" i="1"/>
  <c r="M682" i="1" s="1"/>
  <c r="S682" i="1" s="1"/>
  <c r="K686" i="1"/>
  <c r="M686" i="1" s="1"/>
  <c r="S686" i="1" s="1"/>
  <c r="K690" i="1"/>
  <c r="M690" i="1" s="1"/>
  <c r="S690" i="1" s="1"/>
  <c r="K694" i="1"/>
  <c r="M694" i="1" s="1"/>
  <c r="S694" i="1" s="1"/>
  <c r="K698" i="1"/>
  <c r="M698" i="1" s="1"/>
  <c r="S698" i="1" s="1"/>
  <c r="K702" i="1"/>
  <c r="M702" i="1" s="1"/>
  <c r="S702" i="1" s="1"/>
  <c r="K706" i="1"/>
  <c r="M706" i="1" s="1"/>
  <c r="S706" i="1" s="1"/>
  <c r="K710" i="1"/>
  <c r="M710" i="1" s="1"/>
  <c r="S710" i="1" s="1"/>
  <c r="K714" i="1"/>
  <c r="M714" i="1" s="1"/>
  <c r="S714" i="1" s="1"/>
  <c r="K718" i="1"/>
  <c r="M718" i="1" s="1"/>
  <c r="S718" i="1" s="1"/>
  <c r="K722" i="1"/>
  <c r="M722" i="1" s="1"/>
  <c r="S722" i="1" s="1"/>
  <c r="K726" i="1"/>
  <c r="M726" i="1" s="1"/>
  <c r="S726" i="1" s="1"/>
  <c r="K730" i="1"/>
  <c r="M730" i="1" s="1"/>
  <c r="S730" i="1" s="1"/>
  <c r="K734" i="1"/>
  <c r="M734" i="1" s="1"/>
  <c r="S734" i="1" s="1"/>
  <c r="K738" i="1"/>
  <c r="M738" i="1" s="1"/>
  <c r="S738" i="1" s="1"/>
  <c r="K742" i="1"/>
  <c r="M742" i="1" s="1"/>
  <c r="S742" i="1" s="1"/>
  <c r="K746" i="1"/>
  <c r="M746" i="1" s="1"/>
  <c r="S746" i="1" s="1"/>
  <c r="K750" i="1"/>
  <c r="M750" i="1" s="1"/>
  <c r="S750" i="1" s="1"/>
  <c r="J758" i="1"/>
  <c r="K758" i="1" s="1"/>
  <c r="M758" i="1" s="1"/>
  <c r="S758" i="1" s="1"/>
  <c r="J777" i="1"/>
  <c r="K777" i="1" s="1"/>
  <c r="M777" i="1" s="1"/>
  <c r="S777" i="1" s="1"/>
  <c r="J771" i="1"/>
  <c r="K771" i="1" s="1"/>
  <c r="M771" i="1" s="1"/>
  <c r="S771" i="1" s="1"/>
  <c r="J787" i="1"/>
  <c r="K787" i="1" s="1"/>
  <c r="M787" i="1" s="1"/>
  <c r="S787" i="1" s="1"/>
  <c r="J803" i="1"/>
  <c r="K803" i="1" s="1"/>
  <c r="M803" i="1" s="1"/>
  <c r="S803" i="1" s="1"/>
  <c r="K756" i="1"/>
  <c r="M756" i="1" s="1"/>
  <c r="S756" i="1" s="1"/>
  <c r="K762" i="1"/>
  <c r="M762" i="1" s="1"/>
  <c r="S762" i="1" s="1"/>
  <c r="J765" i="1"/>
  <c r="K765" i="1" s="1"/>
  <c r="M765" i="1" s="1"/>
  <c r="S765" i="1" s="1"/>
  <c r="J781" i="1"/>
  <c r="K781" i="1" s="1"/>
  <c r="M781" i="1" s="1"/>
  <c r="S781" i="1" s="1"/>
  <c r="J797" i="1"/>
  <c r="K797" i="1" s="1"/>
  <c r="M797" i="1" s="1"/>
  <c r="S797" i="1" s="1"/>
  <c r="K754" i="1"/>
  <c r="M754" i="1" s="1"/>
  <c r="S754" i="1" s="1"/>
  <c r="J759" i="1"/>
  <c r="K759" i="1" s="1"/>
  <c r="M759" i="1" s="1"/>
  <c r="S759" i="1" s="1"/>
  <c r="J775" i="1"/>
  <c r="K775" i="1" s="1"/>
  <c r="M775" i="1" s="1"/>
  <c r="S775" i="1" s="1"/>
  <c r="J791" i="1"/>
  <c r="K791" i="1" s="1"/>
  <c r="M791" i="1" s="1"/>
  <c r="S791" i="1" s="1"/>
  <c r="J763" i="1"/>
  <c r="K763" i="1" s="1"/>
  <c r="M763" i="1" s="1"/>
  <c r="S763" i="1" s="1"/>
  <c r="J779" i="1"/>
  <c r="K779" i="1" s="1"/>
  <c r="M779" i="1" s="1"/>
  <c r="S779" i="1" s="1"/>
  <c r="J795" i="1"/>
  <c r="K795" i="1" s="1"/>
  <c r="M795" i="1" s="1"/>
  <c r="S795" i="1" s="1"/>
  <c r="K757" i="1"/>
  <c r="M757" i="1" s="1"/>
  <c r="S757" i="1" s="1"/>
  <c r="J760" i="1"/>
  <c r="K760" i="1" s="1"/>
  <c r="M760" i="1" s="1"/>
  <c r="S760" i="1" s="1"/>
  <c r="J773" i="1"/>
  <c r="K773" i="1" s="1"/>
  <c r="M773" i="1" s="1"/>
  <c r="S773" i="1" s="1"/>
  <c r="J789" i="1"/>
  <c r="K789" i="1" s="1"/>
  <c r="M789" i="1" s="1"/>
  <c r="S789" i="1" s="1"/>
  <c r="J805" i="1"/>
  <c r="K805" i="1" s="1"/>
  <c r="M805" i="1" s="1"/>
  <c r="S805" i="1" s="1"/>
  <c r="K764" i="1"/>
  <c r="M764" i="1" s="1"/>
  <c r="S764" i="1" s="1"/>
  <c r="J767" i="1"/>
  <c r="K767" i="1" s="1"/>
  <c r="M767" i="1" s="1"/>
  <c r="S767" i="1" s="1"/>
  <c r="J783" i="1"/>
  <c r="K783" i="1" s="1"/>
  <c r="M783" i="1" s="1"/>
  <c r="S783" i="1" s="1"/>
  <c r="J799" i="1"/>
  <c r="K799" i="1" s="1"/>
  <c r="M799" i="1" s="1"/>
  <c r="S799" i="1" s="1"/>
  <c r="J1046" i="1"/>
  <c r="K1046" i="1" s="1"/>
  <c r="M1046" i="1" s="1"/>
  <c r="S1046" i="1" s="1"/>
  <c r="J1554" i="1"/>
  <c r="K1554" i="1" s="1"/>
  <c r="M1554" i="1" s="1"/>
  <c r="S1554" i="1" s="1"/>
  <c r="J807" i="1"/>
  <c r="K807" i="1" s="1"/>
  <c r="M807" i="1" s="1"/>
  <c r="S807" i="1" s="1"/>
  <c r="J809" i="1"/>
  <c r="K809" i="1" s="1"/>
  <c r="M809" i="1" s="1"/>
  <c r="S809" i="1" s="1"/>
  <c r="J811" i="1"/>
  <c r="K811" i="1" s="1"/>
  <c r="M811" i="1" s="1"/>
  <c r="S811" i="1" s="1"/>
  <c r="J813" i="1"/>
  <c r="K813" i="1" s="1"/>
  <c r="M813" i="1" s="1"/>
  <c r="S813" i="1" s="1"/>
  <c r="J815" i="1"/>
  <c r="K815" i="1" s="1"/>
  <c r="M815" i="1" s="1"/>
  <c r="S815" i="1" s="1"/>
  <c r="J817" i="1"/>
  <c r="K817" i="1" s="1"/>
  <c r="M817" i="1" s="1"/>
  <c r="S817" i="1" s="1"/>
  <c r="J819" i="1"/>
  <c r="K819" i="1" s="1"/>
  <c r="M819" i="1" s="1"/>
  <c r="S819" i="1" s="1"/>
  <c r="J821" i="1"/>
  <c r="K821" i="1" s="1"/>
  <c r="M821" i="1" s="1"/>
  <c r="S821" i="1" s="1"/>
  <c r="J823" i="1"/>
  <c r="K823" i="1" s="1"/>
  <c r="M823" i="1" s="1"/>
  <c r="S823" i="1" s="1"/>
  <c r="J825" i="1"/>
  <c r="K825" i="1" s="1"/>
  <c r="M825" i="1" s="1"/>
  <c r="S825" i="1" s="1"/>
  <c r="J827" i="1"/>
  <c r="K827" i="1" s="1"/>
  <c r="M827" i="1" s="1"/>
  <c r="S827" i="1" s="1"/>
  <c r="J829" i="1"/>
  <c r="K829" i="1" s="1"/>
  <c r="M829" i="1" s="1"/>
  <c r="S829" i="1" s="1"/>
  <c r="J831" i="1"/>
  <c r="K831" i="1" s="1"/>
  <c r="M831" i="1" s="1"/>
  <c r="S831" i="1" s="1"/>
  <c r="J833" i="1"/>
  <c r="K833" i="1" s="1"/>
  <c r="M833" i="1" s="1"/>
  <c r="S833" i="1" s="1"/>
  <c r="J835" i="1"/>
  <c r="K835" i="1" s="1"/>
  <c r="M835" i="1" s="1"/>
  <c r="S835" i="1" s="1"/>
  <c r="J837" i="1"/>
  <c r="K837" i="1" s="1"/>
  <c r="M837" i="1" s="1"/>
  <c r="S837" i="1" s="1"/>
  <c r="J839" i="1"/>
  <c r="K839" i="1" s="1"/>
  <c r="M839" i="1" s="1"/>
  <c r="S839" i="1" s="1"/>
  <c r="J841" i="1"/>
  <c r="K841" i="1" s="1"/>
  <c r="M841" i="1" s="1"/>
  <c r="S841" i="1" s="1"/>
  <c r="J843" i="1"/>
  <c r="K843" i="1" s="1"/>
  <c r="M843" i="1" s="1"/>
  <c r="S843" i="1" s="1"/>
  <c r="J845" i="1"/>
  <c r="K845" i="1" s="1"/>
  <c r="M845" i="1" s="1"/>
  <c r="S845" i="1" s="1"/>
  <c r="J847" i="1"/>
  <c r="K847" i="1" s="1"/>
  <c r="M847" i="1" s="1"/>
  <c r="S847" i="1" s="1"/>
  <c r="J849" i="1"/>
  <c r="K849" i="1" s="1"/>
  <c r="M849" i="1" s="1"/>
  <c r="S849" i="1" s="1"/>
  <c r="J851" i="1"/>
  <c r="K851" i="1" s="1"/>
  <c r="M851" i="1" s="1"/>
  <c r="S851" i="1" s="1"/>
  <c r="J853" i="1"/>
  <c r="K853" i="1" s="1"/>
  <c r="M853" i="1" s="1"/>
  <c r="S853" i="1" s="1"/>
  <c r="J855" i="1"/>
  <c r="K855" i="1" s="1"/>
  <c r="M855" i="1" s="1"/>
  <c r="S855" i="1" s="1"/>
  <c r="J857" i="1"/>
  <c r="K857" i="1" s="1"/>
  <c r="M857" i="1" s="1"/>
  <c r="S857" i="1" s="1"/>
  <c r="J859" i="1"/>
  <c r="K859" i="1" s="1"/>
  <c r="M859" i="1" s="1"/>
  <c r="S859" i="1" s="1"/>
  <c r="J861" i="1"/>
  <c r="K861" i="1" s="1"/>
  <c r="M861" i="1" s="1"/>
  <c r="S861" i="1" s="1"/>
  <c r="J863" i="1"/>
  <c r="K863" i="1" s="1"/>
  <c r="M863" i="1" s="1"/>
  <c r="S863" i="1" s="1"/>
  <c r="J865" i="1"/>
  <c r="K865" i="1" s="1"/>
  <c r="M865" i="1" s="1"/>
  <c r="S865" i="1" s="1"/>
  <c r="J867" i="1"/>
  <c r="K867" i="1" s="1"/>
  <c r="M867" i="1" s="1"/>
  <c r="S867" i="1" s="1"/>
  <c r="J869" i="1"/>
  <c r="K869" i="1" s="1"/>
  <c r="M869" i="1" s="1"/>
  <c r="S869" i="1" s="1"/>
  <c r="J871" i="1"/>
  <c r="K871" i="1" s="1"/>
  <c r="M871" i="1" s="1"/>
  <c r="S871" i="1" s="1"/>
  <c r="J873" i="1"/>
  <c r="K873" i="1" s="1"/>
  <c r="M873" i="1" s="1"/>
  <c r="S873" i="1" s="1"/>
  <c r="J875" i="1"/>
  <c r="K875" i="1" s="1"/>
  <c r="M875" i="1" s="1"/>
  <c r="S875" i="1" s="1"/>
  <c r="J877" i="1"/>
  <c r="K877" i="1" s="1"/>
  <c r="M877" i="1" s="1"/>
  <c r="S877" i="1" s="1"/>
  <c r="J879" i="1"/>
  <c r="K879" i="1" s="1"/>
  <c r="M879" i="1" s="1"/>
  <c r="S879" i="1" s="1"/>
  <c r="J881" i="1"/>
  <c r="K881" i="1" s="1"/>
  <c r="M881" i="1" s="1"/>
  <c r="S881" i="1" s="1"/>
  <c r="J883" i="1"/>
  <c r="K883" i="1" s="1"/>
  <c r="M883" i="1" s="1"/>
  <c r="S883" i="1" s="1"/>
  <c r="J885" i="1"/>
  <c r="K885" i="1" s="1"/>
  <c r="M885" i="1" s="1"/>
  <c r="S885" i="1" s="1"/>
  <c r="J887" i="1"/>
  <c r="K887" i="1" s="1"/>
  <c r="M887" i="1" s="1"/>
  <c r="S887" i="1" s="1"/>
  <c r="J889" i="1"/>
  <c r="K889" i="1" s="1"/>
  <c r="M889" i="1" s="1"/>
  <c r="S889" i="1" s="1"/>
  <c r="J891" i="1"/>
  <c r="K891" i="1" s="1"/>
  <c r="M891" i="1" s="1"/>
  <c r="S891" i="1" s="1"/>
  <c r="J893" i="1"/>
  <c r="K893" i="1" s="1"/>
  <c r="M893" i="1" s="1"/>
  <c r="S893" i="1" s="1"/>
  <c r="J895" i="1"/>
  <c r="K895" i="1" s="1"/>
  <c r="M895" i="1" s="1"/>
  <c r="S895" i="1" s="1"/>
  <c r="J897" i="1"/>
  <c r="K897" i="1" s="1"/>
  <c r="M897" i="1" s="1"/>
  <c r="S897" i="1" s="1"/>
  <c r="J899" i="1"/>
  <c r="K899" i="1" s="1"/>
  <c r="M899" i="1" s="1"/>
  <c r="S899" i="1" s="1"/>
  <c r="J901" i="1"/>
  <c r="K901" i="1" s="1"/>
  <c r="M901" i="1" s="1"/>
  <c r="S901" i="1" s="1"/>
  <c r="J903" i="1"/>
  <c r="K903" i="1" s="1"/>
  <c r="M903" i="1" s="1"/>
  <c r="S903" i="1" s="1"/>
  <c r="J905" i="1"/>
  <c r="K905" i="1" s="1"/>
  <c r="M905" i="1" s="1"/>
  <c r="S905" i="1" s="1"/>
  <c r="J907" i="1"/>
  <c r="K907" i="1" s="1"/>
  <c r="M907" i="1" s="1"/>
  <c r="S907" i="1" s="1"/>
  <c r="J909" i="1"/>
  <c r="K909" i="1" s="1"/>
  <c r="M909" i="1" s="1"/>
  <c r="S909" i="1" s="1"/>
  <c r="J911" i="1"/>
  <c r="K911" i="1" s="1"/>
  <c r="M911" i="1" s="1"/>
  <c r="S911" i="1" s="1"/>
  <c r="J913" i="1"/>
  <c r="K913" i="1" s="1"/>
  <c r="M913" i="1" s="1"/>
  <c r="S913" i="1" s="1"/>
  <c r="J915" i="1"/>
  <c r="K915" i="1" s="1"/>
  <c r="M915" i="1" s="1"/>
  <c r="S915" i="1" s="1"/>
  <c r="J917" i="1"/>
  <c r="K917" i="1" s="1"/>
  <c r="M917" i="1" s="1"/>
  <c r="S917" i="1" s="1"/>
  <c r="J919" i="1"/>
  <c r="K919" i="1" s="1"/>
  <c r="M919" i="1" s="1"/>
  <c r="S919" i="1" s="1"/>
  <c r="J921" i="1"/>
  <c r="K921" i="1" s="1"/>
  <c r="M921" i="1" s="1"/>
  <c r="S921" i="1" s="1"/>
  <c r="J923" i="1"/>
  <c r="K923" i="1" s="1"/>
  <c r="M923" i="1" s="1"/>
  <c r="S923" i="1" s="1"/>
  <c r="J925" i="1"/>
  <c r="K925" i="1" s="1"/>
  <c r="M925" i="1" s="1"/>
  <c r="S925" i="1" s="1"/>
  <c r="J927" i="1"/>
  <c r="K927" i="1" s="1"/>
  <c r="M927" i="1" s="1"/>
  <c r="S927" i="1" s="1"/>
  <c r="J929" i="1"/>
  <c r="K929" i="1" s="1"/>
  <c r="M929" i="1" s="1"/>
  <c r="S929" i="1" s="1"/>
  <c r="J931" i="1"/>
  <c r="K931" i="1" s="1"/>
  <c r="M931" i="1" s="1"/>
  <c r="S931" i="1" s="1"/>
  <c r="J933" i="1"/>
  <c r="K933" i="1" s="1"/>
  <c r="M933" i="1" s="1"/>
  <c r="S933" i="1" s="1"/>
  <c r="J935" i="1"/>
  <c r="K935" i="1" s="1"/>
  <c r="M935" i="1" s="1"/>
  <c r="S935" i="1" s="1"/>
  <c r="J937" i="1"/>
  <c r="K937" i="1" s="1"/>
  <c r="M937" i="1" s="1"/>
  <c r="S937" i="1" s="1"/>
  <c r="J939" i="1"/>
  <c r="K939" i="1" s="1"/>
  <c r="M939" i="1" s="1"/>
  <c r="S939" i="1" s="1"/>
  <c r="J941" i="1"/>
  <c r="K941" i="1" s="1"/>
  <c r="M941" i="1" s="1"/>
  <c r="S941" i="1" s="1"/>
  <c r="J943" i="1"/>
  <c r="K943" i="1" s="1"/>
  <c r="M943" i="1" s="1"/>
  <c r="S943" i="1" s="1"/>
  <c r="J945" i="1"/>
  <c r="K945" i="1" s="1"/>
  <c r="M945" i="1" s="1"/>
  <c r="S945" i="1" s="1"/>
  <c r="J947" i="1"/>
  <c r="K947" i="1" s="1"/>
  <c r="M947" i="1" s="1"/>
  <c r="S947" i="1" s="1"/>
  <c r="J949" i="1"/>
  <c r="K949" i="1" s="1"/>
  <c r="M949" i="1" s="1"/>
  <c r="S949" i="1" s="1"/>
  <c r="J951" i="1"/>
  <c r="K951" i="1" s="1"/>
  <c r="M951" i="1" s="1"/>
  <c r="S951" i="1" s="1"/>
  <c r="J953" i="1"/>
  <c r="K953" i="1" s="1"/>
  <c r="M953" i="1" s="1"/>
  <c r="S953" i="1" s="1"/>
  <c r="J955" i="1"/>
  <c r="K955" i="1" s="1"/>
  <c r="M955" i="1" s="1"/>
  <c r="S955" i="1" s="1"/>
  <c r="J957" i="1"/>
  <c r="K957" i="1" s="1"/>
  <c r="M957" i="1" s="1"/>
  <c r="S957" i="1" s="1"/>
  <c r="J959" i="1"/>
  <c r="K959" i="1" s="1"/>
  <c r="M959" i="1" s="1"/>
  <c r="S959" i="1" s="1"/>
  <c r="J961" i="1"/>
  <c r="K961" i="1" s="1"/>
  <c r="M961" i="1" s="1"/>
  <c r="S961" i="1" s="1"/>
  <c r="J963" i="1"/>
  <c r="K963" i="1" s="1"/>
  <c r="M963" i="1" s="1"/>
  <c r="S963" i="1" s="1"/>
  <c r="J965" i="1"/>
  <c r="K965" i="1" s="1"/>
  <c r="M965" i="1" s="1"/>
  <c r="S965" i="1" s="1"/>
  <c r="J967" i="1"/>
  <c r="K967" i="1" s="1"/>
  <c r="M967" i="1" s="1"/>
  <c r="S967" i="1" s="1"/>
  <c r="J969" i="1"/>
  <c r="K969" i="1" s="1"/>
  <c r="M969" i="1" s="1"/>
  <c r="S969" i="1" s="1"/>
  <c r="J971" i="1"/>
  <c r="K971" i="1" s="1"/>
  <c r="M971" i="1" s="1"/>
  <c r="S971" i="1" s="1"/>
  <c r="J973" i="1"/>
  <c r="K973" i="1" s="1"/>
  <c r="M973" i="1" s="1"/>
  <c r="S973" i="1" s="1"/>
  <c r="J975" i="1"/>
  <c r="K975" i="1" s="1"/>
  <c r="M975" i="1" s="1"/>
  <c r="S975" i="1" s="1"/>
  <c r="J977" i="1"/>
  <c r="K977" i="1" s="1"/>
  <c r="M977" i="1" s="1"/>
  <c r="S977" i="1" s="1"/>
  <c r="J979" i="1"/>
  <c r="K979" i="1" s="1"/>
  <c r="M979" i="1" s="1"/>
  <c r="S979" i="1" s="1"/>
  <c r="J981" i="1"/>
  <c r="K981" i="1" s="1"/>
  <c r="M981" i="1" s="1"/>
  <c r="S981" i="1" s="1"/>
  <c r="J983" i="1"/>
  <c r="K983" i="1" s="1"/>
  <c r="M983" i="1" s="1"/>
  <c r="S983" i="1" s="1"/>
  <c r="J985" i="1"/>
  <c r="K985" i="1" s="1"/>
  <c r="M985" i="1" s="1"/>
  <c r="S985" i="1" s="1"/>
  <c r="J987" i="1"/>
  <c r="K987" i="1" s="1"/>
  <c r="M987" i="1" s="1"/>
  <c r="S987" i="1" s="1"/>
  <c r="J989" i="1"/>
  <c r="K989" i="1" s="1"/>
  <c r="M989" i="1" s="1"/>
  <c r="S989" i="1" s="1"/>
  <c r="J991" i="1"/>
  <c r="K991" i="1" s="1"/>
  <c r="M991" i="1" s="1"/>
  <c r="S991" i="1" s="1"/>
  <c r="J993" i="1"/>
  <c r="K993" i="1" s="1"/>
  <c r="M993" i="1" s="1"/>
  <c r="S993" i="1" s="1"/>
  <c r="J995" i="1"/>
  <c r="K995" i="1" s="1"/>
  <c r="M995" i="1" s="1"/>
  <c r="S995" i="1" s="1"/>
  <c r="J997" i="1"/>
  <c r="K997" i="1" s="1"/>
  <c r="M997" i="1" s="1"/>
  <c r="S997" i="1" s="1"/>
  <c r="J999" i="1"/>
  <c r="K999" i="1" s="1"/>
  <c r="M999" i="1" s="1"/>
  <c r="S999" i="1" s="1"/>
  <c r="J1001" i="1"/>
  <c r="K1001" i="1" s="1"/>
  <c r="M1001" i="1" s="1"/>
  <c r="S1001" i="1" s="1"/>
  <c r="J1003" i="1"/>
  <c r="K1003" i="1" s="1"/>
  <c r="M1003" i="1" s="1"/>
  <c r="S1003" i="1" s="1"/>
  <c r="J1005" i="1"/>
  <c r="K1005" i="1" s="1"/>
  <c r="M1005" i="1" s="1"/>
  <c r="S1005" i="1" s="1"/>
  <c r="J1007" i="1"/>
  <c r="K1007" i="1" s="1"/>
  <c r="M1007" i="1" s="1"/>
  <c r="S1007" i="1" s="1"/>
  <c r="J1009" i="1"/>
  <c r="K1009" i="1" s="1"/>
  <c r="M1009" i="1" s="1"/>
  <c r="S1009" i="1" s="1"/>
  <c r="J1011" i="1"/>
  <c r="K1011" i="1" s="1"/>
  <c r="M1011" i="1" s="1"/>
  <c r="S1011" i="1" s="1"/>
  <c r="J1013" i="1"/>
  <c r="K1013" i="1" s="1"/>
  <c r="M1013" i="1" s="1"/>
  <c r="S1013" i="1" s="1"/>
  <c r="J1015" i="1"/>
  <c r="K1015" i="1" s="1"/>
  <c r="M1015" i="1" s="1"/>
  <c r="S1015" i="1" s="1"/>
  <c r="J1017" i="1"/>
  <c r="K1017" i="1" s="1"/>
  <c r="M1017" i="1" s="1"/>
  <c r="S1017" i="1" s="1"/>
  <c r="J1019" i="1"/>
  <c r="K1019" i="1" s="1"/>
  <c r="M1019" i="1" s="1"/>
  <c r="S1019" i="1" s="1"/>
  <c r="J1021" i="1"/>
  <c r="K1021" i="1" s="1"/>
  <c r="M1021" i="1" s="1"/>
  <c r="S1021" i="1" s="1"/>
  <c r="J1023" i="1"/>
  <c r="K1023" i="1" s="1"/>
  <c r="M1023" i="1" s="1"/>
  <c r="S1023" i="1" s="1"/>
  <c r="J1025" i="1"/>
  <c r="K1025" i="1" s="1"/>
  <c r="M1025" i="1" s="1"/>
  <c r="S1025" i="1" s="1"/>
  <c r="J1027" i="1"/>
  <c r="K1027" i="1" s="1"/>
  <c r="M1027" i="1" s="1"/>
  <c r="S1027" i="1" s="1"/>
  <c r="J1029" i="1"/>
  <c r="K1029" i="1" s="1"/>
  <c r="M1029" i="1" s="1"/>
  <c r="S1029" i="1" s="1"/>
  <c r="J1031" i="1"/>
  <c r="K1031" i="1" s="1"/>
  <c r="M1031" i="1" s="1"/>
  <c r="S1031" i="1" s="1"/>
  <c r="J1033" i="1"/>
  <c r="K1033" i="1" s="1"/>
  <c r="M1033" i="1" s="1"/>
  <c r="S1033" i="1" s="1"/>
  <c r="J1035" i="1"/>
  <c r="K1035" i="1" s="1"/>
  <c r="M1035" i="1" s="1"/>
  <c r="S1035" i="1" s="1"/>
  <c r="J1037" i="1"/>
  <c r="K1037" i="1" s="1"/>
  <c r="M1037" i="1" s="1"/>
  <c r="S1037" i="1" s="1"/>
  <c r="J1039" i="1"/>
  <c r="K1039" i="1" s="1"/>
  <c r="M1039" i="1" s="1"/>
  <c r="S1039" i="1" s="1"/>
  <c r="J1041" i="1"/>
  <c r="K1041" i="1" s="1"/>
  <c r="M1041" i="1" s="1"/>
  <c r="S1041" i="1" s="1"/>
  <c r="J1043" i="1"/>
  <c r="K1043" i="1" s="1"/>
  <c r="M1043" i="1" s="1"/>
  <c r="S1043" i="1" s="1"/>
  <c r="K1051" i="1"/>
  <c r="M1051" i="1" s="1"/>
  <c r="S1051" i="1" s="1"/>
  <c r="K1049" i="1"/>
  <c r="M1049" i="1" s="1"/>
  <c r="S1049" i="1" s="1"/>
  <c r="K1047" i="1"/>
  <c r="M1047" i="1" s="1"/>
  <c r="S1047" i="1" s="1"/>
  <c r="J1557" i="1"/>
  <c r="K1557" i="1" s="1"/>
  <c r="M1557" i="1" s="1"/>
  <c r="S1557" i="1" s="1"/>
  <c r="J1565" i="1"/>
  <c r="K1565" i="1" s="1"/>
  <c r="M1565" i="1" s="1"/>
  <c r="S1565" i="1" s="1"/>
  <c r="J1579" i="1"/>
  <c r="K1579" i="1" s="1"/>
  <c r="M1579" i="1" s="1"/>
  <c r="S1579" i="1" s="1"/>
  <c r="J1587" i="1"/>
  <c r="K1587" i="1" s="1"/>
  <c r="M1587" i="1" s="1"/>
  <c r="S1587" i="1" s="1"/>
  <c r="J1595" i="1"/>
  <c r="K1595" i="1" s="1"/>
  <c r="M1595" i="1" s="1"/>
  <c r="S1595" i="1" s="1"/>
  <c r="J1603" i="1"/>
  <c r="K1603" i="1" s="1"/>
  <c r="M1603" i="1" s="1"/>
  <c r="S1603" i="1" s="1"/>
  <c r="J1611" i="1"/>
  <c r="K1611" i="1" s="1"/>
  <c r="M1611" i="1" s="1"/>
  <c r="S1611" i="1" s="1"/>
  <c r="J1619" i="1"/>
  <c r="K1619" i="1" s="1"/>
  <c r="M1619" i="1" s="1"/>
  <c r="S1619" i="1" s="1"/>
  <c r="J1627" i="1"/>
  <c r="K1627" i="1" s="1"/>
  <c r="M1627" i="1" s="1"/>
  <c r="S1627" i="1" s="1"/>
  <c r="J1633" i="1"/>
  <c r="K1633" i="1" s="1"/>
  <c r="M1633" i="1" s="1"/>
  <c r="S1633" i="1" s="1"/>
  <c r="J1637" i="1"/>
  <c r="K1637" i="1" s="1"/>
  <c r="M1637" i="1" s="1"/>
  <c r="S1637" i="1" s="1"/>
  <c r="J1641" i="1"/>
  <c r="K1641" i="1" s="1"/>
  <c r="M1641" i="1" s="1"/>
  <c r="S1641" i="1" s="1"/>
  <c r="J1645" i="1"/>
  <c r="K1645" i="1" s="1"/>
  <c r="M1645" i="1" s="1"/>
  <c r="S1645" i="1" s="1"/>
  <c r="J1649" i="1"/>
  <c r="K1649" i="1" s="1"/>
  <c r="M1649" i="1" s="1"/>
  <c r="S1649" i="1" s="1"/>
  <c r="J1653" i="1"/>
  <c r="K1653" i="1" s="1"/>
  <c r="M1653" i="1" s="1"/>
  <c r="S1653" i="1" s="1"/>
  <c r="J1657" i="1"/>
  <c r="K1657" i="1" s="1"/>
  <c r="M1657" i="1" s="1"/>
  <c r="S1657" i="1" s="1"/>
  <c r="J1661" i="1"/>
  <c r="K1661" i="1" s="1"/>
  <c r="M1661" i="1" s="1"/>
  <c r="S1661" i="1" s="1"/>
  <c r="J1665" i="1"/>
  <c r="K1665" i="1" s="1"/>
  <c r="M1665" i="1" s="1"/>
  <c r="S1665" i="1" s="1"/>
  <c r="J1669" i="1"/>
  <c r="K1669" i="1" s="1"/>
  <c r="M1669" i="1" s="1"/>
  <c r="S1669" i="1" s="1"/>
  <c r="J1673" i="1"/>
  <c r="K1673" i="1" s="1"/>
  <c r="M1673" i="1" s="1"/>
  <c r="S1673" i="1" s="1"/>
  <c r="J1677" i="1"/>
  <c r="K1677" i="1" s="1"/>
  <c r="M1677" i="1" s="1"/>
  <c r="S1677" i="1" s="1"/>
  <c r="J1681" i="1"/>
  <c r="K1681" i="1" s="1"/>
  <c r="M1681" i="1" s="1"/>
  <c r="S1681" i="1" s="1"/>
  <c r="J1685" i="1"/>
  <c r="K1685" i="1" s="1"/>
  <c r="M1685" i="1" s="1"/>
  <c r="S1685" i="1" s="1"/>
  <c r="J1689" i="1"/>
  <c r="K1689" i="1" s="1"/>
  <c r="M1689" i="1" s="1"/>
  <c r="S1689" i="1" s="1"/>
  <c r="J1693" i="1"/>
  <c r="K1693" i="1" s="1"/>
  <c r="M1693" i="1" s="1"/>
  <c r="S1693" i="1" s="1"/>
  <c r="J1697" i="1"/>
  <c r="K1697" i="1" s="1"/>
  <c r="M1697" i="1" s="1"/>
  <c r="S1697" i="1" s="1"/>
  <c r="J1701" i="1"/>
  <c r="K1701" i="1" s="1"/>
  <c r="M1701" i="1" s="1"/>
  <c r="S1701" i="1" s="1"/>
  <c r="J1705" i="1"/>
  <c r="K1705" i="1" s="1"/>
  <c r="M1705" i="1" s="1"/>
  <c r="S1705" i="1" s="1"/>
  <c r="J1709" i="1"/>
  <c r="K1709" i="1" s="1"/>
  <c r="M1709" i="1" s="1"/>
  <c r="S1709" i="1" s="1"/>
  <c r="J1713" i="1"/>
  <c r="K1713" i="1" s="1"/>
  <c r="M1713" i="1" s="1"/>
  <c r="S1713" i="1" s="1"/>
  <c r="K1344" i="1"/>
  <c r="M1344" i="1" s="1"/>
  <c r="S1344" i="1" s="1"/>
  <c r="J1559" i="1"/>
  <c r="K1559" i="1" s="1"/>
  <c r="M1559" i="1" s="1"/>
  <c r="S1559" i="1" s="1"/>
  <c r="J1567" i="1"/>
  <c r="K1567" i="1" s="1"/>
  <c r="M1567" i="1" s="1"/>
  <c r="S1567" i="1" s="1"/>
  <c r="J1573" i="1"/>
  <c r="K1573" i="1" s="1"/>
  <c r="M1573" i="1" s="1"/>
  <c r="S1573" i="1" s="1"/>
  <c r="J1581" i="1"/>
  <c r="K1581" i="1" s="1"/>
  <c r="M1581" i="1" s="1"/>
  <c r="S1581" i="1" s="1"/>
  <c r="J1589" i="1"/>
  <c r="K1589" i="1" s="1"/>
  <c r="M1589" i="1" s="1"/>
  <c r="S1589" i="1" s="1"/>
  <c r="J1597" i="1"/>
  <c r="K1597" i="1" s="1"/>
  <c r="M1597" i="1" s="1"/>
  <c r="S1597" i="1" s="1"/>
  <c r="J1605" i="1"/>
  <c r="K1605" i="1" s="1"/>
  <c r="M1605" i="1" s="1"/>
  <c r="S1605" i="1" s="1"/>
  <c r="J1613" i="1"/>
  <c r="K1613" i="1" s="1"/>
  <c r="M1613" i="1" s="1"/>
  <c r="S1613" i="1" s="1"/>
  <c r="J1621" i="1"/>
  <c r="K1621" i="1" s="1"/>
  <c r="M1621" i="1" s="1"/>
  <c r="S1621" i="1" s="1"/>
  <c r="J1629" i="1"/>
  <c r="K1629" i="1" s="1"/>
  <c r="M1629" i="1" s="1"/>
  <c r="S1629" i="1" s="1"/>
  <c r="J1561" i="1"/>
  <c r="K1561" i="1" s="1"/>
  <c r="M1561" i="1" s="1"/>
  <c r="S1561" i="1" s="1"/>
  <c r="J1569" i="1"/>
  <c r="K1569" i="1" s="1"/>
  <c r="M1569" i="1" s="1"/>
  <c r="S1569" i="1" s="1"/>
  <c r="J1575" i="1"/>
  <c r="K1575" i="1" s="1"/>
  <c r="M1575" i="1" s="1"/>
  <c r="S1575" i="1" s="1"/>
  <c r="J1583" i="1"/>
  <c r="K1583" i="1" s="1"/>
  <c r="M1583" i="1" s="1"/>
  <c r="S1583" i="1" s="1"/>
  <c r="J1591" i="1"/>
  <c r="K1591" i="1" s="1"/>
  <c r="M1591" i="1" s="1"/>
  <c r="S1591" i="1" s="1"/>
  <c r="J1599" i="1"/>
  <c r="K1599" i="1" s="1"/>
  <c r="M1599" i="1" s="1"/>
  <c r="S1599" i="1" s="1"/>
  <c r="J1607" i="1"/>
  <c r="K1607" i="1" s="1"/>
  <c r="M1607" i="1" s="1"/>
  <c r="S1607" i="1" s="1"/>
  <c r="J1615" i="1"/>
  <c r="K1615" i="1" s="1"/>
  <c r="M1615" i="1" s="1"/>
  <c r="S1615" i="1" s="1"/>
  <c r="J1623" i="1"/>
  <c r="K1623" i="1" s="1"/>
  <c r="M1623" i="1" s="1"/>
  <c r="S1623" i="1" s="1"/>
  <c r="J1631" i="1"/>
  <c r="K1631" i="1" s="1"/>
  <c r="M1631" i="1" s="1"/>
  <c r="S1631" i="1" s="1"/>
  <c r="J1635" i="1"/>
  <c r="K1635" i="1" s="1"/>
  <c r="M1635" i="1" s="1"/>
  <c r="S1635" i="1" s="1"/>
  <c r="J1639" i="1"/>
  <c r="K1639" i="1" s="1"/>
  <c r="M1639" i="1" s="1"/>
  <c r="S1639" i="1" s="1"/>
  <c r="J1643" i="1"/>
  <c r="K1643" i="1" s="1"/>
  <c r="M1643" i="1" s="1"/>
  <c r="S1643" i="1" s="1"/>
  <c r="J1647" i="1"/>
  <c r="K1647" i="1" s="1"/>
  <c r="M1647" i="1" s="1"/>
  <c r="S1647" i="1" s="1"/>
  <c r="J1651" i="1"/>
  <c r="K1651" i="1" s="1"/>
  <c r="M1651" i="1" s="1"/>
  <c r="S1651" i="1" s="1"/>
  <c r="J1655" i="1"/>
  <c r="K1655" i="1" s="1"/>
  <c r="M1655" i="1" s="1"/>
  <c r="S1655" i="1" s="1"/>
  <c r="J1659" i="1"/>
  <c r="K1659" i="1" s="1"/>
  <c r="M1659" i="1" s="1"/>
  <c r="S1659" i="1" s="1"/>
  <c r="J1663" i="1"/>
  <c r="K1663" i="1" s="1"/>
  <c r="M1663" i="1" s="1"/>
  <c r="S1663" i="1" s="1"/>
  <c r="J1667" i="1"/>
  <c r="K1667" i="1" s="1"/>
  <c r="M1667" i="1" s="1"/>
  <c r="S1667" i="1" s="1"/>
  <c r="J1671" i="1"/>
  <c r="K1671" i="1" s="1"/>
  <c r="M1671" i="1" s="1"/>
  <c r="S1671" i="1" s="1"/>
  <c r="J1675" i="1"/>
  <c r="K1675" i="1" s="1"/>
  <c r="M1675" i="1" s="1"/>
  <c r="S1675" i="1" s="1"/>
  <c r="J1679" i="1"/>
  <c r="K1679" i="1" s="1"/>
  <c r="M1679" i="1" s="1"/>
  <c r="S1679" i="1" s="1"/>
  <c r="J1683" i="1"/>
  <c r="K1683" i="1" s="1"/>
  <c r="M1683" i="1" s="1"/>
  <c r="S1683" i="1" s="1"/>
  <c r="J1687" i="1"/>
  <c r="K1687" i="1" s="1"/>
  <c r="M1687" i="1" s="1"/>
  <c r="S1687" i="1" s="1"/>
  <c r="J1691" i="1"/>
  <c r="K1691" i="1" s="1"/>
  <c r="M1691" i="1" s="1"/>
  <c r="S1691" i="1" s="1"/>
  <c r="J1695" i="1"/>
  <c r="K1695" i="1" s="1"/>
  <c r="M1695" i="1" s="1"/>
  <c r="S1695" i="1" s="1"/>
  <c r="J1699" i="1"/>
  <c r="K1699" i="1" s="1"/>
  <c r="M1699" i="1" s="1"/>
  <c r="S1699" i="1" s="1"/>
  <c r="J1703" i="1"/>
  <c r="K1703" i="1" s="1"/>
  <c r="M1703" i="1" s="1"/>
  <c r="S1703" i="1" s="1"/>
  <c r="J1707" i="1"/>
  <c r="K1707" i="1" s="1"/>
  <c r="M1707" i="1" s="1"/>
  <c r="S1707" i="1" s="1"/>
  <c r="J1711" i="1"/>
  <c r="K1711" i="1" s="1"/>
  <c r="M1711" i="1" s="1"/>
  <c r="S1711" i="1" s="1"/>
  <c r="J1555" i="1"/>
  <c r="K1555" i="1" s="1"/>
  <c r="M1555" i="1" s="1"/>
  <c r="S1555" i="1" s="1"/>
  <c r="J1553" i="1"/>
  <c r="K1553" i="1" s="1"/>
  <c r="M1553" i="1" s="1"/>
  <c r="S1553" i="1" s="1"/>
  <c r="J1563" i="1"/>
  <c r="K1563" i="1" s="1"/>
  <c r="M1563" i="1" s="1"/>
  <c r="S1563" i="1" s="1"/>
  <c r="J1577" i="1"/>
  <c r="K1577" i="1" s="1"/>
  <c r="M1577" i="1" s="1"/>
  <c r="S1577" i="1" s="1"/>
  <c r="J1585" i="1"/>
  <c r="K1585" i="1" s="1"/>
  <c r="M1585" i="1" s="1"/>
  <c r="S1585" i="1" s="1"/>
  <c r="J1593" i="1"/>
  <c r="K1593" i="1" s="1"/>
  <c r="M1593" i="1" s="1"/>
  <c r="S1593" i="1" s="1"/>
  <c r="J1601" i="1"/>
  <c r="K1601" i="1" s="1"/>
  <c r="M1601" i="1" s="1"/>
  <c r="S1601" i="1" s="1"/>
  <c r="J1609" i="1"/>
  <c r="K1609" i="1" s="1"/>
  <c r="M1609" i="1" s="1"/>
  <c r="S1609" i="1" s="1"/>
  <c r="J1617" i="1"/>
  <c r="K1617" i="1" s="1"/>
  <c r="M1617" i="1" s="1"/>
  <c r="S1617" i="1" s="1"/>
  <c r="J1625" i="1"/>
  <c r="K1625" i="1" s="1"/>
  <c r="M1625" i="1" s="1"/>
  <c r="S1625" i="1" s="1"/>
  <c r="J1729" i="1"/>
  <c r="K1729" i="1" s="1"/>
  <c r="M1729" i="1" s="1"/>
  <c r="S1729" i="1" s="1"/>
  <c r="J1571" i="1"/>
  <c r="K1571" i="1" s="1"/>
  <c r="M1571" i="1" s="1"/>
  <c r="S1571" i="1" s="1"/>
  <c r="J1727" i="1"/>
  <c r="K1727" i="1" s="1"/>
  <c r="M1727" i="1" s="1"/>
  <c r="S1727" i="1" s="1"/>
  <c r="J1725" i="1"/>
  <c r="K1725" i="1" s="1"/>
  <c r="M1725" i="1" s="1"/>
  <c r="S1725" i="1" s="1"/>
  <c r="J1723" i="1"/>
  <c r="K1723" i="1" s="1"/>
  <c r="M1723" i="1" s="1"/>
  <c r="S1723" i="1" s="1"/>
  <c r="J1556" i="1"/>
  <c r="K1556" i="1" s="1"/>
  <c r="M1556" i="1" s="1"/>
  <c r="S1556" i="1" s="1"/>
  <c r="J1558" i="1"/>
  <c r="K1558" i="1" s="1"/>
  <c r="M1558" i="1" s="1"/>
  <c r="S1558" i="1" s="1"/>
  <c r="J1560" i="1"/>
  <c r="K1560" i="1" s="1"/>
  <c r="M1560" i="1" s="1"/>
  <c r="S1560" i="1" s="1"/>
  <c r="J1562" i="1"/>
  <c r="K1562" i="1" s="1"/>
  <c r="M1562" i="1" s="1"/>
  <c r="S1562" i="1" s="1"/>
  <c r="J1564" i="1"/>
  <c r="K1564" i="1" s="1"/>
  <c r="M1564" i="1" s="1"/>
  <c r="S1564" i="1" s="1"/>
  <c r="J1566" i="1"/>
  <c r="K1566" i="1" s="1"/>
  <c r="M1566" i="1" s="1"/>
  <c r="S1566" i="1" s="1"/>
  <c r="J1568" i="1"/>
  <c r="K1568" i="1" s="1"/>
  <c r="M1568" i="1" s="1"/>
  <c r="S1568" i="1" s="1"/>
  <c r="J1843" i="1"/>
  <c r="K1843" i="1" s="1"/>
  <c r="M1843" i="1" s="1"/>
  <c r="S1843" i="1" s="1"/>
  <c r="J1859" i="1"/>
  <c r="K1859" i="1" s="1"/>
  <c r="M1859" i="1" s="1"/>
  <c r="S1859" i="1" s="1"/>
  <c r="J1875" i="1"/>
  <c r="K1875" i="1" s="1"/>
  <c r="M1875" i="1" s="1"/>
  <c r="S1875" i="1" s="1"/>
  <c r="J1891" i="1"/>
  <c r="K1891" i="1" s="1"/>
  <c r="M1891" i="1" s="1"/>
  <c r="S1891" i="1" s="1"/>
  <c r="J1907" i="1"/>
  <c r="K1907" i="1" s="1"/>
  <c r="M1907" i="1" s="1"/>
  <c r="S1907" i="1" s="1"/>
  <c r="J1923" i="1"/>
  <c r="K1923" i="1" s="1"/>
  <c r="M1923" i="1" s="1"/>
  <c r="S1923" i="1" s="1"/>
  <c r="J1939" i="1"/>
  <c r="K1939" i="1" s="1"/>
  <c r="M1939" i="1" s="1"/>
  <c r="S1939" i="1" s="1"/>
  <c r="J1955" i="1"/>
  <c r="K1955" i="1" s="1"/>
  <c r="M1955" i="1" s="1"/>
  <c r="S1955" i="1" s="1"/>
  <c r="J1971" i="1"/>
  <c r="K1971" i="1" s="1"/>
  <c r="M1971" i="1" s="1"/>
  <c r="S1971" i="1" s="1"/>
  <c r="J1987" i="1"/>
  <c r="K1987" i="1" s="1"/>
  <c r="M1987" i="1" s="1"/>
  <c r="S1987" i="1" s="1"/>
  <c r="J1837" i="1"/>
  <c r="K1837" i="1" s="1"/>
  <c r="M1837" i="1" s="1"/>
  <c r="S1837" i="1" s="1"/>
  <c r="J1853" i="1"/>
  <c r="K1853" i="1" s="1"/>
  <c r="M1853" i="1" s="1"/>
  <c r="S1853" i="1" s="1"/>
  <c r="J1869" i="1"/>
  <c r="K1869" i="1" s="1"/>
  <c r="M1869" i="1" s="1"/>
  <c r="S1869" i="1" s="1"/>
  <c r="J1885" i="1"/>
  <c r="K1885" i="1" s="1"/>
  <c r="M1885" i="1" s="1"/>
  <c r="S1885" i="1" s="1"/>
  <c r="J1901" i="1"/>
  <c r="K1901" i="1" s="1"/>
  <c r="M1901" i="1" s="1"/>
  <c r="S1901" i="1" s="1"/>
  <c r="J1917" i="1"/>
  <c r="K1917" i="1" s="1"/>
  <c r="M1917" i="1" s="1"/>
  <c r="S1917" i="1" s="1"/>
  <c r="J1933" i="1"/>
  <c r="K1933" i="1" s="1"/>
  <c r="M1933" i="1" s="1"/>
  <c r="S1933" i="1" s="1"/>
  <c r="J1949" i="1"/>
  <c r="K1949" i="1" s="1"/>
  <c r="M1949" i="1" s="1"/>
  <c r="S1949" i="1" s="1"/>
  <c r="J1965" i="1"/>
  <c r="K1965" i="1" s="1"/>
  <c r="M1965" i="1" s="1"/>
  <c r="S1965" i="1" s="1"/>
  <c r="J1981" i="1"/>
  <c r="K1981" i="1" s="1"/>
  <c r="M1981" i="1" s="1"/>
  <c r="S1981" i="1" s="1"/>
  <c r="J1997" i="1"/>
  <c r="K1997" i="1" s="1"/>
  <c r="M1997" i="1" s="1"/>
  <c r="S1997" i="1" s="1"/>
  <c r="J1847" i="1"/>
  <c r="K1847" i="1" s="1"/>
  <c r="M1847" i="1" s="1"/>
  <c r="S1847" i="1" s="1"/>
  <c r="J1863" i="1"/>
  <c r="K1863" i="1" s="1"/>
  <c r="M1863" i="1" s="1"/>
  <c r="S1863" i="1" s="1"/>
  <c r="J1879" i="1"/>
  <c r="K1879" i="1" s="1"/>
  <c r="M1879" i="1" s="1"/>
  <c r="S1879" i="1" s="1"/>
  <c r="J1895" i="1"/>
  <c r="K1895" i="1" s="1"/>
  <c r="M1895" i="1" s="1"/>
  <c r="S1895" i="1" s="1"/>
  <c r="J1911" i="1"/>
  <c r="K1911" i="1" s="1"/>
  <c r="M1911" i="1" s="1"/>
  <c r="S1911" i="1" s="1"/>
  <c r="J1927" i="1"/>
  <c r="K1927" i="1" s="1"/>
  <c r="M1927" i="1" s="1"/>
  <c r="S1927" i="1" s="1"/>
  <c r="J1943" i="1"/>
  <c r="K1943" i="1" s="1"/>
  <c r="M1943" i="1" s="1"/>
  <c r="S1943" i="1" s="1"/>
  <c r="J1959" i="1"/>
  <c r="K1959" i="1" s="1"/>
  <c r="M1959" i="1" s="1"/>
  <c r="S1959" i="1" s="1"/>
  <c r="J1975" i="1"/>
  <c r="K1975" i="1" s="1"/>
  <c r="M1975" i="1" s="1"/>
  <c r="S1975" i="1" s="1"/>
  <c r="J1991" i="1"/>
  <c r="K1991" i="1" s="1"/>
  <c r="M1991" i="1" s="1"/>
  <c r="S1991" i="1" s="1"/>
  <c r="J1841" i="1"/>
  <c r="K1841" i="1" s="1"/>
  <c r="M1841" i="1" s="1"/>
  <c r="S1841" i="1" s="1"/>
  <c r="J1857" i="1"/>
  <c r="K1857" i="1" s="1"/>
  <c r="M1857" i="1" s="1"/>
  <c r="S1857" i="1" s="1"/>
  <c r="J1873" i="1"/>
  <c r="K1873" i="1" s="1"/>
  <c r="M1873" i="1" s="1"/>
  <c r="S1873" i="1" s="1"/>
  <c r="J1889" i="1"/>
  <c r="K1889" i="1" s="1"/>
  <c r="M1889" i="1" s="1"/>
  <c r="S1889" i="1" s="1"/>
  <c r="J1905" i="1"/>
  <c r="K1905" i="1" s="1"/>
  <c r="M1905" i="1" s="1"/>
  <c r="S1905" i="1" s="1"/>
  <c r="J1921" i="1"/>
  <c r="K1921" i="1" s="1"/>
  <c r="M1921" i="1" s="1"/>
  <c r="S1921" i="1" s="1"/>
  <c r="J1937" i="1"/>
  <c r="K1937" i="1" s="1"/>
  <c r="M1937" i="1" s="1"/>
  <c r="S1937" i="1" s="1"/>
  <c r="J1953" i="1"/>
  <c r="K1953" i="1" s="1"/>
  <c r="M1953" i="1" s="1"/>
  <c r="S1953" i="1" s="1"/>
  <c r="J1969" i="1"/>
  <c r="K1969" i="1" s="1"/>
  <c r="M1969" i="1" s="1"/>
  <c r="S1969" i="1" s="1"/>
  <c r="J1985" i="1"/>
  <c r="K1985" i="1" s="1"/>
  <c r="M1985" i="1" s="1"/>
  <c r="S1985" i="1" s="1"/>
  <c r="J2001" i="1"/>
  <c r="K2001" i="1" s="1"/>
  <c r="M2001" i="1" s="1"/>
  <c r="S2001" i="1" s="1"/>
  <c r="J1835" i="1"/>
  <c r="K1835" i="1" s="1"/>
  <c r="M1835" i="1" s="1"/>
  <c r="S1835" i="1" s="1"/>
  <c r="J1851" i="1"/>
  <c r="K1851" i="1" s="1"/>
  <c r="M1851" i="1" s="1"/>
  <c r="S1851" i="1" s="1"/>
  <c r="J1867" i="1"/>
  <c r="K1867" i="1" s="1"/>
  <c r="M1867" i="1" s="1"/>
  <c r="S1867" i="1" s="1"/>
  <c r="J1883" i="1"/>
  <c r="K1883" i="1" s="1"/>
  <c r="M1883" i="1" s="1"/>
  <c r="S1883" i="1" s="1"/>
  <c r="J1899" i="1"/>
  <c r="K1899" i="1" s="1"/>
  <c r="M1899" i="1" s="1"/>
  <c r="S1899" i="1" s="1"/>
  <c r="J1915" i="1"/>
  <c r="K1915" i="1" s="1"/>
  <c r="M1915" i="1" s="1"/>
  <c r="S1915" i="1" s="1"/>
  <c r="J1931" i="1"/>
  <c r="K1931" i="1" s="1"/>
  <c r="M1931" i="1" s="1"/>
  <c r="S1931" i="1" s="1"/>
  <c r="J1947" i="1"/>
  <c r="K1947" i="1" s="1"/>
  <c r="M1947" i="1" s="1"/>
  <c r="S1947" i="1" s="1"/>
  <c r="J1963" i="1"/>
  <c r="K1963" i="1" s="1"/>
  <c r="M1963" i="1" s="1"/>
  <c r="S1963" i="1" s="1"/>
  <c r="J1979" i="1"/>
  <c r="K1979" i="1" s="1"/>
  <c r="M1979" i="1" s="1"/>
  <c r="S1979" i="1" s="1"/>
  <c r="J1995" i="1"/>
  <c r="K1995" i="1" s="1"/>
  <c r="M1995" i="1" s="1"/>
  <c r="S1995" i="1" s="1"/>
  <c r="J1845" i="1"/>
  <c r="K1845" i="1" s="1"/>
  <c r="M1845" i="1" s="1"/>
  <c r="S1845" i="1" s="1"/>
  <c r="J1861" i="1"/>
  <c r="K1861" i="1" s="1"/>
  <c r="M1861" i="1" s="1"/>
  <c r="S1861" i="1" s="1"/>
  <c r="J1877" i="1"/>
  <c r="K1877" i="1" s="1"/>
  <c r="M1877" i="1" s="1"/>
  <c r="S1877" i="1" s="1"/>
  <c r="J1893" i="1"/>
  <c r="K1893" i="1" s="1"/>
  <c r="M1893" i="1" s="1"/>
  <c r="S1893" i="1" s="1"/>
  <c r="J1909" i="1"/>
  <c r="K1909" i="1" s="1"/>
  <c r="M1909" i="1" s="1"/>
  <c r="S1909" i="1" s="1"/>
  <c r="J1925" i="1"/>
  <c r="K1925" i="1" s="1"/>
  <c r="M1925" i="1" s="1"/>
  <c r="S1925" i="1" s="1"/>
  <c r="J1941" i="1"/>
  <c r="K1941" i="1" s="1"/>
  <c r="M1941" i="1" s="1"/>
  <c r="S1941" i="1" s="1"/>
  <c r="J1957" i="1"/>
  <c r="K1957" i="1" s="1"/>
  <c r="M1957" i="1" s="1"/>
  <c r="S1957" i="1" s="1"/>
  <c r="J1973" i="1"/>
  <c r="K1973" i="1" s="1"/>
  <c r="M1973" i="1" s="1"/>
  <c r="S1973" i="1" s="1"/>
  <c r="J1989" i="1"/>
  <c r="K1989" i="1" s="1"/>
  <c r="M1989" i="1" s="1"/>
  <c r="S1989" i="1" s="1"/>
  <c r="J1839" i="1"/>
  <c r="K1839" i="1" s="1"/>
  <c r="M1839" i="1" s="1"/>
  <c r="S1839" i="1" s="1"/>
  <c r="J1855" i="1"/>
  <c r="K1855" i="1" s="1"/>
  <c r="M1855" i="1" s="1"/>
  <c r="S1855" i="1" s="1"/>
  <c r="J1871" i="1"/>
  <c r="K1871" i="1" s="1"/>
  <c r="M1871" i="1" s="1"/>
  <c r="S1871" i="1" s="1"/>
  <c r="J1887" i="1"/>
  <c r="K1887" i="1" s="1"/>
  <c r="M1887" i="1" s="1"/>
  <c r="S1887" i="1" s="1"/>
  <c r="J1903" i="1"/>
  <c r="K1903" i="1" s="1"/>
  <c r="M1903" i="1" s="1"/>
  <c r="S1903" i="1" s="1"/>
  <c r="J1919" i="1"/>
  <c r="K1919" i="1" s="1"/>
  <c r="M1919" i="1" s="1"/>
  <c r="S1919" i="1" s="1"/>
  <c r="J1935" i="1"/>
  <c r="K1935" i="1" s="1"/>
  <c r="M1935" i="1" s="1"/>
  <c r="S1935" i="1" s="1"/>
  <c r="J1951" i="1"/>
  <c r="K1951" i="1" s="1"/>
  <c r="M1951" i="1" s="1"/>
  <c r="S1951" i="1" s="1"/>
  <c r="J1967" i="1"/>
  <c r="K1967" i="1" s="1"/>
  <c r="M1967" i="1" s="1"/>
  <c r="S1967" i="1" s="1"/>
  <c r="J1983" i="1"/>
  <c r="K1983" i="1" s="1"/>
  <c r="M1983" i="1" s="1"/>
  <c r="S1983" i="1" s="1"/>
  <c r="J1999" i="1"/>
  <c r="K1999" i="1" s="1"/>
  <c r="M1999" i="1" s="1"/>
  <c r="S1999" i="1" s="1"/>
  <c r="J1849" i="1"/>
  <c r="K1849" i="1" s="1"/>
  <c r="M1849" i="1" s="1"/>
  <c r="S1849" i="1" s="1"/>
  <c r="J1865" i="1"/>
  <c r="K1865" i="1" s="1"/>
  <c r="M1865" i="1" s="1"/>
  <c r="S1865" i="1" s="1"/>
  <c r="J1881" i="1"/>
  <c r="K1881" i="1" s="1"/>
  <c r="M1881" i="1" s="1"/>
  <c r="S1881" i="1" s="1"/>
  <c r="J1897" i="1"/>
  <c r="K1897" i="1" s="1"/>
  <c r="M1897" i="1" s="1"/>
  <c r="S1897" i="1" s="1"/>
  <c r="J1913" i="1"/>
  <c r="K1913" i="1" s="1"/>
  <c r="M1913" i="1" s="1"/>
  <c r="S1913" i="1" s="1"/>
  <c r="J1929" i="1"/>
  <c r="K1929" i="1" s="1"/>
  <c r="M1929" i="1" s="1"/>
  <c r="S1929" i="1" s="1"/>
  <c r="J1945" i="1"/>
  <c r="K1945" i="1" s="1"/>
  <c r="M1945" i="1" s="1"/>
  <c r="S1945" i="1" s="1"/>
  <c r="J1961" i="1"/>
  <c r="K1961" i="1" s="1"/>
  <c r="M1961" i="1" s="1"/>
  <c r="S1961" i="1" s="1"/>
  <c r="J1977" i="1"/>
  <c r="K1977" i="1" s="1"/>
  <c r="M1977" i="1" s="1"/>
  <c r="S1977" i="1" s="1"/>
  <c r="J1993" i="1"/>
  <c r="K1993" i="1" s="1"/>
  <c r="M1993" i="1" s="1"/>
  <c r="S1993" i="1" s="1"/>
  <c r="J2003" i="1"/>
  <c r="K2003" i="1" s="1"/>
  <c r="M2003" i="1" s="1"/>
  <c r="S2003" i="1" s="1"/>
  <c r="V1935" i="1" l="1"/>
  <c r="U1935" i="1"/>
  <c r="W1935" i="1"/>
  <c r="W1845" i="1"/>
  <c r="V1845" i="1"/>
  <c r="U1845" i="1"/>
  <c r="W1937" i="1"/>
  <c r="V1937" i="1"/>
  <c r="U1937" i="1"/>
  <c r="V1847" i="1"/>
  <c r="W1847" i="1"/>
  <c r="U1847" i="1"/>
  <c r="W1923" i="1"/>
  <c r="V1923" i="1"/>
  <c r="U1923" i="1"/>
  <c r="W1571" i="1"/>
  <c r="V1571" i="1"/>
  <c r="U1571" i="1"/>
  <c r="V1663" i="1"/>
  <c r="U1663" i="1"/>
  <c r="W1663" i="1"/>
  <c r="W1569" i="1"/>
  <c r="V1569" i="1"/>
  <c r="U1569" i="1"/>
  <c r="W1701" i="1"/>
  <c r="V1701" i="1"/>
  <c r="U1701" i="1"/>
  <c r="W1637" i="1"/>
  <c r="U1637" i="1"/>
  <c r="V1637" i="1"/>
  <c r="V1039" i="1"/>
  <c r="U1039" i="1"/>
  <c r="W1039" i="1"/>
  <c r="V1007" i="1"/>
  <c r="U1007" i="1"/>
  <c r="W1007" i="1"/>
  <c r="V975" i="1"/>
  <c r="U975" i="1"/>
  <c r="W975" i="1"/>
  <c r="V935" i="1"/>
  <c r="W935" i="1"/>
  <c r="U935" i="1"/>
  <c r="V903" i="1"/>
  <c r="W903" i="1"/>
  <c r="U903" i="1"/>
  <c r="V871" i="1"/>
  <c r="W871" i="1"/>
  <c r="U871" i="1"/>
  <c r="V839" i="1"/>
  <c r="W839" i="1"/>
  <c r="U839" i="1"/>
  <c r="V815" i="1"/>
  <c r="U815" i="1"/>
  <c r="W815" i="1"/>
  <c r="W795" i="1"/>
  <c r="V795" i="1"/>
  <c r="U795" i="1"/>
  <c r="W758" i="1"/>
  <c r="V758" i="1"/>
  <c r="U758" i="1"/>
  <c r="W690" i="1"/>
  <c r="V690" i="1"/>
  <c r="U690" i="1"/>
  <c r="V744" i="1"/>
  <c r="W744" i="1"/>
  <c r="U744" i="1"/>
  <c r="W680" i="1"/>
  <c r="V680" i="1"/>
  <c r="U680" i="1"/>
  <c r="V621" i="1"/>
  <c r="W621" i="1"/>
  <c r="U621" i="1"/>
  <c r="W535" i="1"/>
  <c r="V535" i="1"/>
  <c r="U535" i="1"/>
  <c r="W450" i="1"/>
  <c r="V450" i="1"/>
  <c r="U450" i="1"/>
  <c r="W636" i="1"/>
  <c r="V636" i="1"/>
  <c r="U636" i="1"/>
  <c r="W476" i="1"/>
  <c r="V476" i="1"/>
  <c r="U476" i="1"/>
  <c r="W598" i="1"/>
  <c r="V598" i="1"/>
  <c r="U598" i="1"/>
  <c r="V629" i="1"/>
  <c r="W629" i="1"/>
  <c r="U629" i="1"/>
  <c r="V469" i="1"/>
  <c r="W469" i="1"/>
  <c r="U469" i="1"/>
  <c r="W207" i="1"/>
  <c r="U207" i="1"/>
  <c r="V207" i="1"/>
  <c r="W544" i="1"/>
  <c r="U544" i="1"/>
  <c r="V544" i="1"/>
  <c r="V357" i="1"/>
  <c r="U357" i="1"/>
  <c r="W357" i="1"/>
  <c r="V181" i="1"/>
  <c r="W181" i="1"/>
  <c r="U181" i="1"/>
  <c r="V153" i="1"/>
  <c r="W153" i="1"/>
  <c r="U153" i="1"/>
  <c r="V441" i="1"/>
  <c r="W441" i="1"/>
  <c r="U441" i="1"/>
  <c r="W423" i="1"/>
  <c r="V423" i="1"/>
  <c r="U423" i="1"/>
  <c r="V289" i="1"/>
  <c r="W289" i="1"/>
  <c r="U289" i="1"/>
  <c r="V177" i="1"/>
  <c r="W177" i="1"/>
  <c r="U177" i="1"/>
  <c r="V145" i="1"/>
  <c r="W145" i="1"/>
  <c r="U145" i="1"/>
  <c r="W24" i="1"/>
  <c r="V24" i="1"/>
  <c r="U24" i="1"/>
  <c r="W606" i="1"/>
  <c r="V606" i="1"/>
  <c r="U606" i="1"/>
  <c r="W478" i="1"/>
  <c r="V478" i="1"/>
  <c r="U478" i="1"/>
  <c r="V141" i="1"/>
  <c r="W141" i="1"/>
  <c r="U141" i="1"/>
  <c r="W112" i="1"/>
  <c r="U112" i="1"/>
  <c r="V112" i="1"/>
  <c r="W96" i="1"/>
  <c r="V96" i="1"/>
  <c r="U96" i="1"/>
  <c r="W80" i="1"/>
  <c r="V80" i="1"/>
  <c r="U80" i="1"/>
  <c r="W60" i="1"/>
  <c r="V60" i="1"/>
  <c r="U60" i="1"/>
  <c r="W30" i="1"/>
  <c r="V30" i="1"/>
  <c r="U30" i="1"/>
  <c r="W624" i="1"/>
  <c r="U624" i="1"/>
  <c r="V624" i="1"/>
  <c r="W650" i="1"/>
  <c r="V650" i="1"/>
  <c r="U650" i="1"/>
  <c r="W515" i="1"/>
  <c r="V515" i="1"/>
  <c r="U515" i="1"/>
  <c r="V1999" i="1"/>
  <c r="U1999" i="1"/>
  <c r="W1999" i="1"/>
  <c r="W1973" i="1"/>
  <c r="V1973" i="1"/>
  <c r="U1973" i="1"/>
  <c r="W2001" i="1"/>
  <c r="V2001" i="1"/>
  <c r="U2001" i="1"/>
  <c r="V1911" i="1"/>
  <c r="W1911" i="1"/>
  <c r="U1911" i="1"/>
  <c r="W1987" i="1"/>
  <c r="V1987" i="1"/>
  <c r="U1987" i="1"/>
  <c r="W1556" i="1"/>
  <c r="U1556" i="1"/>
  <c r="V1556" i="1"/>
  <c r="V1711" i="1"/>
  <c r="U1711" i="1"/>
  <c r="W1711" i="1"/>
  <c r="V1647" i="1"/>
  <c r="U1647" i="1"/>
  <c r="W1647" i="1"/>
  <c r="W1613" i="1"/>
  <c r="V1613" i="1"/>
  <c r="U1613" i="1"/>
  <c r="W1685" i="1"/>
  <c r="U1685" i="1"/>
  <c r="V1685" i="1"/>
  <c r="W1611" i="1"/>
  <c r="V1611" i="1"/>
  <c r="U1611" i="1"/>
  <c r="V1031" i="1"/>
  <c r="W1031" i="1"/>
  <c r="U1031" i="1"/>
  <c r="V999" i="1"/>
  <c r="W999" i="1"/>
  <c r="U999" i="1"/>
  <c r="V967" i="1"/>
  <c r="W967" i="1"/>
  <c r="U967" i="1"/>
  <c r="V943" i="1"/>
  <c r="U943" i="1"/>
  <c r="W943" i="1"/>
  <c r="V911" i="1"/>
  <c r="U911" i="1"/>
  <c r="W911" i="1"/>
  <c r="V879" i="1"/>
  <c r="U879" i="1"/>
  <c r="W879" i="1"/>
  <c r="V847" i="1"/>
  <c r="U847" i="1"/>
  <c r="W847" i="1"/>
  <c r="W789" i="1"/>
  <c r="V789" i="1"/>
  <c r="U789" i="1"/>
  <c r="W803" i="1"/>
  <c r="V803" i="1"/>
  <c r="U803" i="1"/>
  <c r="W738" i="1"/>
  <c r="V738" i="1"/>
  <c r="U738" i="1"/>
  <c r="W674" i="1"/>
  <c r="V674" i="1"/>
  <c r="U674" i="1"/>
  <c r="W728" i="1"/>
  <c r="V728" i="1"/>
  <c r="U728" i="1"/>
  <c r="W664" i="1"/>
  <c r="V664" i="1"/>
  <c r="U664" i="1"/>
  <c r="W578" i="1"/>
  <c r="V578" i="1"/>
  <c r="U578" i="1"/>
  <c r="V493" i="1"/>
  <c r="W493" i="1"/>
  <c r="U493" i="1"/>
  <c r="V429" i="1"/>
  <c r="W429" i="1"/>
  <c r="U429" i="1"/>
  <c r="W540" i="1"/>
  <c r="V540" i="1"/>
  <c r="U540" i="1"/>
  <c r="W380" i="1"/>
  <c r="V380" i="1"/>
  <c r="U380" i="1"/>
  <c r="W470" i="1"/>
  <c r="V470" i="1"/>
  <c r="U470" i="1"/>
  <c r="V565" i="1"/>
  <c r="U565" i="1"/>
  <c r="W565" i="1"/>
  <c r="V437" i="1"/>
  <c r="U437" i="1"/>
  <c r="W437" i="1"/>
  <c r="V548" i="1"/>
  <c r="U548" i="1"/>
  <c r="W548" i="1"/>
  <c r="V484" i="1"/>
  <c r="U484" i="1"/>
  <c r="W484" i="1"/>
  <c r="W635" i="1"/>
  <c r="V635" i="1"/>
  <c r="U635" i="1"/>
  <c r="W443" i="1"/>
  <c r="V443" i="1"/>
  <c r="U443" i="1"/>
  <c r="W271" i="1"/>
  <c r="U271" i="1"/>
  <c r="V271" i="1"/>
  <c r="W608" i="1"/>
  <c r="U608" i="1"/>
  <c r="V608" i="1"/>
  <c r="W410" i="1"/>
  <c r="V410" i="1"/>
  <c r="U410" i="1"/>
  <c r="V229" i="1"/>
  <c r="U229" i="1"/>
  <c r="W229" i="1"/>
  <c r="V149" i="1"/>
  <c r="W149" i="1"/>
  <c r="U149" i="1"/>
  <c r="V569" i="1"/>
  <c r="W569" i="1"/>
  <c r="U569" i="1"/>
  <c r="W536" i="1"/>
  <c r="V536" i="1"/>
  <c r="U536" i="1"/>
  <c r="V353" i="1"/>
  <c r="W353" i="1"/>
  <c r="U353" i="1"/>
  <c r="V225" i="1"/>
  <c r="W225" i="1"/>
  <c r="U225" i="1"/>
  <c r="W56" i="1"/>
  <c r="V56" i="1"/>
  <c r="U56" i="1"/>
  <c r="W40" i="1"/>
  <c r="V40" i="1"/>
  <c r="U40" i="1"/>
  <c r="V10" i="1"/>
  <c r="W10" i="1"/>
  <c r="U10" i="1"/>
  <c r="W542" i="1"/>
  <c r="V542" i="1"/>
  <c r="U542" i="1"/>
  <c r="W383" i="1"/>
  <c r="U383" i="1"/>
  <c r="V383" i="1"/>
  <c r="W120" i="1"/>
  <c r="V120" i="1"/>
  <c r="U120" i="1"/>
  <c r="W104" i="1"/>
  <c r="V104" i="1"/>
  <c r="U104" i="1"/>
  <c r="W88" i="1"/>
  <c r="V88" i="1"/>
  <c r="U88" i="1"/>
  <c r="W70" i="1"/>
  <c r="V70" i="1"/>
  <c r="U70" i="1"/>
  <c r="W46" i="1"/>
  <c r="V46" i="1"/>
  <c r="U46" i="1"/>
  <c r="W14" i="1"/>
  <c r="V14" i="1"/>
  <c r="U14" i="1"/>
  <c r="W496" i="1"/>
  <c r="U496" i="1"/>
  <c r="V496" i="1"/>
  <c r="W579" i="1"/>
  <c r="V579" i="1"/>
  <c r="U579" i="1"/>
  <c r="W451" i="1"/>
  <c r="V451" i="1"/>
  <c r="U451" i="1"/>
  <c r="W179" i="1"/>
  <c r="V179" i="1"/>
  <c r="U179" i="1"/>
  <c r="W1305" i="1"/>
  <c r="V1305" i="1"/>
  <c r="U1305" i="1"/>
  <c r="W1833" i="1"/>
  <c r="V1833" i="1"/>
  <c r="U1833" i="1"/>
  <c r="W1318" i="1"/>
  <c r="V1318" i="1"/>
  <c r="U1318" i="1"/>
  <c r="W1370" i="1"/>
  <c r="V1370" i="1"/>
  <c r="U1370" i="1"/>
  <c r="W1773" i="1"/>
  <c r="V1773" i="1"/>
  <c r="U1773" i="1"/>
  <c r="U1296" i="1"/>
  <c r="V1296" i="1"/>
  <c r="W1296" i="1"/>
  <c r="W932" i="1"/>
  <c r="V932" i="1"/>
  <c r="U932" i="1"/>
  <c r="W1149" i="1"/>
  <c r="V1149" i="1"/>
  <c r="U1149" i="1"/>
  <c r="W950" i="1"/>
  <c r="V950" i="1"/>
  <c r="U950" i="1"/>
  <c r="V1303" i="1"/>
  <c r="W1303" i="1"/>
  <c r="U1303" i="1"/>
  <c r="W940" i="1"/>
  <c r="V940" i="1"/>
  <c r="U940" i="1"/>
  <c r="W812" i="1"/>
  <c r="V812" i="1"/>
  <c r="U812" i="1"/>
  <c r="W1091" i="1"/>
  <c r="V1091" i="1"/>
  <c r="U1091" i="1"/>
  <c r="V928" i="1"/>
  <c r="U928" i="1"/>
  <c r="W928" i="1"/>
  <c r="W858" i="1"/>
  <c r="V858" i="1"/>
  <c r="U858" i="1"/>
  <c r="W1781" i="1"/>
  <c r="V1781" i="1"/>
  <c r="U1781" i="1"/>
  <c r="W814" i="1"/>
  <c r="V814" i="1"/>
  <c r="U814" i="1"/>
  <c r="W295" i="1"/>
  <c r="V295" i="1"/>
  <c r="U295" i="1"/>
  <c r="V1183" i="1"/>
  <c r="U1183" i="1"/>
  <c r="W1183" i="1"/>
  <c r="V361" i="1"/>
  <c r="W361" i="1"/>
  <c r="U361" i="1"/>
  <c r="V233" i="1"/>
  <c r="W233" i="1"/>
  <c r="U233" i="1"/>
  <c r="W854" i="1"/>
  <c r="V854" i="1"/>
  <c r="U854" i="1"/>
  <c r="W972" i="1"/>
  <c r="V972" i="1"/>
  <c r="U972" i="1"/>
  <c r="V349" i="1"/>
  <c r="W349" i="1"/>
  <c r="U349" i="1"/>
  <c r="W766" i="1"/>
  <c r="V766" i="1"/>
  <c r="U766" i="1"/>
  <c r="V276" i="1"/>
  <c r="W276" i="1"/>
  <c r="U276" i="1"/>
  <c r="V340" i="1"/>
  <c r="W340" i="1"/>
  <c r="U340" i="1"/>
  <c r="W1779" i="1"/>
  <c r="V1779" i="1"/>
  <c r="U1779" i="1"/>
  <c r="W1090" i="1"/>
  <c r="V1090" i="1"/>
  <c r="U1090" i="1"/>
  <c r="W1745" i="1"/>
  <c r="V1745" i="1"/>
  <c r="U1745" i="1"/>
  <c r="W1082" i="1"/>
  <c r="V1082" i="1"/>
  <c r="U1082" i="1"/>
  <c r="W71" i="1"/>
  <c r="U71" i="1"/>
  <c r="V71" i="1"/>
  <c r="V43" i="1"/>
  <c r="U43" i="1"/>
  <c r="W43" i="1"/>
  <c r="W1881" i="1"/>
  <c r="V1881" i="1"/>
  <c r="U1881" i="1"/>
  <c r="V1919" i="1"/>
  <c r="U1919" i="1"/>
  <c r="W1919" i="1"/>
  <c r="W1893" i="1"/>
  <c r="V1893" i="1"/>
  <c r="U1893" i="1"/>
  <c r="W1985" i="1"/>
  <c r="V1985" i="1"/>
  <c r="U1985" i="1"/>
  <c r="W1857" i="1"/>
  <c r="V1857" i="1"/>
  <c r="U1857" i="1"/>
  <c r="V1895" i="1"/>
  <c r="W1895" i="1"/>
  <c r="U1895" i="1"/>
  <c r="W1869" i="1"/>
  <c r="V1869" i="1"/>
  <c r="U1869" i="1"/>
  <c r="W1843" i="1"/>
  <c r="V1843" i="1"/>
  <c r="U1843" i="1"/>
  <c r="W1723" i="1"/>
  <c r="V1723" i="1"/>
  <c r="U1723" i="1"/>
  <c r="W1601" i="1"/>
  <c r="V1601" i="1"/>
  <c r="U1601" i="1"/>
  <c r="W1691" i="1"/>
  <c r="V1691" i="1"/>
  <c r="U1691" i="1"/>
  <c r="W1643" i="1"/>
  <c r="V1643" i="1"/>
  <c r="U1643" i="1"/>
  <c r="V1591" i="1"/>
  <c r="W1591" i="1"/>
  <c r="U1591" i="1"/>
  <c r="W1573" i="1"/>
  <c r="V1573" i="1"/>
  <c r="U1573" i="1"/>
  <c r="W1681" i="1"/>
  <c r="V1681" i="1"/>
  <c r="U1681" i="1"/>
  <c r="W1633" i="1"/>
  <c r="V1633" i="1"/>
  <c r="U1633" i="1"/>
  <c r="W1051" i="1"/>
  <c r="V1051" i="1"/>
  <c r="U1051" i="1"/>
  <c r="W1029" i="1"/>
  <c r="V1029" i="1"/>
  <c r="U1029" i="1"/>
  <c r="W1013" i="1"/>
  <c r="V1013" i="1"/>
  <c r="U1013" i="1"/>
  <c r="W989" i="1"/>
  <c r="V989" i="1"/>
  <c r="U989" i="1"/>
  <c r="W973" i="1"/>
  <c r="V973" i="1"/>
  <c r="U973" i="1"/>
  <c r="W965" i="1"/>
  <c r="V965" i="1"/>
  <c r="U965" i="1"/>
  <c r="W957" i="1"/>
  <c r="V957" i="1"/>
  <c r="U957" i="1"/>
  <c r="W941" i="1"/>
  <c r="V941" i="1"/>
  <c r="U941" i="1"/>
  <c r="W933" i="1"/>
  <c r="V933" i="1"/>
  <c r="U933" i="1"/>
  <c r="W925" i="1"/>
  <c r="V925" i="1"/>
  <c r="U925" i="1"/>
  <c r="W917" i="1"/>
  <c r="V917" i="1"/>
  <c r="U917" i="1"/>
  <c r="W909" i="1"/>
  <c r="V909" i="1"/>
  <c r="U909" i="1"/>
  <c r="W901" i="1"/>
  <c r="V901" i="1"/>
  <c r="U901" i="1"/>
  <c r="W893" i="1"/>
  <c r="V893" i="1"/>
  <c r="U893" i="1"/>
  <c r="W885" i="1"/>
  <c r="V885" i="1"/>
  <c r="U885" i="1"/>
  <c r="W877" i="1"/>
  <c r="V877" i="1"/>
  <c r="U877" i="1"/>
  <c r="W869" i="1"/>
  <c r="V869" i="1"/>
  <c r="U869" i="1"/>
  <c r="W861" i="1"/>
  <c r="V861" i="1"/>
  <c r="U861" i="1"/>
  <c r="W853" i="1"/>
  <c r="V853" i="1"/>
  <c r="U853" i="1"/>
  <c r="W845" i="1"/>
  <c r="V845" i="1"/>
  <c r="U845" i="1"/>
  <c r="W837" i="1"/>
  <c r="V837" i="1"/>
  <c r="U837" i="1"/>
  <c r="W829" i="1"/>
  <c r="V829" i="1"/>
  <c r="U829" i="1"/>
  <c r="W821" i="1"/>
  <c r="V821" i="1"/>
  <c r="U821" i="1"/>
  <c r="W813" i="1"/>
  <c r="V813" i="1"/>
  <c r="U813" i="1"/>
  <c r="W1554" i="1"/>
  <c r="V1554" i="1"/>
  <c r="U1554" i="1"/>
  <c r="U767" i="1"/>
  <c r="W767" i="1"/>
  <c r="V767" i="1"/>
  <c r="W773" i="1"/>
  <c r="V773" i="1"/>
  <c r="U773" i="1"/>
  <c r="W779" i="1"/>
  <c r="V779" i="1"/>
  <c r="U779" i="1"/>
  <c r="V759" i="1"/>
  <c r="W759" i="1"/>
  <c r="U759" i="1"/>
  <c r="W765" i="1"/>
  <c r="V765" i="1"/>
  <c r="U765" i="1"/>
  <c r="W787" i="1"/>
  <c r="V787" i="1"/>
  <c r="U787" i="1"/>
  <c r="W750" i="1"/>
  <c r="V750" i="1"/>
  <c r="U750" i="1"/>
  <c r="W734" i="1"/>
  <c r="V734" i="1"/>
  <c r="U734" i="1"/>
  <c r="W718" i="1"/>
  <c r="V718" i="1"/>
  <c r="U718" i="1"/>
  <c r="W702" i="1"/>
  <c r="V702" i="1"/>
  <c r="U702" i="1"/>
  <c r="W686" i="1"/>
  <c r="V686" i="1"/>
  <c r="U686" i="1"/>
  <c r="W670" i="1"/>
  <c r="V670" i="1"/>
  <c r="U670" i="1"/>
  <c r="W646" i="1"/>
  <c r="V646" i="1"/>
  <c r="U646" i="1"/>
  <c r="W761" i="1"/>
  <c r="V761" i="1"/>
  <c r="U761" i="1"/>
  <c r="W740" i="1"/>
  <c r="V740" i="1"/>
  <c r="U740" i="1"/>
  <c r="W724" i="1"/>
  <c r="U724" i="1"/>
  <c r="V724" i="1"/>
  <c r="V708" i="1"/>
  <c r="U708" i="1"/>
  <c r="W708" i="1"/>
  <c r="V692" i="1"/>
  <c r="W692" i="1"/>
  <c r="U692" i="1"/>
  <c r="V676" i="1"/>
  <c r="U676" i="1"/>
  <c r="W676" i="1"/>
  <c r="V660" i="1"/>
  <c r="W660" i="1"/>
  <c r="U660" i="1"/>
  <c r="V637" i="1"/>
  <c r="W637" i="1"/>
  <c r="U637" i="1"/>
  <c r="W615" i="1"/>
  <c r="V615" i="1"/>
  <c r="U615" i="1"/>
  <c r="W594" i="1"/>
  <c r="V594" i="1"/>
  <c r="U594" i="1"/>
  <c r="V573" i="1"/>
  <c r="W573" i="1"/>
  <c r="U573" i="1"/>
  <c r="W551" i="1"/>
  <c r="V551" i="1"/>
  <c r="U551" i="1"/>
  <c r="W530" i="1"/>
  <c r="V530" i="1"/>
  <c r="U530" i="1"/>
  <c r="V509" i="1"/>
  <c r="W509" i="1"/>
  <c r="U509" i="1"/>
  <c r="W487" i="1"/>
  <c r="V487" i="1"/>
  <c r="U487" i="1"/>
  <c r="W466" i="1"/>
  <c r="V466" i="1"/>
  <c r="U466" i="1"/>
  <c r="V445" i="1"/>
  <c r="W445" i="1"/>
  <c r="U445" i="1"/>
  <c r="W422" i="1"/>
  <c r="V422" i="1"/>
  <c r="U422" i="1"/>
  <c r="W368" i="1"/>
  <c r="U368" i="1"/>
  <c r="V368" i="1"/>
  <c r="V625" i="1"/>
  <c r="W625" i="1"/>
  <c r="U625" i="1"/>
  <c r="V593" i="1"/>
  <c r="W593" i="1"/>
  <c r="U593" i="1"/>
  <c r="V561" i="1"/>
  <c r="W561" i="1"/>
  <c r="U561" i="1"/>
  <c r="V529" i="1"/>
  <c r="W529" i="1"/>
  <c r="U529" i="1"/>
  <c r="V497" i="1"/>
  <c r="W497" i="1"/>
  <c r="U497" i="1"/>
  <c r="V465" i="1"/>
  <c r="W465" i="1"/>
  <c r="U465" i="1"/>
  <c r="V433" i="1"/>
  <c r="W433" i="1"/>
  <c r="U433" i="1"/>
  <c r="V409" i="1"/>
  <c r="W409" i="1"/>
  <c r="U409" i="1"/>
  <c r="V377" i="1"/>
  <c r="W377" i="1"/>
  <c r="U377" i="1"/>
  <c r="W582" i="1"/>
  <c r="V582" i="1"/>
  <c r="U582" i="1"/>
  <c r="W518" i="1"/>
  <c r="V518" i="1"/>
  <c r="U518" i="1"/>
  <c r="W454" i="1"/>
  <c r="V454" i="1"/>
  <c r="U454" i="1"/>
  <c r="W386" i="1"/>
  <c r="V386" i="1"/>
  <c r="U386" i="1"/>
  <c r="W618" i="1"/>
  <c r="V618" i="1"/>
  <c r="U618" i="1"/>
  <c r="W586" i="1"/>
  <c r="V586" i="1"/>
  <c r="U586" i="1"/>
  <c r="W554" i="1"/>
  <c r="V554" i="1"/>
  <c r="U554" i="1"/>
  <c r="W522" i="1"/>
  <c r="V522" i="1"/>
  <c r="U522" i="1"/>
  <c r="W490" i="1"/>
  <c r="V490" i="1"/>
  <c r="U490" i="1"/>
  <c r="W458" i="1"/>
  <c r="V458" i="1"/>
  <c r="U458" i="1"/>
  <c r="W414" i="1"/>
  <c r="V414" i="1"/>
  <c r="U414" i="1"/>
  <c r="W639" i="1"/>
  <c r="U639" i="1"/>
  <c r="V639" i="1"/>
  <c r="W607" i="1"/>
  <c r="U607" i="1"/>
  <c r="V607" i="1"/>
  <c r="W575" i="1"/>
  <c r="U575" i="1"/>
  <c r="V575" i="1"/>
  <c r="W543" i="1"/>
  <c r="U543" i="1"/>
  <c r="V543" i="1"/>
  <c r="W511" i="1"/>
  <c r="U511" i="1"/>
  <c r="V511" i="1"/>
  <c r="W479" i="1"/>
  <c r="U479" i="1"/>
  <c r="V479" i="1"/>
  <c r="W447" i="1"/>
  <c r="U447" i="1"/>
  <c r="V447" i="1"/>
  <c r="V404" i="1"/>
  <c r="W404" i="1"/>
  <c r="U404" i="1"/>
  <c r="W622" i="1"/>
  <c r="V622" i="1"/>
  <c r="U622" i="1"/>
  <c r="W558" i="1"/>
  <c r="V558" i="1"/>
  <c r="U558" i="1"/>
  <c r="W494" i="1"/>
  <c r="V494" i="1"/>
  <c r="U494" i="1"/>
  <c r="W430" i="1"/>
  <c r="V430" i="1"/>
  <c r="U430" i="1"/>
  <c r="W376" i="1"/>
  <c r="V376" i="1"/>
  <c r="U376" i="1"/>
  <c r="W319" i="1"/>
  <c r="U319" i="1"/>
  <c r="V319" i="1"/>
  <c r="W255" i="1"/>
  <c r="U255" i="1"/>
  <c r="V255" i="1"/>
  <c r="W191" i="1"/>
  <c r="U191" i="1"/>
  <c r="V191" i="1"/>
  <c r="V169" i="1"/>
  <c r="W169" i="1"/>
  <c r="U169" i="1"/>
  <c r="W595" i="1"/>
  <c r="V595" i="1"/>
  <c r="U595" i="1"/>
  <c r="W531" i="1"/>
  <c r="V531" i="1"/>
  <c r="U531" i="1"/>
  <c r="W467" i="1"/>
  <c r="V467" i="1"/>
  <c r="U467" i="1"/>
  <c r="V405" i="1"/>
  <c r="W405" i="1"/>
  <c r="U405" i="1"/>
  <c r="V341" i="1"/>
  <c r="W341" i="1"/>
  <c r="U341" i="1"/>
  <c r="V277" i="1"/>
  <c r="W277" i="1"/>
  <c r="U277" i="1"/>
  <c r="V213" i="1"/>
  <c r="U213" i="1"/>
  <c r="W213" i="1"/>
  <c r="W171" i="1"/>
  <c r="V171" i="1"/>
  <c r="U171" i="1"/>
  <c r="W139" i="1"/>
  <c r="V139" i="1"/>
  <c r="U139" i="1"/>
  <c r="W648" i="1"/>
  <c r="V648" i="1"/>
  <c r="U648" i="1"/>
  <c r="V537" i="1"/>
  <c r="W537" i="1"/>
  <c r="U537" i="1"/>
  <c r="W424" i="1"/>
  <c r="V424" i="1"/>
  <c r="U424" i="1"/>
  <c r="W632" i="1"/>
  <c r="V632" i="1"/>
  <c r="U632" i="1"/>
  <c r="W504" i="1"/>
  <c r="V504" i="1"/>
  <c r="U504" i="1"/>
  <c r="W394" i="1"/>
  <c r="V394" i="1"/>
  <c r="U394" i="1"/>
  <c r="V337" i="1"/>
  <c r="W337" i="1"/>
  <c r="U337" i="1"/>
  <c r="V273" i="1"/>
  <c r="W273" i="1"/>
  <c r="U273" i="1"/>
  <c r="V209" i="1"/>
  <c r="W209" i="1"/>
  <c r="U209" i="1"/>
  <c r="W167" i="1"/>
  <c r="V167" i="1"/>
  <c r="U167" i="1"/>
  <c r="W135" i="1"/>
  <c r="V135" i="1"/>
  <c r="U135" i="1"/>
  <c r="V52" i="1"/>
  <c r="W52" i="1"/>
  <c r="U52" i="1"/>
  <c r="W36" i="1"/>
  <c r="V36" i="1"/>
  <c r="U36" i="1"/>
  <c r="W20" i="1"/>
  <c r="V20" i="1"/>
  <c r="U20" i="1"/>
  <c r="W6" i="1"/>
  <c r="V6" i="1"/>
  <c r="U6" i="1"/>
  <c r="W587" i="1"/>
  <c r="V587" i="1"/>
  <c r="U587" i="1"/>
  <c r="W523" i="1"/>
  <c r="V523" i="1"/>
  <c r="U523" i="1"/>
  <c r="W459" i="1"/>
  <c r="V459" i="1"/>
  <c r="U459" i="1"/>
  <c r="V369" i="1"/>
  <c r="W369" i="1"/>
  <c r="U369" i="1"/>
  <c r="V129" i="1"/>
  <c r="W129" i="1"/>
  <c r="U129" i="1"/>
  <c r="W118" i="1"/>
  <c r="V118" i="1"/>
  <c r="U118" i="1"/>
  <c r="W110" i="1"/>
  <c r="V110" i="1"/>
  <c r="U110" i="1"/>
  <c r="W102" i="1"/>
  <c r="V102" i="1"/>
  <c r="U102" i="1"/>
  <c r="W94" i="1"/>
  <c r="V94" i="1"/>
  <c r="U94" i="1"/>
  <c r="W86" i="1"/>
  <c r="V86" i="1"/>
  <c r="U86" i="1"/>
  <c r="W78" i="1"/>
  <c r="V78" i="1"/>
  <c r="U78" i="1"/>
  <c r="V68" i="1"/>
  <c r="W68" i="1"/>
  <c r="U68" i="1"/>
  <c r="W58" i="1"/>
  <c r="V58" i="1"/>
  <c r="U58" i="1"/>
  <c r="V42" i="1"/>
  <c r="W42" i="1"/>
  <c r="U42" i="1"/>
  <c r="V26" i="1"/>
  <c r="W26" i="1"/>
  <c r="U26" i="1"/>
  <c r="W8" i="1"/>
  <c r="V8" i="1"/>
  <c r="U8" i="1"/>
  <c r="W592" i="1"/>
  <c r="U592" i="1"/>
  <c r="V592" i="1"/>
  <c r="W464" i="1"/>
  <c r="U464" i="1"/>
  <c r="V464" i="1"/>
  <c r="V617" i="1"/>
  <c r="W617" i="1"/>
  <c r="U617" i="1"/>
  <c r="V553" i="1"/>
  <c r="W553" i="1"/>
  <c r="U553" i="1"/>
  <c r="V489" i="1"/>
  <c r="W489" i="1"/>
  <c r="U489" i="1"/>
  <c r="V417" i="1"/>
  <c r="W417" i="1"/>
  <c r="U417" i="1"/>
  <c r="W339" i="1"/>
  <c r="V339" i="1"/>
  <c r="U339" i="1"/>
  <c r="W275" i="1"/>
  <c r="V275" i="1"/>
  <c r="U275" i="1"/>
  <c r="W211" i="1"/>
  <c r="V211" i="1"/>
  <c r="U211" i="1"/>
  <c r="W163" i="1"/>
  <c r="V163" i="1"/>
  <c r="U163" i="1"/>
  <c r="W793" i="1"/>
  <c r="U793" i="1"/>
  <c r="V793" i="1"/>
  <c r="W520" i="1"/>
  <c r="V520" i="1"/>
  <c r="U520" i="1"/>
  <c r="V1719" i="1"/>
  <c r="W1719" i="1"/>
  <c r="U1719" i="1"/>
  <c r="W1299" i="1"/>
  <c r="V1299" i="1"/>
  <c r="U1299" i="1"/>
  <c r="W1273" i="1"/>
  <c r="V1273" i="1"/>
  <c r="U1273" i="1"/>
  <c r="W1241" i="1"/>
  <c r="V1241" i="1"/>
  <c r="U1241" i="1"/>
  <c r="W1827" i="1"/>
  <c r="V1827" i="1"/>
  <c r="U1827" i="1"/>
  <c r="W1817" i="1"/>
  <c r="V1817" i="1"/>
  <c r="U1817" i="1"/>
  <c r="W1313" i="1"/>
  <c r="V1313" i="1"/>
  <c r="U1313" i="1"/>
  <c r="W1249" i="1"/>
  <c r="V1249" i="1"/>
  <c r="U1249" i="1"/>
  <c r="W1217" i="1"/>
  <c r="V1217" i="1"/>
  <c r="U1217" i="1"/>
  <c r="V1759" i="1"/>
  <c r="U1759" i="1"/>
  <c r="W1759" i="1"/>
  <c r="W1309" i="1"/>
  <c r="V1309" i="1"/>
  <c r="U1309" i="1"/>
  <c r="W1283" i="1"/>
  <c r="V1283" i="1"/>
  <c r="U1283" i="1"/>
  <c r="W1253" i="1"/>
  <c r="V1253" i="1"/>
  <c r="U1253" i="1"/>
  <c r="V1311" i="1"/>
  <c r="U1311" i="1"/>
  <c r="W1311" i="1"/>
  <c r="W1269" i="1"/>
  <c r="V1269" i="1"/>
  <c r="U1269" i="1"/>
  <c r="W1237" i="1"/>
  <c r="V1237" i="1"/>
  <c r="U1237" i="1"/>
  <c r="W1805" i="1"/>
  <c r="V1805" i="1"/>
  <c r="U1805" i="1"/>
  <c r="V1767" i="1"/>
  <c r="W1767" i="1"/>
  <c r="U1767" i="1"/>
  <c r="W1382" i="1"/>
  <c r="V1382" i="1"/>
  <c r="U1382" i="1"/>
  <c r="W1322" i="1"/>
  <c r="U1322" i="1"/>
  <c r="V1322" i="1"/>
  <c r="W1290" i="1"/>
  <c r="V1290" i="1"/>
  <c r="U1290" i="1"/>
  <c r="W1739" i="1"/>
  <c r="V1739" i="1"/>
  <c r="U1739" i="1"/>
  <c r="W1173" i="1"/>
  <c r="U1173" i="1"/>
  <c r="V1173" i="1"/>
  <c r="W1099" i="1"/>
  <c r="V1099" i="1"/>
  <c r="U1099" i="1"/>
  <c r="V1008" i="1"/>
  <c r="U1008" i="1"/>
  <c r="W1008" i="1"/>
  <c r="W918" i="1"/>
  <c r="V918" i="1"/>
  <c r="U918" i="1"/>
  <c r="V880" i="1"/>
  <c r="U880" i="1"/>
  <c r="W880" i="1"/>
  <c r="W1338" i="1"/>
  <c r="V1338" i="1"/>
  <c r="U1338" i="1"/>
  <c r="W1181" i="1"/>
  <c r="V1181" i="1"/>
  <c r="U1181" i="1"/>
  <c r="W1137" i="1"/>
  <c r="V1137" i="1"/>
  <c r="U1137" i="1"/>
  <c r="W1113" i="1"/>
  <c r="V1113" i="1"/>
  <c r="U1113" i="1"/>
  <c r="W1075" i="1"/>
  <c r="V1075" i="1"/>
  <c r="U1075" i="1"/>
  <c r="W974" i="1"/>
  <c r="V974" i="1"/>
  <c r="U974" i="1"/>
  <c r="W946" i="1"/>
  <c r="V946" i="1"/>
  <c r="U946" i="1"/>
  <c r="V912" i="1"/>
  <c r="U912" i="1"/>
  <c r="W912" i="1"/>
  <c r="V856" i="1"/>
  <c r="W856" i="1"/>
  <c r="U856" i="1"/>
  <c r="W818" i="1"/>
  <c r="V818" i="1"/>
  <c r="U818" i="1"/>
  <c r="W780" i="1"/>
  <c r="V780" i="1"/>
  <c r="U780" i="1"/>
  <c r="W1188" i="1"/>
  <c r="U1188" i="1"/>
  <c r="V1188" i="1"/>
  <c r="W1163" i="1"/>
  <c r="V1163" i="1"/>
  <c r="U1163" i="1"/>
  <c r="U1104" i="1"/>
  <c r="V1104" i="1"/>
  <c r="W1104" i="1"/>
  <c r="W1078" i="1"/>
  <c r="V1078" i="1"/>
  <c r="U1078" i="1"/>
  <c r="V1055" i="1"/>
  <c r="U1055" i="1"/>
  <c r="W1055" i="1"/>
  <c r="W988" i="1"/>
  <c r="V988" i="1"/>
  <c r="U988" i="1"/>
  <c r="W916" i="1"/>
  <c r="V916" i="1"/>
  <c r="U916" i="1"/>
  <c r="W878" i="1"/>
  <c r="V878" i="1"/>
  <c r="U878" i="1"/>
  <c r="W850" i="1"/>
  <c r="V850" i="1"/>
  <c r="U850" i="1"/>
  <c r="V808" i="1"/>
  <c r="W808" i="1"/>
  <c r="U808" i="1"/>
  <c r="W1204" i="1"/>
  <c r="U1204" i="1"/>
  <c r="V1204" i="1"/>
  <c r="V1191" i="1"/>
  <c r="W1191" i="1"/>
  <c r="U1191" i="1"/>
  <c r="W1141" i="1"/>
  <c r="V1141" i="1"/>
  <c r="U1141" i="1"/>
  <c r="V1071" i="1"/>
  <c r="U1071" i="1"/>
  <c r="W1071" i="1"/>
  <c r="W1004" i="1"/>
  <c r="V1004" i="1"/>
  <c r="U1004" i="1"/>
  <c r="W980" i="1"/>
  <c r="V980" i="1"/>
  <c r="U980" i="1"/>
  <c r="V952" i="1"/>
  <c r="W952" i="1"/>
  <c r="U952" i="1"/>
  <c r="W924" i="1"/>
  <c r="V924" i="1"/>
  <c r="U924" i="1"/>
  <c r="W876" i="1"/>
  <c r="V876" i="1"/>
  <c r="U876" i="1"/>
  <c r="V848" i="1"/>
  <c r="U848" i="1"/>
  <c r="W848" i="1"/>
  <c r="W810" i="1"/>
  <c r="V810" i="1"/>
  <c r="U810" i="1"/>
  <c r="W772" i="1"/>
  <c r="V772" i="1"/>
  <c r="U772" i="1"/>
  <c r="W1771" i="1"/>
  <c r="V1771" i="1"/>
  <c r="U1771" i="1"/>
  <c r="W1179" i="1"/>
  <c r="V1179" i="1"/>
  <c r="U1179" i="1"/>
  <c r="W1129" i="1"/>
  <c r="V1129" i="1"/>
  <c r="U1129" i="1"/>
  <c r="W1085" i="1"/>
  <c r="V1085" i="1"/>
  <c r="U1085" i="1"/>
  <c r="W1229" i="1"/>
  <c r="V1229" i="1"/>
  <c r="U1229" i="1"/>
  <c r="W868" i="1"/>
  <c r="V868" i="1"/>
  <c r="U868" i="1"/>
  <c r="W782" i="1"/>
  <c r="V782" i="1"/>
  <c r="U782" i="1"/>
  <c r="W263" i="1"/>
  <c r="V263" i="1"/>
  <c r="U263" i="1"/>
  <c r="U1312" i="1"/>
  <c r="W1312" i="1"/>
  <c r="V1312" i="1"/>
  <c r="W1115" i="1"/>
  <c r="V1115" i="1"/>
  <c r="U1115" i="1"/>
  <c r="W844" i="1"/>
  <c r="V844" i="1"/>
  <c r="U844" i="1"/>
  <c r="W1160" i="1"/>
  <c r="V1160" i="1"/>
  <c r="U1160" i="1"/>
  <c r="V1095" i="1"/>
  <c r="W1095" i="1"/>
  <c r="U1095" i="1"/>
  <c r="W958" i="1"/>
  <c r="V958" i="1"/>
  <c r="U958" i="1"/>
  <c r="W892" i="1"/>
  <c r="V892" i="1"/>
  <c r="U892" i="1"/>
  <c r="W358" i="1"/>
  <c r="V358" i="1"/>
  <c r="U358" i="1"/>
  <c r="W326" i="1"/>
  <c r="V326" i="1"/>
  <c r="U326" i="1"/>
  <c r="W294" i="1"/>
  <c r="V294" i="1"/>
  <c r="U294" i="1"/>
  <c r="W262" i="1"/>
  <c r="V262" i="1"/>
  <c r="U262" i="1"/>
  <c r="W230" i="1"/>
  <c r="V230" i="1"/>
  <c r="U230" i="1"/>
  <c r="W198" i="1"/>
  <c r="V198" i="1"/>
  <c r="U198" i="1"/>
  <c r="W1142" i="1"/>
  <c r="V1142" i="1"/>
  <c r="U1142" i="1"/>
  <c r="W774" i="1"/>
  <c r="V774" i="1"/>
  <c r="U774" i="1"/>
  <c r="W1177" i="1"/>
  <c r="V1177" i="1"/>
  <c r="U1177" i="1"/>
  <c r="W1112" i="1"/>
  <c r="V1112" i="1"/>
  <c r="U1112" i="1"/>
  <c r="W954" i="1"/>
  <c r="V954" i="1"/>
  <c r="U954" i="1"/>
  <c r="W882" i="1"/>
  <c r="V882" i="1"/>
  <c r="U882" i="1"/>
  <c r="V421" i="1"/>
  <c r="U421" i="1"/>
  <c r="W421" i="1"/>
  <c r="V345" i="1"/>
  <c r="W345" i="1"/>
  <c r="U345" i="1"/>
  <c r="W299" i="1"/>
  <c r="V299" i="1"/>
  <c r="U299" i="1"/>
  <c r="V253" i="1"/>
  <c r="W253" i="1"/>
  <c r="U253" i="1"/>
  <c r="V217" i="1"/>
  <c r="W217" i="1"/>
  <c r="U217" i="1"/>
  <c r="W1083" i="1"/>
  <c r="V1083" i="1"/>
  <c r="U1083" i="1"/>
  <c r="W1060" i="1"/>
  <c r="U1060" i="1"/>
  <c r="V1060" i="1"/>
  <c r="W226" i="1"/>
  <c r="V226" i="1"/>
  <c r="U226" i="1"/>
  <c r="W258" i="1"/>
  <c r="V258" i="1"/>
  <c r="U258" i="1"/>
  <c r="W643" i="1"/>
  <c r="V643" i="1"/>
  <c r="U643" i="1"/>
  <c r="W290" i="1"/>
  <c r="V290" i="1"/>
  <c r="U290" i="1"/>
  <c r="V308" i="1"/>
  <c r="W308" i="1"/>
  <c r="U308" i="1"/>
  <c r="W322" i="1"/>
  <c r="V322" i="1"/>
  <c r="U322" i="1"/>
  <c r="W162" i="1"/>
  <c r="V162" i="1"/>
  <c r="U162" i="1"/>
  <c r="W311" i="1"/>
  <c r="V311" i="1"/>
  <c r="U311" i="1"/>
  <c r="W1158" i="1"/>
  <c r="V1158" i="1"/>
  <c r="U1158" i="1"/>
  <c r="V1831" i="1"/>
  <c r="W1831" i="1"/>
  <c r="U1831" i="1"/>
  <c r="W1182" i="1"/>
  <c r="V1182" i="1"/>
  <c r="U1182" i="1"/>
  <c r="W342" i="1"/>
  <c r="V342" i="1"/>
  <c r="U342" i="1"/>
  <c r="W1644" i="1"/>
  <c r="V1644" i="1"/>
  <c r="U1644" i="1"/>
  <c r="W1062" i="1"/>
  <c r="V1062" i="1"/>
  <c r="U1062" i="1"/>
  <c r="W395" i="1"/>
  <c r="V395" i="1"/>
  <c r="U395" i="1"/>
  <c r="W1342" i="1"/>
  <c r="V1342" i="1"/>
  <c r="U1342" i="1"/>
  <c r="V180" i="1"/>
  <c r="W180" i="1"/>
  <c r="U180" i="1"/>
  <c r="W1670" i="1"/>
  <c r="V1670" i="1"/>
  <c r="U1670" i="1"/>
  <c r="W1150" i="1"/>
  <c r="V1150" i="1"/>
  <c r="U1150" i="1"/>
  <c r="W1052" i="1"/>
  <c r="V1052" i="1"/>
  <c r="U1052" i="1"/>
  <c r="W1292" i="1"/>
  <c r="V1292" i="1"/>
  <c r="U1292" i="1"/>
  <c r="V148" i="1"/>
  <c r="W148" i="1"/>
  <c r="U148" i="1"/>
  <c r="W1282" i="1"/>
  <c r="V1282" i="1"/>
  <c r="U1282" i="1"/>
  <c r="W91" i="1"/>
  <c r="V91" i="1"/>
  <c r="U91" i="1"/>
  <c r="V1775" i="1"/>
  <c r="U1775" i="1"/>
  <c r="W1775" i="1"/>
  <c r="W39" i="1"/>
  <c r="U39" i="1"/>
  <c r="V39" i="1"/>
  <c r="W1809" i="1"/>
  <c r="V1809" i="1"/>
  <c r="U1809" i="1"/>
  <c r="W63" i="1"/>
  <c r="U63" i="1"/>
  <c r="V63" i="1"/>
  <c r="W1194" i="1"/>
  <c r="U1194" i="1"/>
  <c r="V1194" i="1"/>
  <c r="W296" i="1"/>
  <c r="V296" i="1"/>
  <c r="U296" i="1"/>
  <c r="V11" i="1"/>
  <c r="U11" i="1"/>
  <c r="W11" i="1"/>
  <c r="W1688" i="1"/>
  <c r="V1688" i="1"/>
  <c r="U1688" i="1"/>
  <c r="W1777" i="1"/>
  <c r="V1777" i="1"/>
  <c r="U1777" i="1"/>
  <c r="W1961" i="1"/>
  <c r="V1961" i="1"/>
  <c r="U1961" i="1"/>
  <c r="V1871" i="1"/>
  <c r="U1871" i="1"/>
  <c r="W1871" i="1"/>
  <c r="W1947" i="1"/>
  <c r="V1947" i="1"/>
  <c r="U1947" i="1"/>
  <c r="W1873" i="1"/>
  <c r="V1873" i="1"/>
  <c r="U1873" i="1"/>
  <c r="W1949" i="1"/>
  <c r="V1949" i="1"/>
  <c r="U1949" i="1"/>
  <c r="W1859" i="1"/>
  <c r="V1859" i="1"/>
  <c r="U1859" i="1"/>
  <c r="W1609" i="1"/>
  <c r="V1609" i="1"/>
  <c r="U1609" i="1"/>
  <c r="V1695" i="1"/>
  <c r="U1695" i="1"/>
  <c r="W1695" i="1"/>
  <c r="V1631" i="1"/>
  <c r="U1631" i="1"/>
  <c r="W1631" i="1"/>
  <c r="W1581" i="1"/>
  <c r="V1581" i="1"/>
  <c r="U1581" i="1"/>
  <c r="W1669" i="1"/>
  <c r="V1669" i="1"/>
  <c r="U1669" i="1"/>
  <c r="W1579" i="1"/>
  <c r="V1579" i="1"/>
  <c r="U1579" i="1"/>
  <c r="V1023" i="1"/>
  <c r="U1023" i="1"/>
  <c r="W1023" i="1"/>
  <c r="V991" i="1"/>
  <c r="U991" i="1"/>
  <c r="W991" i="1"/>
  <c r="V959" i="1"/>
  <c r="U959" i="1"/>
  <c r="W959" i="1"/>
  <c r="V927" i="1"/>
  <c r="U927" i="1"/>
  <c r="W927" i="1"/>
  <c r="V887" i="1"/>
  <c r="W887" i="1"/>
  <c r="U887" i="1"/>
  <c r="V863" i="1"/>
  <c r="U863" i="1"/>
  <c r="W863" i="1"/>
  <c r="V823" i="1"/>
  <c r="W823" i="1"/>
  <c r="U823" i="1"/>
  <c r="V783" i="1"/>
  <c r="U783" i="1"/>
  <c r="W783" i="1"/>
  <c r="V775" i="1"/>
  <c r="W775" i="1"/>
  <c r="U775" i="1"/>
  <c r="W722" i="1"/>
  <c r="V722" i="1"/>
  <c r="U722" i="1"/>
  <c r="W652" i="1"/>
  <c r="V652" i="1"/>
  <c r="U652" i="1"/>
  <c r="W712" i="1"/>
  <c r="V712" i="1"/>
  <c r="U712" i="1"/>
  <c r="W599" i="1"/>
  <c r="V599" i="1"/>
  <c r="U599" i="1"/>
  <c r="W514" i="1"/>
  <c r="V514" i="1"/>
  <c r="U514" i="1"/>
  <c r="W374" i="1"/>
  <c r="V374" i="1"/>
  <c r="U374" i="1"/>
  <c r="W572" i="1"/>
  <c r="V572" i="1"/>
  <c r="U572" i="1"/>
  <c r="W444" i="1"/>
  <c r="V444" i="1"/>
  <c r="U444" i="1"/>
  <c r="W534" i="1"/>
  <c r="V534" i="1"/>
  <c r="U534" i="1"/>
  <c r="V597" i="1"/>
  <c r="W597" i="1"/>
  <c r="U597" i="1"/>
  <c r="V501" i="1"/>
  <c r="W501" i="1"/>
  <c r="U501" i="1"/>
  <c r="V612" i="1"/>
  <c r="U612" i="1"/>
  <c r="W612" i="1"/>
  <c r="V516" i="1"/>
  <c r="U516" i="1"/>
  <c r="W516" i="1"/>
  <c r="V420" i="1"/>
  <c r="U420" i="1"/>
  <c r="W420" i="1"/>
  <c r="W571" i="1"/>
  <c r="V571" i="1"/>
  <c r="U571" i="1"/>
  <c r="W391" i="1"/>
  <c r="V391" i="1"/>
  <c r="U391" i="1"/>
  <c r="W480" i="1"/>
  <c r="U480" i="1"/>
  <c r="V480" i="1"/>
  <c r="V173" i="1"/>
  <c r="W173" i="1"/>
  <c r="U173" i="1"/>
  <c r="W291" i="1"/>
  <c r="V291" i="1"/>
  <c r="U291" i="1"/>
  <c r="W131" i="1"/>
  <c r="V131" i="1"/>
  <c r="U131" i="1"/>
  <c r="W426" i="1"/>
  <c r="V426" i="1"/>
  <c r="U426" i="1"/>
  <c r="W1245" i="1"/>
  <c r="V1245" i="1"/>
  <c r="U1245" i="1"/>
  <c r="W1386" i="1"/>
  <c r="V1386" i="1"/>
  <c r="U1386" i="1"/>
  <c r="W1221" i="1"/>
  <c r="V1221" i="1"/>
  <c r="U1221" i="1"/>
  <c r="W1286" i="1"/>
  <c r="V1286" i="1"/>
  <c r="U1286" i="1"/>
  <c r="W1285" i="1"/>
  <c r="V1285" i="1"/>
  <c r="U1285" i="1"/>
  <c r="W1821" i="1"/>
  <c r="V1821" i="1"/>
  <c r="U1821" i="1"/>
  <c r="U1328" i="1"/>
  <c r="V1328" i="1"/>
  <c r="W1328" i="1"/>
  <c r="W1206" i="1"/>
  <c r="V1206" i="1"/>
  <c r="U1206" i="1"/>
  <c r="W1105" i="1"/>
  <c r="V1105" i="1"/>
  <c r="U1105" i="1"/>
  <c r="W890" i="1"/>
  <c r="V890" i="1"/>
  <c r="U890" i="1"/>
  <c r="U1184" i="1"/>
  <c r="W1184" i="1"/>
  <c r="V1184" i="1"/>
  <c r="V1087" i="1"/>
  <c r="U1087" i="1"/>
  <c r="W1087" i="1"/>
  <c r="W922" i="1"/>
  <c r="V922" i="1"/>
  <c r="U922" i="1"/>
  <c r="V832" i="1"/>
  <c r="U832" i="1"/>
  <c r="W832" i="1"/>
  <c r="W1169" i="1"/>
  <c r="V1169" i="1"/>
  <c r="U1169" i="1"/>
  <c r="W1081" i="1"/>
  <c r="V1081" i="1"/>
  <c r="U1081" i="1"/>
  <c r="V992" i="1"/>
  <c r="U992" i="1"/>
  <c r="W992" i="1"/>
  <c r="W860" i="1"/>
  <c r="V860" i="1"/>
  <c r="U860" i="1"/>
  <c r="V1215" i="1"/>
  <c r="U1215" i="1"/>
  <c r="W1215" i="1"/>
  <c r="W1053" i="1"/>
  <c r="V1053" i="1"/>
  <c r="U1053" i="1"/>
  <c r="W962" i="1"/>
  <c r="V962" i="1"/>
  <c r="U962" i="1"/>
  <c r="V824" i="1"/>
  <c r="W824" i="1"/>
  <c r="U824" i="1"/>
  <c r="W786" i="1"/>
  <c r="V786" i="1"/>
  <c r="U786" i="1"/>
  <c r="V1135" i="1"/>
  <c r="U1135" i="1"/>
  <c r="W1135" i="1"/>
  <c r="V1063" i="1"/>
  <c r="W1063" i="1"/>
  <c r="U1063" i="1"/>
  <c r="V968" i="1"/>
  <c r="W968" i="1"/>
  <c r="U968" i="1"/>
  <c r="W906" i="1"/>
  <c r="V906" i="1"/>
  <c r="U906" i="1"/>
  <c r="W982" i="1"/>
  <c r="V982" i="1"/>
  <c r="U982" i="1"/>
  <c r="V329" i="1"/>
  <c r="W329" i="1"/>
  <c r="U329" i="1"/>
  <c r="V265" i="1"/>
  <c r="W265" i="1"/>
  <c r="U265" i="1"/>
  <c r="W150" i="1"/>
  <c r="V150" i="1"/>
  <c r="U150" i="1"/>
  <c r="V1127" i="1"/>
  <c r="W1127" i="1"/>
  <c r="U1127" i="1"/>
  <c r="V896" i="1"/>
  <c r="U896" i="1"/>
  <c r="W896" i="1"/>
  <c r="V313" i="1"/>
  <c r="W313" i="1"/>
  <c r="U313" i="1"/>
  <c r="W1166" i="1"/>
  <c r="V1166" i="1"/>
  <c r="U1166" i="1"/>
  <c r="W343" i="1"/>
  <c r="V343" i="1"/>
  <c r="U343" i="1"/>
  <c r="W1080" i="1"/>
  <c r="V1080" i="1"/>
  <c r="U1080" i="1"/>
  <c r="W948" i="1"/>
  <c r="V948" i="1"/>
  <c r="U948" i="1"/>
  <c r="W1390" i="1"/>
  <c r="V1390" i="1"/>
  <c r="U1390" i="1"/>
  <c r="W1692" i="1"/>
  <c r="V1692" i="1"/>
  <c r="U1692" i="1"/>
  <c r="V228" i="1"/>
  <c r="U228" i="1"/>
  <c r="W228" i="1"/>
  <c r="W1288" i="1"/>
  <c r="V1288" i="1"/>
  <c r="U1288" i="1"/>
  <c r="V196" i="1"/>
  <c r="U196" i="1"/>
  <c r="W196" i="1"/>
  <c r="W123" i="1"/>
  <c r="V123" i="1"/>
  <c r="U123" i="1"/>
  <c r="U1120" i="1"/>
  <c r="W1120" i="1"/>
  <c r="V1120" i="1"/>
  <c r="W1340" i="1"/>
  <c r="V1340" i="1"/>
  <c r="U1340" i="1"/>
  <c r="W1634" i="1"/>
  <c r="V1634" i="1"/>
  <c r="U1634" i="1"/>
  <c r="W2003" i="1"/>
  <c r="V2003" i="1"/>
  <c r="U2003" i="1"/>
  <c r="V1983" i="1"/>
  <c r="U1983" i="1"/>
  <c r="W1983" i="1"/>
  <c r="V1855" i="1"/>
  <c r="U1855" i="1"/>
  <c r="W1855" i="1"/>
  <c r="W1957" i="1"/>
  <c r="V1957" i="1"/>
  <c r="U1957" i="1"/>
  <c r="W1931" i="1"/>
  <c r="V1931" i="1"/>
  <c r="U1931" i="1"/>
  <c r="W1867" i="1"/>
  <c r="V1867" i="1"/>
  <c r="U1867" i="1"/>
  <c r="W1921" i="1"/>
  <c r="V1921" i="1"/>
  <c r="U1921" i="1"/>
  <c r="V1959" i="1"/>
  <c r="W1959" i="1"/>
  <c r="U1959" i="1"/>
  <c r="W1997" i="1"/>
  <c r="V1997" i="1"/>
  <c r="U1997" i="1"/>
  <c r="W1933" i="1"/>
  <c r="V1933" i="1"/>
  <c r="U1933" i="1"/>
  <c r="W1971" i="1"/>
  <c r="V1971" i="1"/>
  <c r="U1971" i="1"/>
  <c r="W1907" i="1"/>
  <c r="V1907" i="1"/>
  <c r="U1907" i="1"/>
  <c r="W1562" i="1"/>
  <c r="V1562" i="1"/>
  <c r="U1562" i="1"/>
  <c r="W1729" i="1"/>
  <c r="V1729" i="1"/>
  <c r="U1729" i="1"/>
  <c r="W1563" i="1"/>
  <c r="V1563" i="1"/>
  <c r="U1563" i="1"/>
  <c r="W1707" i="1"/>
  <c r="V1707" i="1"/>
  <c r="U1707" i="1"/>
  <c r="W1675" i="1"/>
  <c r="V1675" i="1"/>
  <c r="U1675" i="1"/>
  <c r="W1659" i="1"/>
  <c r="V1659" i="1"/>
  <c r="U1659" i="1"/>
  <c r="V1623" i="1"/>
  <c r="W1623" i="1"/>
  <c r="U1623" i="1"/>
  <c r="W1561" i="1"/>
  <c r="V1561" i="1"/>
  <c r="U1561" i="1"/>
  <c r="W1605" i="1"/>
  <c r="V1605" i="1"/>
  <c r="U1605" i="1"/>
  <c r="W1713" i="1"/>
  <c r="V1713" i="1"/>
  <c r="U1713" i="1"/>
  <c r="W1697" i="1"/>
  <c r="V1697" i="1"/>
  <c r="U1697" i="1"/>
  <c r="W1665" i="1"/>
  <c r="V1665" i="1"/>
  <c r="U1665" i="1"/>
  <c r="W1649" i="1"/>
  <c r="V1649" i="1"/>
  <c r="U1649" i="1"/>
  <c r="W1603" i="1"/>
  <c r="V1603" i="1"/>
  <c r="U1603" i="1"/>
  <c r="W1565" i="1"/>
  <c r="V1565" i="1"/>
  <c r="U1565" i="1"/>
  <c r="W1037" i="1"/>
  <c r="V1037" i="1"/>
  <c r="U1037" i="1"/>
  <c r="W1021" i="1"/>
  <c r="V1021" i="1"/>
  <c r="U1021" i="1"/>
  <c r="W1005" i="1"/>
  <c r="V1005" i="1"/>
  <c r="U1005" i="1"/>
  <c r="W997" i="1"/>
  <c r="V997" i="1"/>
  <c r="U997" i="1"/>
  <c r="W981" i="1"/>
  <c r="V981" i="1"/>
  <c r="U981" i="1"/>
  <c r="W949" i="1"/>
  <c r="V949" i="1"/>
  <c r="U949" i="1"/>
  <c r="W1993" i="1"/>
  <c r="V1993" i="1"/>
  <c r="U1993" i="1"/>
  <c r="W1929" i="1"/>
  <c r="V1929" i="1"/>
  <c r="U1929" i="1"/>
  <c r="W1865" i="1"/>
  <c r="V1865" i="1"/>
  <c r="U1865" i="1"/>
  <c r="V1967" i="1"/>
  <c r="U1967" i="1"/>
  <c r="W1967" i="1"/>
  <c r="V1903" i="1"/>
  <c r="U1903" i="1"/>
  <c r="W1903" i="1"/>
  <c r="V1839" i="1"/>
  <c r="U1839" i="1"/>
  <c r="W1839" i="1"/>
  <c r="W1941" i="1"/>
  <c r="V1941" i="1"/>
  <c r="U1941" i="1"/>
  <c r="W1877" i="1"/>
  <c r="V1877" i="1"/>
  <c r="U1877" i="1"/>
  <c r="W1979" i="1"/>
  <c r="V1979" i="1"/>
  <c r="U1979" i="1"/>
  <c r="W1915" i="1"/>
  <c r="V1915" i="1"/>
  <c r="U1915" i="1"/>
  <c r="W1851" i="1"/>
  <c r="V1851" i="1"/>
  <c r="U1851" i="1"/>
  <c r="W1969" i="1"/>
  <c r="V1969" i="1"/>
  <c r="U1969" i="1"/>
  <c r="W1905" i="1"/>
  <c r="V1905" i="1"/>
  <c r="U1905" i="1"/>
  <c r="W1841" i="1"/>
  <c r="V1841" i="1"/>
  <c r="U1841" i="1"/>
  <c r="V1943" i="1"/>
  <c r="W1943" i="1"/>
  <c r="U1943" i="1"/>
  <c r="V1879" i="1"/>
  <c r="W1879" i="1"/>
  <c r="U1879" i="1"/>
  <c r="W1981" i="1"/>
  <c r="V1981" i="1"/>
  <c r="U1981" i="1"/>
  <c r="W1917" i="1"/>
  <c r="V1917" i="1"/>
  <c r="U1917" i="1"/>
  <c r="W1853" i="1"/>
  <c r="V1853" i="1"/>
  <c r="U1853" i="1"/>
  <c r="W1955" i="1"/>
  <c r="V1955" i="1"/>
  <c r="U1955" i="1"/>
  <c r="W1891" i="1"/>
  <c r="V1891" i="1"/>
  <c r="U1891" i="1"/>
  <c r="U1568" i="1"/>
  <c r="V1568" i="1"/>
  <c r="W1568" i="1"/>
  <c r="W1560" i="1"/>
  <c r="V1560" i="1"/>
  <c r="U1560" i="1"/>
  <c r="W1725" i="1"/>
  <c r="V1725" i="1"/>
  <c r="U1725" i="1"/>
  <c r="W1625" i="1"/>
  <c r="V1625" i="1"/>
  <c r="U1625" i="1"/>
  <c r="W1593" i="1"/>
  <c r="V1593" i="1"/>
  <c r="U1593" i="1"/>
  <c r="W1553" i="1"/>
  <c r="V1553" i="1"/>
  <c r="U1553" i="1"/>
  <c r="V1703" i="1"/>
  <c r="W1703" i="1"/>
  <c r="U1703" i="1"/>
  <c r="V1687" i="1"/>
  <c r="W1687" i="1"/>
  <c r="U1687" i="1"/>
  <c r="V1671" i="1"/>
  <c r="W1671" i="1"/>
  <c r="U1671" i="1"/>
  <c r="V1655" i="1"/>
  <c r="W1655" i="1"/>
  <c r="U1655" i="1"/>
  <c r="V1639" i="1"/>
  <c r="W1639" i="1"/>
  <c r="U1639" i="1"/>
  <c r="V1615" i="1"/>
  <c r="U1615" i="1"/>
  <c r="W1615" i="1"/>
  <c r="V1583" i="1"/>
  <c r="U1583" i="1"/>
  <c r="W1583" i="1"/>
  <c r="W1629" i="1"/>
  <c r="V1629" i="1"/>
  <c r="U1629" i="1"/>
  <c r="W1597" i="1"/>
  <c r="V1597" i="1"/>
  <c r="U1597" i="1"/>
  <c r="V1567" i="1"/>
  <c r="U1567" i="1"/>
  <c r="W1567" i="1"/>
  <c r="W1709" i="1"/>
  <c r="V1709" i="1"/>
  <c r="U1709" i="1"/>
  <c r="W1693" i="1"/>
  <c r="V1693" i="1"/>
  <c r="U1693" i="1"/>
  <c r="W1677" i="1"/>
  <c r="V1677" i="1"/>
  <c r="U1677" i="1"/>
  <c r="W1661" i="1"/>
  <c r="V1661" i="1"/>
  <c r="U1661" i="1"/>
  <c r="W1645" i="1"/>
  <c r="V1645" i="1"/>
  <c r="U1645" i="1"/>
  <c r="W1627" i="1"/>
  <c r="V1627" i="1"/>
  <c r="U1627" i="1"/>
  <c r="W1595" i="1"/>
  <c r="V1595" i="1"/>
  <c r="U1595" i="1"/>
  <c r="W1557" i="1"/>
  <c r="V1557" i="1"/>
  <c r="U1557" i="1"/>
  <c r="W1043" i="1"/>
  <c r="V1043" i="1"/>
  <c r="U1043" i="1"/>
  <c r="W1035" i="1"/>
  <c r="V1035" i="1"/>
  <c r="U1035" i="1"/>
  <c r="W1027" i="1"/>
  <c r="V1027" i="1"/>
  <c r="U1027" i="1"/>
  <c r="W1019" i="1"/>
  <c r="V1019" i="1"/>
  <c r="U1019" i="1"/>
  <c r="W1011" i="1"/>
  <c r="V1011" i="1"/>
  <c r="U1011" i="1"/>
  <c r="W1003" i="1"/>
  <c r="V1003" i="1"/>
  <c r="U1003" i="1"/>
  <c r="W995" i="1"/>
  <c r="V995" i="1"/>
  <c r="U995" i="1"/>
  <c r="W987" i="1"/>
  <c r="V987" i="1"/>
  <c r="U987" i="1"/>
  <c r="W979" i="1"/>
  <c r="V979" i="1"/>
  <c r="U979" i="1"/>
  <c r="W971" i="1"/>
  <c r="V971" i="1"/>
  <c r="U971" i="1"/>
  <c r="W963" i="1"/>
  <c r="V963" i="1"/>
  <c r="U963" i="1"/>
  <c r="W955" i="1"/>
  <c r="V955" i="1"/>
  <c r="U955" i="1"/>
  <c r="W947" i="1"/>
  <c r="V947" i="1"/>
  <c r="U947" i="1"/>
  <c r="W939" i="1"/>
  <c r="V939" i="1"/>
  <c r="U939" i="1"/>
  <c r="W931" i="1"/>
  <c r="V931" i="1"/>
  <c r="U931" i="1"/>
  <c r="W923" i="1"/>
  <c r="V923" i="1"/>
  <c r="U923" i="1"/>
  <c r="W915" i="1"/>
  <c r="V915" i="1"/>
  <c r="U915" i="1"/>
  <c r="W907" i="1"/>
  <c r="V907" i="1"/>
  <c r="U907" i="1"/>
  <c r="W899" i="1"/>
  <c r="V899" i="1"/>
  <c r="U899" i="1"/>
  <c r="W891" i="1"/>
  <c r="V891" i="1"/>
  <c r="U891" i="1"/>
  <c r="W883" i="1"/>
  <c r="V883" i="1"/>
  <c r="U883" i="1"/>
  <c r="W875" i="1"/>
  <c r="V875" i="1"/>
  <c r="U875" i="1"/>
  <c r="W867" i="1"/>
  <c r="V867" i="1"/>
  <c r="U867" i="1"/>
  <c r="W859" i="1"/>
  <c r="V859" i="1"/>
  <c r="U859" i="1"/>
  <c r="W851" i="1"/>
  <c r="V851" i="1"/>
  <c r="U851" i="1"/>
  <c r="W843" i="1"/>
  <c r="V843" i="1"/>
  <c r="U843" i="1"/>
  <c r="W835" i="1"/>
  <c r="V835" i="1"/>
  <c r="U835" i="1"/>
  <c r="W827" i="1"/>
  <c r="V827" i="1"/>
  <c r="U827" i="1"/>
  <c r="W819" i="1"/>
  <c r="V819" i="1"/>
  <c r="U819" i="1"/>
  <c r="W811" i="1"/>
  <c r="V811" i="1"/>
  <c r="U811" i="1"/>
  <c r="W1046" i="1"/>
  <c r="V1046" i="1"/>
  <c r="U1046" i="1"/>
  <c r="V764" i="1"/>
  <c r="W764" i="1"/>
  <c r="U764" i="1"/>
  <c r="V760" i="1"/>
  <c r="W760" i="1"/>
  <c r="U760" i="1"/>
  <c r="W763" i="1"/>
  <c r="U763" i="1"/>
  <c r="V763" i="1"/>
  <c r="W754" i="1"/>
  <c r="V754" i="1"/>
  <c r="U754" i="1"/>
  <c r="W762" i="1"/>
  <c r="V762" i="1"/>
  <c r="U762" i="1"/>
  <c r="W771" i="1"/>
  <c r="V771" i="1"/>
  <c r="U771" i="1"/>
  <c r="W746" i="1"/>
  <c r="V746" i="1"/>
  <c r="U746" i="1"/>
  <c r="W730" i="1"/>
  <c r="V730" i="1"/>
  <c r="U730" i="1"/>
  <c r="W714" i="1"/>
  <c r="V714" i="1"/>
  <c r="U714" i="1"/>
  <c r="W698" i="1"/>
  <c r="V698" i="1"/>
  <c r="U698" i="1"/>
  <c r="W682" i="1"/>
  <c r="V682" i="1"/>
  <c r="U682" i="1"/>
  <c r="W666" i="1"/>
  <c r="V666" i="1"/>
  <c r="U666" i="1"/>
  <c r="W785" i="1"/>
  <c r="U785" i="1"/>
  <c r="V785" i="1"/>
  <c r="V752" i="1"/>
  <c r="U752" i="1"/>
  <c r="W752" i="1"/>
  <c r="U736" i="1"/>
  <c r="V736" i="1"/>
  <c r="W736" i="1"/>
  <c r="W720" i="1"/>
  <c r="V720" i="1"/>
  <c r="U720" i="1"/>
  <c r="W704" i="1"/>
  <c r="U704" i="1"/>
  <c r="V704" i="1"/>
  <c r="W688" i="1"/>
  <c r="U688" i="1"/>
  <c r="V688" i="1"/>
  <c r="W672" i="1"/>
  <c r="U672" i="1"/>
  <c r="V672" i="1"/>
  <c r="W654" i="1"/>
  <c r="V654" i="1"/>
  <c r="U654" i="1"/>
  <c r="W631" i="1"/>
  <c r="V631" i="1"/>
  <c r="U631" i="1"/>
  <c r="W610" i="1"/>
  <c r="V610" i="1"/>
  <c r="U610" i="1"/>
  <c r="V589" i="1"/>
  <c r="W589" i="1"/>
  <c r="U589" i="1"/>
  <c r="W567" i="1"/>
  <c r="V567" i="1"/>
  <c r="U567" i="1"/>
  <c r="W546" i="1"/>
  <c r="V546" i="1"/>
  <c r="U546" i="1"/>
  <c r="V525" i="1"/>
  <c r="W525" i="1"/>
  <c r="U525" i="1"/>
  <c r="W503" i="1"/>
  <c r="V503" i="1"/>
  <c r="U503" i="1"/>
  <c r="W482" i="1"/>
  <c r="V482" i="1"/>
  <c r="U482" i="1"/>
  <c r="V461" i="1"/>
  <c r="W461" i="1"/>
  <c r="U461" i="1"/>
  <c r="W439" i="1"/>
  <c r="V439" i="1"/>
  <c r="U439" i="1"/>
  <c r="W406" i="1"/>
  <c r="V406" i="1"/>
  <c r="U406" i="1"/>
  <c r="W769" i="1"/>
  <c r="V769" i="1"/>
  <c r="U769" i="1"/>
  <c r="W620" i="1"/>
  <c r="V620" i="1"/>
  <c r="U620" i="1"/>
  <c r="W588" i="1"/>
  <c r="V588" i="1"/>
  <c r="U588" i="1"/>
  <c r="W556" i="1"/>
  <c r="V556" i="1"/>
  <c r="U556" i="1"/>
  <c r="W524" i="1"/>
  <c r="V524" i="1"/>
  <c r="U524" i="1"/>
  <c r="W492" i="1"/>
  <c r="V492" i="1"/>
  <c r="U492" i="1"/>
  <c r="W460" i="1"/>
  <c r="V460" i="1"/>
  <c r="U460" i="1"/>
  <c r="W428" i="1"/>
  <c r="V428" i="1"/>
  <c r="U428" i="1"/>
  <c r="W396" i="1"/>
  <c r="V396" i="1"/>
  <c r="U396" i="1"/>
  <c r="W630" i="1"/>
  <c r="V630" i="1"/>
  <c r="U630" i="1"/>
  <c r="W566" i="1"/>
  <c r="V566" i="1"/>
  <c r="U566" i="1"/>
  <c r="W502" i="1"/>
  <c r="V502" i="1"/>
  <c r="U502" i="1"/>
  <c r="W438" i="1"/>
  <c r="V438" i="1"/>
  <c r="U438" i="1"/>
  <c r="W370" i="1"/>
  <c r="V370" i="1"/>
  <c r="U370" i="1"/>
  <c r="V613" i="1"/>
  <c r="U613" i="1"/>
  <c r="W613" i="1"/>
  <c r="V581" i="1"/>
  <c r="U581" i="1"/>
  <c r="W581" i="1"/>
  <c r="V549" i="1"/>
  <c r="U549" i="1"/>
  <c r="W549" i="1"/>
  <c r="V517" i="1"/>
  <c r="U517" i="1"/>
  <c r="W517" i="1"/>
  <c r="V485" i="1"/>
  <c r="U485" i="1"/>
  <c r="W485" i="1"/>
  <c r="V453" i="1"/>
  <c r="U453" i="1"/>
  <c r="W453" i="1"/>
  <c r="W398" i="1"/>
  <c r="V398" i="1"/>
  <c r="U398" i="1"/>
  <c r="V628" i="1"/>
  <c r="W628" i="1"/>
  <c r="U628" i="1"/>
  <c r="V596" i="1"/>
  <c r="W596" i="1"/>
  <c r="U596" i="1"/>
  <c r="V564" i="1"/>
  <c r="W564" i="1"/>
  <c r="U564" i="1"/>
  <c r="V532" i="1"/>
  <c r="W532" i="1"/>
  <c r="U532" i="1"/>
  <c r="V500" i="1"/>
  <c r="W500" i="1"/>
  <c r="U500" i="1"/>
  <c r="V468" i="1"/>
  <c r="W468" i="1"/>
  <c r="U468" i="1"/>
  <c r="V436" i="1"/>
  <c r="W436" i="1"/>
  <c r="U436" i="1"/>
  <c r="V388" i="1"/>
  <c r="U388" i="1"/>
  <c r="W388" i="1"/>
  <c r="W603" i="1"/>
  <c r="V603" i="1"/>
  <c r="U603" i="1"/>
  <c r="W539" i="1"/>
  <c r="V539" i="1"/>
  <c r="U539" i="1"/>
  <c r="W475" i="1"/>
  <c r="V475" i="1"/>
  <c r="U475" i="1"/>
  <c r="W415" i="1"/>
  <c r="U415" i="1"/>
  <c r="V415" i="1"/>
  <c r="W367" i="1"/>
  <c r="U367" i="1"/>
  <c r="V367" i="1"/>
  <c r="W303" i="1"/>
  <c r="U303" i="1"/>
  <c r="V303" i="1"/>
  <c r="W239" i="1"/>
  <c r="U239" i="1"/>
  <c r="V239" i="1"/>
  <c r="W175" i="1"/>
  <c r="U175" i="1"/>
  <c r="V175" i="1"/>
  <c r="W640" i="1"/>
  <c r="U640" i="1"/>
  <c r="V640" i="1"/>
  <c r="W576" i="1"/>
  <c r="U576" i="1"/>
  <c r="V576" i="1"/>
  <c r="W512" i="1"/>
  <c r="U512" i="1"/>
  <c r="V512" i="1"/>
  <c r="W448" i="1"/>
  <c r="U448" i="1"/>
  <c r="V448" i="1"/>
  <c r="W400" i="1"/>
  <c r="U400" i="1"/>
  <c r="V400" i="1"/>
  <c r="V325" i="1"/>
  <c r="U325" i="1"/>
  <c r="W325" i="1"/>
  <c r="V261" i="1"/>
  <c r="U261" i="1"/>
  <c r="W261" i="1"/>
  <c r="V197" i="1"/>
  <c r="U197" i="1"/>
  <c r="W197" i="1"/>
  <c r="V165" i="1"/>
  <c r="U165" i="1"/>
  <c r="W165" i="1"/>
  <c r="V133" i="1"/>
  <c r="U133" i="1"/>
  <c r="W133" i="1"/>
  <c r="V633" i="1"/>
  <c r="W633" i="1"/>
  <c r="U633" i="1"/>
  <c r="V505" i="1"/>
  <c r="W505" i="1"/>
  <c r="U505" i="1"/>
  <c r="W399" i="1"/>
  <c r="U399" i="1"/>
  <c r="V399" i="1"/>
  <c r="W600" i="1"/>
  <c r="V600" i="1"/>
  <c r="U600" i="1"/>
  <c r="W472" i="1"/>
  <c r="V472" i="1"/>
  <c r="U472" i="1"/>
  <c r="V389" i="1"/>
  <c r="U389" i="1"/>
  <c r="W389" i="1"/>
  <c r="V321" i="1"/>
  <c r="W321" i="1"/>
  <c r="U321" i="1"/>
  <c r="V257" i="1"/>
  <c r="W257" i="1"/>
  <c r="U257" i="1"/>
  <c r="V193" i="1"/>
  <c r="W193" i="1"/>
  <c r="U193" i="1"/>
  <c r="V161" i="1"/>
  <c r="W161" i="1"/>
  <c r="U161" i="1"/>
  <c r="W74" i="1"/>
  <c r="V74" i="1"/>
  <c r="U74" i="1"/>
  <c r="W48" i="1"/>
  <c r="V48" i="1"/>
  <c r="U48" i="1"/>
  <c r="W32" i="1"/>
  <c r="V32" i="1"/>
  <c r="U32" i="1"/>
  <c r="W16" i="1"/>
  <c r="V16" i="1"/>
  <c r="U16" i="1"/>
  <c r="W638" i="1"/>
  <c r="V638" i="1"/>
  <c r="U638" i="1"/>
  <c r="W574" i="1"/>
  <c r="V574" i="1"/>
  <c r="U574" i="1"/>
  <c r="W510" i="1"/>
  <c r="V510" i="1"/>
  <c r="U510" i="1"/>
  <c r="W446" i="1"/>
  <c r="V446" i="1"/>
  <c r="U446" i="1"/>
  <c r="V189" i="1"/>
  <c r="W189" i="1"/>
  <c r="U189" i="1"/>
  <c r="W124" i="1"/>
  <c r="V124" i="1"/>
  <c r="U124" i="1"/>
  <c r="V116" i="1"/>
  <c r="W116" i="1"/>
  <c r="U116" i="1"/>
  <c r="W108" i="1"/>
  <c r="V108" i="1"/>
  <c r="U108" i="1"/>
  <c r="V100" i="1"/>
  <c r="W100" i="1"/>
  <c r="U100" i="1"/>
  <c r="W92" i="1"/>
  <c r="V92" i="1"/>
  <c r="U92" i="1"/>
  <c r="V84" i="1"/>
  <c r="W84" i="1"/>
  <c r="U84" i="1"/>
  <c r="W76" i="1"/>
  <c r="V76" i="1"/>
  <c r="U76" i="1"/>
  <c r="W66" i="1"/>
  <c r="V66" i="1"/>
  <c r="U66" i="1"/>
  <c r="W54" i="1"/>
  <c r="V54" i="1"/>
  <c r="U54" i="1"/>
  <c r="W38" i="1"/>
  <c r="V38" i="1"/>
  <c r="U38" i="1"/>
  <c r="W22" i="1"/>
  <c r="V22" i="1"/>
  <c r="U22" i="1"/>
  <c r="W4" i="1"/>
  <c r="V4" i="1"/>
  <c r="U4" i="1"/>
  <c r="W560" i="1"/>
  <c r="U560" i="1"/>
  <c r="V560" i="1"/>
  <c r="W432" i="1"/>
  <c r="U432" i="1"/>
  <c r="V432" i="1"/>
  <c r="W611" i="1"/>
  <c r="V611" i="1"/>
  <c r="U611" i="1"/>
  <c r="W547" i="1"/>
  <c r="V547" i="1"/>
  <c r="U547" i="1"/>
  <c r="W483" i="1"/>
  <c r="V483" i="1"/>
  <c r="U483" i="1"/>
  <c r="W407" i="1"/>
  <c r="V407" i="1"/>
  <c r="U407" i="1"/>
  <c r="W323" i="1"/>
  <c r="V323" i="1"/>
  <c r="U323" i="1"/>
  <c r="W259" i="1"/>
  <c r="V259" i="1"/>
  <c r="U259" i="1"/>
  <c r="W195" i="1"/>
  <c r="V195" i="1"/>
  <c r="U195" i="1"/>
  <c r="W147" i="1"/>
  <c r="V147" i="1"/>
  <c r="U147" i="1"/>
  <c r="W616" i="1"/>
  <c r="V616" i="1"/>
  <c r="U616" i="1"/>
  <c r="W488" i="1"/>
  <c r="V488" i="1"/>
  <c r="U488" i="1"/>
  <c r="W1362" i="1"/>
  <c r="V1362" i="1"/>
  <c r="U1362" i="1"/>
  <c r="W1293" i="1"/>
  <c r="V1293" i="1"/>
  <c r="U1293" i="1"/>
  <c r="V1263" i="1"/>
  <c r="U1263" i="1"/>
  <c r="W1263" i="1"/>
  <c r="V1231" i="1"/>
  <c r="U1231" i="1"/>
  <c r="W1231" i="1"/>
  <c r="W1811" i="1"/>
  <c r="V1811" i="1"/>
  <c r="U1811" i="1"/>
  <c r="W1801" i="1"/>
  <c r="V1801" i="1"/>
  <c r="U1801" i="1"/>
  <c r="W1307" i="1"/>
  <c r="V1307" i="1"/>
  <c r="U1307" i="1"/>
  <c r="V1239" i="1"/>
  <c r="W1239" i="1"/>
  <c r="U1239" i="1"/>
  <c r="V1199" i="1"/>
  <c r="U1199" i="1"/>
  <c r="W1199" i="1"/>
  <c r="W1366" i="1"/>
  <c r="V1366" i="1"/>
  <c r="U1366" i="1"/>
  <c r="V1295" i="1"/>
  <c r="U1295" i="1"/>
  <c r="W1295" i="1"/>
  <c r="W1275" i="1"/>
  <c r="V1275" i="1"/>
  <c r="U1275" i="1"/>
  <c r="W1243" i="1"/>
  <c r="V1243" i="1"/>
  <c r="U1243" i="1"/>
  <c r="W1297" i="1"/>
  <c r="V1297" i="1"/>
  <c r="U1297" i="1"/>
  <c r="W1265" i="1"/>
  <c r="V1265" i="1"/>
  <c r="U1265" i="1"/>
  <c r="W1233" i="1"/>
  <c r="V1233" i="1"/>
  <c r="U1233" i="1"/>
  <c r="V1799" i="1"/>
  <c r="W1799" i="1"/>
  <c r="U1799" i="1"/>
  <c r="W1757" i="1"/>
  <c r="V1757" i="1"/>
  <c r="U1757" i="1"/>
  <c r="W1350" i="1"/>
  <c r="V1350" i="1"/>
  <c r="U1350" i="1"/>
  <c r="W1316" i="1"/>
  <c r="U1316" i="1"/>
  <c r="V1316" i="1"/>
  <c r="W1284" i="1"/>
  <c r="U1284" i="1"/>
  <c r="V1284" i="1"/>
  <c r="V1247" i="1"/>
  <c r="U1247" i="1"/>
  <c r="W1247" i="1"/>
  <c r="W1155" i="1"/>
  <c r="V1155" i="1"/>
  <c r="U1155" i="1"/>
  <c r="V1079" i="1"/>
  <c r="W1079" i="1"/>
  <c r="U1079" i="1"/>
  <c r="W994" i="1"/>
  <c r="V994" i="1"/>
  <c r="U994" i="1"/>
  <c r="V904" i="1"/>
  <c r="W904" i="1"/>
  <c r="U904" i="1"/>
  <c r="W866" i="1"/>
  <c r="U866" i="1"/>
  <c r="V866" i="1"/>
  <c r="V1279" i="1"/>
  <c r="U1279" i="1"/>
  <c r="W1279" i="1"/>
  <c r="V1167" i="1"/>
  <c r="U1167" i="1"/>
  <c r="W1167" i="1"/>
  <c r="W1131" i="1"/>
  <c r="V1131" i="1"/>
  <c r="U1131" i="1"/>
  <c r="W1107" i="1"/>
  <c r="V1107" i="1"/>
  <c r="U1107" i="1"/>
  <c r="W1061" i="1"/>
  <c r="V1061" i="1"/>
  <c r="U1061" i="1"/>
  <c r="W970" i="1"/>
  <c r="V970" i="1"/>
  <c r="U970" i="1"/>
  <c r="V936" i="1"/>
  <c r="W936" i="1"/>
  <c r="U936" i="1"/>
  <c r="W908" i="1"/>
  <c r="V908" i="1"/>
  <c r="U908" i="1"/>
  <c r="W846" i="1"/>
  <c r="V846" i="1"/>
  <c r="U846" i="1"/>
  <c r="W798" i="1"/>
  <c r="V798" i="1"/>
  <c r="U798" i="1"/>
  <c r="W1813" i="1"/>
  <c r="V1813" i="1"/>
  <c r="U1813" i="1"/>
  <c r="V1175" i="1"/>
  <c r="W1175" i="1"/>
  <c r="U1175" i="1"/>
  <c r="W1154" i="1"/>
  <c r="V1154" i="1"/>
  <c r="U1154" i="1"/>
  <c r="W1101" i="1"/>
  <c r="V1101" i="1"/>
  <c r="U1101" i="1"/>
  <c r="U1072" i="1"/>
  <c r="W1072" i="1"/>
  <c r="V1072" i="1"/>
  <c r="W1006" i="1"/>
  <c r="V1006" i="1"/>
  <c r="U1006" i="1"/>
  <c r="W978" i="1"/>
  <c r="V978" i="1"/>
  <c r="U978" i="1"/>
  <c r="W902" i="1"/>
  <c r="V902" i="1"/>
  <c r="U902" i="1"/>
  <c r="W874" i="1"/>
  <c r="V874" i="1"/>
  <c r="U874" i="1"/>
  <c r="W836" i="1"/>
  <c r="V836" i="1"/>
  <c r="U836" i="1"/>
  <c r="W770" i="1"/>
  <c r="V770" i="1"/>
  <c r="U770" i="1"/>
  <c r="W1765" i="1"/>
  <c r="V1765" i="1"/>
  <c r="U1765" i="1"/>
  <c r="W1165" i="1"/>
  <c r="V1165" i="1"/>
  <c r="U1165" i="1"/>
  <c r="V1103" i="1"/>
  <c r="U1103" i="1"/>
  <c r="W1103" i="1"/>
  <c r="W1065" i="1"/>
  <c r="V1065" i="1"/>
  <c r="U1065" i="1"/>
  <c r="V1000" i="1"/>
  <c r="W1000" i="1"/>
  <c r="U1000" i="1"/>
  <c r="V976" i="1"/>
  <c r="U976" i="1"/>
  <c r="W976" i="1"/>
  <c r="W942" i="1"/>
  <c r="V942" i="1"/>
  <c r="U942" i="1"/>
  <c r="W914" i="1"/>
  <c r="V914" i="1"/>
  <c r="U914" i="1"/>
  <c r="V872" i="1"/>
  <c r="W872" i="1"/>
  <c r="U872" i="1"/>
  <c r="W838" i="1"/>
  <c r="V838" i="1"/>
  <c r="U838" i="1"/>
  <c r="V800" i="1"/>
  <c r="U800" i="1"/>
  <c r="W800" i="1"/>
  <c r="W1797" i="1"/>
  <c r="V1797" i="1"/>
  <c r="U1797" i="1"/>
  <c r="W1261" i="1"/>
  <c r="V1261" i="1"/>
  <c r="U1261" i="1"/>
  <c r="W1176" i="1"/>
  <c r="V1176" i="1"/>
  <c r="U1176" i="1"/>
  <c r="W1126" i="1"/>
  <c r="V1126" i="1"/>
  <c r="U1126" i="1"/>
  <c r="W1076" i="1"/>
  <c r="U1076" i="1"/>
  <c r="V1076" i="1"/>
  <c r="W1148" i="1"/>
  <c r="V1148" i="1"/>
  <c r="U1148" i="1"/>
  <c r="W826" i="1"/>
  <c r="V826" i="1"/>
  <c r="U826" i="1"/>
  <c r="W359" i="1"/>
  <c r="V359" i="1"/>
  <c r="U359" i="1"/>
  <c r="W231" i="1"/>
  <c r="V231" i="1"/>
  <c r="U231" i="1"/>
  <c r="W1306" i="1"/>
  <c r="V1306" i="1"/>
  <c r="U1306" i="1"/>
  <c r="W1077" i="1"/>
  <c r="U1077" i="1"/>
  <c r="V1077" i="1"/>
  <c r="V776" i="1"/>
  <c r="W776" i="1"/>
  <c r="U776" i="1"/>
  <c r="V1151" i="1"/>
  <c r="U1151" i="1"/>
  <c r="W1151" i="1"/>
  <c r="W1086" i="1"/>
  <c r="V1086" i="1"/>
  <c r="U1086" i="1"/>
  <c r="V944" i="1"/>
  <c r="U944" i="1"/>
  <c r="W944" i="1"/>
  <c r="W806" i="1"/>
  <c r="V806" i="1"/>
  <c r="U806" i="1"/>
  <c r="W347" i="1"/>
  <c r="V347" i="1"/>
  <c r="U347" i="1"/>
  <c r="W315" i="1"/>
  <c r="V315" i="1"/>
  <c r="U315" i="1"/>
  <c r="W283" i="1"/>
  <c r="V283" i="1"/>
  <c r="U283" i="1"/>
  <c r="W251" i="1"/>
  <c r="V251" i="1"/>
  <c r="U251" i="1"/>
  <c r="W219" i="1"/>
  <c r="V219" i="1"/>
  <c r="U219" i="1"/>
  <c r="W182" i="1"/>
  <c r="V182" i="1"/>
  <c r="U182" i="1"/>
  <c r="W1133" i="1"/>
  <c r="V1133" i="1"/>
  <c r="U1133" i="1"/>
  <c r="W1829" i="1"/>
  <c r="V1829" i="1"/>
  <c r="U1829" i="1"/>
  <c r="W1171" i="1"/>
  <c r="V1171" i="1"/>
  <c r="U1171" i="1"/>
  <c r="W1106" i="1"/>
  <c r="V1106" i="1"/>
  <c r="U1106" i="1"/>
  <c r="W934" i="1"/>
  <c r="V934" i="1"/>
  <c r="U934" i="1"/>
  <c r="V840" i="1"/>
  <c r="W840" i="1"/>
  <c r="U840" i="1"/>
  <c r="V373" i="1"/>
  <c r="U373" i="1"/>
  <c r="W373" i="1"/>
  <c r="W331" i="1"/>
  <c r="V331" i="1"/>
  <c r="U331" i="1"/>
  <c r="V285" i="1"/>
  <c r="W285" i="1"/>
  <c r="U285" i="1"/>
  <c r="V249" i="1"/>
  <c r="W249" i="1"/>
  <c r="U249" i="1"/>
  <c r="W203" i="1"/>
  <c r="V203" i="1"/>
  <c r="U203" i="1"/>
  <c r="W996" i="1"/>
  <c r="V996" i="1"/>
  <c r="U996" i="1"/>
  <c r="W659" i="1"/>
  <c r="V659" i="1"/>
  <c r="U659" i="1"/>
  <c r="W830" i="1"/>
  <c r="V830" i="1"/>
  <c r="U830" i="1"/>
  <c r="W215" i="1"/>
  <c r="V215" i="1"/>
  <c r="U215" i="1"/>
  <c r="W1074" i="1"/>
  <c r="V1074" i="1"/>
  <c r="U1074" i="1"/>
  <c r="W247" i="1"/>
  <c r="V247" i="1"/>
  <c r="U247" i="1"/>
  <c r="W1089" i="1"/>
  <c r="V1089" i="1"/>
  <c r="U1089" i="1"/>
  <c r="V212" i="1"/>
  <c r="W212" i="1"/>
  <c r="U212" i="1"/>
  <c r="W146" i="1"/>
  <c r="V146" i="1"/>
  <c r="U146" i="1"/>
  <c r="W1819" i="1"/>
  <c r="V1819" i="1"/>
  <c r="U1819" i="1"/>
  <c r="W1096" i="1"/>
  <c r="V1096" i="1"/>
  <c r="U1096" i="1"/>
  <c r="V1783" i="1"/>
  <c r="W1783" i="1"/>
  <c r="U1783" i="1"/>
  <c r="U1152" i="1"/>
  <c r="W1152" i="1"/>
  <c r="V1152" i="1"/>
  <c r="W338" i="1"/>
  <c r="V338" i="1"/>
  <c r="U338" i="1"/>
  <c r="W1374" i="1"/>
  <c r="V1374" i="1"/>
  <c r="U1374" i="1"/>
  <c r="V657" i="1"/>
  <c r="W657" i="1"/>
  <c r="U657" i="1"/>
  <c r="W306" i="1"/>
  <c r="V306" i="1"/>
  <c r="U306" i="1"/>
  <c r="W1164" i="1"/>
  <c r="V1164" i="1"/>
  <c r="U1164" i="1"/>
  <c r="V1815" i="1"/>
  <c r="W1815" i="1"/>
  <c r="U1815" i="1"/>
  <c r="W1666" i="1"/>
  <c r="V1666" i="1"/>
  <c r="U1666" i="1"/>
  <c r="W1132" i="1"/>
  <c r="V1132" i="1"/>
  <c r="U1132" i="1"/>
  <c r="W242" i="1"/>
  <c r="V242" i="1"/>
  <c r="U242" i="1"/>
  <c r="W1070" i="1"/>
  <c r="V1070" i="1"/>
  <c r="U1070" i="1"/>
  <c r="W115" i="1"/>
  <c r="V115" i="1"/>
  <c r="U115" i="1"/>
  <c r="V645" i="1"/>
  <c r="U645" i="1"/>
  <c r="W645" i="1"/>
  <c r="W59" i="1"/>
  <c r="V59" i="1"/>
  <c r="U59" i="1"/>
  <c r="V164" i="1"/>
  <c r="U164" i="1"/>
  <c r="W164" i="1"/>
  <c r="W7" i="1"/>
  <c r="U7" i="1"/>
  <c r="V7" i="1"/>
  <c r="W1793" i="1"/>
  <c r="V1793" i="1"/>
  <c r="U1793" i="1"/>
  <c r="W31" i="1"/>
  <c r="U31" i="1"/>
  <c r="V31" i="1"/>
  <c r="W1162" i="1"/>
  <c r="V1162" i="1"/>
  <c r="U1162" i="1"/>
  <c r="W107" i="1"/>
  <c r="V107" i="1"/>
  <c r="U107" i="1"/>
  <c r="W1636" i="1"/>
  <c r="U1636" i="1"/>
  <c r="V1636" i="1"/>
  <c r="W1320" i="1"/>
  <c r="V1320" i="1"/>
  <c r="U1320" i="1"/>
  <c r="W214" i="1"/>
  <c r="V214" i="1"/>
  <c r="U214" i="1"/>
  <c r="W1897" i="1"/>
  <c r="V1897" i="1"/>
  <c r="U1897" i="1"/>
  <c r="W1909" i="1"/>
  <c r="V1909" i="1"/>
  <c r="U1909" i="1"/>
  <c r="W1883" i="1"/>
  <c r="V1883" i="1"/>
  <c r="U1883" i="1"/>
  <c r="V1975" i="1"/>
  <c r="W1975" i="1"/>
  <c r="U1975" i="1"/>
  <c r="W1885" i="1"/>
  <c r="V1885" i="1"/>
  <c r="U1885" i="1"/>
  <c r="W1564" i="1"/>
  <c r="V1564" i="1"/>
  <c r="U1564" i="1"/>
  <c r="W1577" i="1"/>
  <c r="V1577" i="1"/>
  <c r="U1577" i="1"/>
  <c r="V1679" i="1"/>
  <c r="U1679" i="1"/>
  <c r="W1679" i="1"/>
  <c r="V1599" i="1"/>
  <c r="U1599" i="1"/>
  <c r="W1599" i="1"/>
  <c r="U1344" i="1"/>
  <c r="W1344" i="1"/>
  <c r="V1344" i="1"/>
  <c r="W1653" i="1"/>
  <c r="U1653" i="1"/>
  <c r="V1653" i="1"/>
  <c r="W1049" i="1"/>
  <c r="V1049" i="1"/>
  <c r="U1049" i="1"/>
  <c r="V1015" i="1"/>
  <c r="W1015" i="1"/>
  <c r="U1015" i="1"/>
  <c r="V983" i="1"/>
  <c r="W983" i="1"/>
  <c r="U983" i="1"/>
  <c r="V951" i="1"/>
  <c r="W951" i="1"/>
  <c r="U951" i="1"/>
  <c r="V919" i="1"/>
  <c r="W919" i="1"/>
  <c r="U919" i="1"/>
  <c r="V895" i="1"/>
  <c r="U895" i="1"/>
  <c r="W895" i="1"/>
  <c r="V855" i="1"/>
  <c r="W855" i="1"/>
  <c r="U855" i="1"/>
  <c r="V831" i="1"/>
  <c r="U831" i="1"/>
  <c r="W831" i="1"/>
  <c r="V807" i="1"/>
  <c r="W807" i="1"/>
  <c r="U807" i="1"/>
  <c r="W781" i="1"/>
  <c r="V781" i="1"/>
  <c r="U781" i="1"/>
  <c r="W706" i="1"/>
  <c r="V706" i="1"/>
  <c r="U706" i="1"/>
  <c r="W801" i="1"/>
  <c r="V801" i="1"/>
  <c r="U801" i="1"/>
  <c r="W696" i="1"/>
  <c r="V696" i="1"/>
  <c r="U696" i="1"/>
  <c r="W642" i="1"/>
  <c r="V642" i="1"/>
  <c r="U642" i="1"/>
  <c r="V557" i="1"/>
  <c r="W557" i="1"/>
  <c r="U557" i="1"/>
  <c r="W471" i="1"/>
  <c r="V471" i="1"/>
  <c r="U471" i="1"/>
  <c r="W604" i="1"/>
  <c r="V604" i="1"/>
  <c r="U604" i="1"/>
  <c r="W508" i="1"/>
  <c r="V508" i="1"/>
  <c r="U508" i="1"/>
  <c r="W412" i="1"/>
  <c r="V412" i="1"/>
  <c r="U412" i="1"/>
  <c r="W402" i="1"/>
  <c r="V402" i="1"/>
  <c r="U402" i="1"/>
  <c r="V533" i="1"/>
  <c r="W533" i="1"/>
  <c r="U533" i="1"/>
  <c r="W656" i="1"/>
  <c r="U656" i="1"/>
  <c r="V656" i="1"/>
  <c r="V580" i="1"/>
  <c r="U580" i="1"/>
  <c r="W580" i="1"/>
  <c r="V452" i="1"/>
  <c r="U452" i="1"/>
  <c r="W452" i="1"/>
  <c r="W507" i="1"/>
  <c r="V507" i="1"/>
  <c r="U507" i="1"/>
  <c r="W335" i="1"/>
  <c r="U335" i="1"/>
  <c r="V335" i="1"/>
  <c r="W143" i="1"/>
  <c r="U143" i="1"/>
  <c r="V143" i="1"/>
  <c r="V293" i="1"/>
  <c r="U293" i="1"/>
  <c r="W293" i="1"/>
  <c r="W355" i="1"/>
  <c r="V355" i="1"/>
  <c r="U355" i="1"/>
  <c r="W227" i="1"/>
  <c r="V227" i="1"/>
  <c r="U227" i="1"/>
  <c r="W552" i="1"/>
  <c r="V552" i="1"/>
  <c r="U552" i="1"/>
  <c r="W1277" i="1"/>
  <c r="V1277" i="1"/>
  <c r="U1277" i="1"/>
  <c r="W1197" i="1"/>
  <c r="V1197" i="1"/>
  <c r="U1197" i="1"/>
  <c r="W1281" i="1"/>
  <c r="V1281" i="1"/>
  <c r="U1281" i="1"/>
  <c r="V1823" i="1"/>
  <c r="U1823" i="1"/>
  <c r="W1823" i="1"/>
  <c r="W1257" i="1"/>
  <c r="V1257" i="1"/>
  <c r="U1257" i="1"/>
  <c r="W1251" i="1"/>
  <c r="V1251" i="1"/>
  <c r="U1251" i="1"/>
  <c r="W1741" i="1"/>
  <c r="V1741" i="1"/>
  <c r="U1741" i="1"/>
  <c r="W1185" i="1"/>
  <c r="V1185" i="1"/>
  <c r="U1185" i="1"/>
  <c r="W1067" i="1"/>
  <c r="V1067" i="1"/>
  <c r="U1067" i="1"/>
  <c r="W804" i="1"/>
  <c r="V804" i="1"/>
  <c r="U804" i="1"/>
  <c r="V1119" i="1"/>
  <c r="U1119" i="1"/>
  <c r="W1119" i="1"/>
  <c r="V984" i="1"/>
  <c r="W984" i="1"/>
  <c r="U984" i="1"/>
  <c r="W870" i="1"/>
  <c r="V870" i="1"/>
  <c r="U870" i="1"/>
  <c r="V784" i="1"/>
  <c r="U784" i="1"/>
  <c r="W784" i="1"/>
  <c r="W1110" i="1"/>
  <c r="V1110" i="1"/>
  <c r="U1110" i="1"/>
  <c r="W1066" i="1"/>
  <c r="V1066" i="1"/>
  <c r="U1066" i="1"/>
  <c r="V888" i="1"/>
  <c r="W888" i="1"/>
  <c r="U888" i="1"/>
  <c r="W1378" i="1"/>
  <c r="V1378" i="1"/>
  <c r="U1378" i="1"/>
  <c r="W1147" i="1"/>
  <c r="V1147" i="1"/>
  <c r="U1147" i="1"/>
  <c r="W986" i="1"/>
  <c r="V986" i="1"/>
  <c r="U986" i="1"/>
  <c r="W886" i="1"/>
  <c r="V886" i="1"/>
  <c r="U886" i="1"/>
  <c r="W1190" i="1"/>
  <c r="V1190" i="1"/>
  <c r="U1190" i="1"/>
  <c r="W1108" i="1"/>
  <c r="U1108" i="1"/>
  <c r="V1108" i="1"/>
  <c r="W788" i="1"/>
  <c r="V788" i="1"/>
  <c r="U788" i="1"/>
  <c r="W1130" i="1"/>
  <c r="V1130" i="1"/>
  <c r="U1130" i="1"/>
  <c r="W1109" i="1"/>
  <c r="V1109" i="1"/>
  <c r="U1109" i="1"/>
  <c r="W910" i="1"/>
  <c r="V910" i="1"/>
  <c r="U910" i="1"/>
  <c r="V297" i="1"/>
  <c r="W297" i="1"/>
  <c r="U297" i="1"/>
  <c r="V201" i="1"/>
  <c r="W201" i="1"/>
  <c r="U201" i="1"/>
  <c r="W1192" i="1"/>
  <c r="V1192" i="1"/>
  <c r="U1192" i="1"/>
  <c r="W778" i="1"/>
  <c r="V778" i="1"/>
  <c r="U778" i="1"/>
  <c r="W267" i="1"/>
  <c r="V267" i="1"/>
  <c r="U267" i="1"/>
  <c r="V221" i="1"/>
  <c r="W221" i="1"/>
  <c r="U221" i="1"/>
  <c r="V244" i="1"/>
  <c r="W244" i="1"/>
  <c r="U244" i="1"/>
  <c r="W411" i="1"/>
  <c r="V411" i="1"/>
  <c r="U411" i="1"/>
  <c r="W178" i="1"/>
  <c r="V178" i="1"/>
  <c r="U178" i="1"/>
  <c r="V292" i="1"/>
  <c r="U292" i="1"/>
  <c r="W292" i="1"/>
  <c r="W1058" i="1"/>
  <c r="V1058" i="1"/>
  <c r="U1058" i="1"/>
  <c r="V413" i="1"/>
  <c r="W413" i="1"/>
  <c r="U413" i="1"/>
  <c r="V356" i="1"/>
  <c r="U356" i="1"/>
  <c r="W356" i="1"/>
  <c r="U1056" i="1"/>
  <c r="W1056" i="1"/>
  <c r="V1056" i="1"/>
  <c r="U1088" i="1"/>
  <c r="V1088" i="1"/>
  <c r="W1088" i="1"/>
  <c r="V324" i="1"/>
  <c r="U324" i="1"/>
  <c r="W324" i="1"/>
  <c r="W95" i="1"/>
  <c r="U95" i="1"/>
  <c r="V95" i="1"/>
  <c r="W312" i="1"/>
  <c r="V312" i="1"/>
  <c r="U312" i="1"/>
  <c r="W427" i="1"/>
  <c r="V427" i="1"/>
  <c r="U427" i="1"/>
  <c r="W1945" i="1"/>
  <c r="V1945" i="1"/>
  <c r="U1945" i="1"/>
  <c r="W1995" i="1"/>
  <c r="V1995" i="1"/>
  <c r="U1995" i="1"/>
  <c r="W1977" i="1"/>
  <c r="V1977" i="1"/>
  <c r="U1977" i="1"/>
  <c r="W1913" i="1"/>
  <c r="V1913" i="1"/>
  <c r="U1913" i="1"/>
  <c r="W1849" i="1"/>
  <c r="V1849" i="1"/>
  <c r="U1849" i="1"/>
  <c r="V1951" i="1"/>
  <c r="U1951" i="1"/>
  <c r="W1951" i="1"/>
  <c r="V1887" i="1"/>
  <c r="U1887" i="1"/>
  <c r="W1887" i="1"/>
  <c r="W1989" i="1"/>
  <c r="V1989" i="1"/>
  <c r="U1989" i="1"/>
  <c r="W1925" i="1"/>
  <c r="V1925" i="1"/>
  <c r="U1925" i="1"/>
  <c r="W1861" i="1"/>
  <c r="V1861" i="1"/>
  <c r="U1861" i="1"/>
  <c r="W1963" i="1"/>
  <c r="V1963" i="1"/>
  <c r="U1963" i="1"/>
  <c r="W1899" i="1"/>
  <c r="V1899" i="1"/>
  <c r="U1899" i="1"/>
  <c r="W1835" i="1"/>
  <c r="V1835" i="1"/>
  <c r="U1835" i="1"/>
  <c r="W1953" i="1"/>
  <c r="V1953" i="1"/>
  <c r="U1953" i="1"/>
  <c r="W1889" i="1"/>
  <c r="V1889" i="1"/>
  <c r="U1889" i="1"/>
  <c r="V1991" i="1"/>
  <c r="W1991" i="1"/>
  <c r="U1991" i="1"/>
  <c r="V1927" i="1"/>
  <c r="W1927" i="1"/>
  <c r="U1927" i="1"/>
  <c r="V1863" i="1"/>
  <c r="W1863" i="1"/>
  <c r="U1863" i="1"/>
  <c r="W1965" i="1"/>
  <c r="V1965" i="1"/>
  <c r="U1965" i="1"/>
  <c r="W1901" i="1"/>
  <c r="V1901" i="1"/>
  <c r="U1901" i="1"/>
  <c r="W1837" i="1"/>
  <c r="V1837" i="1"/>
  <c r="U1837" i="1"/>
  <c r="W1939" i="1"/>
  <c r="V1939" i="1"/>
  <c r="U1939" i="1"/>
  <c r="W1875" i="1"/>
  <c r="V1875" i="1"/>
  <c r="U1875" i="1"/>
  <c r="W1566" i="1"/>
  <c r="V1566" i="1"/>
  <c r="U1566" i="1"/>
  <c r="W1558" i="1"/>
  <c r="V1558" i="1"/>
  <c r="U1558" i="1"/>
  <c r="V1727" i="1"/>
  <c r="U1727" i="1"/>
  <c r="W1727" i="1"/>
  <c r="W1617" i="1"/>
  <c r="V1617" i="1"/>
  <c r="U1617" i="1"/>
  <c r="W1585" i="1"/>
  <c r="V1585" i="1"/>
  <c r="U1585" i="1"/>
  <c r="W1555" i="1"/>
  <c r="V1555" i="1"/>
  <c r="U1555" i="1"/>
  <c r="W1699" i="1"/>
  <c r="V1699" i="1"/>
  <c r="U1699" i="1"/>
  <c r="W1683" i="1"/>
  <c r="V1683" i="1"/>
  <c r="U1683" i="1"/>
  <c r="W1667" i="1"/>
  <c r="V1667" i="1"/>
  <c r="U1667" i="1"/>
  <c r="W1651" i="1"/>
  <c r="V1651" i="1"/>
  <c r="U1651" i="1"/>
  <c r="W1635" i="1"/>
  <c r="V1635" i="1"/>
  <c r="U1635" i="1"/>
  <c r="V1607" i="1"/>
  <c r="W1607" i="1"/>
  <c r="U1607" i="1"/>
  <c r="V1575" i="1"/>
  <c r="W1575" i="1"/>
  <c r="U1575" i="1"/>
  <c r="W1621" i="1"/>
  <c r="V1621" i="1"/>
  <c r="U1621" i="1"/>
  <c r="W1589" i="1"/>
  <c r="V1589" i="1"/>
  <c r="U1589" i="1"/>
  <c r="V1559" i="1"/>
  <c r="W1559" i="1"/>
  <c r="U1559" i="1"/>
  <c r="W1705" i="1"/>
  <c r="V1705" i="1"/>
  <c r="U1705" i="1"/>
  <c r="W1689" i="1"/>
  <c r="V1689" i="1"/>
  <c r="U1689" i="1"/>
  <c r="W1673" i="1"/>
  <c r="V1673" i="1"/>
  <c r="U1673" i="1"/>
  <c r="W1657" i="1"/>
  <c r="V1657" i="1"/>
  <c r="U1657" i="1"/>
  <c r="W1641" i="1"/>
  <c r="V1641" i="1"/>
  <c r="U1641" i="1"/>
  <c r="W1619" i="1"/>
  <c r="V1619" i="1"/>
  <c r="U1619" i="1"/>
  <c r="W1587" i="1"/>
  <c r="V1587" i="1"/>
  <c r="U1587" i="1"/>
  <c r="V1047" i="1"/>
  <c r="W1047" i="1"/>
  <c r="U1047" i="1"/>
  <c r="W1041" i="1"/>
  <c r="V1041" i="1"/>
  <c r="U1041" i="1"/>
  <c r="W1033" i="1"/>
  <c r="V1033" i="1"/>
  <c r="U1033" i="1"/>
  <c r="W1025" i="1"/>
  <c r="V1025" i="1"/>
  <c r="U1025" i="1"/>
  <c r="W1017" i="1"/>
  <c r="V1017" i="1"/>
  <c r="U1017" i="1"/>
  <c r="W1009" i="1"/>
  <c r="V1009" i="1"/>
  <c r="U1009" i="1"/>
  <c r="W1001" i="1"/>
  <c r="V1001" i="1"/>
  <c r="U1001" i="1"/>
  <c r="W993" i="1"/>
  <c r="V993" i="1"/>
  <c r="U993" i="1"/>
  <c r="W985" i="1"/>
  <c r="V985" i="1"/>
  <c r="U985" i="1"/>
  <c r="W977" i="1"/>
  <c r="V977" i="1"/>
  <c r="U977" i="1"/>
  <c r="W969" i="1"/>
  <c r="V969" i="1"/>
  <c r="U969" i="1"/>
  <c r="W961" i="1"/>
  <c r="V961" i="1"/>
  <c r="U961" i="1"/>
  <c r="W953" i="1"/>
  <c r="V953" i="1"/>
  <c r="U953" i="1"/>
  <c r="W945" i="1"/>
  <c r="V945" i="1"/>
  <c r="U945" i="1"/>
  <c r="W937" i="1"/>
  <c r="V937" i="1"/>
  <c r="U937" i="1"/>
  <c r="W929" i="1"/>
  <c r="V929" i="1"/>
  <c r="U929" i="1"/>
  <c r="W921" i="1"/>
  <c r="V921" i="1"/>
  <c r="U921" i="1"/>
  <c r="W913" i="1"/>
  <c r="V913" i="1"/>
  <c r="U913" i="1"/>
  <c r="W905" i="1"/>
  <c r="U905" i="1"/>
  <c r="V905" i="1"/>
  <c r="W897" i="1"/>
  <c r="U897" i="1"/>
  <c r="V897" i="1"/>
  <c r="W889" i="1"/>
  <c r="V889" i="1"/>
  <c r="U889" i="1"/>
  <c r="W881" i="1"/>
  <c r="V881" i="1"/>
  <c r="U881" i="1"/>
  <c r="W873" i="1"/>
  <c r="U873" i="1"/>
  <c r="V873" i="1"/>
  <c r="W865" i="1"/>
  <c r="U865" i="1"/>
  <c r="V865" i="1"/>
  <c r="W857" i="1"/>
  <c r="U857" i="1"/>
  <c r="V857" i="1"/>
  <c r="W849" i="1"/>
  <c r="U849" i="1"/>
  <c r="V849" i="1"/>
  <c r="W841" i="1"/>
  <c r="V841" i="1"/>
  <c r="U841" i="1"/>
  <c r="W833" i="1"/>
  <c r="V833" i="1"/>
  <c r="U833" i="1"/>
  <c r="W825" i="1"/>
  <c r="U825" i="1"/>
  <c r="V825" i="1"/>
  <c r="W817" i="1"/>
  <c r="U817" i="1"/>
  <c r="V817" i="1"/>
  <c r="W809" i="1"/>
  <c r="V809" i="1"/>
  <c r="U809" i="1"/>
  <c r="V799" i="1"/>
  <c r="U799" i="1"/>
  <c r="W799" i="1"/>
  <c r="W805" i="1"/>
  <c r="V805" i="1"/>
  <c r="U805" i="1"/>
  <c r="W757" i="1"/>
  <c r="U757" i="1"/>
  <c r="V757" i="1"/>
  <c r="V791" i="1"/>
  <c r="W791" i="1"/>
  <c r="U791" i="1"/>
  <c r="W797" i="1"/>
  <c r="V797" i="1"/>
  <c r="U797" i="1"/>
  <c r="W756" i="1"/>
  <c r="U756" i="1"/>
  <c r="V756" i="1"/>
  <c r="W777" i="1"/>
  <c r="U777" i="1"/>
  <c r="V777" i="1"/>
  <c r="W742" i="1"/>
  <c r="V742" i="1"/>
  <c r="U742" i="1"/>
  <c r="W726" i="1"/>
  <c r="V726" i="1"/>
  <c r="U726" i="1"/>
  <c r="W710" i="1"/>
  <c r="V710" i="1"/>
  <c r="U710" i="1"/>
  <c r="W694" i="1"/>
  <c r="V694" i="1"/>
  <c r="U694" i="1"/>
  <c r="W678" i="1"/>
  <c r="V678" i="1"/>
  <c r="U678" i="1"/>
  <c r="W662" i="1"/>
  <c r="V662" i="1"/>
  <c r="U662" i="1"/>
  <c r="W658" i="1"/>
  <c r="V658" i="1"/>
  <c r="U658" i="1"/>
  <c r="V748" i="1"/>
  <c r="W748" i="1"/>
  <c r="U748" i="1"/>
  <c r="V732" i="1"/>
  <c r="W732" i="1"/>
  <c r="U732" i="1"/>
  <c r="W716" i="1"/>
  <c r="V716" i="1"/>
  <c r="U716" i="1"/>
  <c r="W700" i="1"/>
  <c r="V700" i="1"/>
  <c r="U700" i="1"/>
  <c r="W684" i="1"/>
  <c r="V684" i="1"/>
  <c r="U684" i="1"/>
  <c r="W668" i="1"/>
  <c r="V668" i="1"/>
  <c r="U668" i="1"/>
  <c r="V644" i="1"/>
  <c r="U644" i="1"/>
  <c r="W644" i="1"/>
  <c r="W626" i="1"/>
  <c r="V626" i="1"/>
  <c r="U626" i="1"/>
  <c r="V605" i="1"/>
  <c r="W605" i="1"/>
  <c r="U605" i="1"/>
  <c r="W583" i="1"/>
  <c r="V583" i="1"/>
  <c r="U583" i="1"/>
  <c r="W562" i="1"/>
  <c r="V562" i="1"/>
  <c r="U562" i="1"/>
  <c r="V541" i="1"/>
  <c r="W541" i="1"/>
  <c r="U541" i="1"/>
  <c r="W519" i="1"/>
  <c r="V519" i="1"/>
  <c r="U519" i="1"/>
  <c r="W498" i="1"/>
  <c r="V498" i="1"/>
  <c r="U498" i="1"/>
  <c r="V477" i="1"/>
  <c r="W477" i="1"/>
  <c r="U477" i="1"/>
  <c r="W455" i="1"/>
  <c r="V455" i="1"/>
  <c r="U455" i="1"/>
  <c r="W434" i="1"/>
  <c r="V434" i="1"/>
  <c r="U434" i="1"/>
  <c r="W390" i="1"/>
  <c r="V390" i="1"/>
  <c r="U390" i="1"/>
  <c r="V641" i="1"/>
  <c r="W641" i="1"/>
  <c r="U641" i="1"/>
  <c r="V609" i="1"/>
  <c r="W609" i="1"/>
  <c r="U609" i="1"/>
  <c r="V577" i="1"/>
  <c r="W577" i="1"/>
  <c r="U577" i="1"/>
  <c r="V545" i="1"/>
  <c r="W545" i="1"/>
  <c r="U545" i="1"/>
  <c r="V513" i="1"/>
  <c r="W513" i="1"/>
  <c r="U513" i="1"/>
  <c r="V481" i="1"/>
  <c r="W481" i="1"/>
  <c r="U481" i="1"/>
  <c r="V449" i="1"/>
  <c r="W449" i="1"/>
  <c r="U449" i="1"/>
  <c r="V425" i="1"/>
  <c r="W425" i="1"/>
  <c r="U425" i="1"/>
  <c r="V393" i="1"/>
  <c r="W393" i="1"/>
  <c r="U393" i="1"/>
  <c r="W614" i="1"/>
  <c r="V614" i="1"/>
  <c r="U614" i="1"/>
  <c r="W550" i="1"/>
  <c r="V550" i="1"/>
  <c r="U550" i="1"/>
  <c r="W486" i="1"/>
  <c r="V486" i="1"/>
  <c r="U486" i="1"/>
  <c r="W418" i="1"/>
  <c r="V418" i="1"/>
  <c r="U418" i="1"/>
  <c r="W634" i="1"/>
  <c r="V634" i="1"/>
  <c r="U634" i="1"/>
  <c r="W602" i="1"/>
  <c r="V602" i="1"/>
  <c r="U602" i="1"/>
  <c r="W570" i="1"/>
  <c r="V570" i="1"/>
  <c r="U570" i="1"/>
  <c r="W538" i="1"/>
  <c r="V538" i="1"/>
  <c r="U538" i="1"/>
  <c r="W506" i="1"/>
  <c r="V506" i="1"/>
  <c r="U506" i="1"/>
  <c r="W474" i="1"/>
  <c r="V474" i="1"/>
  <c r="U474" i="1"/>
  <c r="W442" i="1"/>
  <c r="V442" i="1"/>
  <c r="U442" i="1"/>
  <c r="W382" i="1"/>
  <c r="V382" i="1"/>
  <c r="U382" i="1"/>
  <c r="W623" i="1"/>
  <c r="U623" i="1"/>
  <c r="V623" i="1"/>
  <c r="W591" i="1"/>
  <c r="U591" i="1"/>
  <c r="V591" i="1"/>
  <c r="W559" i="1"/>
  <c r="U559" i="1"/>
  <c r="V559" i="1"/>
  <c r="W527" i="1"/>
  <c r="U527" i="1"/>
  <c r="V527" i="1"/>
  <c r="W495" i="1"/>
  <c r="U495" i="1"/>
  <c r="V495" i="1"/>
  <c r="W463" i="1"/>
  <c r="U463" i="1"/>
  <c r="V463" i="1"/>
  <c r="W431" i="1"/>
  <c r="U431" i="1"/>
  <c r="V431" i="1"/>
  <c r="V372" i="1"/>
  <c r="W372" i="1"/>
  <c r="U372" i="1"/>
  <c r="W590" i="1"/>
  <c r="V590" i="1"/>
  <c r="U590" i="1"/>
  <c r="W526" i="1"/>
  <c r="V526" i="1"/>
  <c r="U526" i="1"/>
  <c r="W462" i="1"/>
  <c r="V462" i="1"/>
  <c r="U462" i="1"/>
  <c r="V401" i="1"/>
  <c r="W401" i="1"/>
  <c r="U401" i="1"/>
  <c r="W351" i="1"/>
  <c r="U351" i="1"/>
  <c r="V351" i="1"/>
  <c r="W287" i="1"/>
  <c r="U287" i="1"/>
  <c r="V287" i="1"/>
  <c r="W223" i="1"/>
  <c r="U223" i="1"/>
  <c r="V223" i="1"/>
  <c r="W159" i="1"/>
  <c r="U159" i="1"/>
  <c r="V159" i="1"/>
  <c r="W627" i="1"/>
  <c r="V627" i="1"/>
  <c r="U627" i="1"/>
  <c r="W563" i="1"/>
  <c r="V563" i="1"/>
  <c r="U563" i="1"/>
  <c r="W499" i="1"/>
  <c r="V499" i="1"/>
  <c r="U499" i="1"/>
  <c r="W435" i="1"/>
  <c r="V435" i="1"/>
  <c r="U435" i="1"/>
  <c r="W375" i="1"/>
  <c r="V375" i="1"/>
  <c r="U375" i="1"/>
  <c r="V309" i="1"/>
  <c r="W309" i="1"/>
  <c r="U309" i="1"/>
  <c r="V245" i="1"/>
  <c r="W245" i="1"/>
  <c r="U245" i="1"/>
  <c r="W187" i="1"/>
  <c r="V187" i="1"/>
  <c r="U187" i="1"/>
  <c r="W155" i="1"/>
  <c r="V155" i="1"/>
  <c r="U155" i="1"/>
  <c r="W416" i="1"/>
  <c r="U416" i="1"/>
  <c r="V416" i="1"/>
  <c r="V601" i="1"/>
  <c r="W601" i="1"/>
  <c r="U601" i="1"/>
  <c r="V473" i="1"/>
  <c r="W473" i="1"/>
  <c r="U473" i="1"/>
  <c r="V385" i="1"/>
  <c r="W385" i="1"/>
  <c r="U385" i="1"/>
  <c r="W568" i="1"/>
  <c r="V568" i="1"/>
  <c r="U568" i="1"/>
  <c r="W440" i="1"/>
  <c r="V440" i="1"/>
  <c r="U440" i="1"/>
  <c r="W384" i="1"/>
  <c r="U384" i="1"/>
  <c r="V384" i="1"/>
  <c r="V305" i="1"/>
  <c r="W305" i="1"/>
  <c r="U305" i="1"/>
  <c r="V241" i="1"/>
  <c r="W241" i="1"/>
  <c r="U241" i="1"/>
  <c r="W183" i="1"/>
  <c r="V183" i="1"/>
  <c r="U183" i="1"/>
  <c r="W151" i="1"/>
  <c r="V151" i="1"/>
  <c r="U151" i="1"/>
  <c r="W62" i="1"/>
  <c r="V62" i="1"/>
  <c r="U62" i="1"/>
  <c r="W44" i="1"/>
  <c r="V44" i="1"/>
  <c r="U44" i="1"/>
  <c r="W28" i="1"/>
  <c r="V28" i="1"/>
  <c r="U28" i="1"/>
  <c r="W12" i="1"/>
  <c r="V12" i="1"/>
  <c r="U12" i="1"/>
  <c r="W619" i="1"/>
  <c r="V619" i="1"/>
  <c r="U619" i="1"/>
  <c r="W555" i="1"/>
  <c r="V555" i="1"/>
  <c r="U555" i="1"/>
  <c r="W491" i="1"/>
  <c r="V491" i="1"/>
  <c r="U491" i="1"/>
  <c r="W408" i="1"/>
  <c r="V408" i="1"/>
  <c r="U408" i="1"/>
  <c r="V157" i="1"/>
  <c r="W157" i="1"/>
  <c r="U157" i="1"/>
  <c r="W122" i="1"/>
  <c r="V122" i="1"/>
  <c r="U122" i="1"/>
  <c r="W114" i="1"/>
  <c r="V114" i="1"/>
  <c r="U114" i="1"/>
  <c r="W106" i="1"/>
  <c r="V106" i="1"/>
  <c r="U106" i="1"/>
  <c r="W98" i="1"/>
  <c r="V98" i="1"/>
  <c r="U98" i="1"/>
  <c r="W90" i="1"/>
  <c r="V90" i="1"/>
  <c r="U90" i="1"/>
  <c r="W82" i="1"/>
  <c r="V82" i="1"/>
  <c r="U82" i="1"/>
  <c r="W72" i="1"/>
  <c r="V72" i="1"/>
  <c r="U72" i="1"/>
  <c r="W64" i="1"/>
  <c r="U64" i="1"/>
  <c r="V64" i="1"/>
  <c r="W50" i="1"/>
  <c r="V50" i="1"/>
  <c r="U50" i="1"/>
  <c r="W34" i="1"/>
  <c r="V34" i="1"/>
  <c r="U34" i="1"/>
  <c r="W18" i="1"/>
  <c r="V18" i="1"/>
  <c r="U18" i="1"/>
  <c r="V137" i="1"/>
  <c r="W137" i="1"/>
  <c r="U137" i="1"/>
  <c r="W528" i="1"/>
  <c r="U528" i="1"/>
  <c r="V528" i="1"/>
  <c r="W378" i="1"/>
  <c r="V378" i="1"/>
  <c r="U378" i="1"/>
  <c r="V585" i="1"/>
  <c r="W585" i="1"/>
  <c r="U585" i="1"/>
  <c r="V521" i="1"/>
  <c r="W521" i="1"/>
  <c r="U521" i="1"/>
  <c r="V457" i="1"/>
  <c r="W457" i="1"/>
  <c r="U457" i="1"/>
  <c r="W392" i="1"/>
  <c r="V392" i="1"/>
  <c r="U392" i="1"/>
  <c r="W307" i="1"/>
  <c r="V307" i="1"/>
  <c r="U307" i="1"/>
  <c r="W243" i="1"/>
  <c r="V243" i="1"/>
  <c r="U243" i="1"/>
  <c r="V185" i="1"/>
  <c r="W185" i="1"/>
  <c r="U185" i="1"/>
  <c r="W134" i="1"/>
  <c r="V134" i="1"/>
  <c r="U134" i="1"/>
  <c r="W584" i="1"/>
  <c r="V584" i="1"/>
  <c r="U584" i="1"/>
  <c r="W456" i="1"/>
  <c r="V456" i="1"/>
  <c r="U456" i="1"/>
  <c r="V1319" i="1"/>
  <c r="W1319" i="1"/>
  <c r="U1319" i="1"/>
  <c r="V1287" i="1"/>
  <c r="W1287" i="1"/>
  <c r="U1287" i="1"/>
  <c r="W1259" i="1"/>
  <c r="V1259" i="1"/>
  <c r="U1259" i="1"/>
  <c r="W1227" i="1"/>
  <c r="V1227" i="1"/>
  <c r="U1227" i="1"/>
  <c r="W2002" i="1"/>
  <c r="V2002" i="1"/>
  <c r="U2002" i="1"/>
  <c r="W1785" i="1"/>
  <c r="V1785" i="1"/>
  <c r="U1785" i="1"/>
  <c r="W1301" i="1"/>
  <c r="U1301" i="1"/>
  <c r="V1301" i="1"/>
  <c r="W1235" i="1"/>
  <c r="V1235" i="1"/>
  <c r="U1235" i="1"/>
  <c r="W1193" i="1"/>
  <c r="V1193" i="1"/>
  <c r="U1193" i="1"/>
  <c r="W1321" i="1"/>
  <c r="V1321" i="1"/>
  <c r="U1321" i="1"/>
  <c r="W1289" i="1"/>
  <c r="V1289" i="1"/>
  <c r="U1289" i="1"/>
  <c r="V1271" i="1"/>
  <c r="W1271" i="1"/>
  <c r="U1271" i="1"/>
  <c r="W1225" i="1"/>
  <c r="V1225" i="1"/>
  <c r="U1225" i="1"/>
  <c r="W1291" i="1"/>
  <c r="V1291" i="1"/>
  <c r="U1291" i="1"/>
  <c r="V1255" i="1"/>
  <c r="W1255" i="1"/>
  <c r="U1255" i="1"/>
  <c r="W1219" i="1"/>
  <c r="V1219" i="1"/>
  <c r="U1219" i="1"/>
  <c r="W1789" i="1"/>
  <c r="V1789" i="1"/>
  <c r="U1789" i="1"/>
  <c r="V1751" i="1"/>
  <c r="W1751" i="1"/>
  <c r="U1751" i="1"/>
  <c r="W1334" i="1"/>
  <c r="V1334" i="1"/>
  <c r="U1334" i="1"/>
  <c r="W1302" i="1"/>
  <c r="V1302" i="1"/>
  <c r="U1302" i="1"/>
  <c r="V1223" i="1"/>
  <c r="W1223" i="1"/>
  <c r="U1223" i="1"/>
  <c r="W1201" i="1"/>
  <c r="V1201" i="1"/>
  <c r="U1201" i="1"/>
  <c r="V1111" i="1"/>
  <c r="W1111" i="1"/>
  <c r="U1111" i="1"/>
  <c r="W1073" i="1"/>
  <c r="V1073" i="1"/>
  <c r="U1073" i="1"/>
  <c r="W956" i="1"/>
  <c r="V956" i="1"/>
  <c r="U956" i="1"/>
  <c r="W894" i="1"/>
  <c r="V894" i="1"/>
  <c r="U894" i="1"/>
  <c r="W828" i="1"/>
  <c r="V828" i="1"/>
  <c r="U828" i="1"/>
  <c r="W1189" i="1"/>
  <c r="V1189" i="1"/>
  <c r="U1189" i="1"/>
  <c r="W1161" i="1"/>
  <c r="V1161" i="1"/>
  <c r="U1161" i="1"/>
  <c r="W1125" i="1"/>
  <c r="V1125" i="1"/>
  <c r="U1125" i="1"/>
  <c r="W1093" i="1"/>
  <c r="V1093" i="1"/>
  <c r="U1093" i="1"/>
  <c r="W998" i="1"/>
  <c r="V998" i="1"/>
  <c r="U998" i="1"/>
  <c r="V960" i="1"/>
  <c r="U960" i="1"/>
  <c r="W960" i="1"/>
  <c r="W926" i="1"/>
  <c r="V926" i="1"/>
  <c r="U926" i="1"/>
  <c r="W884" i="1"/>
  <c r="V884" i="1"/>
  <c r="U884" i="1"/>
  <c r="W842" i="1"/>
  <c r="V842" i="1"/>
  <c r="U842" i="1"/>
  <c r="W794" i="1"/>
  <c r="V794" i="1"/>
  <c r="U794" i="1"/>
  <c r="W1332" i="1"/>
  <c r="U1332" i="1"/>
  <c r="V1332" i="1"/>
  <c r="W1172" i="1"/>
  <c r="U1172" i="1"/>
  <c r="V1172" i="1"/>
  <c r="W1139" i="1"/>
  <c r="V1139" i="1"/>
  <c r="U1139" i="1"/>
  <c r="W1098" i="1"/>
  <c r="V1098" i="1"/>
  <c r="U1098" i="1"/>
  <c r="W1069" i="1"/>
  <c r="V1069" i="1"/>
  <c r="U1069" i="1"/>
  <c r="W1002" i="1"/>
  <c r="V1002" i="1"/>
  <c r="U1002" i="1"/>
  <c r="W964" i="1"/>
  <c r="V964" i="1"/>
  <c r="U964" i="1"/>
  <c r="W898" i="1"/>
  <c r="U898" i="1"/>
  <c r="V898" i="1"/>
  <c r="V864" i="1"/>
  <c r="U864" i="1"/>
  <c r="W864" i="1"/>
  <c r="W822" i="1"/>
  <c r="V822" i="1"/>
  <c r="U822" i="1"/>
  <c r="W1749" i="1"/>
  <c r="V1749" i="1"/>
  <c r="U1749" i="1"/>
  <c r="W1300" i="1"/>
  <c r="U1300" i="1"/>
  <c r="V1300" i="1"/>
  <c r="W1153" i="1"/>
  <c r="V1153" i="1"/>
  <c r="U1153" i="1"/>
  <c r="W1097" i="1"/>
  <c r="V1097" i="1"/>
  <c r="U1097" i="1"/>
  <c r="W1059" i="1"/>
  <c r="V1059" i="1"/>
  <c r="U1059" i="1"/>
  <c r="W990" i="1"/>
  <c r="V990" i="1"/>
  <c r="U990" i="1"/>
  <c r="W966" i="1"/>
  <c r="V966" i="1"/>
  <c r="U966" i="1"/>
  <c r="W938" i="1"/>
  <c r="V938" i="1"/>
  <c r="U938" i="1"/>
  <c r="W900" i="1"/>
  <c r="V900" i="1"/>
  <c r="U900" i="1"/>
  <c r="W862" i="1"/>
  <c r="V862" i="1"/>
  <c r="U862" i="1"/>
  <c r="W834" i="1"/>
  <c r="U834" i="1"/>
  <c r="V834" i="1"/>
  <c r="W796" i="1"/>
  <c r="V796" i="1"/>
  <c r="U796" i="1"/>
  <c r="W1787" i="1"/>
  <c r="V1787" i="1"/>
  <c r="U1787" i="1"/>
  <c r="W1195" i="1"/>
  <c r="V1195" i="1"/>
  <c r="U1195" i="1"/>
  <c r="W1170" i="1"/>
  <c r="V1170" i="1"/>
  <c r="U1170" i="1"/>
  <c r="W1117" i="1"/>
  <c r="V1117" i="1"/>
  <c r="U1117" i="1"/>
  <c r="W852" i="1"/>
  <c r="V852" i="1"/>
  <c r="U852" i="1"/>
  <c r="W1092" i="1"/>
  <c r="U1092" i="1"/>
  <c r="V1092" i="1"/>
  <c r="W820" i="1"/>
  <c r="V820" i="1"/>
  <c r="U820" i="1"/>
  <c r="W327" i="1"/>
  <c r="V327" i="1"/>
  <c r="U327" i="1"/>
  <c r="W199" i="1"/>
  <c r="V199" i="1"/>
  <c r="U199" i="1"/>
  <c r="W1180" i="1"/>
  <c r="V1180" i="1"/>
  <c r="U1180" i="1"/>
  <c r="W1054" i="1"/>
  <c r="V1054" i="1"/>
  <c r="U1054" i="1"/>
  <c r="W1346" i="1"/>
  <c r="V1346" i="1"/>
  <c r="U1346" i="1"/>
  <c r="W1124" i="1"/>
  <c r="U1124" i="1"/>
  <c r="V1124" i="1"/>
  <c r="W1057" i="1"/>
  <c r="V1057" i="1"/>
  <c r="U1057" i="1"/>
  <c r="W930" i="1"/>
  <c r="V930" i="1"/>
  <c r="U930" i="1"/>
  <c r="V365" i="1"/>
  <c r="W365" i="1"/>
  <c r="U365" i="1"/>
  <c r="V333" i="1"/>
  <c r="W333" i="1"/>
  <c r="U333" i="1"/>
  <c r="V301" i="1"/>
  <c r="W301" i="1"/>
  <c r="U301" i="1"/>
  <c r="V269" i="1"/>
  <c r="W269" i="1"/>
  <c r="U269" i="1"/>
  <c r="V237" i="1"/>
  <c r="W237" i="1"/>
  <c r="U237" i="1"/>
  <c r="V205" i="1"/>
  <c r="W205" i="1"/>
  <c r="U205" i="1"/>
  <c r="W166" i="1"/>
  <c r="V166" i="1"/>
  <c r="U166" i="1"/>
  <c r="W1048" i="1"/>
  <c r="V1048" i="1"/>
  <c r="U1048" i="1"/>
  <c r="W1198" i="1"/>
  <c r="V1198" i="1"/>
  <c r="U1198" i="1"/>
  <c r="U1136" i="1"/>
  <c r="W1136" i="1"/>
  <c r="V1136" i="1"/>
  <c r="W1010" i="1"/>
  <c r="V1010" i="1"/>
  <c r="U1010" i="1"/>
  <c r="V920" i="1"/>
  <c r="W920" i="1"/>
  <c r="U920" i="1"/>
  <c r="W790" i="1"/>
  <c r="V790" i="1"/>
  <c r="U790" i="1"/>
  <c r="W363" i="1"/>
  <c r="V363" i="1"/>
  <c r="U363" i="1"/>
  <c r="V317" i="1"/>
  <c r="W317" i="1"/>
  <c r="U317" i="1"/>
  <c r="V281" i="1"/>
  <c r="W281" i="1"/>
  <c r="U281" i="1"/>
  <c r="W235" i="1"/>
  <c r="V235" i="1"/>
  <c r="U235" i="1"/>
  <c r="W128" i="1"/>
  <c r="U128" i="1"/>
  <c r="V128" i="1"/>
  <c r="W802" i="1"/>
  <c r="U802" i="1"/>
  <c r="V802" i="1"/>
  <c r="W354" i="1"/>
  <c r="V354" i="1"/>
  <c r="U354" i="1"/>
  <c r="V816" i="1"/>
  <c r="U816" i="1"/>
  <c r="W816" i="1"/>
  <c r="W1118" i="1"/>
  <c r="V1118" i="1"/>
  <c r="U1118" i="1"/>
  <c r="U768" i="1"/>
  <c r="W768" i="1"/>
  <c r="V768" i="1"/>
  <c r="W279" i="1"/>
  <c r="V279" i="1"/>
  <c r="U279" i="1"/>
  <c r="V792" i="1"/>
  <c r="W792" i="1"/>
  <c r="U792" i="1"/>
  <c r="W194" i="1"/>
  <c r="V194" i="1"/>
  <c r="U194" i="1"/>
  <c r="W1145" i="1"/>
  <c r="V1145" i="1"/>
  <c r="U1145" i="1"/>
  <c r="V1807" i="1"/>
  <c r="U1807" i="1"/>
  <c r="W1807" i="1"/>
  <c r="W1064" i="1"/>
  <c r="V1064" i="1"/>
  <c r="U1064" i="1"/>
  <c r="W1700" i="1"/>
  <c r="U1700" i="1"/>
  <c r="V1700" i="1"/>
  <c r="W1100" i="1"/>
  <c r="V1100" i="1"/>
  <c r="U1100" i="1"/>
  <c r="V260" i="1"/>
  <c r="U260" i="1"/>
  <c r="W260" i="1"/>
  <c r="W1304" i="1"/>
  <c r="V1304" i="1"/>
  <c r="U1304" i="1"/>
  <c r="W419" i="1"/>
  <c r="V419" i="1"/>
  <c r="U419" i="1"/>
  <c r="W264" i="1"/>
  <c r="V264" i="1"/>
  <c r="U264" i="1"/>
  <c r="W1146" i="1"/>
  <c r="V1146" i="1"/>
  <c r="U1146" i="1"/>
  <c r="W1803" i="1"/>
  <c r="V1803" i="1"/>
  <c r="U1803" i="1"/>
  <c r="W1662" i="1"/>
  <c r="V1662" i="1"/>
  <c r="U1662" i="1"/>
  <c r="W1102" i="1"/>
  <c r="V1102" i="1"/>
  <c r="U1102" i="1"/>
  <c r="W216" i="1"/>
  <c r="V216" i="1"/>
  <c r="U216" i="1"/>
  <c r="W1174" i="1"/>
  <c r="V1174" i="1"/>
  <c r="U1174" i="1"/>
  <c r="W344" i="1"/>
  <c r="V344" i="1"/>
  <c r="U344" i="1"/>
  <c r="W371" i="1"/>
  <c r="V371" i="1"/>
  <c r="U371" i="1"/>
  <c r="V27" i="1"/>
  <c r="U27" i="1"/>
  <c r="W27" i="1"/>
  <c r="W103" i="1"/>
  <c r="U103" i="1"/>
  <c r="V103" i="1"/>
  <c r="V1791" i="1"/>
  <c r="U1791" i="1"/>
  <c r="W1791" i="1"/>
  <c r="W1708" i="1"/>
  <c r="V1708" i="1"/>
  <c r="U1708" i="1"/>
  <c r="W1358" i="1"/>
  <c r="V1358" i="1"/>
  <c r="U1358" i="1"/>
  <c r="W1144" i="1"/>
  <c r="V1144" i="1"/>
  <c r="U1144" i="1"/>
  <c r="W75" i="1"/>
  <c r="V75" i="1"/>
  <c r="U75" i="1"/>
  <c r="W210" i="1"/>
  <c r="V210" i="1"/>
  <c r="U210" i="1"/>
  <c r="W1314" i="1"/>
  <c r="V1314" i="1"/>
  <c r="U1314" i="1"/>
  <c r="T1849" i="1"/>
  <c r="T1861" i="1"/>
  <c r="T1953" i="1"/>
  <c r="T1965" i="1"/>
  <c r="T1875" i="1"/>
  <c r="T1585" i="1"/>
  <c r="T1667" i="1"/>
  <c r="T1575" i="1"/>
  <c r="T1689" i="1"/>
  <c r="T1587" i="1"/>
  <c r="T985" i="1"/>
  <c r="T732" i="1"/>
  <c r="T1929" i="1"/>
  <c r="T1967" i="1"/>
  <c r="T1839" i="1"/>
  <c r="T1877" i="1"/>
  <c r="T1915" i="1"/>
  <c r="T1969" i="1"/>
  <c r="T1943" i="1"/>
  <c r="T1879" i="1"/>
  <c r="T1853" i="1"/>
  <c r="T1955" i="1"/>
  <c r="T1568" i="1"/>
  <c r="T1725" i="1"/>
  <c r="T1593" i="1"/>
  <c r="T1687" i="1"/>
  <c r="T1671" i="1"/>
  <c r="T1639" i="1"/>
  <c r="T1583" i="1"/>
  <c r="T1597" i="1"/>
  <c r="T1709" i="1"/>
  <c r="T1677" i="1"/>
  <c r="T1645" i="1"/>
  <c r="T1595" i="1"/>
  <c r="T1043" i="1"/>
  <c r="T1027" i="1"/>
  <c r="T1011" i="1"/>
  <c r="T995" i="1"/>
  <c r="T979" i="1"/>
  <c r="T963" i="1"/>
  <c r="T947" i="1"/>
  <c r="T931" i="1"/>
  <c r="T907" i="1"/>
  <c r="T891" i="1"/>
  <c r="T875" i="1"/>
  <c r="T859" i="1"/>
  <c r="T843" i="1"/>
  <c r="T827" i="1"/>
  <c r="T811" i="1"/>
  <c r="T760" i="1"/>
  <c r="T754" i="1"/>
  <c r="T771" i="1"/>
  <c r="T730" i="1"/>
  <c r="T682" i="1"/>
  <c r="T666" i="1"/>
  <c r="T752" i="1"/>
  <c r="T720" i="1"/>
  <c r="T688" i="1"/>
  <c r="T654" i="1"/>
  <c r="T610" i="1"/>
  <c r="T546" i="1"/>
  <c r="T503" i="1"/>
  <c r="T461" i="1"/>
  <c r="T406" i="1"/>
  <c r="T620" i="1"/>
  <c r="T556" i="1"/>
  <c r="T492" i="1"/>
  <c r="T428" i="1"/>
  <c r="T630" i="1"/>
  <c r="T502" i="1"/>
  <c r="T370" i="1"/>
  <c r="T581" i="1"/>
  <c r="T517" i="1"/>
  <c r="T453" i="1"/>
  <c r="T628" i="1"/>
  <c r="T564" i="1"/>
  <c r="T500" i="1"/>
  <c r="T436" i="1"/>
  <c r="T603" i="1"/>
  <c r="T415" i="1"/>
  <c r="T303" i="1"/>
  <c r="T175" i="1"/>
  <c r="T576" i="1"/>
  <c r="T448" i="1"/>
  <c r="T325" i="1"/>
  <c r="T197" i="1"/>
  <c r="T133" i="1"/>
  <c r="T505" i="1"/>
  <c r="T600" i="1"/>
  <c r="T389" i="1"/>
  <c r="T257" i="1"/>
  <c r="T161" i="1"/>
  <c r="T48" i="1"/>
  <c r="T16" i="1"/>
  <c r="T574" i="1"/>
  <c r="T446" i="1"/>
  <c r="T124" i="1"/>
  <c r="T108" i="1"/>
  <c r="T92" i="1"/>
  <c r="T66" i="1"/>
  <c r="T38" i="1"/>
  <c r="T22" i="1"/>
  <c r="T560" i="1"/>
  <c r="T611" i="1"/>
  <c r="T483" i="1"/>
  <c r="T323" i="1"/>
  <c r="T195" i="1"/>
  <c r="T616" i="1"/>
  <c r="T1362" i="1"/>
  <c r="T1263" i="1"/>
  <c r="T1801" i="1"/>
  <c r="T1307" i="1"/>
  <c r="T1199" i="1"/>
  <c r="T1295" i="1"/>
  <c r="T1243" i="1"/>
  <c r="T1265" i="1"/>
  <c r="T1799" i="1"/>
  <c r="T1350" i="1"/>
  <c r="T1284" i="1"/>
  <c r="T1155" i="1"/>
  <c r="T994" i="1"/>
  <c r="T866" i="1"/>
  <c r="T1167" i="1"/>
  <c r="T1107" i="1"/>
  <c r="T970" i="1"/>
  <c r="T908" i="1"/>
  <c r="T798" i="1"/>
  <c r="T1175" i="1"/>
  <c r="T1101" i="1"/>
  <c r="T1006" i="1"/>
  <c r="T902" i="1"/>
  <c r="T836" i="1"/>
  <c r="T1765" i="1"/>
  <c r="T1103" i="1"/>
  <c r="T1000" i="1"/>
  <c r="T942" i="1"/>
  <c r="T872" i="1"/>
  <c r="T800" i="1"/>
  <c r="T1261" i="1"/>
  <c r="T1126" i="1"/>
  <c r="T1148" i="1"/>
  <c r="T359" i="1"/>
  <c r="T1306" i="1"/>
  <c r="T1077" i="1"/>
  <c r="T1086" i="1"/>
  <c r="T806" i="1"/>
  <c r="T315" i="1"/>
  <c r="T283" i="1"/>
  <c r="T219" i="1"/>
  <c r="T1133" i="1"/>
  <c r="T1106" i="1"/>
  <c r="T840" i="1"/>
  <c r="T331" i="1"/>
  <c r="T249" i="1"/>
  <c r="T996" i="1"/>
  <c r="T830" i="1"/>
  <c r="T1074" i="1"/>
  <c r="T1089" i="1"/>
  <c r="T146" i="1"/>
  <c r="T1096" i="1"/>
  <c r="T1152" i="1"/>
  <c r="T1374" i="1"/>
  <c r="T657" i="1"/>
  <c r="T1815" i="1"/>
  <c r="T1132" i="1"/>
  <c r="T242" i="1"/>
  <c r="T115" i="1"/>
  <c r="T59" i="1"/>
  <c r="T7" i="1"/>
  <c r="T1162" i="1"/>
  <c r="T1636" i="1"/>
  <c r="T214" i="1"/>
  <c r="T1977" i="1"/>
  <c r="T1951" i="1"/>
  <c r="T1989" i="1"/>
  <c r="T1963" i="1"/>
  <c r="T1835" i="1"/>
  <c r="T1991" i="1"/>
  <c r="T1863" i="1"/>
  <c r="T1837" i="1"/>
  <c r="T1566" i="1"/>
  <c r="T1727" i="1"/>
  <c r="T1555" i="1"/>
  <c r="T1683" i="1"/>
  <c r="T1635" i="1"/>
  <c r="T1621" i="1"/>
  <c r="T1559" i="1"/>
  <c r="T1673" i="1"/>
  <c r="T1641" i="1"/>
  <c r="T1047" i="1"/>
  <c r="T1033" i="1"/>
  <c r="T1017" i="1"/>
  <c r="T1001" i="1"/>
  <c r="T977" i="1"/>
  <c r="T961" i="1"/>
  <c r="T945" i="1"/>
  <c r="T929" i="1"/>
  <c r="T913" i="1"/>
  <c r="T897" i="1"/>
  <c r="T881" i="1"/>
  <c r="T865" i="1"/>
  <c r="T849" i="1"/>
  <c r="T833" i="1"/>
  <c r="T817" i="1"/>
  <c r="T799" i="1"/>
  <c r="T757" i="1"/>
  <c r="T797" i="1"/>
  <c r="T777" i="1"/>
  <c r="T726" i="1"/>
  <c r="T694" i="1"/>
  <c r="T678" i="1"/>
  <c r="T658" i="1"/>
  <c r="T700" i="1"/>
  <c r="T545" i="1"/>
  <c r="T481" i="1"/>
  <c r="T425" i="1"/>
  <c r="T550" i="1"/>
  <c r="T418" i="1"/>
  <c r="T602" i="1"/>
  <c r="T538" i="1"/>
  <c r="T474" i="1"/>
  <c r="T442" i="1"/>
  <c r="T623" i="1"/>
  <c r="T559" i="1"/>
  <c r="T495" i="1"/>
  <c r="T431" i="1"/>
  <c r="T590" i="1"/>
  <c r="T401" i="1"/>
  <c r="T351" i="1"/>
  <c r="T223" i="1"/>
  <c r="T627" i="1"/>
  <c r="T435" i="1"/>
  <c r="T309" i="1"/>
  <c r="T245" i="1"/>
  <c r="T416" i="1"/>
  <c r="T473" i="1"/>
  <c r="T385" i="1"/>
  <c r="T384" i="1"/>
  <c r="T241" i="1"/>
  <c r="T151" i="1"/>
  <c r="T44" i="1"/>
  <c r="T12" i="1"/>
  <c r="T555" i="1"/>
  <c r="T408" i="1"/>
  <c r="T122" i="1"/>
  <c r="T106" i="1"/>
  <c r="T90" i="1"/>
  <c r="T64" i="1"/>
  <c r="T34" i="1"/>
  <c r="T137" i="1"/>
  <c r="T528" i="1"/>
  <c r="T585" i="1"/>
  <c r="T457" i="1"/>
  <c r="T307" i="1"/>
  <c r="T185" i="1"/>
  <c r="T584" i="1"/>
  <c r="T1319" i="1"/>
  <c r="T1259" i="1"/>
  <c r="T2002" i="1"/>
  <c r="T1301" i="1"/>
  <c r="T1193" i="1"/>
  <c r="T1321" i="1"/>
  <c r="T1225" i="1"/>
  <c r="T1255" i="1"/>
  <c r="T1789" i="1"/>
  <c r="T1334" i="1"/>
  <c r="T1223" i="1"/>
  <c r="T1073" i="1"/>
  <c r="T894" i="1"/>
  <c r="T1189" i="1"/>
  <c r="T1125" i="1"/>
  <c r="T998" i="1"/>
  <c r="T926" i="1"/>
  <c r="T842" i="1"/>
  <c r="T1332" i="1"/>
  <c r="T1139" i="1"/>
  <c r="T1002" i="1"/>
  <c r="T898" i="1"/>
  <c r="T822" i="1"/>
  <c r="T1300" i="1"/>
  <c r="T1097" i="1"/>
  <c r="T990" i="1"/>
  <c r="T938" i="1"/>
  <c r="T862" i="1"/>
  <c r="T796" i="1"/>
  <c r="T1195" i="1"/>
  <c r="T1117" i="1"/>
  <c r="T1092" i="1"/>
  <c r="T820" i="1"/>
  <c r="T1180" i="1"/>
  <c r="T1346" i="1"/>
  <c r="T1057" i="1"/>
  <c r="T365" i="1"/>
  <c r="T301" i="1"/>
  <c r="T269" i="1"/>
  <c r="T205" i="1"/>
  <c r="T1048" i="1"/>
  <c r="T1136" i="1"/>
  <c r="T920" i="1"/>
  <c r="T363" i="1"/>
  <c r="T281" i="1"/>
  <c r="T128" i="1"/>
  <c r="T354" i="1"/>
  <c r="T1118" i="1"/>
  <c r="T279" i="1"/>
  <c r="T194" i="1"/>
  <c r="T1807" i="1"/>
  <c r="T1700" i="1"/>
  <c r="T260" i="1"/>
  <c r="T419" i="1"/>
  <c r="T1146" i="1"/>
  <c r="T1102" i="1"/>
  <c r="T216" i="1"/>
  <c r="T344" i="1"/>
  <c r="T27" i="1"/>
  <c r="T1791" i="1"/>
  <c r="T1358" i="1"/>
  <c r="T75" i="1"/>
  <c r="T1314" i="1"/>
  <c r="T1961" i="1"/>
  <c r="T1897" i="1"/>
  <c r="T1999" i="1"/>
  <c r="T1935" i="1"/>
  <c r="T1871" i="1"/>
  <c r="T1973" i="1"/>
  <c r="T1909" i="1"/>
  <c r="T1845" i="1"/>
  <c r="T1947" i="1"/>
  <c r="T1883" i="1"/>
  <c r="T2001" i="1"/>
  <c r="T1937" i="1"/>
  <c r="T1873" i="1"/>
  <c r="T1975" i="1"/>
  <c r="T1911" i="1"/>
  <c r="T1847" i="1"/>
  <c r="T1949" i="1"/>
  <c r="T1885" i="1"/>
  <c r="T1987" i="1"/>
  <c r="T1923" i="1"/>
  <c r="T1859" i="1"/>
  <c r="T1564" i="1"/>
  <c r="T1556" i="1"/>
  <c r="T1571" i="1"/>
  <c r="T1609" i="1"/>
  <c r="T1577" i="1"/>
  <c r="T1711" i="1"/>
  <c r="T1695" i="1"/>
  <c r="T1679" i="1"/>
  <c r="T1663" i="1"/>
  <c r="T1647" i="1"/>
  <c r="T1631" i="1"/>
  <c r="T1599" i="1"/>
  <c r="T1569" i="1"/>
  <c r="T1613" i="1"/>
  <c r="T1581" i="1"/>
  <c r="T1344" i="1"/>
  <c r="T1701" i="1"/>
  <c r="T1685" i="1"/>
  <c r="T1669" i="1"/>
  <c r="T1653" i="1"/>
  <c r="T1637" i="1"/>
  <c r="T1611" i="1"/>
  <c r="T1579" i="1"/>
  <c r="T1049" i="1"/>
  <c r="T1039" i="1"/>
  <c r="T1031" i="1"/>
  <c r="T1023" i="1"/>
  <c r="T1015" i="1"/>
  <c r="T1007" i="1"/>
  <c r="T999" i="1"/>
  <c r="T991" i="1"/>
  <c r="T983" i="1"/>
  <c r="T975" i="1"/>
  <c r="T967" i="1"/>
  <c r="T959" i="1"/>
  <c r="T951" i="1"/>
  <c r="T943" i="1"/>
  <c r="T935" i="1"/>
  <c r="T927" i="1"/>
  <c r="T919" i="1"/>
  <c r="T911" i="1"/>
  <c r="T903" i="1"/>
  <c r="T895" i="1"/>
  <c r="T887" i="1"/>
  <c r="T879" i="1"/>
  <c r="T871" i="1"/>
  <c r="T863" i="1"/>
  <c r="T855" i="1"/>
  <c r="T847" i="1"/>
  <c r="T839" i="1"/>
  <c r="T831" i="1"/>
  <c r="T823" i="1"/>
  <c r="T815" i="1"/>
  <c r="T807" i="1"/>
  <c r="T783" i="1"/>
  <c r="T789" i="1"/>
  <c r="T795" i="1"/>
  <c r="T775" i="1"/>
  <c r="T781" i="1"/>
  <c r="T803" i="1"/>
  <c r="T758" i="1"/>
  <c r="T738" i="1"/>
  <c r="T722" i="1"/>
  <c r="T706" i="1"/>
  <c r="T690" i="1"/>
  <c r="T674" i="1"/>
  <c r="T652" i="1"/>
  <c r="T801" i="1"/>
  <c r="T744" i="1"/>
  <c r="T728" i="1"/>
  <c r="T712" i="1"/>
  <c r="T696" i="1"/>
  <c r="T680" i="1"/>
  <c r="T664" i="1"/>
  <c r="T642" i="1"/>
  <c r="T621" i="1"/>
  <c r="T599" i="1"/>
  <c r="T578" i="1"/>
  <c r="T557" i="1"/>
  <c r="T535" i="1"/>
  <c r="T514" i="1"/>
  <c r="T493" i="1"/>
  <c r="T471" i="1"/>
  <c r="T450" i="1"/>
  <c r="T429" i="1"/>
  <c r="T374" i="1"/>
  <c r="T636" i="1"/>
  <c r="T604" i="1"/>
  <c r="T572" i="1"/>
  <c r="T540" i="1"/>
  <c r="T508" i="1"/>
  <c r="T476" i="1"/>
  <c r="T444" i="1"/>
  <c r="T412" i="1"/>
  <c r="T380" i="1"/>
  <c r="T598" i="1"/>
  <c r="T534" i="1"/>
  <c r="T470" i="1"/>
  <c r="T402" i="1"/>
  <c r="T629" i="1"/>
  <c r="T597" i="1"/>
  <c r="T565" i="1"/>
  <c r="T533" i="1"/>
  <c r="T501" i="1"/>
  <c r="T469" i="1"/>
  <c r="T437" i="1"/>
  <c r="T656" i="1"/>
  <c r="T612" i="1"/>
  <c r="T580" i="1"/>
  <c r="T548" i="1"/>
  <c r="T516" i="1"/>
  <c r="T484" i="1"/>
  <c r="T452" i="1"/>
  <c r="T420" i="1"/>
  <c r="T635" i="1"/>
  <c r="T571" i="1"/>
  <c r="T507" i="1"/>
  <c r="T443" i="1"/>
  <c r="T391" i="1"/>
  <c r="T335" i="1"/>
  <c r="T271" i="1"/>
  <c r="T207" i="1"/>
  <c r="T143" i="1"/>
  <c r="T608" i="1"/>
  <c r="T544" i="1"/>
  <c r="T480" i="1"/>
  <c r="T410" i="1"/>
  <c r="T357" i="1"/>
  <c r="T293" i="1"/>
  <c r="T229" i="1"/>
  <c r="T181" i="1"/>
  <c r="T149" i="1"/>
  <c r="T153" i="1"/>
  <c r="T569" i="1"/>
  <c r="T441" i="1"/>
  <c r="T173" i="1"/>
  <c r="T536" i="1"/>
  <c r="T423" i="1"/>
  <c r="T353" i="1"/>
  <c r="T289" i="1"/>
  <c r="T225" i="1"/>
  <c r="T177" i="1"/>
  <c r="T145" i="1"/>
  <c r="T56" i="1"/>
  <c r="T40" i="1"/>
  <c r="T24" i="1"/>
  <c r="T10" i="1"/>
  <c r="T606" i="1"/>
  <c r="T542" i="1"/>
  <c r="T478" i="1"/>
  <c r="T383" i="1"/>
  <c r="T141" i="1"/>
  <c r="T120" i="1"/>
  <c r="T112" i="1"/>
  <c r="T104" i="1"/>
  <c r="T96" i="1"/>
  <c r="T88" i="1"/>
  <c r="T80" i="1"/>
  <c r="T70" i="1"/>
  <c r="T60" i="1"/>
  <c r="T46" i="1"/>
  <c r="T30" i="1"/>
  <c r="T14" i="1"/>
  <c r="T624" i="1"/>
  <c r="T496" i="1"/>
  <c r="T650" i="1"/>
  <c r="T579" i="1"/>
  <c r="T515" i="1"/>
  <c r="T451" i="1"/>
  <c r="T355" i="1"/>
  <c r="T291" i="1"/>
  <c r="T227" i="1"/>
  <c r="T179" i="1"/>
  <c r="T131" i="1"/>
  <c r="T552" i="1"/>
  <c r="T426" i="1"/>
  <c r="T1305" i="1"/>
  <c r="T1277" i="1"/>
  <c r="T1245" i="1"/>
  <c r="T1197" i="1"/>
  <c r="T1833" i="1"/>
  <c r="T1386" i="1"/>
  <c r="T1281" i="1"/>
  <c r="T1221" i="1"/>
  <c r="T1823" i="1"/>
  <c r="T1318" i="1"/>
  <c r="T1286" i="1"/>
  <c r="T1257" i="1"/>
  <c r="T1370" i="1"/>
  <c r="T1285" i="1"/>
  <c r="T1251" i="1"/>
  <c r="T1821" i="1"/>
  <c r="T1773" i="1"/>
  <c r="T1741" i="1"/>
  <c r="T1328" i="1"/>
  <c r="T1296" i="1"/>
  <c r="T1206" i="1"/>
  <c r="T1185" i="1"/>
  <c r="T1105" i="1"/>
  <c r="T1067" i="1"/>
  <c r="T932" i="1"/>
  <c r="T890" i="1"/>
  <c r="T804" i="1"/>
  <c r="T1184" i="1"/>
  <c r="T1149" i="1"/>
  <c r="T1119" i="1"/>
  <c r="T1087" i="1"/>
  <c r="T984" i="1"/>
  <c r="T950" i="1"/>
  <c r="T922" i="1"/>
  <c r="T870" i="1"/>
  <c r="T832" i="1"/>
  <c r="T784" i="1"/>
  <c r="T1303" i="1"/>
  <c r="T1169" i="1"/>
  <c r="T1110" i="1"/>
  <c r="T1081" i="1"/>
  <c r="T1066" i="1"/>
  <c r="T992" i="1"/>
  <c r="T940" i="1"/>
  <c r="T888" i="1"/>
  <c r="T860" i="1"/>
  <c r="T812" i="1"/>
  <c r="T1378" i="1"/>
  <c r="T1215" i="1"/>
  <c r="T1147" i="1"/>
  <c r="T1091" i="1"/>
  <c r="T1053" i="1"/>
  <c r="T986" i="1"/>
  <c r="T962" i="1"/>
  <c r="T928" i="1"/>
  <c r="T886" i="1"/>
  <c r="T858" i="1"/>
  <c r="T824" i="1"/>
  <c r="T786" i="1"/>
  <c r="T1781" i="1"/>
  <c r="T1190" i="1"/>
  <c r="T1135" i="1"/>
  <c r="T1108" i="1"/>
  <c r="T814" i="1"/>
  <c r="T1063" i="1"/>
  <c r="T788" i="1"/>
  <c r="T295" i="1"/>
  <c r="T968" i="1"/>
  <c r="T1130" i="1"/>
  <c r="T906" i="1"/>
  <c r="T1183" i="1"/>
  <c r="T1109" i="1"/>
  <c r="T982" i="1"/>
  <c r="T910" i="1"/>
  <c r="T361" i="1"/>
  <c r="T329" i="1"/>
  <c r="T297" i="1"/>
  <c r="T265" i="1"/>
  <c r="T233" i="1"/>
  <c r="T201" i="1"/>
  <c r="T150" i="1"/>
  <c r="T854" i="1"/>
  <c r="T1192" i="1"/>
  <c r="T1127" i="1"/>
  <c r="T972" i="1"/>
  <c r="T896" i="1"/>
  <c r="T778" i="1"/>
  <c r="T349" i="1"/>
  <c r="T313" i="1"/>
  <c r="T267" i="1"/>
  <c r="T221" i="1"/>
  <c r="T1166" i="1"/>
  <c r="T766" i="1"/>
  <c r="T244" i="1"/>
  <c r="T343" i="1"/>
  <c r="T276" i="1"/>
  <c r="T411" i="1"/>
  <c r="T1080" i="1"/>
  <c r="T340" i="1"/>
  <c r="T178" i="1"/>
  <c r="T948" i="1"/>
  <c r="T1779" i="1"/>
  <c r="T292" i="1"/>
  <c r="T1390" i="1"/>
  <c r="T1058" i="1"/>
  <c r="T1692" i="1"/>
  <c r="T1090" i="1"/>
  <c r="T413" i="1"/>
  <c r="T228" i="1"/>
  <c r="T356" i="1"/>
  <c r="T1745" i="1"/>
  <c r="T1288" i="1"/>
  <c r="T1056" i="1"/>
  <c r="T196" i="1"/>
  <c r="T1088" i="1"/>
  <c r="T1082" i="1"/>
  <c r="T123" i="1"/>
  <c r="T324" i="1"/>
  <c r="T71" i="1"/>
  <c r="T1120" i="1"/>
  <c r="T95" i="1"/>
  <c r="T1340" i="1"/>
  <c r="T312" i="1"/>
  <c r="T43" i="1"/>
  <c r="T1634" i="1"/>
  <c r="T427" i="1"/>
  <c r="T1993" i="1"/>
  <c r="T1865" i="1"/>
  <c r="T1903" i="1"/>
  <c r="T1941" i="1"/>
  <c r="T1979" i="1"/>
  <c r="T1851" i="1"/>
  <c r="T1905" i="1"/>
  <c r="T1841" i="1"/>
  <c r="T1981" i="1"/>
  <c r="T1917" i="1"/>
  <c r="T1891" i="1"/>
  <c r="T1560" i="1"/>
  <c r="T1625" i="1"/>
  <c r="T1553" i="1"/>
  <c r="T1703" i="1"/>
  <c r="T1655" i="1"/>
  <c r="T1615" i="1"/>
  <c r="T1629" i="1"/>
  <c r="T1567" i="1"/>
  <c r="T1693" i="1"/>
  <c r="T1661" i="1"/>
  <c r="T1627" i="1"/>
  <c r="T1557" i="1"/>
  <c r="T1035" i="1"/>
  <c r="T1019" i="1"/>
  <c r="T1003" i="1"/>
  <c r="T987" i="1"/>
  <c r="T971" i="1"/>
  <c r="T955" i="1"/>
  <c r="T939" i="1"/>
  <c r="T923" i="1"/>
  <c r="T915" i="1"/>
  <c r="T899" i="1"/>
  <c r="T883" i="1"/>
  <c r="T867" i="1"/>
  <c r="T851" i="1"/>
  <c r="T835" i="1"/>
  <c r="T819" i="1"/>
  <c r="T1046" i="1"/>
  <c r="T764" i="1"/>
  <c r="T763" i="1"/>
  <c r="T762" i="1"/>
  <c r="T746" i="1"/>
  <c r="T714" i="1"/>
  <c r="T698" i="1"/>
  <c r="T785" i="1"/>
  <c r="T736" i="1"/>
  <c r="T704" i="1"/>
  <c r="T672" i="1"/>
  <c r="T631" i="1"/>
  <c r="T589" i="1"/>
  <c r="T567" i="1"/>
  <c r="T525" i="1"/>
  <c r="T482" i="1"/>
  <c r="T439" i="1"/>
  <c r="T769" i="1"/>
  <c r="T588" i="1"/>
  <c r="T524" i="1"/>
  <c r="T460" i="1"/>
  <c r="T396" i="1"/>
  <c r="T566" i="1"/>
  <c r="T438" i="1"/>
  <c r="T613" i="1"/>
  <c r="T549" i="1"/>
  <c r="T485" i="1"/>
  <c r="T398" i="1"/>
  <c r="T596" i="1"/>
  <c r="T532" i="1"/>
  <c r="T468" i="1"/>
  <c r="T388" i="1"/>
  <c r="T539" i="1"/>
  <c r="T475" i="1"/>
  <c r="T367" i="1"/>
  <c r="T239" i="1"/>
  <c r="T640" i="1"/>
  <c r="T512" i="1"/>
  <c r="T400" i="1"/>
  <c r="T261" i="1"/>
  <c r="T165" i="1"/>
  <c r="T633" i="1"/>
  <c r="T399" i="1"/>
  <c r="T472" i="1"/>
  <c r="T321" i="1"/>
  <c r="T193" i="1"/>
  <c r="T74" i="1"/>
  <c r="T32" i="1"/>
  <c r="T638" i="1"/>
  <c r="T510" i="1"/>
  <c r="T189" i="1"/>
  <c r="T116" i="1"/>
  <c r="T100" i="1"/>
  <c r="T84" i="1"/>
  <c r="T76" i="1"/>
  <c r="T54" i="1"/>
  <c r="T4" i="1"/>
  <c r="T432" i="1"/>
  <c r="T547" i="1"/>
  <c r="T407" i="1"/>
  <c r="T259" i="1"/>
  <c r="T147" i="1"/>
  <c r="T488" i="1"/>
  <c r="T1293" i="1"/>
  <c r="T1231" i="1"/>
  <c r="T1811" i="1"/>
  <c r="T1239" i="1"/>
  <c r="T1366" i="1"/>
  <c r="T1275" i="1"/>
  <c r="T1297" i="1"/>
  <c r="T1233" i="1"/>
  <c r="T1757" i="1"/>
  <c r="T1316" i="1"/>
  <c r="T1247" i="1"/>
  <c r="T1079" i="1"/>
  <c r="T904" i="1"/>
  <c r="T1279" i="1"/>
  <c r="T1131" i="1"/>
  <c r="T1061" i="1"/>
  <c r="T936" i="1"/>
  <c r="T846" i="1"/>
  <c r="T1813" i="1"/>
  <c r="T1154" i="1"/>
  <c r="T1072" i="1"/>
  <c r="T978" i="1"/>
  <c r="T874" i="1"/>
  <c r="T770" i="1"/>
  <c r="T1165" i="1"/>
  <c r="T1065" i="1"/>
  <c r="T976" i="1"/>
  <c r="T914" i="1"/>
  <c r="T838" i="1"/>
  <c r="T1797" i="1"/>
  <c r="T1176" i="1"/>
  <c r="T1076" i="1"/>
  <c r="T826" i="1"/>
  <c r="T231" i="1"/>
  <c r="T776" i="1"/>
  <c r="T1151" i="1"/>
  <c r="T944" i="1"/>
  <c r="T347" i="1"/>
  <c r="T251" i="1"/>
  <c r="T182" i="1"/>
  <c r="T1829" i="1"/>
  <c r="T1171" i="1"/>
  <c r="T934" i="1"/>
  <c r="T373" i="1"/>
  <c r="T285" i="1"/>
  <c r="T203" i="1"/>
  <c r="T659" i="1"/>
  <c r="T215" i="1"/>
  <c r="T247" i="1"/>
  <c r="T212" i="1"/>
  <c r="T1819" i="1"/>
  <c r="T1783" i="1"/>
  <c r="T338" i="1"/>
  <c r="T306" i="1"/>
  <c r="T1164" i="1"/>
  <c r="T1666" i="1"/>
  <c r="T1070" i="1"/>
  <c r="T645" i="1"/>
  <c r="T164" i="1"/>
  <c r="T1793" i="1"/>
  <c r="T31" i="1"/>
  <c r="T107" i="1"/>
  <c r="T1320" i="1"/>
  <c r="T1913" i="1"/>
  <c r="T1887" i="1"/>
  <c r="T1925" i="1"/>
  <c r="T1899" i="1"/>
  <c r="T1889" i="1"/>
  <c r="T1927" i="1"/>
  <c r="T1901" i="1"/>
  <c r="T1939" i="1"/>
  <c r="T1558" i="1"/>
  <c r="T1617" i="1"/>
  <c r="T1699" i="1"/>
  <c r="T1651" i="1"/>
  <c r="T1607" i="1"/>
  <c r="T1589" i="1"/>
  <c r="T1705" i="1"/>
  <c r="T1657" i="1"/>
  <c r="T1619" i="1"/>
  <c r="T1041" i="1"/>
  <c r="T1025" i="1"/>
  <c r="T1009" i="1"/>
  <c r="T993" i="1"/>
  <c r="T969" i="1"/>
  <c r="T953" i="1"/>
  <c r="T937" i="1"/>
  <c r="T921" i="1"/>
  <c r="T905" i="1"/>
  <c r="T889" i="1"/>
  <c r="T873" i="1"/>
  <c r="T857" i="1"/>
  <c r="T841" i="1"/>
  <c r="T825" i="1"/>
  <c r="T809" i="1"/>
  <c r="T805" i="1"/>
  <c r="T791" i="1"/>
  <c r="T756" i="1"/>
  <c r="T742" i="1"/>
  <c r="T710" i="1"/>
  <c r="T662" i="1"/>
  <c r="T748" i="1"/>
  <c r="T716" i="1"/>
  <c r="T684" i="1"/>
  <c r="T668" i="1"/>
  <c r="T644" i="1"/>
  <c r="T626" i="1"/>
  <c r="T605" i="1"/>
  <c r="T583" i="1"/>
  <c r="T562" i="1"/>
  <c r="T541" i="1"/>
  <c r="T519" i="1"/>
  <c r="T498" i="1"/>
  <c r="T477" i="1"/>
  <c r="T455" i="1"/>
  <c r="T434" i="1"/>
  <c r="T390" i="1"/>
  <c r="T641" i="1"/>
  <c r="T609" i="1"/>
  <c r="T577" i="1"/>
  <c r="T513" i="1"/>
  <c r="T449" i="1"/>
  <c r="T393" i="1"/>
  <c r="T614" i="1"/>
  <c r="T486" i="1"/>
  <c r="T634" i="1"/>
  <c r="T570" i="1"/>
  <c r="T506" i="1"/>
  <c r="T382" i="1"/>
  <c r="T591" i="1"/>
  <c r="T527" i="1"/>
  <c r="T463" i="1"/>
  <c r="T372" i="1"/>
  <c r="T526" i="1"/>
  <c r="T462" i="1"/>
  <c r="T287" i="1"/>
  <c r="T159" i="1"/>
  <c r="T563" i="1"/>
  <c r="T499" i="1"/>
  <c r="T375" i="1"/>
  <c r="T187" i="1"/>
  <c r="T155" i="1"/>
  <c r="T601" i="1"/>
  <c r="T568" i="1"/>
  <c r="T440" i="1"/>
  <c r="T305" i="1"/>
  <c r="T183" i="1"/>
  <c r="T62" i="1"/>
  <c r="T28" i="1"/>
  <c r="T619" i="1"/>
  <c r="T491" i="1"/>
  <c r="T157" i="1"/>
  <c r="T114" i="1"/>
  <c r="T98" i="1"/>
  <c r="T82" i="1"/>
  <c r="T72" i="1"/>
  <c r="T50" i="1"/>
  <c r="T18" i="1"/>
  <c r="T378" i="1"/>
  <c r="T521" i="1"/>
  <c r="T392" i="1"/>
  <c r="T243" i="1"/>
  <c r="T134" i="1"/>
  <c r="T456" i="1"/>
  <c r="T1287" i="1"/>
  <c r="T1227" i="1"/>
  <c r="T1785" i="1"/>
  <c r="T1235" i="1"/>
  <c r="T1289" i="1"/>
  <c r="T1271" i="1"/>
  <c r="T1291" i="1"/>
  <c r="T1219" i="1"/>
  <c r="T1751" i="1"/>
  <c r="T1302" i="1"/>
  <c r="T1201" i="1"/>
  <c r="T1111" i="1"/>
  <c r="T956" i="1"/>
  <c r="T828" i="1"/>
  <c r="T1161" i="1"/>
  <c r="T1093" i="1"/>
  <c r="T960" i="1"/>
  <c r="T884" i="1"/>
  <c r="T794" i="1"/>
  <c r="T1172" i="1"/>
  <c r="T1098" i="1"/>
  <c r="T1069" i="1"/>
  <c r="T964" i="1"/>
  <c r="T864" i="1"/>
  <c r="T1749" i="1"/>
  <c r="T1153" i="1"/>
  <c r="T1059" i="1"/>
  <c r="T966" i="1"/>
  <c r="T900" i="1"/>
  <c r="T834" i="1"/>
  <c r="T1787" i="1"/>
  <c r="T1170" i="1"/>
  <c r="T852" i="1"/>
  <c r="T327" i="1"/>
  <c r="T199" i="1"/>
  <c r="T1054" i="1"/>
  <c r="T1124" i="1"/>
  <c r="T930" i="1"/>
  <c r="T333" i="1"/>
  <c r="T237" i="1"/>
  <c r="T166" i="1"/>
  <c r="T1198" i="1"/>
  <c r="T1010" i="1"/>
  <c r="T790" i="1"/>
  <c r="T317" i="1"/>
  <c r="T235" i="1"/>
  <c r="T802" i="1"/>
  <c r="T816" i="1"/>
  <c r="T768" i="1"/>
  <c r="T792" i="1"/>
  <c r="T1145" i="1"/>
  <c r="T1064" i="1"/>
  <c r="T1100" i="1"/>
  <c r="T1304" i="1"/>
  <c r="T264" i="1"/>
  <c r="T1803" i="1"/>
  <c r="T1662" i="1"/>
  <c r="T1174" i="1"/>
  <c r="T371" i="1"/>
  <c r="T103" i="1"/>
  <c r="T1708" i="1"/>
  <c r="T1144" i="1"/>
  <c r="T210" i="1"/>
  <c r="T2003" i="1"/>
  <c r="T1945" i="1"/>
  <c r="T1881" i="1"/>
  <c r="T1983" i="1"/>
  <c r="T1919" i="1"/>
  <c r="T1855" i="1"/>
  <c r="T1957" i="1"/>
  <c r="T1893" i="1"/>
  <c r="T1995" i="1"/>
  <c r="T1931" i="1"/>
  <c r="T1867" i="1"/>
  <c r="T1985" i="1"/>
  <c r="T1921" i="1"/>
  <c r="T1857" i="1"/>
  <c r="T1959" i="1"/>
  <c r="T1895" i="1"/>
  <c r="T1997" i="1"/>
  <c r="T1933" i="1"/>
  <c r="T1869" i="1"/>
  <c r="T1971" i="1"/>
  <c r="T1907" i="1"/>
  <c r="T1843" i="1"/>
  <c r="T1562" i="1"/>
  <c r="T1723" i="1"/>
  <c r="T1729" i="1"/>
  <c r="T1601" i="1"/>
  <c r="T1563" i="1"/>
  <c r="T1707" i="1"/>
  <c r="T1691" i="1"/>
  <c r="T1675" i="1"/>
  <c r="T1659" i="1"/>
  <c r="T1643" i="1"/>
  <c r="T1623" i="1"/>
  <c r="T1591" i="1"/>
  <c r="T1561" i="1"/>
  <c r="T1605" i="1"/>
  <c r="T1573" i="1"/>
  <c r="T1713" i="1"/>
  <c r="T1697" i="1"/>
  <c r="T1681" i="1"/>
  <c r="T1665" i="1"/>
  <c r="T1649" i="1"/>
  <c r="T1633" i="1"/>
  <c r="T1603" i="1"/>
  <c r="T1565" i="1"/>
  <c r="T1051" i="1"/>
  <c r="T1037" i="1"/>
  <c r="T1029" i="1"/>
  <c r="T1021" i="1"/>
  <c r="T1013" i="1"/>
  <c r="T1005" i="1"/>
  <c r="T997" i="1"/>
  <c r="T989" i="1"/>
  <c r="T981" i="1"/>
  <c r="T973" i="1"/>
  <c r="T965" i="1"/>
  <c r="T957" i="1"/>
  <c r="T949" i="1"/>
  <c r="T941" i="1"/>
  <c r="T933" i="1"/>
  <c r="T925" i="1"/>
  <c r="T917" i="1"/>
  <c r="T909" i="1"/>
  <c r="T901" i="1"/>
  <c r="T893" i="1"/>
  <c r="T885" i="1"/>
  <c r="T877" i="1"/>
  <c r="T869" i="1"/>
  <c r="T861" i="1"/>
  <c r="T853" i="1"/>
  <c r="T845" i="1"/>
  <c r="T837" i="1"/>
  <c r="T829" i="1"/>
  <c r="T821" i="1"/>
  <c r="T813" i="1"/>
  <c r="T1554" i="1"/>
  <c r="T767" i="1"/>
  <c r="T773" i="1"/>
  <c r="T779" i="1"/>
  <c r="T759" i="1"/>
  <c r="T765" i="1"/>
  <c r="T787" i="1"/>
  <c r="T750" i="1"/>
  <c r="T734" i="1"/>
  <c r="T718" i="1"/>
  <c r="T702" i="1"/>
  <c r="T686" i="1"/>
  <c r="T670" i="1"/>
  <c r="T646" i="1"/>
  <c r="T761" i="1"/>
  <c r="T740" i="1"/>
  <c r="T724" i="1"/>
  <c r="T708" i="1"/>
  <c r="T692" i="1"/>
  <c r="T676" i="1"/>
  <c r="T660" i="1"/>
  <c r="T637" i="1"/>
  <c r="T615" i="1"/>
  <c r="T594" i="1"/>
  <c r="T573" i="1"/>
  <c r="T551" i="1"/>
  <c r="T530" i="1"/>
  <c r="T509" i="1"/>
  <c r="T487" i="1"/>
  <c r="T466" i="1"/>
  <c r="T445" i="1"/>
  <c r="T422" i="1"/>
  <c r="T368" i="1"/>
  <c r="T625" i="1"/>
  <c r="T593" i="1"/>
  <c r="T561" i="1"/>
  <c r="T529" i="1"/>
  <c r="T497" i="1"/>
  <c r="T465" i="1"/>
  <c r="T433" i="1"/>
  <c r="T409" i="1"/>
  <c r="T377" i="1"/>
  <c r="T582" i="1"/>
  <c r="T518" i="1"/>
  <c r="T454" i="1"/>
  <c r="T386" i="1"/>
  <c r="T618" i="1"/>
  <c r="T586" i="1"/>
  <c r="T554" i="1"/>
  <c r="T522" i="1"/>
  <c r="T490" i="1"/>
  <c r="T458" i="1"/>
  <c r="T414" i="1"/>
  <c r="T639" i="1"/>
  <c r="T607" i="1"/>
  <c r="T575" i="1"/>
  <c r="T543" i="1"/>
  <c r="T511" i="1"/>
  <c r="T479" i="1"/>
  <c r="T447" i="1"/>
  <c r="T404" i="1"/>
  <c r="T622" i="1"/>
  <c r="T558" i="1"/>
  <c r="T494" i="1"/>
  <c r="T430" i="1"/>
  <c r="T376" i="1"/>
  <c r="T319" i="1"/>
  <c r="T255" i="1"/>
  <c r="T191" i="1"/>
  <c r="T169" i="1"/>
  <c r="T595" i="1"/>
  <c r="T531" i="1"/>
  <c r="T467" i="1"/>
  <c r="T405" i="1"/>
  <c r="T341" i="1"/>
  <c r="T277" i="1"/>
  <c r="T213" i="1"/>
  <c r="T171" i="1"/>
  <c r="T139" i="1"/>
  <c r="T648" i="1"/>
  <c r="T537" i="1"/>
  <c r="T424" i="1"/>
  <c r="T632" i="1"/>
  <c r="T504" i="1"/>
  <c r="T394" i="1"/>
  <c r="T337" i="1"/>
  <c r="T273" i="1"/>
  <c r="T209" i="1"/>
  <c r="T167" i="1"/>
  <c r="T135" i="1"/>
  <c r="T52" i="1"/>
  <c r="T36" i="1"/>
  <c r="T20" i="1"/>
  <c r="T6" i="1"/>
  <c r="T587" i="1"/>
  <c r="T523" i="1"/>
  <c r="T459" i="1"/>
  <c r="T369" i="1"/>
  <c r="T129" i="1"/>
  <c r="T118" i="1"/>
  <c r="T110" i="1"/>
  <c r="T102" i="1"/>
  <c r="T94" i="1"/>
  <c r="T86" i="1"/>
  <c r="T78" i="1"/>
  <c r="T68" i="1"/>
  <c r="T58" i="1"/>
  <c r="T42" i="1"/>
  <c r="T26" i="1"/>
  <c r="T8" i="1"/>
  <c r="T592" i="1"/>
  <c r="T464" i="1"/>
  <c r="T617" i="1"/>
  <c r="T553" i="1"/>
  <c r="T489" i="1"/>
  <c r="T417" i="1"/>
  <c r="T339" i="1"/>
  <c r="T275" i="1"/>
  <c r="T211" i="1"/>
  <c r="T163" i="1"/>
  <c r="T793" i="1"/>
  <c r="T520" i="1"/>
  <c r="T1719" i="1"/>
  <c r="T1299" i="1"/>
  <c r="T1273" i="1"/>
  <c r="T1241" i="1"/>
  <c r="T1827" i="1"/>
  <c r="T1817" i="1"/>
  <c r="T1313" i="1"/>
  <c r="T1249" i="1"/>
  <c r="T1217" i="1"/>
  <c r="T1759" i="1"/>
  <c r="T1309" i="1"/>
  <c r="T1283" i="1"/>
  <c r="T1253" i="1"/>
  <c r="T1311" i="1"/>
  <c r="T1269" i="1"/>
  <c r="T1237" i="1"/>
  <c r="T1805" i="1"/>
  <c r="T1767" i="1"/>
  <c r="T1382" i="1"/>
  <c r="T1322" i="1"/>
  <c r="T1290" i="1"/>
  <c r="T1739" i="1"/>
  <c r="T1173" i="1"/>
  <c r="T1099" i="1"/>
  <c r="T1008" i="1"/>
  <c r="T918" i="1"/>
  <c r="T880" i="1"/>
  <c r="T1338" i="1"/>
  <c r="T1181" i="1"/>
  <c r="T1137" i="1"/>
  <c r="T1113" i="1"/>
  <c r="T1075" i="1"/>
  <c r="T974" i="1"/>
  <c r="T946" i="1"/>
  <c r="T912" i="1"/>
  <c r="T856" i="1"/>
  <c r="T818" i="1"/>
  <c r="T780" i="1"/>
  <c r="T1188" i="1"/>
  <c r="T1163" i="1"/>
  <c r="T1104" i="1"/>
  <c r="T1078" i="1"/>
  <c r="T1055" i="1"/>
  <c r="T988" i="1"/>
  <c r="T916" i="1"/>
  <c r="T878" i="1"/>
  <c r="T850" i="1"/>
  <c r="T808" i="1"/>
  <c r="T1204" i="1"/>
  <c r="T1191" i="1"/>
  <c r="T1141" i="1"/>
  <c r="T1071" i="1"/>
  <c r="T1004" i="1"/>
  <c r="T980" i="1"/>
  <c r="T952" i="1"/>
  <c r="T924" i="1"/>
  <c r="T876" i="1"/>
  <c r="T848" i="1"/>
  <c r="T810" i="1"/>
  <c r="T772" i="1"/>
  <c r="T1771" i="1"/>
  <c r="T1179" i="1"/>
  <c r="T1129" i="1"/>
  <c r="T1085" i="1"/>
  <c r="T1229" i="1"/>
  <c r="T868" i="1"/>
  <c r="T782" i="1"/>
  <c r="T263" i="1"/>
  <c r="T1312" i="1"/>
  <c r="T1115" i="1"/>
  <c r="T844" i="1"/>
  <c r="T1160" i="1"/>
  <c r="T1095" i="1"/>
  <c r="T958" i="1"/>
  <c r="T892" i="1"/>
  <c r="T358" i="1"/>
  <c r="T326" i="1"/>
  <c r="T294" i="1"/>
  <c r="T262" i="1"/>
  <c r="T230" i="1"/>
  <c r="T198" i="1"/>
  <c r="T1142" i="1"/>
  <c r="T774" i="1"/>
  <c r="T1177" i="1"/>
  <c r="T1112" i="1"/>
  <c r="T954" i="1"/>
  <c r="T882" i="1"/>
  <c r="T421" i="1"/>
  <c r="T345" i="1"/>
  <c r="T299" i="1"/>
  <c r="T253" i="1"/>
  <c r="T217" i="1"/>
  <c r="T1083" i="1"/>
  <c r="T1060" i="1"/>
  <c r="T226" i="1"/>
  <c r="T258" i="1"/>
  <c r="T643" i="1"/>
  <c r="T290" i="1"/>
  <c r="T308" i="1"/>
  <c r="T322" i="1"/>
  <c r="T162" i="1"/>
  <c r="T311" i="1"/>
  <c r="T1158" i="1"/>
  <c r="T1831" i="1"/>
  <c r="T1182" i="1"/>
  <c r="T342" i="1"/>
  <c r="T1644" i="1"/>
  <c r="T1062" i="1"/>
  <c r="T395" i="1"/>
  <c r="T1342" i="1"/>
  <c r="T180" i="1"/>
  <c r="T1670" i="1"/>
  <c r="T1150" i="1"/>
  <c r="T1052" i="1"/>
  <c r="T1292" i="1"/>
  <c r="T148" i="1"/>
  <c r="T1282" i="1"/>
  <c r="T91" i="1"/>
  <c r="T1775" i="1"/>
  <c r="T39" i="1"/>
  <c r="T1809" i="1"/>
  <c r="T63" i="1"/>
  <c r="T1194" i="1"/>
  <c r="T296" i="1"/>
  <c r="T11" i="1"/>
  <c r="T1688" i="1"/>
  <c r="T1777" i="1"/>
  <c r="Z11" i="1" l="1"/>
  <c r="Z9" i="1"/>
  <c r="Z13" i="1"/>
  <c r="Z7" i="1"/>
  <c r="Z5" i="1"/>
</calcChain>
</file>

<file path=xl/sharedStrings.xml><?xml version="1.0" encoding="utf-8"?>
<sst xmlns="http://schemas.openxmlformats.org/spreadsheetml/2006/main" count="20017" uniqueCount="2418">
  <si>
    <t>Order ID</t>
  </si>
  <si>
    <t>Order Date</t>
  </si>
  <si>
    <t>Customer Name</t>
  </si>
  <si>
    <t>City</t>
  </si>
  <si>
    <t>Unit Price</t>
  </si>
  <si>
    <t>Quantity (kg)</t>
  </si>
  <si>
    <t>Discount (%)</t>
  </si>
  <si>
    <t>Subtotal</t>
  </si>
  <si>
    <t>Discount Amount</t>
  </si>
  <si>
    <t>Total Sales</t>
  </si>
  <si>
    <t>Shipping Fee</t>
  </si>
  <si>
    <t>Grand Total</t>
  </si>
  <si>
    <t>Payment Method</t>
  </si>
  <si>
    <t>Order Status</t>
  </si>
  <si>
    <t>Platform</t>
  </si>
  <si>
    <t>Customer Rating</t>
  </si>
  <si>
    <t>Jenis Kelamin</t>
  </si>
  <si>
    <t>ORD01855</t>
  </si>
  <si>
    <t>Zahra Kurniawan</t>
  </si>
  <si>
    <t>Wamena</t>
  </si>
  <si>
    <t>Jagung Manis</t>
  </si>
  <si>
    <t>Kartu Kredit</t>
  </si>
  <si>
    <t>Completed</t>
  </si>
  <si>
    <t>Perempuan</t>
  </si>
  <si>
    <t>ORD01741</t>
  </si>
  <si>
    <t>Yani Pradipta</t>
  </si>
  <si>
    <t>Palembang</t>
  </si>
  <si>
    <t>Sawi Hijau</t>
  </si>
  <si>
    <t>Transfer Bank</t>
  </si>
  <si>
    <t>ORD00016</t>
  </si>
  <si>
    <t>Indra Syahputra</t>
  </si>
  <si>
    <t>Semarang</t>
  </si>
  <si>
    <t>Wortel</t>
  </si>
  <si>
    <t>COD</t>
  </si>
  <si>
    <t>Laki-laki</t>
  </si>
  <si>
    <t>Kol/Kubis</t>
  </si>
  <si>
    <t>ORD00411</t>
  </si>
  <si>
    <t>Yani Nugroho</t>
  </si>
  <si>
    <t>ORD00326</t>
  </si>
  <si>
    <t>Lestari Utami</t>
  </si>
  <si>
    <t>Manado</t>
  </si>
  <si>
    <t>Bawang Putih</t>
  </si>
  <si>
    <t>ORD01208</t>
  </si>
  <si>
    <t>Erna Santoso</t>
  </si>
  <si>
    <t>Samarinda</t>
  </si>
  <si>
    <t>Labu Siam</t>
  </si>
  <si>
    <t>ORD01664</t>
  </si>
  <si>
    <t>Erna Rahmawati</t>
  </si>
  <si>
    <t>Banda Aceh</t>
  </si>
  <si>
    <t>Brokoli</t>
  </si>
  <si>
    <t>ORD00644</t>
  </si>
  <si>
    <t>Erna Setiawan</t>
  </si>
  <si>
    <t>Denpasar</t>
  </si>
  <si>
    <t>Buncis</t>
  </si>
  <si>
    <t>ORD00628</t>
  </si>
  <si>
    <t>Bella Santoso</t>
  </si>
  <si>
    <t>Tanjung Selor</t>
  </si>
  <si>
    <t>Kentang</t>
  </si>
  <si>
    <t>e-Wallet</t>
  </si>
  <si>
    <t>ORD00049</t>
  </si>
  <si>
    <t>Joko Halim</t>
  </si>
  <si>
    <t>Kendari</t>
  </si>
  <si>
    <t>ORD00634</t>
  </si>
  <si>
    <t>Fajar Budiman</t>
  </si>
  <si>
    <t>Nabire</t>
  </si>
  <si>
    <t>Cabai Merah</t>
  </si>
  <si>
    <t>ORD00954</t>
  </si>
  <si>
    <t>Vina Ramadhani</t>
  </si>
  <si>
    <t>Jambi</t>
  </si>
  <si>
    <t>Returned</t>
  </si>
  <si>
    <t>ORD00844</t>
  </si>
  <si>
    <t>Lestari Setiawan</t>
  </si>
  <si>
    <t>ORD00946</t>
  </si>
  <si>
    <t>Aulia Iskandar</t>
  </si>
  <si>
    <t>Surabaya</t>
  </si>
  <si>
    <t>Bawang Merah</t>
  </si>
  <si>
    <t>ORD00051</t>
  </si>
  <si>
    <t>Made Setiawan</t>
  </si>
  <si>
    <t>ORD00559</t>
  </si>
  <si>
    <t>Qori Fauziah</t>
  </si>
  <si>
    <t>Tomat Merah</t>
  </si>
  <si>
    <t>ORD01530</t>
  </si>
  <si>
    <t>ORD01160</t>
  </si>
  <si>
    <t>Yani Saputra</t>
  </si>
  <si>
    <t>Jayapura</t>
  </si>
  <si>
    <t>ORD01060</t>
  </si>
  <si>
    <t>Qori Halim</t>
  </si>
  <si>
    <t>Pekanbaru</t>
  </si>
  <si>
    <t>ORD00181</t>
  </si>
  <si>
    <t>Gita Hidayat</t>
  </si>
  <si>
    <t>ORD01730</t>
  </si>
  <si>
    <t>Bella Rahmawati</t>
  </si>
  <si>
    <t>ORD01668</t>
  </si>
  <si>
    <t>Bella Ramadhani</t>
  </si>
  <si>
    <t>Pontianak</t>
  </si>
  <si>
    <t>Terong Ungu</t>
  </si>
  <si>
    <t>ORD01529</t>
  </si>
  <si>
    <t>Hana Budiman</t>
  </si>
  <si>
    <t>Jakarta</t>
  </si>
  <si>
    <t>Kangkung</t>
  </si>
  <si>
    <t>ORD01671</t>
  </si>
  <si>
    <t>Vina Budiman</t>
  </si>
  <si>
    <t>Cabai Rawit Hijau</t>
  </si>
  <si>
    <t>ORD00239</t>
  </si>
  <si>
    <t>Vina Puspita</t>
  </si>
  <si>
    <t>Manokwari</t>
  </si>
  <si>
    <t>ORD00403</t>
  </si>
  <si>
    <t>Zahra Rahmawati</t>
  </si>
  <si>
    <t>Bengkulu</t>
  </si>
  <si>
    <t>ORD00933</t>
  </si>
  <si>
    <t>Lestari Wijaya</t>
  </si>
  <si>
    <t>Bandung</t>
  </si>
  <si>
    <t>ORD01507</t>
  </si>
  <si>
    <t>Vina Kurniawan</t>
  </si>
  <si>
    <t>Yogyakarta</t>
  </si>
  <si>
    <t>Cancelled</t>
  </si>
  <si>
    <t>ORD01414</t>
  </si>
  <si>
    <t>Eka Ananda</t>
  </si>
  <si>
    <t>Makassar</t>
  </si>
  <si>
    <t>ORD00811</t>
  </si>
  <si>
    <t>Nanda Iskandar</t>
  </si>
  <si>
    <t>ORD01550</t>
  </si>
  <si>
    <t>Dina Budiman</t>
  </si>
  <si>
    <t>Merauke</t>
  </si>
  <si>
    <t>ORD00179</t>
  </si>
  <si>
    <t>Sari Hidayat</t>
  </si>
  <si>
    <t>ORD00189</t>
  </si>
  <si>
    <t>Fitri Ananda</t>
  </si>
  <si>
    <t>ORD00390</t>
  </si>
  <si>
    <t>ORD01128</t>
  </si>
  <si>
    <t>Putri Wijaya</t>
  </si>
  <si>
    <t>ORD01559</t>
  </si>
  <si>
    <t>Citra Iskandar</t>
  </si>
  <si>
    <t>Palangka Raya</t>
  </si>
  <si>
    <t>ORD01454</t>
  </si>
  <si>
    <t>Hendra Ramadhani</t>
  </si>
  <si>
    <t>ORD00452</t>
  </si>
  <si>
    <t>Aulia Rahmawati</t>
  </si>
  <si>
    <t>ORD00543</t>
  </si>
  <si>
    <t>Yoga Utami</t>
  </si>
  <si>
    <t>Banjarbaru</t>
  </si>
  <si>
    <t>ORD01693</t>
  </si>
  <si>
    <t>Andi Setiawan</t>
  </si>
  <si>
    <t>Bayam</t>
  </si>
  <si>
    <t>ORD00633</t>
  </si>
  <si>
    <t>Qori Syahputra</t>
  </si>
  <si>
    <t>ORD00695</t>
  </si>
  <si>
    <t>Dina Halim</t>
  </si>
  <si>
    <t>ORD00857</t>
  </si>
  <si>
    <t>Aulia Fauziah</t>
  </si>
  <si>
    <t>Padang</t>
  </si>
  <si>
    <t>ORD00498</t>
  </si>
  <si>
    <t>Citra Rahmawati</t>
  </si>
  <si>
    <t>Sofifi</t>
  </si>
  <si>
    <t>ORD01047</t>
  </si>
  <si>
    <t>Gita Ramadhani</t>
  </si>
  <si>
    <t>ORD00218</t>
  </si>
  <si>
    <t>Eka Halim</t>
  </si>
  <si>
    <t>ORD01560</t>
  </si>
  <si>
    <t>Dewi Santoso</t>
  </si>
  <si>
    <t>Mamuju</t>
  </si>
  <si>
    <t>Cabai Rawit Merah</t>
  </si>
  <si>
    <t>ORD00369</t>
  </si>
  <si>
    <t>Eka Puspita</t>
  </si>
  <si>
    <t>Ambon</t>
  </si>
  <si>
    <t>ORD01190</t>
  </si>
  <si>
    <t>Dina Syahputra</t>
  </si>
  <si>
    <t>Mataram</t>
  </si>
  <si>
    <t>ORD00958</t>
  </si>
  <si>
    <t>Bella Iskandar</t>
  </si>
  <si>
    <t>Kacang Panjang</t>
  </si>
  <si>
    <t>ORD00689</t>
  </si>
  <si>
    <t>Ani Wijaya</t>
  </si>
  <si>
    <t>Tanjungpinang</t>
  </si>
  <si>
    <t>ORD01145</t>
  </si>
  <si>
    <t>Lestari Budiman</t>
  </si>
  <si>
    <t>ORD01796</t>
  </si>
  <si>
    <t>ORD01763</t>
  </si>
  <si>
    <t>Fitri Wijaya</t>
  </si>
  <si>
    <t>Serang</t>
  </si>
  <si>
    <t>ORD00562</t>
  </si>
  <si>
    <t>Sari Puspita</t>
  </si>
  <si>
    <t>Timun</t>
  </si>
  <si>
    <t>ORD01716</t>
  </si>
  <si>
    <t>Hana Halim</t>
  </si>
  <si>
    <t>Sorong</t>
  </si>
  <si>
    <t>ORD01646</t>
  </si>
  <si>
    <t>Dimas Utami</t>
  </si>
  <si>
    <t>ORD01197</t>
  </si>
  <si>
    <t>Fitri Maulana</t>
  </si>
  <si>
    <t>Daun Bawang</t>
  </si>
  <si>
    <t>ORD00619</t>
  </si>
  <si>
    <t>Ani Fauziah</t>
  </si>
  <si>
    <t>ORD00465</t>
  </si>
  <si>
    <t>Vina Maulana</t>
  </si>
  <si>
    <t>ORD01356</t>
  </si>
  <si>
    <t>Bella Maulana</t>
  </si>
  <si>
    <t>ORD01042</t>
  </si>
  <si>
    <t>Vina Syahputra</t>
  </si>
  <si>
    <t>ORD00013</t>
  </si>
  <si>
    <t>Arif Rahmawati</t>
  </si>
  <si>
    <t>ORD00600</t>
  </si>
  <si>
    <t>Kartika Nugroho</t>
  </si>
  <si>
    <t>ORD00433</t>
  </si>
  <si>
    <t>ORD01113</t>
  </si>
  <si>
    <t>Citra Kurniawan</t>
  </si>
  <si>
    <t>ORD00701</t>
  </si>
  <si>
    <t>Lestari Kusuma</t>
  </si>
  <si>
    <t>ORD01151</t>
  </si>
  <si>
    <t>Dina Setiawan</t>
  </si>
  <si>
    <t>ORD00686</t>
  </si>
  <si>
    <t>Lestari Ramadhani</t>
  </si>
  <si>
    <t>ORD00862</t>
  </si>
  <si>
    <t>Eka Hidayat</t>
  </si>
  <si>
    <t>ORD00193</t>
  </si>
  <si>
    <t>ORD01059</t>
  </si>
  <si>
    <t>Tono Saputra</t>
  </si>
  <si>
    <t>ORD01576</t>
  </si>
  <si>
    <t>Putri Kurniawan</t>
  </si>
  <si>
    <t>ORD00503</t>
  </si>
  <si>
    <t>Dina Kurniawan</t>
  </si>
  <si>
    <t>ORD01395</t>
  </si>
  <si>
    <t>Putri Puspita</t>
  </si>
  <si>
    <t>ORD00022</t>
  </si>
  <si>
    <t>Arif Santoso</t>
  </si>
  <si>
    <t>ORD00521</t>
  </si>
  <si>
    <t>Tono Fauziah</t>
  </si>
  <si>
    <t>ORD01377</t>
  </si>
  <si>
    <t>Aulia Santoso</t>
  </si>
  <si>
    <t>Bandar Lampung</t>
  </si>
  <si>
    <t>ORD01726</t>
  </si>
  <si>
    <t>Arif Iskandar</t>
  </si>
  <si>
    <t>ORD01283</t>
  </si>
  <si>
    <t>ORD00828</t>
  </si>
  <si>
    <t>Budi Wijaya</t>
  </si>
  <si>
    <t>Gorontalo</t>
  </si>
  <si>
    <t>ORD01079</t>
  </si>
  <si>
    <t>Erna Hidayat</t>
  </si>
  <si>
    <t>ORD01481</t>
  </si>
  <si>
    <t>ORD01084</t>
  </si>
  <si>
    <t>Dewi Fauziah</t>
  </si>
  <si>
    <t>ORD00104</t>
  </si>
  <si>
    <t>Sari Syahputra</t>
  </si>
  <si>
    <t>ORD01233</t>
  </si>
  <si>
    <t>Putri Ananda</t>
  </si>
  <si>
    <t>ORD01169</t>
  </si>
  <si>
    <t>Clara Kusuma</t>
  </si>
  <si>
    <t>ORD00624</t>
  </si>
  <si>
    <t>Clara Budiman</t>
  </si>
  <si>
    <t>ORD00062</t>
  </si>
  <si>
    <t>ORD00928</t>
  </si>
  <si>
    <t>Clara Utami</t>
  </si>
  <si>
    <t>Pangkalpinang</t>
  </si>
  <si>
    <t>ORD01420</t>
  </si>
  <si>
    <t>ORD00885</t>
  </si>
  <si>
    <t>Citra Budiman</t>
  </si>
  <si>
    <t>ORD00197</t>
  </si>
  <si>
    <t>Vina Fauziah</t>
  </si>
  <si>
    <t>ORD01781</t>
  </si>
  <si>
    <t>Galih Iskandar</t>
  </si>
  <si>
    <t>ORD00741</t>
  </si>
  <si>
    <t>Bella Ananda</t>
  </si>
  <si>
    <t>ORD01544</t>
  </si>
  <si>
    <t>Hana Wijaya</t>
  </si>
  <si>
    <t>ORD00800</t>
  </si>
  <si>
    <t>Kartika Ananda</t>
  </si>
  <si>
    <t>ORD00237</t>
  </si>
  <si>
    <t>Clara Ananda</t>
  </si>
  <si>
    <t>ORD00632</t>
  </si>
  <si>
    <t>ORD01455</t>
  </si>
  <si>
    <t>ORD00198</t>
  </si>
  <si>
    <t>Zahra Setiawan</t>
  </si>
  <si>
    <t>ORD01556</t>
  </si>
  <si>
    <t>Dewi Puspita</t>
  </si>
  <si>
    <t>ORD01643</t>
  </si>
  <si>
    <t>Budi Hidayat</t>
  </si>
  <si>
    <t>ORD00422</t>
  </si>
  <si>
    <t>Gita Utami</t>
  </si>
  <si>
    <t>ORD00200</t>
  </si>
  <si>
    <t>Zahra Maulana</t>
  </si>
  <si>
    <t>ORD00029</t>
  </si>
  <si>
    <t>Galih Halim</t>
  </si>
  <si>
    <t>ORD00612</t>
  </si>
  <si>
    <t>ORD01558</t>
  </si>
  <si>
    <t>ORD00874</t>
  </si>
  <si>
    <t>Bella Hidayat</t>
  </si>
  <si>
    <t>Medan</t>
  </si>
  <si>
    <t>ORD01816</t>
  </si>
  <si>
    <t>ORD01610</t>
  </si>
  <si>
    <t>Ani Ramadhani</t>
  </si>
  <si>
    <t>ORD01163</t>
  </si>
  <si>
    <t>ORD00114</t>
  </si>
  <si>
    <t>Vina Halim</t>
  </si>
  <si>
    <t>ORD00679</t>
  </si>
  <si>
    <t>ORD00186</t>
  </si>
  <si>
    <t>Dewi Ananda</t>
  </si>
  <si>
    <t>ORD00699</t>
  </si>
  <si>
    <t>Ani Maulana</t>
  </si>
  <si>
    <t>ORD01751</t>
  </si>
  <si>
    <t>Dimas Budiman</t>
  </si>
  <si>
    <t>ORD01833</t>
  </si>
  <si>
    <t>Citra Maulana</t>
  </si>
  <si>
    <t>ORD00378</t>
  </si>
  <si>
    <t>ORD00215</t>
  </si>
  <si>
    <t>Dewi Hidayat</t>
  </si>
  <si>
    <t>ORD00336</t>
  </si>
  <si>
    <t>Vina Saputra</t>
  </si>
  <si>
    <t>ORD01674</t>
  </si>
  <si>
    <t>Rizky Budiman</t>
  </si>
  <si>
    <t>ORD00533</t>
  </si>
  <si>
    <t>ORD00128</t>
  </si>
  <si>
    <t>Fitri Ramadhani</t>
  </si>
  <si>
    <t>ORD00956</t>
  </si>
  <si>
    <t>Dewi Pradipta</t>
  </si>
  <si>
    <t>ORD01063</t>
  </si>
  <si>
    <t>ORD01770</t>
  </si>
  <si>
    <t>Rizky Ramadhani</t>
  </si>
  <si>
    <t>ORD00455</t>
  </si>
  <si>
    <t>ORD01052</t>
  </si>
  <si>
    <t>ORD00155</t>
  </si>
  <si>
    <t>ORD00716</t>
  </si>
  <si>
    <t>Hendra Wijaya</t>
  </si>
  <si>
    <t>ORD01014</t>
  </si>
  <si>
    <t>Wahyu Pradipta</t>
  </si>
  <si>
    <t>ORD01308</t>
  </si>
  <si>
    <t>Bayu Fauziah</t>
  </si>
  <si>
    <t>ORD00585</t>
  </si>
  <si>
    <t>Gita Syahputra</t>
  </si>
  <si>
    <t>ORD01638</t>
  </si>
  <si>
    <t>ORD01844</t>
  </si>
  <si>
    <t>Joko Ananda</t>
  </si>
  <si>
    <t>ORD00023</t>
  </si>
  <si>
    <t>Nanda Fauziah</t>
  </si>
  <si>
    <t>ORD01723</t>
  </si>
  <si>
    <t>Gita Wijaya</t>
  </si>
  <si>
    <t>ORD00286</t>
  </si>
  <si>
    <t>Fitri Rahmawati</t>
  </si>
  <si>
    <t>ORD00927</t>
  </si>
  <si>
    <t>ORD00754</t>
  </si>
  <si>
    <t>ORD00014</t>
  </si>
  <si>
    <t>Nanda Setiawan</t>
  </si>
  <si>
    <t>ORD00746</t>
  </si>
  <si>
    <t>ORD00229</t>
  </si>
  <si>
    <t>Fitri Iskandar</t>
  </si>
  <si>
    <t>ORD01201</t>
  </si>
  <si>
    <t>Gita Saputra</t>
  </si>
  <si>
    <t>ORD00156</t>
  </si>
  <si>
    <t>ORD00640</t>
  </si>
  <si>
    <t>ORD01106</t>
  </si>
  <si>
    <t>Vina Hidayat</t>
  </si>
  <si>
    <t>ORD01630</t>
  </si>
  <si>
    <t>Bayu Maulana</t>
  </si>
  <si>
    <t>ORD01485</t>
  </si>
  <si>
    <t>Ani Ananda</t>
  </si>
  <si>
    <t>ORD00868</t>
  </si>
  <si>
    <t>Eka Wijaya</t>
  </si>
  <si>
    <t>ORD01149</t>
  </si>
  <si>
    <t>ORD01707</t>
  </si>
  <si>
    <t>Oka Santoso</t>
  </si>
  <si>
    <t>ORD01697</t>
  </si>
  <si>
    <t>ORD00483</t>
  </si>
  <si>
    <t>Bella Budiman</t>
  </si>
  <si>
    <t>ORD00272</t>
  </si>
  <si>
    <t>ORD01104</t>
  </si>
  <si>
    <t>Andi Wijaya</t>
  </si>
  <si>
    <t>Kupang</t>
  </si>
  <si>
    <t>ORD00522</t>
  </si>
  <si>
    <t>Dewi Halim</t>
  </si>
  <si>
    <t>ORD00807</t>
  </si>
  <si>
    <t>Qori Saputra</t>
  </si>
  <si>
    <t>ORD00269</t>
  </si>
  <si>
    <t>Yani Santoso</t>
  </si>
  <si>
    <t>ORD00733</t>
  </si>
  <si>
    <t>Aulia Utami</t>
  </si>
  <si>
    <t>ORD00544</t>
  </si>
  <si>
    <t>Dewi Budiman</t>
  </si>
  <si>
    <t>ORD00910</t>
  </si>
  <si>
    <t>Eko Pradipta</t>
  </si>
  <si>
    <t>ORD00305</t>
  </si>
  <si>
    <t>Dina Kusuma</t>
  </si>
  <si>
    <t>ORD01334</t>
  </si>
  <si>
    <t>Fitri Puspita</t>
  </si>
  <si>
    <t>ORD00383</t>
  </si>
  <si>
    <t>ORD01601</t>
  </si>
  <si>
    <t>Bella Saputra</t>
  </si>
  <si>
    <t>ORD01477</t>
  </si>
  <si>
    <t>Made Fauziah</t>
  </si>
  <si>
    <t>ORD01232</t>
  </si>
  <si>
    <t>Eka Saputra</t>
  </si>
  <si>
    <t>ORD01409</t>
  </si>
  <si>
    <t>Yani Puspita</t>
  </si>
  <si>
    <t>ORD01435</t>
  </si>
  <si>
    <t>Ani Halim</t>
  </si>
  <si>
    <t>ORD01804</t>
  </si>
  <si>
    <t>Dimas Maulana</t>
  </si>
  <si>
    <t>ORD01156</t>
  </si>
  <si>
    <t>ORD00747</t>
  </si>
  <si>
    <t>ORD00278</t>
  </si>
  <si>
    <t>Qori Setiawan</t>
  </si>
  <si>
    <t>ORD00111</t>
  </si>
  <si>
    <t>Sari Halim</t>
  </si>
  <si>
    <t>ORD00987</t>
  </si>
  <si>
    <t>Zahra Santoso</t>
  </si>
  <si>
    <t>ORD00131</t>
  </si>
  <si>
    <t>ORD00995</t>
  </si>
  <si>
    <t>ORD00230</t>
  </si>
  <si>
    <t>Citra Halim</t>
  </si>
  <si>
    <t>ORD00307</t>
  </si>
  <si>
    <t>ORD01202</t>
  </si>
  <si>
    <t>Iwan Maulana</t>
  </si>
  <si>
    <t>ORD00649</t>
  </si>
  <si>
    <t>Citra Santoso</t>
  </si>
  <si>
    <t>ORD00024</t>
  </si>
  <si>
    <t>ORD01739</t>
  </si>
  <si>
    <t>ORD00660</t>
  </si>
  <si>
    <t>Nanda Utami</t>
  </si>
  <si>
    <t>ORD00959</t>
  </si>
  <si>
    <t>Clara Maulana</t>
  </si>
  <si>
    <t>ORD00801</t>
  </si>
  <si>
    <t>Budi Saputra</t>
  </si>
  <si>
    <t>ORD00143</t>
  </si>
  <si>
    <t>Bella Halim</t>
  </si>
  <si>
    <t>ORD00219</t>
  </si>
  <si>
    <t>ORD00228</t>
  </si>
  <si>
    <t>Dina Wijaya</t>
  </si>
  <si>
    <t>Palu</t>
  </si>
  <si>
    <t>ORD01030</t>
  </si>
  <si>
    <t>Bella Setiawan</t>
  </si>
  <si>
    <t>ORD00037</t>
  </si>
  <si>
    <t>Galih Kusuma</t>
  </si>
  <si>
    <t>ORD01263</t>
  </si>
  <si>
    <t>Umar Setiawan</t>
  </si>
  <si>
    <t>ORD00782</t>
  </si>
  <si>
    <t>Sari Pradipta</t>
  </si>
  <si>
    <t>ORD01565</t>
  </si>
  <si>
    <t>ORD01280</t>
  </si>
  <si>
    <t>Wahyu Fauziah</t>
  </si>
  <si>
    <t>ORD00277</t>
  </si>
  <si>
    <t>ORD01543</t>
  </si>
  <si>
    <t>Bella Pradipta</t>
  </si>
  <si>
    <t>ORD01046</t>
  </si>
  <si>
    <t>Ani Budiman</t>
  </si>
  <si>
    <t>ORD01708</t>
  </si>
  <si>
    <t>Oka Kusuma</t>
  </si>
  <si>
    <t>ORD00225</t>
  </si>
  <si>
    <t>Yani Setiawan</t>
  </si>
  <si>
    <t>ORD00796</t>
  </si>
  <si>
    <t>Yani Wijaya</t>
  </si>
  <si>
    <t>ORD01720</t>
  </si>
  <si>
    <t>Dewi Rahmawati</t>
  </si>
  <si>
    <t>ORD00034</t>
  </si>
  <si>
    <t>Bayu Nugroho</t>
  </si>
  <si>
    <t>ORD01547</t>
  </si>
  <si>
    <t>ORD00519</t>
  </si>
  <si>
    <t>Made Santoso</t>
  </si>
  <si>
    <t>ORD01088</t>
  </si>
  <si>
    <t>Qori Ramadhani</t>
  </si>
  <si>
    <t>ORD00905</t>
  </si>
  <si>
    <t>Zahra Utami</t>
  </si>
  <si>
    <t>ORD00589</t>
  </si>
  <si>
    <t>Sari Iskandar</t>
  </si>
  <si>
    <t>ORD00328</t>
  </si>
  <si>
    <t>ORD00510</t>
  </si>
  <si>
    <t>Zahra Nugroho</t>
  </si>
  <si>
    <t>ORD01325</t>
  </si>
  <si>
    <t>ORD00096</t>
  </si>
  <si>
    <t>ORD00835</t>
  </si>
  <si>
    <t>Qori Budiman</t>
  </si>
  <si>
    <t>ORD00859</t>
  </si>
  <si>
    <t>Bayu Syahputra</t>
  </si>
  <si>
    <t>ORD00238</t>
  </si>
  <si>
    <t>ORD00735</t>
  </si>
  <si>
    <t>ORD01712</t>
  </si>
  <si>
    <t>Citra Syahputra</t>
  </si>
  <si>
    <t>ORD00696</t>
  </si>
  <si>
    <t>ORD01323</t>
  </si>
  <si>
    <t>Dina Pradipta</t>
  </si>
  <si>
    <t>ORD00952</t>
  </si>
  <si>
    <t>Ani Hidayat</t>
  </si>
  <si>
    <t>ORD01585</t>
  </si>
  <si>
    <t>ORD01822</t>
  </si>
  <si>
    <t>ORD00069</t>
  </si>
  <si>
    <t>Oka Ramadhani</t>
  </si>
  <si>
    <t>ORD01347</t>
  </si>
  <si>
    <t>ORD00993</t>
  </si>
  <si>
    <t>Fajar Kurniawan</t>
  </si>
  <si>
    <t>ORD01105</t>
  </si>
  <si>
    <t>Joko Maulana</t>
  </si>
  <si>
    <t>ORD01853</t>
  </si>
  <si>
    <t>Dina Rahmawati</t>
  </si>
  <si>
    <t>ORD00012</t>
  </si>
  <si>
    <t>ORD00836</t>
  </si>
  <si>
    <t>Clara Pradipta</t>
  </si>
  <si>
    <t>ORD00575</t>
  </si>
  <si>
    <t>Erna Maulana</t>
  </si>
  <si>
    <t>ORD00816</t>
  </si>
  <si>
    <t>ORD00909</t>
  </si>
  <si>
    <t>ORD01328</t>
  </si>
  <si>
    <t>Yoga Saputra</t>
  </si>
  <si>
    <t>ORD01259</t>
  </si>
  <si>
    <t>Dina Hidayat</t>
  </si>
  <si>
    <t>ORD00681</t>
  </si>
  <si>
    <t>ORD00972</t>
  </si>
  <si>
    <t>Ani Kusuma</t>
  </si>
  <si>
    <t>ORD01206</t>
  </si>
  <si>
    <t>Clara Ramadhani</t>
  </si>
  <si>
    <t>ORD01050</t>
  </si>
  <si>
    <t>ORD01422</t>
  </si>
  <si>
    <t>ORD00653</t>
  </si>
  <si>
    <t>ORD01732</t>
  </si>
  <si>
    <t>Aulia Ananda</t>
  </si>
  <si>
    <t>ORD01700</t>
  </si>
  <si>
    <t>ORD01410</t>
  </si>
  <si>
    <t>Zahra Iskandar</t>
  </si>
  <si>
    <t>ORD00821</t>
  </si>
  <si>
    <t>Fitri Setiawan</t>
  </si>
  <si>
    <t>ORD01835</t>
  </si>
  <si>
    <t>Citra Fauziah</t>
  </si>
  <si>
    <t>ORD01124</t>
  </si>
  <si>
    <t>ORD00753</t>
  </si>
  <si>
    <t>Lestari Fauziah</t>
  </si>
  <si>
    <t>ORD00391</t>
  </si>
  <si>
    <t>Clara Iskandar</t>
  </si>
  <si>
    <t>ORD01125</t>
  </si>
  <si>
    <t>ORD01218</t>
  </si>
  <si>
    <t>ORD01307</t>
  </si>
  <si>
    <t>ORD01554</t>
  </si>
  <si>
    <t>Fajar Puspita</t>
  </si>
  <si>
    <t>ORD00795</t>
  </si>
  <si>
    <t>ORD01775</t>
  </si>
  <si>
    <t>ORD01293</t>
  </si>
  <si>
    <t>ORD00939</t>
  </si>
  <si>
    <t>Zahra Puspita</t>
  </si>
  <si>
    <t>ORD00794</t>
  </si>
  <si>
    <t>Dina Ramadhani</t>
  </si>
  <si>
    <t>ORD01316</t>
  </si>
  <si>
    <t>ORD00967</t>
  </si>
  <si>
    <t>Iwan Rahmawati</t>
  </si>
  <si>
    <t>ORD01003</t>
  </si>
  <si>
    <t>Dewi Setiawan</t>
  </si>
  <si>
    <t>ORD00058</t>
  </si>
  <si>
    <t>Dimas Puspita</t>
  </si>
  <si>
    <t>ORD00674</t>
  </si>
  <si>
    <t>Dina Nugroho</t>
  </si>
  <si>
    <t>ORD00697</t>
  </si>
  <si>
    <t>ORD01101</t>
  </si>
  <si>
    <t>ORD01119</t>
  </si>
  <si>
    <t>Zahra Budiman</t>
  </si>
  <si>
    <t>ORD00627</t>
  </si>
  <si>
    <t>ORD00072</t>
  </si>
  <si>
    <t>ORD01677</t>
  </si>
  <si>
    <t>ORD01327</t>
  </si>
  <si>
    <t>ORD00930</t>
  </si>
  <si>
    <t>ORD00088</t>
  </si>
  <si>
    <t>ORD01200</t>
  </si>
  <si>
    <t>Yani Budiman</t>
  </si>
  <si>
    <t>ORD01619</t>
  </si>
  <si>
    <t>ORD00827</t>
  </si>
  <si>
    <t>Clara Santoso</t>
  </si>
  <si>
    <t>ORD00781</t>
  </si>
  <si>
    <t>Hana Nugroho</t>
  </si>
  <si>
    <t>ORD00904</t>
  </si>
  <si>
    <t>Lestari Ananda</t>
  </si>
  <si>
    <t>ORD00334</t>
  </si>
  <si>
    <t>ORD00438</t>
  </si>
  <si>
    <t>ORD00875</t>
  </si>
  <si>
    <t>Arif Fauziah</t>
  </si>
  <si>
    <t>ORD01116</t>
  </si>
  <si>
    <t>ORD01672</t>
  </si>
  <si>
    <t>ORD00908</t>
  </si>
  <si>
    <t>ORD00453</t>
  </si>
  <si>
    <t>ORD01340</t>
  </si>
  <si>
    <t>Kartika Saputra</t>
  </si>
  <si>
    <t>ORD01851</t>
  </si>
  <si>
    <t>Hana Pradipta</t>
  </si>
  <si>
    <t>ORD00576</t>
  </si>
  <si>
    <t>ORD00541</t>
  </si>
  <si>
    <t>ORD00661</t>
  </si>
  <si>
    <t>ORD00684</t>
  </si>
  <si>
    <t>Wahyu Santoso</t>
  </si>
  <si>
    <t>ORD01413</t>
  </si>
  <si>
    <t>ORD01605</t>
  </si>
  <si>
    <t>ORD01704</t>
  </si>
  <si>
    <t>Erna Budiman</t>
  </si>
  <si>
    <t>ORD00471</t>
  </si>
  <si>
    <t>ORD01177</t>
  </si>
  <si>
    <t>Zahra Pradipta</t>
  </si>
  <si>
    <t>ORD00870</t>
  </si>
  <si>
    <t>Zahra Kusuma</t>
  </si>
  <si>
    <t>ORD01057</t>
  </si>
  <si>
    <t>ORD00144</t>
  </si>
  <si>
    <t>Erna Kusuma</t>
  </si>
  <si>
    <t>ORD00706</t>
  </si>
  <si>
    <t>Dewi Iskandar</t>
  </si>
  <si>
    <t>ORD00297</t>
  </si>
  <si>
    <t>Ani Utami</t>
  </si>
  <si>
    <t>ORD00513</t>
  </si>
  <si>
    <t>ORD01798</t>
  </si>
  <si>
    <t>ORD01505</t>
  </si>
  <si>
    <t>Aulia Kusuma</t>
  </si>
  <si>
    <t>ORD00618</t>
  </si>
  <si>
    <t>ORD00366</t>
  </si>
  <si>
    <t>ORD00428</t>
  </si>
  <si>
    <t>Yani Ramadhani</t>
  </si>
  <si>
    <t>ORD01725</t>
  </si>
  <si>
    <t>Dewi Wijaya</t>
  </si>
  <si>
    <t>ORD01108</t>
  </si>
  <si>
    <t>ORD00380</t>
  </si>
  <si>
    <t>ORD01214</t>
  </si>
  <si>
    <t>Gita Puspita</t>
  </si>
  <si>
    <t>ORD00358</t>
  </si>
  <si>
    <t>ORD01580</t>
  </si>
  <si>
    <t>ORD01460</t>
  </si>
  <si>
    <t>ORD00162</t>
  </si>
  <si>
    <t>ORD00843</t>
  </si>
  <si>
    <t>ORD01584</t>
  </si>
  <si>
    <t>Sari Kurniawan</t>
  </si>
  <si>
    <t>ORD00657</t>
  </si>
  <si>
    <t>ORD01438</t>
  </si>
  <si>
    <t>ORD00409</t>
  </si>
  <si>
    <t>ORD01353</t>
  </si>
  <si>
    <t>Tono Syahputra</t>
  </si>
  <si>
    <t>ORD00511</t>
  </si>
  <si>
    <t>ORD00548</t>
  </si>
  <si>
    <t>ORD00504</t>
  </si>
  <si>
    <t>Hana Fauziah</t>
  </si>
  <si>
    <t>ORD00832</t>
  </si>
  <si>
    <t>ORD00090</t>
  </si>
  <si>
    <t>Rizky Fauziah</t>
  </si>
  <si>
    <t>ORD00346</t>
  </si>
  <si>
    <t>ORD01768</t>
  </si>
  <si>
    <t>ORD00662</t>
  </si>
  <si>
    <t>Putri Halim</t>
  </si>
  <si>
    <t>ORD00888</t>
  </si>
  <si>
    <t>Yani Hidayat</t>
  </si>
  <si>
    <t>ORD00444</t>
  </si>
  <si>
    <t>ORD01769</t>
  </si>
  <si>
    <t>ORD01636</t>
  </si>
  <si>
    <t>ORD00376</t>
  </si>
  <si>
    <t>Yani Ananda</t>
  </si>
  <si>
    <t>ORD00646</t>
  </si>
  <si>
    <t>Wahyu Budiman</t>
  </si>
  <si>
    <t>ORD00580</t>
  </si>
  <si>
    <t>ORD00535</t>
  </si>
  <si>
    <t>Dina Maulana</t>
  </si>
  <si>
    <t>ORD01406</t>
  </si>
  <si>
    <t>Oka Kurniawan</t>
  </si>
  <si>
    <t>ORD00213</t>
  </si>
  <si>
    <t>ORD00394</t>
  </si>
  <si>
    <t>ORD00379</t>
  </si>
  <si>
    <t>ORD00397</t>
  </si>
  <si>
    <t>Lestari Nugroho</t>
  </si>
  <si>
    <t>ORD00249</t>
  </si>
  <si>
    <t>ORD01403</t>
  </si>
  <si>
    <t>ORD01579</t>
  </si>
  <si>
    <t>ORD00191</t>
  </si>
  <si>
    <t>Sari Utami</t>
  </si>
  <si>
    <t>ORD01667</t>
  </si>
  <si>
    <t>ORD00515</t>
  </si>
  <si>
    <t>Bella Nugroho</t>
  </si>
  <si>
    <t>ORD00402</t>
  </si>
  <si>
    <t>Fitri Utami</t>
  </si>
  <si>
    <t>ORD00105</t>
  </si>
  <si>
    <t>ORD01205</t>
  </si>
  <si>
    <t>ORD00538</t>
  </si>
  <si>
    <t>ORD00761</t>
  </si>
  <si>
    <t>ORD01616</t>
  </si>
  <si>
    <t>ORD00220</t>
  </si>
  <si>
    <t>ORD01539</t>
  </si>
  <si>
    <t>ORD00879</t>
  </si>
  <si>
    <t>ORD01198</t>
  </si>
  <si>
    <t>Putri Ramadhani</t>
  </si>
  <si>
    <t>ORD00038</t>
  </si>
  <si>
    <t>Galih Budiman</t>
  </si>
  <si>
    <t>ORD00903</t>
  </si>
  <si>
    <t>ORD01827</t>
  </si>
  <si>
    <t>ORD00084</t>
  </si>
  <si>
    <t>ORD00780</t>
  </si>
  <si>
    <t>Vina Ananda</t>
  </si>
  <si>
    <t>ORD00059</t>
  </si>
  <si>
    <t>Indra Puspita</t>
  </si>
  <si>
    <t>ORD00451</t>
  </si>
  <si>
    <t>ORD00404</t>
  </si>
  <si>
    <t>Eka Pradipta</t>
  </si>
  <si>
    <t>ORD01506</t>
  </si>
  <si>
    <t>Vina Setiawan</t>
  </si>
  <si>
    <t>ORD00025</t>
  </si>
  <si>
    <t>Dimas Halim</t>
  </si>
  <si>
    <t>ORD01439</t>
  </si>
  <si>
    <t>Joko Nugroho</t>
  </si>
  <si>
    <t>ORD01586</t>
  </si>
  <si>
    <t>ORD01330</t>
  </si>
  <si>
    <t>ORD00789</t>
  </si>
  <si>
    <t>Dewi Ramadhani</t>
  </si>
  <si>
    <t>ORD00273</t>
  </si>
  <si>
    <t>Yani Syahputra</t>
  </si>
  <si>
    <t>ORD01109</t>
  </si>
  <si>
    <t>ORD01857</t>
  </si>
  <si>
    <t>Erna Iskandar</t>
  </si>
  <si>
    <t>ORD00458</t>
  </si>
  <si>
    <t>ORD00330</t>
  </si>
  <si>
    <t>Hana Setiawan</t>
  </si>
  <si>
    <t>ORD01495</t>
  </si>
  <si>
    <t>ORD00175</t>
  </si>
  <si>
    <t>Dewi Nugroho</t>
  </si>
  <si>
    <t>ORD00645</t>
  </si>
  <si>
    <t>Yani Kusuma</t>
  </si>
  <si>
    <t>ORD01123</t>
  </si>
  <si>
    <t>ORD00365</t>
  </si>
  <si>
    <t>ORD01670</t>
  </si>
  <si>
    <t>ORD00017</t>
  </si>
  <si>
    <t>ORD01511</t>
  </si>
  <si>
    <t>Fitri Halim</t>
  </si>
  <si>
    <t>ORD00315</t>
  </si>
  <si>
    <t>Erna Syahputra</t>
  </si>
  <si>
    <t>ORD01131</t>
  </si>
  <si>
    <t>Yoga Nugroho</t>
  </si>
  <si>
    <t>ORD01711</t>
  </si>
  <si>
    <t>ORD00539</t>
  </si>
  <si>
    <t>Kartika Santoso</t>
  </si>
  <si>
    <t>ORD01659</t>
  </si>
  <si>
    <t>ORD01278</t>
  </si>
  <si>
    <t>Ani Setiawan</t>
  </si>
  <si>
    <t>ORD01773</t>
  </si>
  <si>
    <t>ORD01695</t>
  </si>
  <si>
    <t>ORD01193</t>
  </si>
  <si>
    <t>ORD00386</t>
  </si>
  <si>
    <t>ORD01304</t>
  </si>
  <si>
    <t>ORD01710</t>
  </si>
  <si>
    <t>Erna Fauziah</t>
  </si>
  <si>
    <t>ORD01519</t>
  </si>
  <si>
    <t>Qori Utami</t>
  </si>
  <si>
    <t>ORD00167</t>
  </si>
  <si>
    <t>ORD01246</t>
  </si>
  <si>
    <t>Kartika Halim</t>
  </si>
  <si>
    <t>ORD01607</t>
  </si>
  <si>
    <t>ORD00261</t>
  </si>
  <si>
    <t>ORD00542</t>
  </si>
  <si>
    <t>Bella Utami</t>
  </si>
  <si>
    <t>ORD01498</t>
  </si>
  <si>
    <t>ORD01464</t>
  </si>
  <si>
    <t>Lestari Hidayat</t>
  </si>
  <si>
    <t>ORD00932</t>
  </si>
  <si>
    <t>ORD00028</t>
  </si>
  <si>
    <t>Andi Utami</t>
  </si>
  <si>
    <t>ORD00876</t>
  </si>
  <si>
    <t>ORD00678</t>
  </si>
  <si>
    <t>ORD01535</t>
  </si>
  <si>
    <t>Erna Wijaya</t>
  </si>
  <si>
    <t>ORD00566</t>
  </si>
  <si>
    <t>ORD01212</t>
  </si>
  <si>
    <t>ORD00918</t>
  </si>
  <si>
    <t>ORD00536</t>
  </si>
  <si>
    <t>Yani Utami</t>
  </si>
  <si>
    <t>ORD01192</t>
  </si>
  <si>
    <t>ORD01010</t>
  </si>
  <si>
    <t>ORD00439</t>
  </si>
  <si>
    <t>ORD01514</t>
  </si>
  <si>
    <t>ORD01375</t>
  </si>
  <si>
    <t>ORD00431</t>
  </si>
  <si>
    <t>ORD00940</t>
  </si>
  <si>
    <t>ORD00779</t>
  </si>
  <si>
    <t>Fitri Budiman</t>
  </si>
  <si>
    <t>ORD01099</t>
  </si>
  <si>
    <t>Lestari Santoso</t>
  </si>
  <si>
    <t>ORD01767</t>
  </si>
  <si>
    <t>Putri Saputra</t>
  </si>
  <si>
    <t>ORD01006</t>
  </si>
  <si>
    <t>ORD01815</t>
  </si>
  <si>
    <t>ORD01678</t>
  </si>
  <si>
    <t>Clara Setiawan</t>
  </si>
  <si>
    <t>ORD01658</t>
  </si>
  <si>
    <t>Kartika Fauziah</t>
  </si>
  <si>
    <t>ORD01428</t>
  </si>
  <si>
    <t>Hana Saputra</t>
  </si>
  <si>
    <t>ORD01138</t>
  </si>
  <si>
    <t>Aulia Budiman</t>
  </si>
  <si>
    <t>ORD00564</t>
  </si>
  <si>
    <t>ORD01649</t>
  </si>
  <si>
    <t>ORD01561</t>
  </si>
  <si>
    <t>ORD00762</t>
  </si>
  <si>
    <t>ORD00871</t>
  </si>
  <si>
    <t>ORD00887</t>
  </si>
  <si>
    <t>ORD00991</t>
  </si>
  <si>
    <t>Indra Halim</t>
  </si>
  <si>
    <t>ORD00808</t>
  </si>
  <si>
    <t>Zahra Ananda</t>
  </si>
  <si>
    <t>ORD01538</t>
  </si>
  <si>
    <t>ORD00584</t>
  </si>
  <si>
    <t>ORD01655</t>
  </si>
  <si>
    <t>ORD00320</t>
  </si>
  <si>
    <t>ORD01373</t>
  </si>
  <si>
    <t>Kartika Hidayat</t>
  </si>
  <si>
    <t>ORD01582</t>
  </si>
  <si>
    <t>Eka Rahmawati</t>
  </si>
  <si>
    <t>ORD00922</t>
  </si>
  <si>
    <t>ORD00936</t>
  </si>
  <si>
    <t>ORD00289</t>
  </si>
  <si>
    <t>Erna Kurniawan</t>
  </si>
  <si>
    <t>ORD01404</t>
  </si>
  <si>
    <t>ORD01574</t>
  </si>
  <si>
    <t>ORD00591</t>
  </si>
  <si>
    <t>Eka Maulana</t>
  </si>
  <si>
    <t>ORD01248</t>
  </si>
  <si>
    <t>ORD00573</t>
  </si>
  <si>
    <t>ORD01044</t>
  </si>
  <si>
    <t>ORD01644</t>
  </si>
  <si>
    <t>ORD00372</t>
  </si>
  <si>
    <t>ORD00300</t>
  </si>
  <si>
    <t>Hana Syahputra</t>
  </si>
  <si>
    <t>ORD01187</t>
  </si>
  <si>
    <t>Citra Hidayat</t>
  </si>
  <si>
    <t>ORD00355</t>
  </si>
  <si>
    <t>ORD00400</t>
  </si>
  <si>
    <t>ORD00638</t>
  </si>
  <si>
    <t>ORD01036</t>
  </si>
  <si>
    <t>ORD01661</t>
  </si>
  <si>
    <t>Qori Santoso</t>
  </si>
  <si>
    <t>ORD00352</t>
  </si>
  <si>
    <t>ORD00030</t>
  </si>
  <si>
    <t>ORD01078</t>
  </si>
  <si>
    <t>ORD01290</t>
  </si>
  <si>
    <t>Putri Setiawan</t>
  </si>
  <si>
    <t>ORD01380</t>
  </si>
  <si>
    <t>Indra Setiawan</t>
  </si>
  <si>
    <t>ORD00667</t>
  </si>
  <si>
    <t>Iwan Budiman</t>
  </si>
  <si>
    <t>ORD01487</t>
  </si>
  <si>
    <t>ORD01600</t>
  </si>
  <si>
    <t>ORD01146</t>
  </si>
  <si>
    <t>ORD00234</t>
  </si>
  <si>
    <t>ORD00943</t>
  </si>
  <si>
    <t>ORD01017</t>
  </si>
  <si>
    <t>ORD01045</t>
  </si>
  <si>
    <t>Dewi Utami</t>
  </si>
  <si>
    <t>ORD00214</t>
  </si>
  <si>
    <t>Eka Syahputra</t>
  </si>
  <si>
    <t>ORD01831</t>
  </si>
  <si>
    <t>ORD01753</t>
  </si>
  <si>
    <t>ORD01345</t>
  </si>
  <si>
    <t>ORD01310</t>
  </si>
  <si>
    <t>Tono Ananda</t>
  </si>
  <si>
    <t>ORD00361</t>
  </si>
  <si>
    <t>Gita Iskandar</t>
  </si>
  <si>
    <t>ORD00098</t>
  </si>
  <si>
    <t>ORD01001</t>
  </si>
  <si>
    <t>Sari Saputra</t>
  </si>
  <si>
    <t>ORD01497</t>
  </si>
  <si>
    <t>ORD01023</t>
  </si>
  <si>
    <t>ORD00031</t>
  </si>
  <si>
    <t>Budi Fauziah</t>
  </si>
  <si>
    <t>ORD00512</t>
  </si>
  <si>
    <t>ORD01515</t>
  </si>
  <si>
    <t>ORD01449</t>
  </si>
  <si>
    <t>ORD01144</t>
  </si>
  <si>
    <t>ORD00520</t>
  </si>
  <si>
    <t>ORD00865</t>
  </si>
  <si>
    <t>Wahyu Hidayat</t>
  </si>
  <si>
    <t>ORD01034</t>
  </si>
  <si>
    <t>ORD00725</t>
  </si>
  <si>
    <t>ORD00989</t>
  </si>
  <si>
    <t>ORD01265</t>
  </si>
  <si>
    <t>ORD00434</t>
  </si>
  <si>
    <t>ORD00823</t>
  </si>
  <si>
    <t>ORD00493</t>
  </si>
  <si>
    <t>Putri Syahputra</t>
  </si>
  <si>
    <t>ORD01465</t>
  </si>
  <si>
    <t>Fitri Saputra</t>
  </si>
  <si>
    <t>ORD00882</t>
  </si>
  <si>
    <t>ORD01357</t>
  </si>
  <si>
    <t>ORD00316</t>
  </si>
  <si>
    <t>ORD00475</t>
  </si>
  <si>
    <t>ORD00071</t>
  </si>
  <si>
    <t>Galih Puspita</t>
  </si>
  <si>
    <t>ORD01139</t>
  </si>
  <si>
    <t>ORD00120</t>
  </si>
  <si>
    <t>ORD01813</t>
  </si>
  <si>
    <t>ORD00710</t>
  </si>
  <si>
    <t>ORD00509</t>
  </si>
  <si>
    <t>ORD00996</t>
  </si>
  <si>
    <t>ORD00663</t>
  </si>
  <si>
    <t>Made Kusuma</t>
  </si>
  <si>
    <t>ORD00508</t>
  </si>
  <si>
    <t>ORD00824</t>
  </si>
  <si>
    <t>ORD00916</t>
  </si>
  <si>
    <t>ORD01728</t>
  </si>
  <si>
    <t>ORD00861</t>
  </si>
  <si>
    <t>ORD00108</t>
  </si>
  <si>
    <t>Sari Budiman</t>
  </si>
  <si>
    <t>ORD00785</t>
  </si>
  <si>
    <t>Qori Hidayat</t>
  </si>
  <si>
    <t>ORD00145</t>
  </si>
  <si>
    <t>ORD01652</t>
  </si>
  <si>
    <t>ORD00086</t>
  </si>
  <si>
    <t>Yoga Wijaya</t>
  </si>
  <si>
    <t>ORD01029</t>
  </si>
  <si>
    <t>ORD00748</t>
  </si>
  <si>
    <t>ORD00044</t>
  </si>
  <si>
    <t>ORD00961</t>
  </si>
  <si>
    <t>ORD00262</t>
  </si>
  <si>
    <t>ORD01764</t>
  </si>
  <si>
    <t>ORD00406</t>
  </si>
  <si>
    <t>ORD00233</t>
  </si>
  <si>
    <t>ORD01065</t>
  </si>
  <si>
    <t>ORD01491</t>
  </si>
  <si>
    <t>ORD00442</t>
  </si>
  <si>
    <t>Gita Kusuma</t>
  </si>
  <si>
    <t>ORD00223</t>
  </si>
  <si>
    <t>Aulia Syahputra</t>
  </si>
  <si>
    <t>ORD00724</t>
  </si>
  <si>
    <t>ORD01549</t>
  </si>
  <si>
    <t>ORD01854</t>
  </si>
  <si>
    <t>Tono Kurniawan</t>
  </si>
  <si>
    <t>ORD00642</t>
  </si>
  <si>
    <t>Hendra Syahputra</t>
  </si>
  <si>
    <t>ORD01352</t>
  </si>
  <si>
    <t>ORD00616</t>
  </si>
  <si>
    <t>ORD00528</t>
  </si>
  <si>
    <t>ORD00809</t>
  </si>
  <si>
    <t>ORD00413</t>
  </si>
  <si>
    <t>ORD00677</t>
  </si>
  <si>
    <t>ORD00212</t>
  </si>
  <si>
    <t>ORD00670</t>
  </si>
  <si>
    <t>ORD00556</t>
  </si>
  <si>
    <t>ORD00221</t>
  </si>
  <si>
    <t>ORD01121</t>
  </si>
  <si>
    <t>ORD01394</t>
  </si>
  <si>
    <t>ORD01758</t>
  </si>
  <si>
    <t>ORD00184</t>
  </si>
  <si>
    <t>ORD00656</t>
  </si>
  <si>
    <t>ORD01520</t>
  </si>
  <si>
    <t>ORD00851</t>
  </si>
  <si>
    <t>ORD01433</t>
  </si>
  <si>
    <t>ORD01803</t>
  </si>
  <si>
    <t>ORD00081</t>
  </si>
  <si>
    <t>ORD00430</t>
  </si>
  <si>
    <t>ORD01337</t>
  </si>
  <si>
    <t>ORD00951</t>
  </si>
  <si>
    <t>ORD00009</t>
  </si>
  <si>
    <t>ORD01054</t>
  </si>
  <si>
    <t>ORD01071</t>
  </si>
  <si>
    <t>ORD00331</t>
  </si>
  <si>
    <t>ORD00704</t>
  </si>
  <si>
    <t>ORD00445</t>
  </si>
  <si>
    <t>Citra Kusuma</t>
  </si>
  <si>
    <t>ORD01051</t>
  </si>
  <si>
    <t>ORD00590</t>
  </si>
  <si>
    <t>ORD00063</t>
  </si>
  <si>
    <t>ORD00845</t>
  </si>
  <si>
    <t>Aulia Puspita</t>
  </si>
  <si>
    <t>ORD01022</t>
  </si>
  <si>
    <t>ORD00601</t>
  </si>
  <si>
    <t>ORD00974</t>
  </si>
  <si>
    <t>ORD00393</t>
  </si>
  <si>
    <t>ORD00960</t>
  </si>
  <si>
    <t>ORD01133</t>
  </si>
  <si>
    <t>ORD01821</t>
  </si>
  <si>
    <t>ORD01675</t>
  </si>
  <si>
    <t>ORD00169</t>
  </si>
  <si>
    <t>Dewi Maulana</t>
  </si>
  <si>
    <t>ORD00395</t>
  </si>
  <si>
    <t>ORD01291</t>
  </si>
  <si>
    <t>ORD00546</t>
  </si>
  <si>
    <t>ORD00362</t>
  </si>
  <si>
    <t>ORD01182</t>
  </si>
  <si>
    <t>ORD01066</t>
  </si>
  <si>
    <t>Putri Iskandar</t>
  </si>
  <si>
    <t>ORD00421</t>
  </si>
  <si>
    <t>ORD00641</t>
  </si>
  <si>
    <t>Sari Wijaya</t>
  </si>
  <si>
    <t>ORD00977</t>
  </si>
  <si>
    <t>ORD01848</t>
  </si>
  <si>
    <t>ORD00035</t>
  </si>
  <si>
    <t>Tono Hidayat</t>
  </si>
  <si>
    <t>ORD01251</t>
  </si>
  <si>
    <t>Lestari Syahputra</t>
  </si>
  <si>
    <t>ORD01639</t>
  </si>
  <si>
    <t>ORD01451</t>
  </si>
  <si>
    <t>ORD00148</t>
  </si>
  <si>
    <t>ORD00207</t>
  </si>
  <si>
    <t>Yani Rahmawati</t>
  </si>
  <si>
    <t>ORD00569</t>
  </si>
  <si>
    <t>ORD01805</t>
  </si>
  <si>
    <t>ORD00599</t>
  </si>
  <si>
    <t>ORD01518</t>
  </si>
  <si>
    <t>ORD00199</t>
  </si>
  <si>
    <t>ORD00005</t>
  </si>
  <si>
    <t>ORD00173</t>
  </si>
  <si>
    <t>ORD01715</t>
  </si>
  <si>
    <t>ORD01234</t>
  </si>
  <si>
    <t>ORD00410</t>
  </si>
  <si>
    <t>ORD00623</t>
  </si>
  <si>
    <t>ORD00980</t>
  </si>
  <si>
    <t>Hana Puspita</t>
  </si>
  <si>
    <t>ORD00226</t>
  </si>
  <si>
    <t>Aulia Pradipta</t>
  </si>
  <si>
    <t>ORD00371</t>
  </si>
  <si>
    <t>ORD00830</t>
  </si>
  <si>
    <t>ORD00925</t>
  </si>
  <si>
    <t>ORD00658</t>
  </si>
  <si>
    <t>ORD00170</t>
  </si>
  <si>
    <t>ORD00006</t>
  </si>
  <si>
    <t>Eko Iskandar</t>
  </si>
  <si>
    <t>ORD01850</t>
  </si>
  <si>
    <t>ORD01424</t>
  </si>
  <si>
    <t>ORD01500</t>
  </si>
  <si>
    <t>ORD00050</t>
  </si>
  <si>
    <t>ORD01342</t>
  </si>
  <si>
    <t>ORD00256</t>
  </si>
  <si>
    <t>ORD01292</t>
  </si>
  <si>
    <t>ORD00026</t>
  </si>
  <si>
    <t>ORD00812</t>
  </si>
  <si>
    <t>Lestari Pradipta</t>
  </si>
  <si>
    <t>ORD01062</t>
  </si>
  <si>
    <t>ORD01461</t>
  </si>
  <si>
    <t>Dina Puspita</t>
  </si>
  <si>
    <t>ORD00931</t>
  </si>
  <si>
    <t>ORD01702</t>
  </si>
  <si>
    <t>ORD01369</t>
  </si>
  <si>
    <t>ORD00523</t>
  </si>
  <si>
    <t>ORD00763</t>
  </si>
  <si>
    <t>ORD00534</t>
  </si>
  <si>
    <t>ORD00281</t>
  </si>
  <si>
    <t>Lestari Puspita</t>
  </si>
  <si>
    <t>ORD00102</t>
  </si>
  <si>
    <t>Aulia Saputra</t>
  </si>
  <si>
    <t>ORD01681</t>
  </si>
  <si>
    <t>ORD01729</t>
  </si>
  <si>
    <t>Qori Maulana</t>
  </si>
  <si>
    <t>ORD00187</t>
  </si>
  <si>
    <t>Qori Pradipta</t>
  </si>
  <si>
    <t>ORD00614</t>
  </si>
  <si>
    <t>ORD00337</t>
  </si>
  <si>
    <t>ORD00419</t>
  </si>
  <si>
    <t>ORD00749</t>
  </si>
  <si>
    <t>ORD01817</t>
  </si>
  <si>
    <t>ORD00712</t>
  </si>
  <si>
    <t>Putri Hidayat</t>
  </si>
  <si>
    <t>ORD00531</t>
  </si>
  <si>
    <t>ORD00185</t>
  </si>
  <si>
    <t>Zahra Halim</t>
  </si>
  <si>
    <t>ORD00948</t>
  </si>
  <si>
    <t>ORD00480</t>
  </si>
  <si>
    <t>Eka Iskandar</t>
  </si>
  <si>
    <t>ORD00129</t>
  </si>
  <si>
    <t>Hana Kusuma</t>
  </si>
  <si>
    <t>ORD01320</t>
  </si>
  <si>
    <t>ORD01673</t>
  </si>
  <si>
    <t>ORD01053</t>
  </si>
  <si>
    <t>ORD01516</t>
  </si>
  <si>
    <t>ORD01569</t>
  </si>
  <si>
    <t>Bayu Ananda</t>
  </si>
  <si>
    <t>ORD00204</t>
  </si>
  <si>
    <t>Hana Ramadhani</t>
  </si>
  <si>
    <t>ORD01363</t>
  </si>
  <si>
    <t>ORD01008</t>
  </si>
  <si>
    <t>Dewi Syahputra</t>
  </si>
  <si>
    <t>ORD00968</t>
  </si>
  <si>
    <t>ORD01239</t>
  </si>
  <si>
    <t>Fitri Kurniawan</t>
  </si>
  <si>
    <t>ORD01127</t>
  </si>
  <si>
    <t>ORD00592</t>
  </si>
  <si>
    <t>ORD00872</t>
  </si>
  <si>
    <t>Zahra Saputra</t>
  </si>
  <si>
    <t>ORD00479</t>
  </si>
  <si>
    <t>ORD00477</t>
  </si>
  <si>
    <t>ORD01288</t>
  </si>
  <si>
    <t>ORD00124</t>
  </si>
  <si>
    <t>ORD01782</t>
  </si>
  <si>
    <t>ORD01077</t>
  </si>
  <si>
    <t>ORD01567</t>
  </si>
  <si>
    <t>ORD01238</t>
  </si>
  <si>
    <t>ORD01489</t>
  </si>
  <si>
    <t>Clara Hidayat</t>
  </si>
  <si>
    <t>ORD01240</t>
  </si>
  <si>
    <t>ORD01235</t>
  </si>
  <si>
    <t>ORD01371</t>
  </si>
  <si>
    <t>Aulia Wijaya</t>
  </si>
  <si>
    <t>ORD01606</t>
  </si>
  <si>
    <t>ORD01376</t>
  </si>
  <si>
    <t>ORD00061</t>
  </si>
  <si>
    <t>Fajar Fauziah</t>
  </si>
  <si>
    <t>ORD01318</t>
  </si>
  <si>
    <t>ORD00773</t>
  </si>
  <si>
    <t>ORD00254</t>
  </si>
  <si>
    <t>ORD00999</t>
  </si>
  <si>
    <t>ORD00586</t>
  </si>
  <si>
    <t>ORD01335</t>
  </si>
  <si>
    <t>Indra Ananda</t>
  </si>
  <si>
    <t>ORD00082</t>
  </si>
  <si>
    <t>ORD00462</t>
  </si>
  <si>
    <t>ORD01180</t>
  </si>
  <si>
    <t>ORD00803</t>
  </si>
  <si>
    <t>ORD01091</t>
  </si>
  <si>
    <t>ORD01762</t>
  </si>
  <si>
    <t>ORD00166</t>
  </si>
  <si>
    <t>Hana Maulana</t>
  </si>
  <si>
    <t>ORD00609</t>
  </si>
  <si>
    <t>ORD00264</t>
  </si>
  <si>
    <t>ORD00976</t>
  </si>
  <si>
    <t>ORD00045</t>
  </si>
  <si>
    <t>Budi Puspita</t>
  </si>
  <si>
    <t>ORD00206</t>
  </si>
  <si>
    <t>ORD01407</t>
  </si>
  <si>
    <t>ORD01168</t>
  </si>
  <si>
    <t>ORD01691</t>
  </si>
  <si>
    <t>ORD00494</t>
  </si>
  <si>
    <t>Fitri Kusuma</t>
  </si>
  <si>
    <t>ORD01341</t>
  </si>
  <si>
    <t>ORD01189</t>
  </si>
  <si>
    <t>Fitri Nugroho</t>
  </si>
  <si>
    <t>ORD00464</t>
  </si>
  <si>
    <t>Aulia Ramadhani</t>
  </si>
  <si>
    <t>ORD00988</t>
  </si>
  <si>
    <t>ORD00224</t>
  </si>
  <si>
    <t>Hana Utami</t>
  </si>
  <si>
    <t>ORD01504</t>
  </si>
  <si>
    <t>ORD00574</t>
  </si>
  <si>
    <t>Vina Iskandar</t>
  </si>
  <si>
    <t>ORD01480</t>
  </si>
  <si>
    <t>Yani Maulana</t>
  </si>
  <si>
    <t>ORD01778</t>
  </si>
  <si>
    <t>ORD00311</t>
  </si>
  <si>
    <t>Gita Ananda</t>
  </si>
  <si>
    <t>ORD01266</t>
  </si>
  <si>
    <t>ORD01573</t>
  </si>
  <si>
    <t>Clara Halim</t>
  </si>
  <si>
    <t>ORD00244</t>
  </si>
  <si>
    <t>ORD00675</t>
  </si>
  <si>
    <t>Andi Syahputra</t>
  </si>
  <si>
    <t>ORD01081</t>
  </si>
  <si>
    <t>ORD01126</t>
  </si>
  <si>
    <t>ORD00486</t>
  </si>
  <si>
    <t>ORD01476</t>
  </si>
  <si>
    <t>ORD00043</t>
  </si>
  <si>
    <t>ORD01541</t>
  </si>
  <si>
    <t>Fitri Hidayat</t>
  </si>
  <si>
    <t>ORD01300</t>
  </si>
  <si>
    <t>ORD01548</t>
  </si>
  <si>
    <t>ORD00826</t>
  </si>
  <si>
    <t>ORD00854</t>
  </si>
  <si>
    <t>ORD01447</t>
  </si>
  <si>
    <t>ORD01706</t>
  </si>
  <si>
    <t>ORD01653</t>
  </si>
  <si>
    <t>ORD01095</t>
  </si>
  <si>
    <t>ORD00907</t>
  </si>
  <si>
    <t>ORD01810</t>
  </si>
  <si>
    <t>ORD01173</t>
  </si>
  <si>
    <t>ORD01430</t>
  </si>
  <si>
    <t>ORD01306</t>
  </si>
  <si>
    <t>Fitri Santoso</t>
  </si>
  <si>
    <t>ORD01823</t>
  </si>
  <si>
    <t>ORD00291</t>
  </si>
  <si>
    <t>ORD00526</t>
  </si>
  <si>
    <t>ORD01832</t>
  </si>
  <si>
    <t>ORD00248</t>
  </si>
  <si>
    <t>ORD01660</t>
  </si>
  <si>
    <t>ORD01521</t>
  </si>
  <si>
    <t>ORD01171</t>
  </si>
  <si>
    <t>ORD00110</t>
  </si>
  <si>
    <t>ORD01191</t>
  </si>
  <si>
    <t>ORD00551</t>
  </si>
  <si>
    <t>ORD00375</t>
  </si>
  <si>
    <t>Sari Ramadhani</t>
  </si>
  <si>
    <t>ORD00975</t>
  </si>
  <si>
    <t>ORD00427</t>
  </si>
  <si>
    <t>ORD00919</t>
  </si>
  <si>
    <t>ORD00138</t>
  </si>
  <si>
    <t>ORD00517</t>
  </si>
  <si>
    <t>Gita Santoso</t>
  </si>
  <si>
    <t>ORD00727</t>
  </si>
  <si>
    <t>ORD00588</t>
  </si>
  <si>
    <t>ORD00702</t>
  </si>
  <si>
    <t>ORD00276</t>
  </si>
  <si>
    <t>ORD01223</t>
  </si>
  <si>
    <t>ORD00107</t>
  </si>
  <si>
    <t>ORD00432</t>
  </si>
  <si>
    <t>ORD00133</t>
  </si>
  <si>
    <t>ORD01004</t>
  </si>
  <si>
    <t>ORD01475</t>
  </si>
  <si>
    <t>ORD01761</t>
  </si>
  <si>
    <t>ORD00775</t>
  </si>
  <si>
    <t>ORD00734</t>
  </si>
  <si>
    <t>ORD01557</t>
  </si>
  <si>
    <t>ORD00895</t>
  </si>
  <si>
    <t>ORD00015</t>
  </si>
  <si>
    <t>ORD00850</t>
  </si>
  <si>
    <t>ORD00074</t>
  </si>
  <si>
    <t>ORD00152</t>
  </si>
  <si>
    <t>Kartika Pradipta</t>
  </si>
  <si>
    <t>ORD01122</t>
  </si>
  <si>
    <t>ORD00525</t>
  </si>
  <si>
    <t>ORD00837</t>
  </si>
  <si>
    <t>ORD00235</t>
  </si>
  <si>
    <t>ORD00443</t>
  </si>
  <si>
    <t>ORD01626</t>
  </si>
  <si>
    <t>ORD01540</t>
  </si>
  <si>
    <t>ORD01067</t>
  </si>
  <si>
    <t>ORD01349</t>
  </si>
  <si>
    <t>ORD00457</t>
  </si>
  <si>
    <t>Erna Ananda</t>
  </si>
  <si>
    <t>ORD00507</t>
  </si>
  <si>
    <t>ORD00353</t>
  </si>
  <si>
    <t>ORD00643</t>
  </si>
  <si>
    <t>ORD00966</t>
  </si>
  <si>
    <t>ORD00075</t>
  </si>
  <si>
    <t>ORD01596</t>
  </si>
  <si>
    <t>ORD01311</t>
  </si>
  <si>
    <t>ORD01735</t>
  </si>
  <si>
    <t>ORD01799</t>
  </si>
  <si>
    <t>ORD00149</t>
  </si>
  <si>
    <t>ORD00042</t>
  </si>
  <si>
    <t>ORD00449</t>
  </si>
  <si>
    <t>ORD01657</t>
  </si>
  <si>
    <t>ORD01471</t>
  </si>
  <si>
    <t>ORD01281</t>
  </si>
  <si>
    <t>ORD01617</t>
  </si>
  <si>
    <t>ORD01662</t>
  </si>
  <si>
    <t>Gita Nugroho</t>
  </si>
  <si>
    <t>ORD01087</t>
  </si>
  <si>
    <t>ORD01244</t>
  </si>
  <si>
    <t>ORD01209</t>
  </si>
  <si>
    <t>ORD00450</t>
  </si>
  <si>
    <t>ORD00926</t>
  </si>
  <si>
    <t>ORD01575</t>
  </si>
  <si>
    <t>ORD01731</t>
  </si>
  <si>
    <t>ORD01275</t>
  </si>
  <si>
    <t>Zahra Wijaya</t>
  </si>
  <si>
    <t>ORD01462</t>
  </si>
  <si>
    <t>ORD01545</t>
  </si>
  <si>
    <t>ORD00217</t>
  </si>
  <si>
    <t>Citra Saputra</t>
  </si>
  <si>
    <t>ORD00793</t>
  </si>
  <si>
    <t>ORD00435</t>
  </si>
  <si>
    <t>ORD00153</t>
  </si>
  <si>
    <t>ORD00420</t>
  </si>
  <si>
    <t>ORD01147</t>
  </si>
  <si>
    <t>ORD00405</t>
  </si>
  <si>
    <t>ORD00474</t>
  </si>
  <si>
    <t>ORD01829</t>
  </si>
  <si>
    <t>Eka Ramadhani</t>
  </si>
  <si>
    <t>ORD00889</t>
  </si>
  <si>
    <t>ORD01696</t>
  </si>
  <si>
    <t>ORD00892</t>
  </si>
  <si>
    <t>ORD01073</t>
  </si>
  <si>
    <t>ORD01493</t>
  </si>
  <si>
    <t>ORD00524</t>
  </si>
  <si>
    <t>ORD00287</t>
  </si>
  <si>
    <t>ORD01282</t>
  </si>
  <si>
    <t>Arif Maulana</t>
  </si>
  <si>
    <t>ORD01055</t>
  </si>
  <si>
    <t>ORD00313</t>
  </si>
  <si>
    <t>ORD01389</t>
  </si>
  <si>
    <t>Eka Kurniawan</t>
  </si>
  <si>
    <t>ORD01427</t>
  </si>
  <si>
    <t>ORD00970</t>
  </si>
  <si>
    <t>ORD00982</t>
  </si>
  <si>
    <t>ORD01220</t>
  </si>
  <si>
    <t>ORD00011</t>
  </si>
  <si>
    <t>ORD01789</t>
  </si>
  <si>
    <t>Citra Utami</t>
  </si>
  <si>
    <t>ORD00174</t>
  </si>
  <si>
    <t>ORD01392</t>
  </si>
  <si>
    <t>ORD01633</t>
  </si>
  <si>
    <t>ORD01401</t>
  </si>
  <si>
    <t>ORD00094</t>
  </si>
  <si>
    <t>ORD00302</t>
  </si>
  <si>
    <t>ORD01647</t>
  </si>
  <si>
    <t>Erna Utami</t>
  </si>
  <si>
    <t>ORD00900</t>
  </si>
  <si>
    <t>ORD01154</t>
  </si>
  <si>
    <t>ORD01490</t>
  </si>
  <si>
    <t>ORD01572</t>
  </si>
  <si>
    <t>ORD00260</t>
  </si>
  <si>
    <t>ORD00283</t>
  </si>
  <si>
    <t>Qori Ananda</t>
  </si>
  <si>
    <t>ORD01237</t>
  </si>
  <si>
    <t>ORD01819</t>
  </si>
  <si>
    <t>ORD01669</t>
  </si>
  <si>
    <t>ORD00496</t>
  </si>
  <si>
    <t>ORD01583</t>
  </si>
  <si>
    <t>ORD00798</t>
  </si>
  <si>
    <t>ORD01415</t>
  </si>
  <si>
    <t>Bella Fauziah</t>
  </si>
  <si>
    <t>ORD00327</t>
  </si>
  <si>
    <t>ORD00441</t>
  </si>
  <si>
    <t>ORD01453</t>
  </si>
  <si>
    <t>ORD00495</t>
  </si>
  <si>
    <t>ORD00529</t>
  </si>
  <si>
    <t>ORD00139</t>
  </si>
  <si>
    <t>Aulia Maulana</t>
  </si>
  <si>
    <t>ORD00231</t>
  </si>
  <si>
    <t>ORD01437</t>
  </si>
  <si>
    <t>ORD00514</t>
  </si>
  <si>
    <t>ORD00777</t>
  </si>
  <si>
    <t>ORD00799</t>
  </si>
  <si>
    <t>ORD01135</t>
  </si>
  <si>
    <t>ORD01537</t>
  </si>
  <si>
    <t>ORD00964</t>
  </si>
  <si>
    <t>ORD01028</t>
  </si>
  <si>
    <t>ORD00788</t>
  </si>
  <si>
    <t>Erna Halim</t>
  </si>
  <si>
    <t>ORD01738</t>
  </si>
  <si>
    <t>Kartika Kusuma</t>
  </si>
  <si>
    <t>ORD01118</t>
  </si>
  <si>
    <t>ORD01058</t>
  </si>
  <si>
    <t>ORD00008</t>
  </si>
  <si>
    <t>Indra Rahmawati</t>
  </si>
  <si>
    <t>ORD00713</t>
  </si>
  <si>
    <t>ORD00500</t>
  </si>
  <si>
    <t>ORD01734</t>
  </si>
  <si>
    <t>Citra Ananda</t>
  </si>
  <si>
    <t>ORD00208</t>
  </si>
  <si>
    <t>Dewi Saputra</t>
  </si>
  <si>
    <t>ORD00068</t>
  </si>
  <si>
    <t>ORD00866</t>
  </si>
  <si>
    <t>ORD00222</t>
  </si>
  <si>
    <t>ORD01581</t>
  </si>
  <si>
    <t>ORD00605</t>
  </si>
  <si>
    <t>ORD00211</t>
  </si>
  <si>
    <t>ORD01703</t>
  </si>
  <si>
    <t>ORD00957</t>
  </si>
  <si>
    <t>ORD00171</t>
  </si>
  <si>
    <t>ORD00398</t>
  </si>
  <si>
    <t>ORD01603</t>
  </si>
  <si>
    <t>ORD00083</t>
  </si>
  <si>
    <t>Nanda Halim</t>
  </si>
  <si>
    <t>ORD01483</t>
  </si>
  <si>
    <t>ORD00790</t>
  </si>
  <si>
    <t>ORD00994</t>
  </si>
  <si>
    <t>ORD00095</t>
  </si>
  <si>
    <t>Galih Saputra</t>
  </si>
  <si>
    <t>ORD01536</t>
  </si>
  <si>
    <t>ORD01271</t>
  </si>
  <si>
    <t>ORD00194</t>
  </si>
  <si>
    <t>ORD01795</t>
  </si>
  <si>
    <t>ORD01578</t>
  </si>
  <si>
    <t>ORD00275</t>
  </si>
  <si>
    <t>Sari Kusuma</t>
  </si>
  <si>
    <t>ORD00053</t>
  </si>
  <si>
    <t>ORD01132</t>
  </si>
  <si>
    <t>ORD00040</t>
  </si>
  <si>
    <t>ORD00893</t>
  </si>
  <si>
    <t>ORD00232</t>
  </si>
  <si>
    <t>ORD01374</t>
  </si>
  <si>
    <t>ORD00240</t>
  </si>
  <si>
    <t>ORD01361</t>
  </si>
  <si>
    <t>ORD01364</t>
  </si>
  <si>
    <t>ORD00182</t>
  </si>
  <si>
    <t>Fitri Syahputra</t>
  </si>
  <si>
    <t>ORD01025</t>
  </si>
  <si>
    <t>ORD00620</t>
  </si>
  <si>
    <t>ORD00412</t>
  </si>
  <si>
    <t>ORD00077</t>
  </si>
  <si>
    <t>ORD00805</t>
  </si>
  <si>
    <t>ORD00759</t>
  </si>
  <si>
    <t>Clara Syahputra</t>
  </si>
  <si>
    <t>ORD01794</t>
  </si>
  <si>
    <t>ORD00151</t>
  </si>
  <si>
    <t>ORD01226</t>
  </si>
  <si>
    <t>ORD00216</t>
  </si>
  <si>
    <t>ORD01255</t>
  </si>
  <si>
    <t>ORD00473</t>
  </si>
  <si>
    <t>ORD01178</t>
  </si>
  <si>
    <t>ORD01175</t>
  </si>
  <si>
    <t>ORD00021</t>
  </si>
  <si>
    <t>ORD00915</t>
  </si>
  <si>
    <t>ORD01834</t>
  </si>
  <si>
    <t>ORD01849</t>
  </si>
  <si>
    <t>ORD01841</t>
  </si>
  <si>
    <t>ORD00608</t>
  </si>
  <si>
    <t>ORD01568</t>
  </si>
  <si>
    <t>Gita Pradipta</t>
  </si>
  <si>
    <t>ORD00141</t>
  </si>
  <si>
    <t>ORD00784</t>
  </si>
  <si>
    <t>ORD01656</t>
  </si>
  <si>
    <t>ORD00565</t>
  </si>
  <si>
    <t>ORD01217</t>
  </si>
  <si>
    <t>ORD00265</t>
  </si>
  <si>
    <t>ORD00003</t>
  </si>
  <si>
    <t>ORD00651</t>
  </si>
  <si>
    <t>ORD00955</t>
  </si>
  <si>
    <t>ORD00196</t>
  </si>
  <si>
    <t>ORD01459</t>
  </si>
  <si>
    <t>ORD00414</t>
  </si>
  <si>
    <t>ORD01488</t>
  </si>
  <si>
    <t>Ani Puspita</t>
  </si>
  <si>
    <t>ORD00172</t>
  </si>
  <si>
    <t>ORD01388</t>
  </si>
  <si>
    <t>ORD00323</t>
  </si>
  <si>
    <t>ORD01016</t>
  </si>
  <si>
    <t>ORD01806</t>
  </si>
  <si>
    <t>ORD01776</t>
  </si>
  <si>
    <t>ORD00306</t>
  </si>
  <si>
    <t>ORD01211</t>
  </si>
  <si>
    <t>ORD01254</t>
  </si>
  <si>
    <t>ORD00537</t>
  </si>
  <si>
    <t>ORD01009</t>
  </si>
  <si>
    <t>ORD01502</t>
  </si>
  <si>
    <t>ORD00856</t>
  </si>
  <si>
    <t>ORD01188</t>
  </si>
  <si>
    <t>ORD01040</t>
  </si>
  <si>
    <t>ORD01721</t>
  </si>
  <si>
    <t>ORD00163</t>
  </si>
  <si>
    <t>ORD01843</t>
  </si>
  <si>
    <t>ORD00886</t>
  </si>
  <si>
    <t>ORD01478</t>
  </si>
  <si>
    <t>ORD01150</t>
  </si>
  <si>
    <t>Aulia Hidayat</t>
  </si>
  <si>
    <t>ORD00596</t>
  </si>
  <si>
    <t>ORD01276</t>
  </si>
  <si>
    <t>ORD01632</t>
  </si>
  <si>
    <t>ORD00813</t>
  </si>
  <si>
    <t>ORD01301</t>
  </si>
  <si>
    <t>Clara Puspita</t>
  </si>
  <si>
    <t>ORD01402</t>
  </si>
  <si>
    <t>ORD00750</t>
  </si>
  <si>
    <t>ORD01317</t>
  </si>
  <si>
    <t>ORD01279</t>
  </si>
  <si>
    <t>ORD01083</t>
  </si>
  <si>
    <t>ORD00341</t>
  </si>
  <si>
    <t>ORD00363</t>
  </si>
  <si>
    <t>ORD01348</t>
  </si>
  <si>
    <t>ORD00436</t>
  </si>
  <si>
    <t>ORD01076</t>
  </si>
  <si>
    <t>ORD00160</t>
  </si>
  <si>
    <t>Erna Pradipta</t>
  </si>
  <si>
    <t>ORD00806</t>
  </si>
  <si>
    <t>ORD00470</t>
  </si>
  <si>
    <t>ORD01274</t>
  </si>
  <si>
    <t>ORD01527</t>
  </si>
  <si>
    <t>ORD01219</t>
  </si>
  <si>
    <t>ORD01445</t>
  </si>
  <si>
    <t>ORD00349</t>
  </si>
  <si>
    <t>ORD01450</t>
  </si>
  <si>
    <t>Rizky Puspita</t>
  </si>
  <si>
    <t>ORD01577</t>
  </si>
  <si>
    <t>ORD01772</t>
  </si>
  <si>
    <t>ORD01484</t>
  </si>
  <si>
    <t>ORD01416</t>
  </si>
  <si>
    <t>ORD00949</t>
  </si>
  <si>
    <t>ORD01818</t>
  </si>
  <si>
    <t>ORD01021</t>
  </si>
  <si>
    <t>ORD00606</t>
  </si>
  <si>
    <t>ORD01296</t>
  </si>
  <si>
    <t>ORD00838</t>
  </si>
  <si>
    <t>ORD01194</t>
  </si>
  <si>
    <t>ORD00728</t>
  </si>
  <si>
    <t>ORD01608</t>
  </si>
  <si>
    <t>ORD00603</t>
  </si>
  <si>
    <t>ORD00251</t>
  </si>
  <si>
    <t>ORD00787</t>
  </si>
  <si>
    <t>ORD01107</t>
  </si>
  <si>
    <t>ORD00159</t>
  </si>
  <si>
    <t>ORD00296</t>
  </si>
  <si>
    <t>ORD00841</t>
  </si>
  <si>
    <t>ORD01258</t>
  </si>
  <si>
    <t>ORD00625</t>
  </si>
  <si>
    <t>ORD01355</t>
  </si>
  <si>
    <t>ORD01759</t>
  </si>
  <si>
    <t>ORD01686</t>
  </si>
  <si>
    <t>ORD00772</t>
  </si>
  <si>
    <t>ORD01705</t>
  </si>
  <si>
    <t>ORD01024</t>
  </si>
  <si>
    <t>ORD01563</t>
  </si>
  <si>
    <t>ORD00085</t>
  </si>
  <si>
    <t>ORD01526</t>
  </si>
  <si>
    <t>ORD01752</t>
  </si>
  <si>
    <t>ORD01269</t>
  </si>
  <si>
    <t>ORD01336</t>
  </si>
  <si>
    <t>ORD01473</t>
  </si>
  <si>
    <t>ORD01792</t>
  </si>
  <si>
    <t>ORD00549</t>
  </si>
  <si>
    <t>ORD01499</t>
  </si>
  <si>
    <t>ORD00530</t>
  </si>
  <si>
    <t>ORD01221</t>
  </si>
  <si>
    <t>ORD00354</t>
  </si>
  <si>
    <t>ORD01074</t>
  </si>
  <si>
    <t>ORD00852</t>
  </si>
  <si>
    <t>ORD01141</t>
  </si>
  <si>
    <t>ORD00971</t>
  </si>
  <si>
    <t>ORD00834</t>
  </si>
  <si>
    <t>ORD00257</t>
  </si>
  <si>
    <t>ORD01774</t>
  </si>
  <si>
    <t>ORD00374</t>
  </si>
  <si>
    <t>ORD01692</t>
  </si>
  <si>
    <t>ORD01313</t>
  </si>
  <si>
    <t>ORD00771</t>
  </si>
  <si>
    <t>ORD01552</t>
  </si>
  <si>
    <t>ORD01383</t>
  </si>
  <si>
    <t>ORD01102</t>
  </si>
  <si>
    <t>ORD01172</t>
  </si>
  <si>
    <t>ORD00921</t>
  </si>
  <si>
    <t>ORD01294</t>
  </si>
  <si>
    <t>ORD01072</t>
  </si>
  <si>
    <t>ORD00744</t>
  </si>
  <si>
    <t>ORD00202</t>
  </si>
  <si>
    <t>ORD01005</t>
  </si>
  <si>
    <t>ORD00497</t>
  </si>
  <si>
    <t>Putri Santoso</t>
  </si>
  <si>
    <t>ORD00992</t>
  </si>
  <si>
    <t>ORD01847</t>
  </si>
  <si>
    <t>ORD00227</t>
  </si>
  <si>
    <t>ORD01319</t>
  </si>
  <si>
    <t>ORD01746</t>
  </si>
  <si>
    <t>ORD01286</t>
  </si>
  <si>
    <t>ORD00973</t>
  </si>
  <si>
    <t>ORD00280</t>
  </si>
  <si>
    <t>ORD01417</t>
  </si>
  <si>
    <t>ORD00891</t>
  </si>
  <si>
    <t>ORD01826</t>
  </si>
  <si>
    <t>ORD01015</t>
  </si>
  <si>
    <t>ORD01512</t>
  </si>
  <si>
    <t>Aulia Setiawan</t>
  </si>
  <si>
    <t>ORD00969</t>
  </si>
  <si>
    <t>ORD00407</t>
  </si>
  <si>
    <t>ORD00831</t>
  </si>
  <si>
    <t>ORD01592</t>
  </si>
  <si>
    <t>ORD00855</t>
  </si>
  <si>
    <t>ORD01441</t>
  </si>
  <si>
    <t>Gita Kurniawan</t>
  </si>
  <si>
    <t>ORD00985</t>
  </si>
  <si>
    <t>ORD01020</t>
  </si>
  <si>
    <t>ORD00157</t>
  </si>
  <si>
    <t>ORD01534</t>
  </si>
  <si>
    <t>ORD01448</t>
  </si>
  <si>
    <t>ORD00437</t>
  </si>
  <si>
    <t>ORD01452</t>
  </si>
  <si>
    <t>ORD00941</t>
  </si>
  <si>
    <t>ORD00983</t>
  </si>
  <si>
    <t>ORD01372</t>
  </si>
  <si>
    <t>ORD00840</t>
  </si>
  <si>
    <t>ORD00714</t>
  </si>
  <si>
    <t>ORD01679</t>
  </si>
  <si>
    <t>ORD01509</t>
  </si>
  <si>
    <t>ORD00109</t>
  </si>
  <si>
    <t>ORD00666</t>
  </si>
  <si>
    <t>ORD01069</t>
  </si>
  <si>
    <t>ORD01090</t>
  </si>
  <si>
    <t>ORD00729</t>
  </si>
  <si>
    <t>ORD01650</t>
  </si>
  <si>
    <t>ORD00883</t>
  </si>
  <si>
    <t>ORD01562</t>
  </si>
  <si>
    <t>ORD01370</t>
  </si>
  <si>
    <t>ORD00250</t>
  </si>
  <si>
    <t>ORD01492</t>
  </si>
  <si>
    <t>ORD01312</t>
  </si>
  <si>
    <t>ORD01165</t>
  </si>
  <si>
    <t>ORD01755</t>
  </si>
  <si>
    <t>ORD01524</t>
  </si>
  <si>
    <t>ORD01793</t>
  </si>
  <si>
    <t>Gita Budiman</t>
  </si>
  <si>
    <t>ORD00364</t>
  </si>
  <si>
    <t>ORD00945</t>
  </si>
  <si>
    <t>ORD00705</t>
  </si>
  <si>
    <t>ORD00461</t>
  </si>
  <si>
    <t>ORD00388</t>
  </si>
  <si>
    <t>ORD00901</t>
  </si>
  <si>
    <t>ORD01800</t>
  </si>
  <si>
    <t>ORD01611</t>
  </si>
  <si>
    <t>ORD00732</t>
  </si>
  <si>
    <t>ORD00532</t>
  </si>
  <si>
    <t>ORD01640</t>
  </si>
  <si>
    <t>ORD01157</t>
  </si>
  <si>
    <t>Dewi Kurniawan</t>
  </si>
  <si>
    <t>ORD00210</t>
  </si>
  <si>
    <t>ORD00979</t>
  </si>
  <si>
    <t>ORD00099</t>
  </si>
  <si>
    <t>ORD00942</t>
  </si>
  <si>
    <t>ORD01170</t>
  </si>
  <si>
    <t>ORD00817</t>
  </si>
  <si>
    <t>ORD00764</t>
  </si>
  <si>
    <t>Dewi Kusuma</t>
  </si>
  <si>
    <t>ORD00751</t>
  </si>
  <si>
    <t>ORD01859</t>
  </si>
  <si>
    <t>ORD00137</t>
  </si>
  <si>
    <t>ORD01757</t>
  </si>
  <si>
    <t>ORD00325</t>
  </si>
  <si>
    <t>ORD01302</t>
  </si>
  <si>
    <t>ORD01431</t>
  </si>
  <si>
    <t>ORD00897</t>
  </si>
  <si>
    <t>ORD01714</t>
  </si>
  <si>
    <t>ORD00073</t>
  </si>
  <si>
    <t>ORD00730</t>
  </si>
  <si>
    <t>ORD00743</t>
  </si>
  <si>
    <t>ORD01594</t>
  </si>
  <si>
    <t>ORD00132</t>
  </si>
  <si>
    <t>ORD01830</t>
  </si>
  <si>
    <t>ORD01303</t>
  </si>
  <si>
    <t>ORD00487</t>
  </si>
  <si>
    <t>ORD01295</t>
  </si>
  <si>
    <t>ORD00709</t>
  </si>
  <si>
    <t>ORD00698</t>
  </si>
  <si>
    <t>ORD00177</t>
  </si>
  <si>
    <t>ORD00863</t>
  </si>
  <si>
    <t>ORD00127</t>
  </si>
  <si>
    <t>ORD00489</t>
  </si>
  <si>
    <t>ORD01161</t>
  </si>
  <si>
    <t>ORD01379</t>
  </si>
  <si>
    <t>ORD01111</t>
  </si>
  <si>
    <t>ORD01164</t>
  </si>
  <si>
    <t>ORD00396</t>
  </si>
  <si>
    <t>ORD01629</t>
  </si>
  <si>
    <t>ORD00079</t>
  </si>
  <si>
    <t>ORD00965</t>
  </si>
  <si>
    <t>ORD00492</t>
  </si>
  <si>
    <t>ORD01378</t>
  </si>
  <si>
    <t>ORD00639</t>
  </si>
  <si>
    <t>ORD01339</t>
  </si>
  <si>
    <t>ORD00368</t>
  </si>
  <si>
    <t>Sari Setiawan</t>
  </si>
  <si>
    <t>ORD00351</t>
  </si>
  <si>
    <t>ORD01719</t>
  </si>
  <si>
    <t>ORD00896</t>
  </si>
  <si>
    <t>Dina Ananda</t>
  </si>
  <si>
    <t>ORD01687</t>
  </si>
  <si>
    <t>ORD00505</t>
  </si>
  <si>
    <t>ORD01204</t>
  </si>
  <si>
    <t>ORD00502</t>
  </si>
  <si>
    <t>ORD00258</t>
  </si>
  <si>
    <t>ORD00881</t>
  </si>
  <si>
    <t>ORD00899</t>
  </si>
  <si>
    <t>ORD00456</t>
  </si>
  <si>
    <t>ORD00688</t>
  </si>
  <si>
    <t>ORD00329</t>
  </si>
  <si>
    <t>ORD00797</t>
  </si>
  <si>
    <t>ORD00032</t>
  </si>
  <si>
    <t>ORD00579</t>
  </si>
  <si>
    <t>ORD01862</t>
  </si>
  <si>
    <t>ORD01812</t>
  </si>
  <si>
    <t>ORD00385</t>
  </si>
  <si>
    <t>ORD01446</t>
  </si>
  <si>
    <t>ORD00384</t>
  </si>
  <si>
    <t>ORD00630</t>
  </si>
  <si>
    <t>ORD00848</t>
  </si>
  <si>
    <t>ORD01663</t>
  </si>
  <si>
    <t>ORD01486</t>
  </si>
  <si>
    <t>ORD00673</t>
  </si>
  <si>
    <t>ORD00491</t>
  </si>
  <si>
    <t>ORD00672</t>
  </si>
  <si>
    <t>ORD01779</t>
  </si>
  <si>
    <t>ORD00060</t>
  </si>
  <si>
    <t>ORD00990</t>
  </si>
  <si>
    <t>ORD00648</t>
  </si>
  <si>
    <t>Andi Iskandar</t>
  </si>
  <si>
    <t>ORD01140</t>
  </si>
  <si>
    <t>ORD01333</t>
  </si>
  <si>
    <t>ORD00582</t>
  </si>
  <si>
    <t>ORD00209</t>
  </si>
  <si>
    <t>ORD00802</t>
  </si>
  <si>
    <t>ORD00350</t>
  </si>
  <si>
    <t>ORD01362</t>
  </si>
  <si>
    <t>ORD01408</t>
  </si>
  <si>
    <t>ORD01075</t>
  </si>
  <si>
    <t>ORD00309</t>
  </si>
  <si>
    <t>ORD00742</t>
  </si>
  <si>
    <t>Indra Maulana</t>
  </si>
  <si>
    <t>ORD00195</t>
  </si>
  <si>
    <t>ORD01112</t>
  </si>
  <si>
    <t>ORD01354</t>
  </si>
  <si>
    <t>ORD00048</t>
  </si>
  <si>
    <t>ORD00998</t>
  </si>
  <si>
    <t>ORD01203</t>
  </si>
  <si>
    <t>ORD01130</t>
  </si>
  <si>
    <t>ORD01784</t>
  </si>
  <si>
    <t>ORD01080</t>
  </si>
  <si>
    <t>ORD01717</t>
  </si>
  <si>
    <t>ORD00417</t>
  </si>
  <si>
    <t>ORD00158</t>
  </si>
  <si>
    <t>ORD00924</t>
  </si>
  <si>
    <t>ORD00122</t>
  </si>
  <si>
    <t>ORD01393</t>
  </si>
  <si>
    <t>ORD01469</t>
  </si>
  <si>
    <t>ORD01195</t>
  </si>
  <si>
    <t>ORD01754</t>
  </si>
  <si>
    <t>ORD01609</t>
  </si>
  <si>
    <t>ORD00877</t>
  </si>
  <si>
    <t>ORD00707</t>
  </si>
  <si>
    <t>ORD00554</t>
  </si>
  <si>
    <t>ORD00484</t>
  </si>
  <si>
    <t>ORD00097</t>
  </si>
  <si>
    <t>ORD00804</t>
  </si>
  <si>
    <t>ORD01733</t>
  </si>
  <si>
    <t>ORD01839</t>
  </si>
  <si>
    <t>ORD01425</t>
  </si>
  <si>
    <t>ORD01174</t>
  </si>
  <si>
    <t>ORD00778</t>
  </si>
  <si>
    <t>ORD00637</t>
  </si>
  <si>
    <t>ORD01411</t>
  </si>
  <si>
    <t>ORD00116</t>
  </si>
  <si>
    <t>ORD00459</t>
  </si>
  <si>
    <t>ORD01326</t>
  </si>
  <si>
    <t>ORD00066</t>
  </si>
  <si>
    <t>ORD00501</t>
  </si>
  <si>
    <t>ORD01421</t>
  </si>
  <si>
    <t>ORD00317</t>
  </si>
  <si>
    <t>ORD01068</t>
  </si>
  <si>
    <t>ORD01747</t>
  </si>
  <si>
    <t>ORD01641</t>
  </si>
  <si>
    <t>ORD00130</t>
  </si>
  <si>
    <t>ORD00423</t>
  </si>
  <si>
    <t>ORD00774</t>
  </si>
  <si>
    <t>ORD01709</t>
  </si>
  <si>
    <t>ORD00636</t>
  </si>
  <si>
    <t>ORD00259</t>
  </si>
  <si>
    <t>ORD01213</t>
  </si>
  <si>
    <t>ORD00319</t>
  </si>
  <si>
    <t>ORD01227</t>
  </si>
  <si>
    <t>ORD01210</t>
  </si>
  <si>
    <t>ORD01167</t>
  </si>
  <si>
    <t>ORD01231</t>
  </si>
  <si>
    <t>ORD01351</t>
  </si>
  <si>
    <t>ORD00685</t>
  </si>
  <si>
    <t>ORD00595</t>
  </si>
  <si>
    <t>ORD00518</t>
  </si>
  <si>
    <t>ORD00752</t>
  </si>
  <si>
    <t>ORD01532</t>
  </si>
  <si>
    <t>ORD00343</t>
  </si>
  <si>
    <t>ORD00682</t>
  </si>
  <si>
    <t>ORD01064</t>
  </si>
  <si>
    <t>ORD00057</t>
  </si>
  <si>
    <t>ORD00135</t>
  </si>
  <si>
    <t>ORD01267</t>
  </si>
  <si>
    <t>ORD00247</t>
  </si>
  <si>
    <t>ORD01086</t>
  </si>
  <si>
    <t>ORD01155</t>
  </si>
  <si>
    <t>ORD01595</t>
  </si>
  <si>
    <t>ORD00267</t>
  </si>
  <si>
    <t>ORD00570</t>
  </si>
  <si>
    <t>ORD01682</t>
  </si>
  <si>
    <t>ORD01419</t>
  </si>
  <si>
    <t>Eka Budiman</t>
  </si>
  <si>
    <t>ORD00864</t>
  </si>
  <si>
    <t>ORD01426</t>
  </si>
  <si>
    <t>ORD01604</t>
  </si>
  <si>
    <t>ORD01152</t>
  </si>
  <si>
    <t>ORD00092</t>
  </si>
  <si>
    <t>ORD01750</t>
  </si>
  <si>
    <t>ORD01665</t>
  </si>
  <si>
    <t>ORD01713</t>
  </si>
  <si>
    <t>ORD00934</t>
  </si>
  <si>
    <t>ORD00165</t>
  </si>
  <si>
    <t>ORD01272</t>
  </si>
  <si>
    <t>ORD01082</t>
  </si>
  <si>
    <t>ORD01457</t>
  </si>
  <si>
    <t>ORD01602</t>
  </si>
  <si>
    <t>ORD01474</t>
  </si>
  <si>
    <t>Rizky Ananda</t>
  </si>
  <si>
    <t>ORD01807</t>
  </si>
  <si>
    <t>ORD00065</t>
  </si>
  <si>
    <t>ORD01179</t>
  </si>
  <si>
    <t>ORD00715</t>
  </si>
  <si>
    <t>ORD00188</t>
  </si>
  <si>
    <t>ORD00766</t>
  </si>
  <si>
    <t>ORD01264</t>
  </si>
  <si>
    <t>ORD01027</t>
  </si>
  <si>
    <t>ORD01252</t>
  </si>
  <si>
    <t>ORD01865</t>
  </si>
  <si>
    <t>ORD00161</t>
  </si>
  <si>
    <t>ORD00571</t>
  </si>
  <si>
    <t>ORD01225</t>
  </si>
  <si>
    <t>ORD01134</t>
  </si>
  <si>
    <t>ORD00019</t>
  </si>
  <si>
    <t>ORD01777</t>
  </si>
  <si>
    <t>ORD00348</t>
  </si>
  <si>
    <t>ORD01722</t>
  </si>
  <si>
    <t>ORD01780</t>
  </si>
  <si>
    <t>ORD00819</t>
  </si>
  <si>
    <t>ORD01418</t>
  </si>
  <si>
    <t>ORD01866</t>
  </si>
  <si>
    <t>ORD00758</t>
  </si>
  <si>
    <t>ORD01224</t>
  </si>
  <si>
    <t>ORD01387</t>
  </si>
  <si>
    <t>ORD01531</t>
  </si>
  <si>
    <t>ORD01654</t>
  </si>
  <si>
    <t>ORD01026</t>
  </si>
  <si>
    <t>ORD00488</t>
  </si>
  <si>
    <t>ORD01698</t>
  </si>
  <si>
    <t>ORD01620</t>
  </si>
  <si>
    <t>ORD01635</t>
  </si>
  <si>
    <t>ORD01861</t>
  </si>
  <si>
    <t>ORD00607</t>
  </si>
  <si>
    <t>Andi Budiman</t>
  </si>
  <si>
    <t>ORD00055</t>
  </si>
  <si>
    <t>Bayu Ramadhani</t>
  </si>
  <si>
    <t>ORD00635</t>
  </si>
  <si>
    <t>ORD01396</t>
  </si>
  <si>
    <t>ORD01247</t>
  </si>
  <si>
    <t>ORD00253</t>
  </si>
  <si>
    <t>ORD01623</t>
  </si>
  <si>
    <t>ORD00950</t>
  </si>
  <si>
    <t>ORD00415</t>
  </si>
  <si>
    <t>ORD00314</t>
  </si>
  <si>
    <t>ORD00056</t>
  </si>
  <si>
    <t>ORD01110</t>
  </si>
  <si>
    <t>ORD01838</t>
  </si>
  <si>
    <t>ORD00690</t>
  </si>
  <si>
    <t>ORD00468</t>
  </si>
  <si>
    <t>Qori Iskandar</t>
  </si>
  <si>
    <t>ORD00252</t>
  </si>
  <si>
    <t>ORD01744</t>
  </si>
  <si>
    <t>ORD00440</t>
  </si>
  <si>
    <t>ORD01181</t>
  </si>
  <si>
    <t>ORD01115</t>
  </si>
  <si>
    <t>ORD00693</t>
  </si>
  <si>
    <t>ORD01384</t>
  </si>
  <si>
    <t>ORD00768</t>
  </si>
  <si>
    <t>ORD00917</t>
  </si>
  <si>
    <t>ORD00683</t>
  </si>
  <si>
    <t>ORD01651</t>
  </si>
  <si>
    <t>ORD01207</t>
  </si>
  <si>
    <t>ORD00101</t>
  </si>
  <si>
    <t>ORD00290</t>
  </si>
  <si>
    <t>ORD01100</t>
  </si>
  <si>
    <t>ORD00318</t>
  </si>
  <si>
    <t>ORD00829</t>
  </si>
  <si>
    <t>ORD01523</t>
  </si>
  <si>
    <t>ORD00692</t>
  </si>
  <si>
    <t>ORD01176</t>
  </si>
  <si>
    <t>ORD01570</t>
  </si>
  <si>
    <t>ORD00002</t>
  </si>
  <si>
    <t>ORD01038</t>
  </si>
  <si>
    <t>ORD01517</t>
  </si>
  <si>
    <t>ORD00947</t>
  </si>
  <si>
    <t>ORD01740</t>
  </si>
  <si>
    <t>ORD01000</t>
  </si>
  <si>
    <t>ORD01766</t>
  </si>
  <si>
    <t>ORD01382</t>
  </si>
  <si>
    <t>ORD01423</t>
  </si>
  <si>
    <t>ORD01148</t>
  </si>
  <si>
    <t>ORD00694</t>
  </si>
  <si>
    <t>ORD00890</t>
  </si>
  <si>
    <t>ORD01590</t>
  </si>
  <si>
    <t>ORD01230</t>
  </si>
  <si>
    <t>ORD01463</t>
  </si>
  <si>
    <t>ORD00740</t>
  </si>
  <si>
    <t>ORD01018</t>
  </si>
  <si>
    <t>ORD01621</t>
  </si>
  <si>
    <t>ORD00242</t>
  </si>
  <si>
    <t>Sari Fauziah</t>
  </si>
  <si>
    <t>ORD00426</t>
  </si>
  <si>
    <t>ORD01039</t>
  </si>
  <si>
    <t>ORD00825</t>
  </si>
  <si>
    <t>ORD01041</t>
  </si>
  <si>
    <t>ORD01513</t>
  </si>
  <si>
    <t>ORD00115</t>
  </si>
  <si>
    <t>ORD01466</t>
  </si>
  <si>
    <t>ORD00613</t>
  </si>
  <si>
    <t>ORD01689</t>
  </si>
  <si>
    <t>ORD01277</t>
  </si>
  <si>
    <t>ORD00241</t>
  </si>
  <si>
    <t>ORD00091</t>
  </si>
  <si>
    <t>ORD00847</t>
  </si>
  <si>
    <t>ORD01229</t>
  </si>
  <si>
    <t>ORD00650</t>
  </si>
  <si>
    <t>ORD01443</t>
  </si>
  <si>
    <t>ORD01432</t>
  </si>
  <si>
    <t>ORD00146</t>
  </si>
  <si>
    <t>ORD00719</t>
  </si>
  <si>
    <t>ORD01033</t>
  </si>
  <si>
    <t>ORD00944</t>
  </si>
  <si>
    <t>ORD01801</t>
  </si>
  <si>
    <t>ORD00578</t>
  </si>
  <si>
    <t>ORD00769</t>
  </si>
  <si>
    <t>ORD00190</t>
  </si>
  <si>
    <t>ORD01137</t>
  </si>
  <si>
    <t>ORD00818</t>
  </si>
  <si>
    <t>ORD00463</t>
  </si>
  <si>
    <t>ORD00310</t>
  </si>
  <si>
    <t>ORD00929</t>
  </si>
  <si>
    <t>ORD00691</t>
  </si>
  <si>
    <t>ORD01397</t>
  </si>
  <si>
    <t>ORD00382</t>
  </si>
  <si>
    <t>ORD00490</t>
  </si>
  <si>
    <t>ORD00671</t>
  </si>
  <si>
    <t>ORD01591</t>
  </si>
  <si>
    <t>ORD00136</t>
  </si>
  <si>
    <t>Kartika Utami</t>
  </si>
  <si>
    <t>ORD01790</t>
  </si>
  <si>
    <t>ORD01727</t>
  </si>
  <si>
    <t>ORD00076</t>
  </si>
  <si>
    <t>ORD01756</t>
  </si>
  <si>
    <t>ORD00894</t>
  </si>
  <si>
    <t>ORD00288</t>
  </si>
  <si>
    <t>ORD01358</t>
  </si>
  <si>
    <t>ORD00849</t>
  </si>
  <si>
    <t>ORD01331</t>
  </si>
  <si>
    <t>ORD01864</t>
  </si>
  <si>
    <t>ORD00594</t>
  </si>
  <si>
    <t>ORD01737</t>
  </si>
  <si>
    <t>ORD00878</t>
  </si>
  <si>
    <t>ORD01840</t>
  </si>
  <si>
    <t>ORD01593</t>
  </si>
  <si>
    <t>ORD00737</t>
  </si>
  <si>
    <t>ORD00770</t>
  </si>
  <si>
    <t>ORD01186</t>
  </si>
  <si>
    <t>ORD00997</t>
  </si>
  <si>
    <t>ORD01824</t>
  </si>
  <si>
    <t>ORD01522</t>
  </si>
  <si>
    <t>ORD00668</t>
  </si>
  <si>
    <t>ORD01788</t>
  </si>
  <si>
    <t>ORD01359</t>
  </si>
  <si>
    <t>ORD01442</t>
  </si>
  <si>
    <t>ORD00560</t>
  </si>
  <si>
    <t>ORD00342</t>
  </si>
  <si>
    <t>ORD00335</t>
  </si>
  <si>
    <t>ORD01184</t>
  </si>
  <si>
    <t>ORD00482</t>
  </si>
  <si>
    <t>ORD01852</t>
  </si>
  <si>
    <t>ORD01142</t>
  </si>
  <si>
    <t>ORD01196</t>
  </si>
  <si>
    <t>ORD00121</t>
  </si>
  <si>
    <t>ORD01749</t>
  </si>
  <si>
    <t>ORD00080</t>
  </si>
  <si>
    <t>ORD00292</t>
  </si>
  <si>
    <t>ORD00425</t>
  </si>
  <si>
    <t>ORD01245</t>
  </si>
  <si>
    <t>ORD01458</t>
  </si>
  <si>
    <t>ORD01470</t>
  </si>
  <si>
    <t>ORD00301</t>
  </si>
  <si>
    <t>ORD01845</t>
  </si>
  <si>
    <t>ORD00962</t>
  </si>
  <si>
    <t>ORD01533</t>
  </si>
  <si>
    <t>ORD01297</t>
  </si>
  <si>
    <t>ORD00164</t>
  </si>
  <si>
    <t>ORD01684</t>
  </si>
  <si>
    <t>ORD01809</t>
  </si>
  <si>
    <t>ORD01360</t>
  </si>
  <si>
    <t>ORD01315</t>
  </si>
  <si>
    <t>ORD00387</t>
  </si>
  <si>
    <t>ORD01786</t>
  </si>
  <si>
    <t>ORD00446</t>
  </si>
  <si>
    <t>ORD01228</t>
  </si>
  <si>
    <t>ORD01648</t>
  </si>
  <si>
    <t>ORD00041</t>
  </si>
  <si>
    <t>ORD00923</t>
  </si>
  <si>
    <t>ORD01366</t>
  </si>
  <si>
    <t>ORD00472</t>
  </si>
  <si>
    <t>ORD00736</t>
  </si>
  <si>
    <t>ORD01103</t>
  </si>
  <si>
    <t>ORD00344</t>
  </si>
  <si>
    <t>ORD01013</t>
  </si>
  <si>
    <t>ORD00621</t>
  </si>
  <si>
    <t>ORD00118</t>
  </si>
  <si>
    <t>ORD00134</t>
  </si>
  <si>
    <t>ORD00126</t>
  </si>
  <si>
    <t>ORD01061</t>
  </si>
  <si>
    <t>ORD00308</t>
  </si>
  <si>
    <t>ORD01645</t>
  </si>
  <si>
    <t>ORD00469</t>
  </si>
  <si>
    <t>ORD00516</t>
  </si>
  <si>
    <t>ORD01035</t>
  </si>
  <si>
    <t>ORD01012</t>
  </si>
  <si>
    <t>ORD01261</t>
  </si>
  <si>
    <t>ORD00448</t>
  </si>
  <si>
    <t>ORD01216</t>
  </si>
  <si>
    <t>ORD01222</t>
  </si>
  <si>
    <t>ORD01787</t>
  </si>
  <si>
    <t>ORD01624</t>
  </si>
  <si>
    <t>ORD00312</t>
  </si>
  <si>
    <t>Zahra Hidayat</t>
  </si>
  <si>
    <t>ORD00978</t>
  </si>
  <si>
    <t>ORD01836</t>
  </si>
  <si>
    <t>ORD01631</t>
  </si>
  <si>
    <t>ORD01031</t>
  </si>
  <si>
    <t>ORD01615</t>
  </si>
  <si>
    <t>ORD01365</t>
  </si>
  <si>
    <t>ORD01129</t>
  </si>
  <si>
    <t>ORD00370</t>
  </si>
  <si>
    <t>Eka Kusuma</t>
  </si>
  <si>
    <t>ORD00587</t>
  </si>
  <si>
    <t>Gita Halim</t>
  </si>
  <si>
    <t>ORD01825</t>
  </si>
  <si>
    <t>ORD00424</t>
  </si>
  <si>
    <t>ORD01019</t>
  </si>
  <si>
    <t>Hana Santoso</t>
  </si>
  <si>
    <t>ORD01253</t>
  </si>
  <si>
    <t>ORD00089</t>
  </si>
  <si>
    <t>ORD00550</t>
  </si>
  <si>
    <t>ORD01143</t>
  </si>
  <si>
    <t>ORD00321</t>
  </si>
  <si>
    <t>ORD00010</t>
  </si>
  <si>
    <t>ORD01564</t>
  </si>
  <si>
    <t>ORD01694</t>
  </si>
  <si>
    <t>ORD00340</t>
  </si>
  <si>
    <t>ORD00205</t>
  </si>
  <si>
    <t>ORD01257</t>
  </si>
  <si>
    <t>ORD00268</t>
  </si>
  <si>
    <t>ORD00547</t>
  </si>
  <si>
    <t>ORD00203</t>
  </si>
  <si>
    <t>ORD01136</t>
  </si>
  <si>
    <t>ORD01863</t>
  </si>
  <si>
    <t>ORD01676</t>
  </si>
  <si>
    <t>ORD01399</t>
  </si>
  <si>
    <t>ORD01092</t>
  </si>
  <si>
    <t>ORD01628</t>
  </si>
  <si>
    <t>ORD00279</t>
  </si>
  <si>
    <t>ORD01612</t>
  </si>
  <si>
    <t>ORD00201</t>
  </si>
  <si>
    <t>Qori Wijaya</t>
  </si>
  <si>
    <t>ORD01597</t>
  </si>
  <si>
    <t>ORD00284</t>
  </si>
  <si>
    <t>ORD00298</t>
  </si>
  <si>
    <t>ORD01096</t>
  </si>
  <si>
    <t>ORD00963</t>
  </si>
  <si>
    <t>ORD01329</t>
  </si>
  <si>
    <t>ORD01736</t>
  </si>
  <si>
    <t>ORD00481</t>
  </si>
  <si>
    <t>ORD01117</t>
  </si>
  <si>
    <t>ORD00047</t>
  </si>
  <si>
    <t>ORD00270</t>
  </si>
  <si>
    <t>ORD00786</t>
  </si>
  <si>
    <t>ORD00654</t>
  </si>
  <si>
    <t>ORD00263</t>
  </si>
  <si>
    <t>ORD01724</t>
  </si>
  <si>
    <t>ORD00604</t>
  </si>
  <si>
    <t>ORD00282</t>
  </si>
  <si>
    <t>ORD00018</t>
  </si>
  <si>
    <t>Tono Puspita</t>
  </si>
  <si>
    <t>ORD01367</t>
  </si>
  <si>
    <t>ORD01007</t>
  </si>
  <si>
    <t>ORD00986</t>
  </si>
  <si>
    <t>ORD01856</t>
  </si>
  <si>
    <t>ORD00476</t>
  </si>
  <si>
    <t>ORD01467</t>
  </si>
  <si>
    <t>ORD00064</t>
  </si>
  <si>
    <t>ORD00416</t>
  </si>
  <si>
    <t>ORD00703</t>
  </si>
  <si>
    <t>ORD00914</t>
  </si>
  <si>
    <t>ORD01368</t>
  </si>
  <si>
    <t>ORD01250</t>
  </si>
  <si>
    <t>ORD01344</t>
  </si>
  <si>
    <t>ORD00087</t>
  </si>
  <si>
    <t>ORD00429</t>
  </si>
  <si>
    <t>ORD00033</t>
  </si>
  <si>
    <t>ORD00485</t>
  </si>
  <si>
    <t>ORD00103</t>
  </si>
  <si>
    <t>ORD01262</t>
  </si>
  <si>
    <t>ORD00858</t>
  </si>
  <si>
    <t>ORD01284</t>
  </si>
  <si>
    <t>ORD01056</t>
  </si>
  <si>
    <t>ORD01528</t>
  </si>
  <si>
    <t>ORD00324</t>
  </si>
  <si>
    <t>ORD00067</t>
  </si>
  <si>
    <t>ORD01765</t>
  </si>
  <si>
    <t>ORD00765</t>
  </si>
  <si>
    <t>ORD00568</t>
  </si>
  <si>
    <t>ORD01642</t>
  </si>
  <si>
    <t>ORD00776</t>
  </si>
  <si>
    <t>ORD01508</t>
  </si>
  <si>
    <t>ORD01381</t>
  </si>
  <si>
    <t>ORD00884</t>
  </si>
  <si>
    <t>ORD00792</t>
  </si>
  <si>
    <t>ORD01390</t>
  </si>
  <si>
    <t>ORD01093</t>
  </si>
  <si>
    <t>ORD01860</t>
  </si>
  <si>
    <t>ORD00721</t>
  </si>
  <si>
    <t>ORD01637</t>
  </si>
  <si>
    <t>ORD00577</t>
  </si>
  <si>
    <t>ORD01305</t>
  </si>
  <si>
    <t>ORD00054</t>
  </si>
  <si>
    <t>ORD00052</t>
  </si>
  <si>
    <t>Made Budiman</t>
  </si>
  <si>
    <t>ORD01070</t>
  </si>
  <si>
    <t>ORD00665</t>
  </si>
  <si>
    <t>ORD00722</t>
  </si>
  <si>
    <t>ORD00418</t>
  </si>
  <si>
    <t>ORD01785</t>
  </si>
  <si>
    <t>ORD01837</t>
  </si>
  <si>
    <t>ORD00293</t>
  </si>
  <si>
    <t>Sari Ananda</t>
  </si>
  <si>
    <t>ORD01436</t>
  </si>
  <si>
    <t>ORD01094</t>
  </si>
  <si>
    <t>ORD01162</t>
  </si>
  <si>
    <t>ORD01745</t>
  </si>
  <si>
    <t>ORD00506</t>
  </si>
  <si>
    <t>ORD00597</t>
  </si>
  <si>
    <t>ORD00617</t>
  </si>
  <si>
    <t>ORD01510</t>
  </si>
  <si>
    <t>ORD00113</t>
  </si>
  <si>
    <t>ORD01098</t>
  </si>
  <si>
    <t>ORD00767</t>
  </si>
  <si>
    <t>ORD01808</t>
  </si>
  <si>
    <t>ORD00745</t>
  </si>
  <si>
    <t>ORD01783</t>
  </si>
  <si>
    <t>ORD00046</t>
  </si>
  <si>
    <t>ORD00183</t>
  </si>
  <si>
    <t>Aulia Nugroho</t>
  </si>
  <si>
    <t>ORD00842</t>
  </si>
  <si>
    <t>ORD00399</t>
  </si>
  <si>
    <t>ORD00561</t>
  </si>
  <si>
    <t>ORD00360</t>
  </si>
  <si>
    <t>ORD01412</t>
  </si>
  <si>
    <t>ORD00123</t>
  </si>
  <si>
    <t>ORD01400</t>
  </si>
  <si>
    <t>ORD00938</t>
  </si>
  <si>
    <t>ORD01268</t>
  </si>
  <si>
    <t>ORD01405</t>
  </si>
  <si>
    <t>ORD01771</t>
  </si>
  <si>
    <t>ORD00381</t>
  </si>
  <si>
    <t>ORD00920</t>
  </si>
  <si>
    <t>ORD01037</t>
  </si>
  <si>
    <t>ORD00717</t>
  </si>
  <si>
    <t>ORD00295</t>
  </si>
  <si>
    <t>ORD00913</t>
  </si>
  <si>
    <t>ORD00333</t>
  </si>
  <si>
    <t>ORD01546</t>
  </si>
  <si>
    <t>Shipped</t>
  </si>
  <si>
    <t>ORD00004</t>
  </si>
  <si>
    <t>ORD01858</t>
  </si>
  <si>
    <t>Pending</t>
  </si>
  <si>
    <t>ORD00669</t>
  </si>
  <si>
    <t>ORD00720</t>
  </si>
  <si>
    <t>ORD01625</t>
  </si>
  <si>
    <t>ORD00583</t>
  </si>
  <si>
    <t>ORD00020</t>
  </si>
  <si>
    <t>Rizky Saputra</t>
  </si>
  <si>
    <t>ORD01114</t>
  </si>
  <si>
    <t>ORD00499</t>
  </si>
  <si>
    <t>ORD00572</t>
  </si>
  <si>
    <t>ORD00558</t>
  </si>
  <si>
    <t>ORD01690</t>
  </si>
  <si>
    <t>ORD00898</t>
  </si>
  <si>
    <t>ORD00338</t>
  </si>
  <si>
    <t>ORD00285</t>
  </si>
  <si>
    <t>ORD00631</t>
  </si>
  <si>
    <t>ORD01440</t>
  </si>
  <si>
    <t>ORD00454</t>
  </si>
  <si>
    <t>ORD00711</t>
  </si>
  <si>
    <t>ORD00984</t>
  </si>
  <si>
    <t>ORD01718</t>
  </si>
  <si>
    <t>ORD00738</t>
  </si>
  <si>
    <t>ORD00602</t>
  </si>
  <si>
    <t>ORD01501</t>
  </si>
  <si>
    <t>ORD00839</t>
  </si>
  <si>
    <t>ORD00125</t>
  </si>
  <si>
    <t>ORD00756</t>
  </si>
  <si>
    <t>ORD00359</t>
  </si>
  <si>
    <t>ORD00557</t>
  </si>
  <si>
    <t>ORD00652</t>
  </si>
  <si>
    <t>ORD01343</t>
  </si>
  <si>
    <t>ORD00460</t>
  </si>
  <si>
    <t>ORD01215</t>
  </si>
  <si>
    <t>ORD01627</t>
  </si>
  <si>
    <t>ORD00833</t>
  </si>
  <si>
    <t>ORD01683</t>
  </si>
  <si>
    <t>ORD00880</t>
  </si>
  <si>
    <t>ORD00274</t>
  </si>
  <si>
    <t>ORD01811</t>
  </si>
  <si>
    <t>ORD01613</t>
  </si>
  <si>
    <t>ORD01742</t>
  </si>
  <si>
    <t>ORD01273</t>
  </si>
  <si>
    <t>ORD01321</t>
  </si>
  <si>
    <t>ORD00408</t>
  </si>
  <si>
    <t>ORD00626</t>
  </si>
  <si>
    <t>ORD01386</t>
  </si>
  <si>
    <t>ORD01256</t>
  </si>
  <si>
    <t>ORD00373</t>
  </si>
  <si>
    <t>ORD00615</t>
  </si>
  <si>
    <t>ORD01159</t>
  </si>
  <si>
    <t>ORD01338</t>
  </si>
  <si>
    <t>ORD01166</t>
  </si>
  <si>
    <t>ORD01185</t>
  </si>
  <si>
    <t>ORD01285</t>
  </si>
  <si>
    <t>ORD01542</t>
  </si>
  <si>
    <t>ORD01666</t>
  </si>
  <si>
    <t>ORD00757</t>
  </si>
  <si>
    <t>ORD01236</t>
  </si>
  <si>
    <t>ORD01153</t>
  </si>
  <si>
    <t>ORD01429</t>
  </si>
  <si>
    <t>ORD00356</t>
  </si>
  <si>
    <t>ORD00611</t>
  </si>
  <si>
    <t>ORD01680</t>
  </si>
  <si>
    <t>ORD00117</t>
  </si>
  <si>
    <t>ORD00339</t>
  </si>
  <si>
    <t>ORD01324</t>
  </si>
  <si>
    <t>ORD00726</t>
  </si>
  <si>
    <t>ORD01614</t>
  </si>
  <si>
    <t>ORD00377</t>
  </si>
  <si>
    <t>ORD01496</t>
  </si>
  <si>
    <t>ORD00119</t>
  </si>
  <si>
    <t>ORD01802</t>
  </si>
  <si>
    <t>ORD01598</t>
  </si>
  <si>
    <t>ORD00664</t>
  </si>
  <si>
    <t>ORD00622</t>
  </si>
  <si>
    <t>ORD00912</t>
  </si>
  <si>
    <t>ORD00112</t>
  </si>
  <si>
    <t>Kartika Ramadhani</t>
  </si>
  <si>
    <t>ORD01494</t>
  </si>
  <si>
    <t>ORD01828</t>
  </si>
  <si>
    <t>ORD00598</t>
  </si>
  <si>
    <t>ORD01241</t>
  </si>
  <si>
    <t>ORD00255</t>
  </si>
  <si>
    <t>ORD00078</t>
  </si>
  <si>
    <t>ORD00246</t>
  </si>
  <si>
    <t>ORD00106</t>
  </si>
  <si>
    <t>ORD01551</t>
  </si>
  <si>
    <t>ORD00545</t>
  </si>
  <si>
    <t>ORD01748</t>
  </si>
  <si>
    <t>ORD00357</t>
  </si>
  <si>
    <t>ORD00822</t>
  </si>
  <si>
    <t>ORD00567</t>
  </si>
  <si>
    <t>Zahra Ramadhani</t>
  </si>
  <si>
    <t>ORD01043</t>
  </si>
  <si>
    <t>ORD01322</t>
  </si>
  <si>
    <t>ORD01120</t>
  </si>
  <si>
    <t>ORD01289</t>
  </si>
  <si>
    <t>ORD00245</t>
  </si>
  <si>
    <t>ORD00911</t>
  </si>
  <si>
    <t>ORD00345</t>
  </si>
  <si>
    <t>ORD01699</t>
  </si>
  <si>
    <t>ORD00093</t>
  </si>
  <si>
    <t>ORD00070</t>
  </si>
  <si>
    <t>ORD01270</t>
  </si>
  <si>
    <t>ORD00271</t>
  </si>
  <si>
    <t>ORD01760</t>
  </si>
  <si>
    <t>ORD00655</t>
  </si>
  <si>
    <t>ORD01242</t>
  </si>
  <si>
    <t>ORD00036</t>
  </si>
  <si>
    <t>ORD00680</t>
  </si>
  <si>
    <t>ORD00718</t>
  </si>
  <si>
    <t>ORD01599</t>
  </si>
  <si>
    <t>ORD01685</t>
  </si>
  <si>
    <t>ORD01791</t>
  </si>
  <si>
    <t>ORD00581</t>
  </si>
  <si>
    <t>ORD00540</t>
  </si>
  <si>
    <t>ORD01350</t>
  </si>
  <si>
    <t>ORD01398</t>
  </si>
  <si>
    <t>ORD00007</t>
  </si>
  <si>
    <t>ORD00815</t>
  </si>
  <si>
    <t>ORD00401</t>
  </si>
  <si>
    <t>ORD00563</t>
  </si>
  <si>
    <t>ORD00347</t>
  </si>
  <si>
    <t>ORD01456</t>
  </si>
  <si>
    <t>ORD00367</t>
  </si>
  <si>
    <t>ORD01332</t>
  </si>
  <si>
    <t>ORD01525</t>
  </si>
  <si>
    <t>ORD00001</t>
  </si>
  <si>
    <t>ORD00552</t>
  </si>
  <si>
    <t>ORD01085</t>
  </si>
  <si>
    <t>ORD00953</t>
  </si>
  <si>
    <t>ORD01243</t>
  </si>
  <si>
    <t>ORD01618</t>
  </si>
  <si>
    <t>ORD01287</t>
  </si>
  <si>
    <t>ORD01589</t>
  </si>
  <si>
    <t>ORD00935</t>
  </si>
  <si>
    <t>ORD01158</t>
  </si>
  <si>
    <t>ORD00180</t>
  </si>
  <si>
    <t>ORD00873</t>
  </si>
  <si>
    <t>ORD00820</t>
  </si>
  <si>
    <t>ORD01622</t>
  </si>
  <si>
    <t>ORD01814</t>
  </si>
  <si>
    <t>ORD01553</t>
  </si>
  <si>
    <t>ORD01503</t>
  </si>
  <si>
    <t>ORD00100</t>
  </si>
  <si>
    <t>ORD00294</t>
  </si>
  <si>
    <t>ORD01199</t>
  </si>
  <si>
    <t>ORD01309</t>
  </si>
  <si>
    <t>ORD00392</t>
  </si>
  <si>
    <t>ORD01820</t>
  </si>
  <si>
    <t>ORD01032</t>
  </si>
  <si>
    <t>ORD00723</t>
  </si>
  <si>
    <t>ORD01260</t>
  </si>
  <si>
    <t>ORD01571</t>
  </si>
  <si>
    <t>ORD01385</t>
  </si>
  <si>
    <t>ORD01634</t>
  </si>
  <si>
    <t>ORD01555</t>
  </si>
  <si>
    <t>ORD01434</t>
  </si>
  <si>
    <t>ORD00467</t>
  </si>
  <si>
    <t>ORD00846</t>
  </si>
  <si>
    <t>ORD00322</t>
  </si>
  <si>
    <t>ORD00140</t>
  </si>
  <si>
    <t>ORD01444</t>
  </si>
  <si>
    <t>ORD01468</t>
  </si>
  <si>
    <t>ORD00739</t>
  </si>
  <si>
    <t>ORD00783</t>
  </si>
  <si>
    <t>ORD00150</t>
  </si>
  <si>
    <t>ORD00178</t>
  </si>
  <si>
    <t>ORD00791</t>
  </si>
  <si>
    <t>ORD01842</t>
  </si>
  <si>
    <t>ORD00981</t>
  </si>
  <si>
    <t>ORD01089</t>
  </si>
  <si>
    <t>ORD00867</t>
  </si>
  <si>
    <t>ORD00906</t>
  </si>
  <si>
    <t>ORD00478</t>
  </si>
  <si>
    <t>ORD01048</t>
  </si>
  <si>
    <t>ORD01391</t>
  </si>
  <si>
    <t>ORD00814</t>
  </si>
  <si>
    <t>ORD00937</t>
  </si>
  <si>
    <t>ORD01743</t>
  </si>
  <si>
    <t>ORD00236</t>
  </si>
  <si>
    <t>ORD01298</t>
  </si>
  <si>
    <t>ORD00869</t>
  </si>
  <si>
    <t>ORD01097</t>
  </si>
  <si>
    <t>ORD00760</t>
  </si>
  <si>
    <t>ORD01299</t>
  </si>
  <si>
    <t>ORD00142</t>
  </si>
  <si>
    <t>ORD00332</t>
  </si>
  <si>
    <t>ORD01249</t>
  </si>
  <si>
    <t>ORD01472</t>
  </si>
  <si>
    <t>ORD00266</t>
  </si>
  <si>
    <t>ORD01846</t>
  </si>
  <si>
    <t>ORD00810</t>
  </si>
  <si>
    <t>ORD00853</t>
  </si>
  <si>
    <t>ORD01688</t>
  </si>
  <si>
    <t>ORD01011</t>
  </si>
  <si>
    <t>ORD01482</t>
  </si>
  <si>
    <t>ORD00647</t>
  </si>
  <si>
    <t>ORD00243</t>
  </si>
  <si>
    <t>ORD01346</t>
  </si>
  <si>
    <t>ORD01588</t>
  </si>
  <si>
    <t>ORD00555</t>
  </si>
  <si>
    <t>ORD01479</t>
  </si>
  <si>
    <t>ORD01183</t>
  </si>
  <si>
    <t>ORD00902</t>
  </si>
  <si>
    <t>ORD00154</t>
  </si>
  <si>
    <t>ORD00176</t>
  </si>
  <si>
    <t>ORD00527</t>
  </si>
  <si>
    <t>ORD00731</t>
  </si>
  <si>
    <t>ORD00629</t>
  </si>
  <si>
    <t>ORD01049</t>
  </si>
  <si>
    <t>ORD00389</t>
  </si>
  <si>
    <t>ORD00708</t>
  </si>
  <si>
    <t>ORD01002</t>
  </si>
  <si>
    <t>ORD00610</t>
  </si>
  <si>
    <t>ORD00466</t>
  </si>
  <si>
    <t>ORD00659</t>
  </si>
  <si>
    <t>ORD00168</t>
  </si>
  <si>
    <t>ORD01701</t>
  </si>
  <si>
    <t>ORD01587</t>
  </si>
  <si>
    <t>ORD00027</t>
  </si>
  <si>
    <t>ORD00303</t>
  </si>
  <si>
    <t>ORD00192</t>
  </si>
  <si>
    <t>ORD00299</t>
  </si>
  <si>
    <t>ORD00147</t>
  </si>
  <si>
    <t>ORD00304</t>
  </si>
  <si>
    <t>ORD00860</t>
  </si>
  <si>
    <t>ORD00447</t>
  </si>
  <si>
    <t>ORD00039</t>
  </si>
  <si>
    <t>ORD01314</t>
  </si>
  <si>
    <t>ORD01797</t>
  </si>
  <si>
    <t>ORD00676</t>
  </si>
  <si>
    <t>ORD00593</t>
  </si>
  <si>
    <t>ORD00755</t>
  </si>
  <si>
    <t>ORD00687</t>
  </si>
  <si>
    <t>ORD01566</t>
  </si>
  <si>
    <t>ORD00700</t>
  </si>
  <si>
    <t>ORD00553</t>
  </si>
  <si>
    <t>Produk Sayuran</t>
  </si>
  <si>
    <t>Harga Acuan (Rp/kg)</t>
  </si>
  <si>
    <t>Sumber</t>
  </si>
  <si>
    <t>URL Sumber</t>
  </si>
  <si>
    <t>Tanggal Acuan</t>
  </si>
  <si>
    <t>Catatan</t>
  </si>
  <si>
    <t>Info Pasar Denpasar - Pasar Badung</t>
  </si>
  <si>
    <t>https://infopasar.denpasarkota.go.id/</t>
  </si>
  <si>
    <t>Harga per kg</t>
  </si>
  <si>
    <t>e-TUKU Kota Cirebon</t>
  </si>
  <si>
    <t>https://etuku.cirebonkota.go.id/</t>
  </si>
  <si>
    <t>Harga rata-rata kota per kg, 25 Mar 2026</t>
  </si>
  <si>
    <t>SIHARTAPASTI Kota Tangerang</t>
  </si>
  <si>
    <t>https://sihartapasti.tangerangkota.go.id/</t>
  </si>
  <si>
    <t>Harga rata-rata per kg, dibulatkan</t>
  </si>
  <si>
    <t>Harga rata-rata per kg</t>
  </si>
  <si>
    <t>Harga acuan dipakai untuk membangun dummy data penjualan 2025, dengan kuantitas minimum 0,1 kg. Beberapa harga rata-rata pasar dibulatkan ke nominal pasar yang wajar.</t>
  </si>
  <si>
    <t>Hijau Mart</t>
  </si>
  <si>
    <t>SayurKota Mart</t>
  </si>
  <si>
    <t>FoodMart</t>
  </si>
  <si>
    <t>BelanjaSayur App</t>
  </si>
  <si>
    <t xml:space="preserve">Toko Sayur Sehat, Segar dan Awet, Melayani Permintaan di Seluruh Indonesia </t>
  </si>
  <si>
    <t>Karirnex VegMart App</t>
  </si>
  <si>
    <t>Row Labels</t>
  </si>
  <si>
    <t>Count of Order ID</t>
  </si>
  <si>
    <t>Sum of Quantity (kg)</t>
  </si>
  <si>
    <t>Average of Customer Rating</t>
  </si>
  <si>
    <t>Sum of Grand Total</t>
  </si>
  <si>
    <t>Nomor 1</t>
  </si>
  <si>
    <t>KategoriTransaksi</t>
  </si>
  <si>
    <t>ProductName</t>
  </si>
  <si>
    <t>Nomor 2</t>
  </si>
  <si>
    <t>Nomor 3</t>
  </si>
  <si>
    <t>Nomor 4</t>
  </si>
  <si>
    <t>Nomor 5</t>
  </si>
  <si>
    <t>Jan</t>
  </si>
  <si>
    <t>Feb</t>
  </si>
  <si>
    <t>Mar</t>
  </si>
  <si>
    <t>Apr</t>
  </si>
  <si>
    <t>May</t>
  </si>
  <si>
    <t>Jun</t>
  </si>
  <si>
    <t>Jul</t>
  </si>
  <si>
    <t>Aug</t>
  </si>
  <si>
    <t>Sep</t>
  </si>
  <si>
    <t>Oct</t>
  </si>
  <si>
    <t>Nov</t>
  </si>
  <si>
    <t>Dec</t>
  </si>
  <si>
    <t>1. Total Revenue</t>
  </si>
  <si>
    <t>5. Best seller product</t>
  </si>
  <si>
    <t>Best seller</t>
  </si>
  <si>
    <t>Nama Produk</t>
  </si>
  <si>
    <t>%</t>
  </si>
  <si>
    <t>6. Revenue Contribution</t>
  </si>
  <si>
    <t>Top 5 Revenue Contribution</t>
  </si>
  <si>
    <t>7. Sales Trend</t>
  </si>
  <si>
    <t>Bulan</t>
  </si>
  <si>
    <t>Contribution (%)</t>
  </si>
  <si>
    <t>8. Platform Performance</t>
  </si>
  <si>
    <t>Contribution</t>
  </si>
  <si>
    <t>10. Payment Method</t>
  </si>
  <si>
    <t>11. Order Status</t>
  </si>
  <si>
    <t>Months</t>
  </si>
  <si>
    <t>Quantity</t>
  </si>
  <si>
    <t>Sales (%)</t>
  </si>
  <si>
    <t>Sales</t>
  </si>
  <si>
    <t>2. Total Order</t>
  </si>
  <si>
    <t>3. Average of Customer Rating</t>
  </si>
  <si>
    <t>Slicer</t>
  </si>
  <si>
    <t>4. Total Quantity</t>
  </si>
  <si>
    <t>9. Sales by 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</si>
</sst>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yyyy\-mm\-dd\ hh:mm:ss"/>
    <numFmt numFmtId="165" formatCode="&quot;Rp&quot;\ #,##0.00"/>
    <numFmt numFmtId="166" formatCode="0.0"/>
    <numFmt numFmtId="167" formatCode="yyyy\-mm\-dd"/>
    <numFmt numFmtId="169" formatCode="&quot;Rp&quot;#,##0"/>
    <numFmt numFmtId="170" formatCode="0.0%"/>
    <numFmt numFmtId="171" formatCode="_-&quot;Rp&quot;\.#.#,,&quot; Jt&quot;_-;\-&quot;Rp&quot;\.#.#,&quot; Jt&quot;_-;_-@_-"/>
    <numFmt numFmtId="172" formatCode="General\ &quot;Kg&quot;"/>
  </numFmts>
  <fonts count="12">
    <font>
      <sz val="11"/>
      <color theme="1"/>
      <name val="Calibri"/>
      <scheme val="minor"/>
    </font>
    <font>
      <b/>
      <sz val="11"/>
      <color theme="1"/>
      <name val="Calibri"/>
    </font>
    <font>
      <sz val="11"/>
      <color theme="1"/>
      <name val="Calibri"/>
    </font>
    <font>
      <sz val="11"/>
      <color theme="1"/>
      <name val="Calibri"/>
    </font>
    <font>
      <b/>
      <sz val="11"/>
      <name val="Calibri"/>
    </font>
    <font>
      <b/>
      <sz val="14"/>
      <color theme="1"/>
      <name val="Calibri"/>
      <family val="2"/>
      <scheme val="minor"/>
    </font>
    <font>
      <sz val="8"/>
      <name val="Calibri"/>
      <scheme val="minor"/>
    </font>
    <font>
      <sz val="11"/>
      <color rgb="FFFF0000"/>
      <name val="Calibri"/>
      <family val="2"/>
      <scheme val="minor"/>
    </font>
    <font>
      <sz val="11"/>
      <color theme="1"/>
      <name val="Calibri"/>
      <scheme val="minor"/>
    </font>
    <font>
      <sz val="8"/>
      <color rgb="FF000000"/>
      <name val="Segoe UI"/>
      <family val="2"/>
    </font>
    <font>
      <sz val="11"/>
      <color theme="1"/>
      <name val="Calibri"/>
      <family val="2"/>
      <scheme val="major"/>
    </font>
    <font>
      <b/>
      <sz val="11"/>
      <color theme="1"/>
      <name val="Calibri"/>
      <family val="2"/>
      <scheme val="major"/>
    </font>
  </fonts>
  <fills count="4">
    <fill>
      <patternFill patternType="none"/>
    </fill>
    <fill>
      <patternFill patternType="gray125"/>
    </fill>
    <fill>
      <patternFill patternType="solid">
        <fgColor rgb="FFFFFF00"/>
        <bgColor indexed="64"/>
      </patternFill>
    </fill>
    <fill>
      <patternFill patternType="solid">
        <fgColor rgb="FFEEEEEE"/>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9" fontId="8" fillId="0" borderId="0" applyFont="0" applyFill="0" applyBorder="0" applyAlignment="0" applyProtection="0"/>
  </cellStyleXfs>
  <cellXfs count="35">
    <xf numFmtId="0" fontId="0" fillId="0" borderId="0" xfId="0"/>
    <xf numFmtId="0" fontId="1" fillId="0" borderId="1" xfId="0" applyFont="1" applyBorder="1" applyAlignment="1">
      <alignment horizontal="center" vertical="top"/>
    </xf>
    <xf numFmtId="0" fontId="2" fillId="0" borderId="0" xfId="0" applyFont="1"/>
    <xf numFmtId="164" fontId="3" fillId="0" borderId="0" xfId="0" applyNumberFormat="1" applyFont="1"/>
    <xf numFmtId="165" fontId="2" fillId="0" borderId="0" xfId="0" applyNumberFormat="1" applyFont="1"/>
    <xf numFmtId="166" fontId="2" fillId="0" borderId="0" xfId="0" applyNumberFormat="1" applyFont="1"/>
    <xf numFmtId="1" fontId="2" fillId="0" borderId="0" xfId="0" applyNumberFormat="1" applyFont="1"/>
    <xf numFmtId="165" fontId="0" fillId="0" borderId="0" xfId="0" applyNumberFormat="1"/>
    <xf numFmtId="167" fontId="0" fillId="0" borderId="0" xfId="0" applyNumberFormat="1"/>
    <xf numFmtId="0" fontId="4" fillId="0" borderId="0" xfId="0" applyFont="1"/>
    <xf numFmtId="0" fontId="1" fillId="0" borderId="3" xfId="0" applyFont="1" applyBorder="1" applyAlignment="1">
      <alignment horizontal="center" vertical="top"/>
    </xf>
    <xf numFmtId="0" fontId="0" fillId="3" borderId="0" xfId="0" applyFill="1"/>
    <xf numFmtId="0" fontId="7" fillId="0" borderId="0" xfId="0" applyFont="1"/>
    <xf numFmtId="0" fontId="5" fillId="2" borderId="2" xfId="0" applyFont="1" applyFill="1" applyBorder="1" applyAlignment="1">
      <alignment horizontal="center"/>
    </xf>
    <xf numFmtId="0" fontId="0" fillId="0" borderId="0" xfId="0" applyAlignment="1">
      <alignment vertical="top" wrapText="1"/>
    </xf>
    <xf numFmtId="0" fontId="0" fillId="0" borderId="0" xfId="0"/>
    <xf numFmtId="0" fontId="10" fillId="0" borderId="0" xfId="0" applyFont="1"/>
    <xf numFmtId="0" fontId="10" fillId="0" borderId="0" xfId="0" pivotButton="1" applyFont="1"/>
    <xf numFmtId="169" fontId="10" fillId="0" borderId="0" xfId="0" applyNumberFormat="1" applyFont="1"/>
    <xf numFmtId="1" fontId="10" fillId="0" borderId="0" xfId="0" applyNumberFormat="1" applyFont="1"/>
    <xf numFmtId="0" fontId="10" fillId="0" borderId="0" xfId="0" applyFont="1" applyAlignment="1">
      <alignment horizontal="left"/>
    </xf>
    <xf numFmtId="9" fontId="10" fillId="0" borderId="0" xfId="1" applyFont="1"/>
    <xf numFmtId="170" fontId="10" fillId="0" borderId="0" xfId="1" applyNumberFormat="1" applyFont="1"/>
    <xf numFmtId="171" fontId="10" fillId="0" borderId="0" xfId="0" applyNumberFormat="1" applyFont="1"/>
    <xf numFmtId="172" fontId="10" fillId="0" borderId="0" xfId="0" applyNumberFormat="1" applyFont="1"/>
    <xf numFmtId="0" fontId="10" fillId="0" borderId="0" xfId="0" applyFont="1" applyAlignment="1">
      <alignment horizontal="center"/>
    </xf>
    <xf numFmtId="0" fontId="10" fillId="0" borderId="0" xfId="0" applyFont="1" applyAlignment="1">
      <alignment horizontal="center"/>
    </xf>
    <xf numFmtId="9" fontId="10" fillId="0" borderId="0" xfId="1" applyFont="1" applyAlignment="1">
      <alignment horizontal="center"/>
    </xf>
    <xf numFmtId="0" fontId="11" fillId="0" borderId="0" xfId="0" applyFont="1" applyAlignment="1">
      <alignment horizontal="center"/>
    </xf>
    <xf numFmtId="0" fontId="11" fillId="0" borderId="0" xfId="0" applyFont="1" applyAlignment="1">
      <alignment horizontal="center"/>
    </xf>
    <xf numFmtId="169" fontId="10" fillId="0" borderId="0" xfId="0" applyNumberFormat="1" applyFont="1" applyAlignment="1">
      <alignment horizontal="center"/>
    </xf>
    <xf numFmtId="0" fontId="11" fillId="0" borderId="0" xfId="0" applyFont="1"/>
    <xf numFmtId="171" fontId="10" fillId="0" borderId="0" xfId="0" applyNumberFormat="1" applyFont="1" applyAlignment="1">
      <alignment horizontal="center"/>
    </xf>
    <xf numFmtId="172" fontId="10" fillId="0" borderId="0" xfId="0" applyNumberFormat="1" applyFont="1" applyAlignment="1">
      <alignment horizontal="center"/>
    </xf>
    <xf numFmtId="9" fontId="10" fillId="0" borderId="0" xfId="0" applyNumberFormat="1" applyFont="1" applyAlignment="1">
      <alignment horizontal="center"/>
    </xf>
  </cellXfs>
  <cellStyles count="2">
    <cellStyle name="Normal" xfId="0" builtinId="0"/>
    <cellStyle name="Percent" xfId="1" builtinId="5"/>
  </cellStyles>
  <dxfs count="111">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font>
        <name val="Calibri"/>
        <family val="2"/>
        <scheme val="major"/>
      </font>
    </dxf>
    <dxf>
      <numFmt numFmtId="169" formatCode="&quot;Rp&quot;#,##0"/>
    </dxf>
    <dxf>
      <font>
        <name val="Arial Rounded MT Bold"/>
        <family val="2"/>
        <scheme val="none"/>
      </font>
    </dxf>
    <dxf>
      <numFmt numFmtId="0" formatCode="General"/>
    </dxf>
    <dxf>
      <numFmt numFmtId="1" formatCode="0"/>
    </dxf>
    <dxf>
      <numFmt numFmtId="169" formatCode="&quot;Rp&quot;#,##0"/>
    </dxf>
    <dxf>
      <font>
        <name val="Arial Rounded MT Bold"/>
        <family val="2"/>
        <scheme val="none"/>
      </font>
    </dxf>
    <dxf>
      <numFmt numFmtId="1" formatCode="0"/>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numFmt numFmtId="165" formatCode="&quot;Rp&quot;\ #,##0.00"/>
    </dxf>
    <dxf>
      <font>
        <b val="0"/>
        <i val="0"/>
        <strike val="0"/>
        <condense val="0"/>
        <extend val="0"/>
        <outline val="0"/>
        <shadow val="0"/>
        <u val="none"/>
        <vertAlign val="baseline"/>
        <sz val="11"/>
        <color theme="1"/>
        <name val="Calibri"/>
        <scheme val="none"/>
      </font>
      <numFmt numFmtId="165" formatCode="&quot;Rp&quot;\ #,##0.00"/>
    </dxf>
    <dxf>
      <numFmt numFmtId="165" formatCode="&quot;Rp&quot;\ #,##0.00"/>
    </dxf>
    <dxf>
      <numFmt numFmtId="165" formatCode="&quot;Rp&quot;\ #,##0.00"/>
    </dxf>
    <dxf>
      <numFmt numFmtId="165" formatCode="&quot;Rp&quot;\ #,##0.00"/>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none"/>
      </font>
      <numFmt numFmtId="166" formatCode="0.0"/>
    </dxf>
    <dxf>
      <font>
        <b val="0"/>
        <i val="0"/>
        <strike val="0"/>
        <condense val="0"/>
        <extend val="0"/>
        <outline val="0"/>
        <shadow val="0"/>
        <u val="none"/>
        <vertAlign val="baseline"/>
        <sz val="11"/>
        <color theme="1"/>
        <name val="Calibri"/>
        <scheme val="none"/>
      </font>
      <numFmt numFmtId="165" formatCode="&quot;Rp&quot;\ #,##0.00"/>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164" formatCode="yyyy\-mm\-dd\ hh:mm:ss"/>
    </dxf>
    <dxf>
      <font>
        <b val="0"/>
        <i val="0"/>
        <strike val="0"/>
        <condense val="0"/>
        <extend val="0"/>
        <outline val="0"/>
        <shadow val="0"/>
        <u val="none"/>
        <vertAlign val="baseline"/>
        <sz val="11"/>
        <color theme="1"/>
        <name val="Calibri"/>
        <scheme val="none"/>
      </font>
    </dxf>
    <dxf>
      <border outline="0">
        <top style="thin">
          <color rgb="FF000000"/>
        </top>
      </border>
    </dxf>
    <dxf>
      <font>
        <b val="0"/>
        <i val="0"/>
        <strike val="0"/>
        <condense val="0"/>
        <extend val="0"/>
        <outline val="0"/>
        <shadow val="0"/>
        <u val="none"/>
        <vertAlign val="baseline"/>
        <sz val="11"/>
        <color theme="1"/>
        <name val="Calibri"/>
        <scheme val="none"/>
      </font>
    </dxf>
    <dxf>
      <border outline="0">
        <bottom style="thin">
          <color rgb="FF000000"/>
        </bottom>
      </border>
    </dxf>
    <dxf>
      <font>
        <b/>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font>
        <sz val="10"/>
        <color rgb="FF1F6F5F"/>
        <name val="Arial Rounded MT Bold"/>
        <family val="2"/>
        <scheme val="none"/>
      </font>
      <fill>
        <patternFill>
          <bgColor theme="0"/>
        </patternFill>
      </fill>
    </dxf>
    <dxf>
      <font>
        <sz val="9"/>
        <color theme="0"/>
        <name val="Arial Rounded MT Bold"/>
        <family val="2"/>
        <scheme val="none"/>
      </font>
    </dxf>
    <dxf>
      <font>
        <color theme="0"/>
        <name val="Arial Rounded MT Bold"/>
        <family val="2"/>
        <scheme val="none"/>
      </font>
      <fill>
        <patternFill>
          <bgColor rgb="FF1F6F5F"/>
        </patternFill>
      </fill>
    </dxf>
    <dxf>
      <fill>
        <patternFill patternType="none">
          <bgColor auto="1"/>
        </patternFill>
      </fill>
    </dxf>
  </dxfs>
  <tableStyles count="2" defaultTableStyle="TableStyleMedium2" defaultPivotStyle="PivotStyleLight16">
    <tableStyle name="Slicer Style 1" pivot="0" table="0" count="9" xr9:uid="{4B09A725-DEDD-4B70-9B38-B8346CA27E91}">
      <tableStyleElement type="wholeTable" dxfId="110"/>
      <tableStyleElement type="headerRow" dxfId="109"/>
    </tableStyle>
    <tableStyle name="Slicer Style 2" pivot="0" table="0" count="9" xr9:uid="{C1495A35-100C-43B8-B8AF-66A278BC34CF}">
      <tableStyleElement type="wholeTable" dxfId="108"/>
      <tableStyleElement type="headerRow" dxfId="107"/>
    </tableStyle>
  </tableStyles>
  <colors>
    <mruColors>
      <color rgb="FF3FA796"/>
      <color rgb="FFEB5757"/>
      <color rgb="FFF2C94C"/>
      <color rgb="FFF2994A"/>
      <color rgb="FF1F6F5F"/>
      <color rgb="FFFFFF99"/>
      <color rgb="FFFFFF66"/>
      <color rgb="FF2FA084"/>
      <color rgb="FFEEEEEE"/>
      <color rgb="FFE8F5F2"/>
    </mruColors>
  </colors>
  <extLst>
    <ext xmlns:x14="http://schemas.microsoft.com/office/spreadsheetml/2009/9/main" uri="{46F421CA-312F-682f-3DD2-61675219B42D}">
      <x14:dxfs count="14">
        <dxf>
          <fill>
            <patternFill>
              <bgColor rgb="FF2FA084"/>
            </patternFill>
          </fill>
        </dxf>
        <dxf>
          <fill>
            <patternFill>
              <bgColor rgb="FF1F6F5F"/>
            </patternFill>
          </fill>
        </dxf>
        <dxf>
          <fill>
            <patternFill>
              <bgColor rgb="FFEEEEEE"/>
            </patternFill>
          </fill>
        </dxf>
        <dxf>
          <fill>
            <patternFill>
              <bgColor rgb="FF2FA084"/>
            </patternFill>
          </fill>
        </dxf>
        <dxf>
          <fill>
            <patternFill>
              <bgColor rgb="FF1F6F5F"/>
            </patternFill>
          </fill>
        </dxf>
        <dxf>
          <fill>
            <patternFill>
              <bgColor rgb="FFEEEEEE"/>
            </patternFill>
          </fill>
        </dxf>
        <dxf>
          <fill>
            <patternFill>
              <bgColor rgb="FFEEEEEE"/>
            </patternFill>
          </fill>
        </dxf>
        <dxf>
          <fill>
            <patternFill>
              <bgColor theme="0" tint="-0.14996795556505021"/>
            </patternFill>
          </fill>
        </dxf>
        <dxf>
          <font>
            <color theme="0"/>
            <name val="Arial Rounded MT Bold"/>
            <family val="2"/>
            <scheme val="none"/>
          </font>
          <fill>
            <patternFill>
              <bgColor rgb="FF3FA796"/>
            </patternFill>
          </fill>
        </dxf>
        <dxf>
          <fill>
            <patternFill>
              <bgColor theme="0" tint="-0.14996795556505021"/>
            </patternFill>
          </fill>
        </dxf>
        <dxf>
          <fill>
            <patternFill>
              <bgColor theme="0" tint="-0.14996795556505021"/>
            </patternFill>
          </fill>
        </dxf>
        <dxf>
          <font>
            <color theme="0"/>
            <name val="Arial Rounded MT Bold"/>
            <family val="2"/>
            <scheme val="none"/>
          </font>
          <fill>
            <patternFill>
              <bgColor rgb="FF1F6F5F"/>
            </patternFill>
          </fill>
        </dxf>
        <dxf>
          <fill>
            <patternFill>
              <bgColor theme="0" tint="-0.14996795556505021"/>
            </patternFill>
          </fill>
        </dxf>
        <dxf>
          <font>
            <color theme="1"/>
            <name val="Arial Rounded MT Bold"/>
            <family val="2"/>
            <scheme val="none"/>
          </font>
          <fill>
            <patternFill>
              <bgColor rgb="FFE8F5F2"/>
            </patternFill>
          </fill>
        </dxf>
      </x14:dxfs>
    </ext>
    <ext xmlns:x14="http://schemas.microsoft.com/office/spreadsheetml/2009/9/main" uri="{EB79DEF2-80B8-43e5-95BD-54CBDDF9020C}">
      <x14:slicerStyles defaultSlicerStyle="Slicer Style 2">
        <x14:slicerStyle name="Slicer Style 1">
          <x14:slicerStyleElements>
            <x14:slicerStyleElement type="unselectedItemWithData" dxfId="13"/>
            <x14:slicerStyleElement type="unselectedItemWithNoData" dxfId="12"/>
            <x14:slicerStyleElement type="selectedItemWithData" dxfId="11"/>
            <x14:slicerStyleElement type="selectedItemWithNoData" dxfId="10"/>
            <x14:slicerStyleElement type="hoveredUnselectedItemWithData" dxfId="9"/>
            <x14:slicerStyleElement type="hoveredSelectedItemWithData" dxfId="8"/>
            <x14:slicerStyleElement type="hoveredSelectedItemWithNoData" dxfId="7"/>
          </x14:slicerStyleElements>
        </x14:slicerStyle>
        <x14:slicerStyle name="Slicer Style 2">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DataExcel_Sayuran_2026.xlsx]Pivot_Analysis!platform_performance</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2FA084">
                  <a:shade val="30000"/>
                  <a:satMod val="115000"/>
                </a:srgbClr>
              </a:gs>
              <a:gs pos="50000">
                <a:srgbClr val="2FA084">
                  <a:shade val="67500"/>
                  <a:satMod val="115000"/>
                </a:srgbClr>
              </a:gs>
              <a:gs pos="100000">
                <a:srgbClr val="2FA084">
                  <a:shade val="100000"/>
                  <a:satMod val="115000"/>
                </a:srgbClr>
              </a:gs>
            </a:gsLst>
            <a:lin ang="5400000" scaled="1"/>
            <a:tileRect/>
          </a:gradFill>
          <a:ln>
            <a:noFill/>
          </a:ln>
          <a:effectLst>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2FA084">
                  <a:shade val="30000"/>
                  <a:satMod val="115000"/>
                </a:srgbClr>
              </a:gs>
              <a:gs pos="50000">
                <a:srgbClr val="2FA084">
                  <a:shade val="67500"/>
                  <a:satMod val="115000"/>
                </a:srgbClr>
              </a:gs>
              <a:gs pos="100000">
                <a:srgbClr val="2FA084">
                  <a:shade val="100000"/>
                  <a:satMod val="115000"/>
                </a:srgbClr>
              </a:gs>
            </a:gsLst>
            <a:lin ang="5400000" scaled="1"/>
            <a:tileRect/>
          </a:gradFill>
          <a:ln>
            <a:noFill/>
          </a:ln>
          <a:effectLst>
            <a:innerShdw blurRad="63500" dist="50800" dir="13500000">
              <a:prstClr val="black">
                <a:alpha val="50000"/>
              </a:prstClr>
            </a:innerShdw>
          </a:effectLst>
        </c:spPr>
      </c:pivotFmt>
      <c:pivotFmt>
        <c:idx val="4"/>
        <c:spPr>
          <a:gradFill flip="none" rotWithShape="1">
            <a:gsLst>
              <a:gs pos="0">
                <a:srgbClr val="2FA084">
                  <a:shade val="30000"/>
                  <a:satMod val="115000"/>
                </a:srgbClr>
              </a:gs>
              <a:gs pos="50000">
                <a:srgbClr val="2FA084">
                  <a:shade val="67500"/>
                  <a:satMod val="115000"/>
                </a:srgbClr>
              </a:gs>
              <a:gs pos="100000">
                <a:srgbClr val="2FA084">
                  <a:shade val="100000"/>
                  <a:satMod val="115000"/>
                </a:srgbClr>
              </a:gs>
            </a:gsLst>
            <a:lin ang="5400000" scaled="1"/>
            <a:tileRect/>
          </a:gradFill>
          <a:ln>
            <a:noFill/>
          </a:ln>
          <a:effectLst>
            <a:innerShdw blurRad="63500" dist="50800" dir="13500000">
              <a:prstClr val="black">
                <a:alpha val="50000"/>
              </a:prstClr>
            </a:innerShdw>
          </a:effectLst>
        </c:spPr>
      </c:pivotFmt>
    </c:pivotFmts>
    <c:plotArea>
      <c:layout>
        <c:manualLayout>
          <c:layoutTarget val="inner"/>
          <c:xMode val="edge"/>
          <c:yMode val="edge"/>
          <c:x val="0.39880158934455651"/>
          <c:y val="9.5135167528467346E-2"/>
          <c:w val="0.60119841065544344"/>
          <c:h val="0.75455715590773231"/>
        </c:manualLayout>
      </c:layout>
      <c:barChart>
        <c:barDir val="bar"/>
        <c:grouping val="clustered"/>
        <c:varyColors val="0"/>
        <c:ser>
          <c:idx val="0"/>
          <c:order val="0"/>
          <c:tx>
            <c:strRef>
              <c:f>Pivot_Analysis!$AB$3</c:f>
              <c:strCache>
                <c:ptCount val="1"/>
                <c:pt idx="0">
                  <c:v>Total</c:v>
                </c:pt>
              </c:strCache>
            </c:strRef>
          </c:tx>
          <c:spPr>
            <a:gradFill flip="none" rotWithShape="1">
              <a:gsLst>
                <a:gs pos="0">
                  <a:srgbClr val="2FA084">
                    <a:shade val="30000"/>
                    <a:satMod val="115000"/>
                  </a:srgbClr>
                </a:gs>
                <a:gs pos="50000">
                  <a:srgbClr val="2FA084">
                    <a:shade val="67500"/>
                    <a:satMod val="115000"/>
                  </a:srgbClr>
                </a:gs>
                <a:gs pos="100000">
                  <a:srgbClr val="2FA084">
                    <a:shade val="100000"/>
                    <a:satMod val="115000"/>
                  </a:srgbClr>
                </a:gs>
              </a:gsLst>
              <a:lin ang="5400000" scaled="1"/>
              <a:tileRect/>
            </a:gradFill>
            <a:ln>
              <a:noFill/>
            </a:ln>
            <a:effectLst>
              <a:innerShdw blurRad="63500" dist="50800" dir="13500000">
                <a:prstClr val="black">
                  <a:alpha val="50000"/>
                </a:prst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Pivot_Analysis!$AA$4:$AA$9</c:f>
              <c:strCache>
                <c:ptCount val="5"/>
                <c:pt idx="0">
                  <c:v>SayurKota Mart</c:v>
                </c:pt>
                <c:pt idx="1">
                  <c:v>Hijau Mart</c:v>
                </c:pt>
                <c:pt idx="2">
                  <c:v>Karirnex VegMart App</c:v>
                </c:pt>
                <c:pt idx="3">
                  <c:v>BelanjaSayur App</c:v>
                </c:pt>
                <c:pt idx="4">
                  <c:v>FoodMart</c:v>
                </c:pt>
              </c:strCache>
            </c:strRef>
          </c:cat>
          <c:val>
            <c:numRef>
              <c:f>Pivot_Analysis!$AB$4:$AB$9</c:f>
              <c:numCache>
                <c:formatCode>"Rp"#,##0</c:formatCode>
                <c:ptCount val="5"/>
                <c:pt idx="0">
                  <c:v>32254927.5</c:v>
                </c:pt>
                <c:pt idx="1">
                  <c:v>32251402.5</c:v>
                </c:pt>
                <c:pt idx="2">
                  <c:v>31749497.5</c:v>
                </c:pt>
                <c:pt idx="3">
                  <c:v>31724182.5</c:v>
                </c:pt>
                <c:pt idx="4">
                  <c:v>31504552.5</c:v>
                </c:pt>
              </c:numCache>
            </c:numRef>
          </c:val>
          <c:extLst>
            <c:ext xmlns:c16="http://schemas.microsoft.com/office/drawing/2014/chart" uri="{C3380CC4-5D6E-409C-BE32-E72D297353CC}">
              <c16:uniqueId val="{00000000-BE56-4710-A22A-11C5E6A4DBC0}"/>
            </c:ext>
          </c:extLst>
        </c:ser>
        <c:dLbls>
          <c:dLblPos val="inEnd"/>
          <c:showLegendKey val="0"/>
          <c:showVal val="1"/>
          <c:showCatName val="0"/>
          <c:showSerName val="0"/>
          <c:showPercent val="0"/>
          <c:showBubbleSize val="0"/>
        </c:dLbls>
        <c:gapWidth val="82"/>
        <c:axId val="2077841983"/>
        <c:axId val="2077853631"/>
      </c:barChart>
      <c:catAx>
        <c:axId val="207784198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2077853631"/>
        <c:crosses val="autoZero"/>
        <c:auto val="1"/>
        <c:lblAlgn val="ctr"/>
        <c:lblOffset val="100"/>
        <c:noMultiLvlLbl val="0"/>
      </c:catAx>
      <c:valAx>
        <c:axId val="2077853631"/>
        <c:scaling>
          <c:orientation val="minMax"/>
        </c:scaling>
        <c:delete val="1"/>
        <c:axPos val="t"/>
        <c:numFmt formatCode="&quot;Rp&quot;#,##0" sourceLinked="1"/>
        <c:majorTickMark val="none"/>
        <c:minorTickMark val="none"/>
        <c:tickLblPos val="nextTo"/>
        <c:crossAx val="2077841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 DataExcel_Sayuran_2026.xlsx]Pivot_Analysis!payment_method</c:name>
    <c:fmtId val="5"/>
  </c:pivotSource>
  <c:chart>
    <c:autoTitleDeleted val="1"/>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3"/>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48961A7-AFD0-4E1C-BBC2-18F1893AFE7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solidFill>
            <a:schemeClr val="accent3"/>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F0EBE4C-8E1E-4928-A162-4960B7B4DBB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3"/>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7E150C1-9050-4FBD-BA09-5DF5C8C7DD1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3"/>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F230BDB-508A-4BE2-9A62-C4033B90982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6"/>
        <c:spPr>
          <a:solidFill>
            <a:schemeClr val="accent3"/>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48961A7-AFD0-4E1C-BBC2-18F1893AFE7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3"/>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F0EBE4C-8E1E-4928-A162-4960B7B4DBB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8"/>
        <c:spPr>
          <a:solidFill>
            <a:schemeClr val="accent3"/>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7E150C1-9050-4FBD-BA09-5DF5C8C7DD1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9"/>
        <c:spPr>
          <a:solidFill>
            <a:schemeClr val="accent3"/>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F230BDB-508A-4BE2-9A62-C4033B90982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
        <c:spPr>
          <a:solidFill>
            <a:schemeClr val="accent3"/>
          </a:solidFill>
          <a:ln w="19050">
            <a:solidFill>
              <a:schemeClr val="lt1"/>
            </a:solidFill>
          </a:ln>
          <a:effectLst>
            <a:outerShdw blurRad="127000" dist="50800" dir="5400000" algn="ctr" rotWithShape="0">
              <a:schemeClr val="bg1">
                <a:lumMod val="75000"/>
                <a:alpha val="98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Rounded MT Bold" panose="020F0704030504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
        <c:spPr>
          <a:solidFill>
            <a:srgbClr val="3FA796"/>
          </a:solidFill>
          <a:ln w="19050">
            <a:solidFill>
              <a:schemeClr val="lt1"/>
            </a:solidFill>
          </a:ln>
          <a:effectLst>
            <a:outerShdw blurRad="127000" dist="50800" dir="5400000" algn="ctr" rotWithShape="0">
              <a:schemeClr val="bg1">
                <a:lumMod val="75000"/>
                <a:alpha val="98000"/>
              </a:scheme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Rounded MT Bold" panose="020F0704030504030204" pitchFamily="34" charset="0"/>
                    <a:ea typeface="+mn-ea"/>
                    <a:cs typeface="+mn-cs"/>
                  </a:defRPr>
                </a:pPr>
                <a:fld id="{EE9592EA-65AF-4EFF-9DB4-D5BC834920AC}" type="CELLRANGE">
                  <a:rPr lang="en-US">
                    <a:solidFill>
                      <a:schemeClr val="bg1"/>
                    </a:solidFill>
                  </a:rPr>
                  <a:pPr>
                    <a:defRPr>
                      <a:solidFill>
                        <a:schemeClr val="bg1"/>
                      </a:solidFill>
                      <a:latin typeface="Arial Rounded MT Bold" panose="020F0704030504030204" pitchFamily="34" charset="0"/>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Rounded MT Bold" panose="020F0704030504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2"/>
        <c:spPr>
          <a:solidFill>
            <a:srgbClr val="1F6F5F"/>
          </a:solidFill>
          <a:ln w="19050">
            <a:solidFill>
              <a:schemeClr val="lt1"/>
            </a:solidFill>
          </a:ln>
          <a:effectLst>
            <a:outerShdw blurRad="127000" dist="50800" dir="5400000" algn="ctr" rotWithShape="0">
              <a:schemeClr val="bg1">
                <a:lumMod val="75000"/>
                <a:alpha val="98000"/>
              </a:scheme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Rounded MT Bold" panose="020F0704030504030204" pitchFamily="34" charset="0"/>
                    <a:ea typeface="+mn-ea"/>
                    <a:cs typeface="+mn-cs"/>
                  </a:defRPr>
                </a:pPr>
                <a:fld id="{71E1D760-8564-499B-B7BF-62DC20FAA9B1}" type="CELLRANGE">
                  <a:rPr lang="en-US"/>
                  <a:pPr>
                    <a:defRPr>
                      <a:solidFill>
                        <a:schemeClr val="bg1"/>
                      </a:solidFill>
                      <a:latin typeface="Arial Rounded MT Bold" panose="020F0704030504030204" pitchFamily="34" charset="0"/>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Rounded MT Bold" panose="020F0704030504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3"/>
        <c:spPr>
          <a:solidFill>
            <a:srgbClr val="F2994A"/>
          </a:solidFill>
          <a:ln w="19050">
            <a:solidFill>
              <a:schemeClr val="lt1"/>
            </a:solidFill>
          </a:ln>
          <a:effectLst>
            <a:outerShdw blurRad="127000" dist="50800" dir="5400000" algn="ctr" rotWithShape="0">
              <a:schemeClr val="bg1">
                <a:lumMod val="75000"/>
                <a:alpha val="98000"/>
              </a:scheme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Rounded MT Bold" panose="020F0704030504030204" pitchFamily="34" charset="0"/>
                    <a:ea typeface="+mn-ea"/>
                    <a:cs typeface="+mn-cs"/>
                  </a:defRPr>
                </a:pPr>
                <a:fld id="{60A55ABD-305C-4319-8837-C1F4B3D284B9}" type="CELLRANGE">
                  <a:rPr lang="en-ID"/>
                  <a:pPr>
                    <a:defRPr>
                      <a:solidFill>
                        <a:schemeClr val="bg1"/>
                      </a:solidFill>
                      <a:latin typeface="Arial Rounded MT Bold" panose="020F0704030504030204" pitchFamily="34" charset="0"/>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Rounded MT Bold" panose="020F0704030504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rgbClr val="F2C94C"/>
          </a:solidFill>
          <a:ln w="19050">
            <a:solidFill>
              <a:schemeClr val="lt1"/>
            </a:solidFill>
          </a:ln>
          <a:effectLst>
            <a:outerShdw blurRad="127000" dist="50800" dir="5400000" algn="ctr" rotWithShape="0">
              <a:schemeClr val="bg1">
                <a:lumMod val="75000"/>
                <a:alpha val="98000"/>
              </a:scheme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Rounded MT Bold" panose="020F0704030504030204" pitchFamily="34" charset="0"/>
                    <a:ea typeface="+mn-ea"/>
                    <a:cs typeface="+mn-cs"/>
                  </a:defRPr>
                </a:pPr>
                <a:fld id="{B292F03D-A9BB-42BE-A63E-15006256AE6F}" type="CELLRANGE">
                  <a:rPr lang="en-ID"/>
                  <a:pPr>
                    <a:defRPr>
                      <a:solidFill>
                        <a:schemeClr val="bg1"/>
                      </a:solidFill>
                      <a:latin typeface="Arial Rounded MT Bold" panose="020F0704030504030204" pitchFamily="34" charset="0"/>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Rounded MT Bold" panose="020F0704030504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15990168619947978"/>
          <c:y val="2.9583335031851586E-2"/>
          <c:w val="0.66792437384601322"/>
          <c:h val="0.7792454269579886"/>
        </c:manualLayout>
      </c:layout>
      <c:doughnutChart>
        <c:varyColors val="1"/>
        <c:ser>
          <c:idx val="0"/>
          <c:order val="0"/>
          <c:tx>
            <c:strRef>
              <c:f>Pivot_Analysis!$AN$4:$AN$7</c:f>
              <c:strCache>
                <c:ptCount val="1"/>
                <c:pt idx="0">
                  <c:v>Total</c:v>
                </c:pt>
              </c:strCache>
            </c:strRef>
          </c:tx>
          <c:spPr>
            <a:effectLst>
              <a:outerShdw blurRad="127000" dist="50800" dir="5400000" algn="ctr" rotWithShape="0">
                <a:schemeClr val="bg1">
                  <a:lumMod val="75000"/>
                  <a:alpha val="98000"/>
                </a:schemeClr>
              </a:outerShdw>
            </a:effectLst>
          </c:spPr>
          <c:dPt>
            <c:idx val="0"/>
            <c:bubble3D val="0"/>
            <c:spPr>
              <a:solidFill>
                <a:srgbClr val="3FA796"/>
              </a:solidFill>
              <a:ln w="19050">
                <a:solidFill>
                  <a:schemeClr val="lt1"/>
                </a:solidFill>
              </a:ln>
              <a:effectLst>
                <a:outerShdw blurRad="127000" dist="50800" dir="5400000" algn="ctr" rotWithShape="0">
                  <a:schemeClr val="bg1">
                    <a:lumMod val="75000"/>
                    <a:alpha val="98000"/>
                  </a:schemeClr>
                </a:outerShdw>
              </a:effectLst>
            </c:spPr>
            <c:extLst>
              <c:ext xmlns:c16="http://schemas.microsoft.com/office/drawing/2014/chart" uri="{C3380CC4-5D6E-409C-BE32-E72D297353CC}">
                <c16:uniqueId val="{00000001-9F62-4E55-94DA-D5A49C8CE1A3}"/>
              </c:ext>
            </c:extLst>
          </c:dPt>
          <c:dPt>
            <c:idx val="1"/>
            <c:bubble3D val="0"/>
            <c:spPr>
              <a:solidFill>
                <a:srgbClr val="1F6F5F"/>
              </a:solidFill>
              <a:ln w="19050">
                <a:solidFill>
                  <a:schemeClr val="lt1"/>
                </a:solidFill>
              </a:ln>
              <a:effectLst>
                <a:outerShdw blurRad="127000" dist="50800" dir="5400000" algn="ctr" rotWithShape="0">
                  <a:schemeClr val="bg1">
                    <a:lumMod val="75000"/>
                    <a:alpha val="98000"/>
                  </a:schemeClr>
                </a:outerShdw>
              </a:effectLst>
            </c:spPr>
            <c:extLst>
              <c:ext xmlns:c16="http://schemas.microsoft.com/office/drawing/2014/chart" uri="{C3380CC4-5D6E-409C-BE32-E72D297353CC}">
                <c16:uniqueId val="{00000003-9F62-4E55-94DA-D5A49C8CE1A3}"/>
              </c:ext>
            </c:extLst>
          </c:dPt>
          <c:dPt>
            <c:idx val="2"/>
            <c:bubble3D val="0"/>
            <c:spPr>
              <a:solidFill>
                <a:srgbClr val="F2994A"/>
              </a:solidFill>
              <a:ln w="19050">
                <a:solidFill>
                  <a:schemeClr val="lt1"/>
                </a:solidFill>
              </a:ln>
              <a:effectLst>
                <a:outerShdw blurRad="127000" dist="50800" dir="5400000" algn="ctr" rotWithShape="0">
                  <a:schemeClr val="bg1">
                    <a:lumMod val="75000"/>
                    <a:alpha val="98000"/>
                  </a:schemeClr>
                </a:outerShdw>
              </a:effectLst>
            </c:spPr>
            <c:extLst>
              <c:ext xmlns:c16="http://schemas.microsoft.com/office/drawing/2014/chart" uri="{C3380CC4-5D6E-409C-BE32-E72D297353CC}">
                <c16:uniqueId val="{00000005-9F62-4E55-94DA-D5A49C8CE1A3}"/>
              </c:ext>
            </c:extLst>
          </c:dPt>
          <c:dPt>
            <c:idx val="3"/>
            <c:bubble3D val="0"/>
            <c:spPr>
              <a:solidFill>
                <a:srgbClr val="F2C94C"/>
              </a:solidFill>
              <a:ln w="19050">
                <a:solidFill>
                  <a:schemeClr val="lt1"/>
                </a:solidFill>
              </a:ln>
              <a:effectLst>
                <a:outerShdw blurRad="127000" dist="50800" dir="5400000" algn="ctr" rotWithShape="0">
                  <a:schemeClr val="bg1">
                    <a:lumMod val="75000"/>
                    <a:alpha val="98000"/>
                  </a:schemeClr>
                </a:outerShdw>
              </a:effectLst>
            </c:spPr>
            <c:extLst>
              <c:ext xmlns:c16="http://schemas.microsoft.com/office/drawing/2014/chart" uri="{C3380CC4-5D6E-409C-BE32-E72D297353CC}">
                <c16:uniqueId val="{00000007-9F62-4E55-94DA-D5A49C8CE1A3}"/>
              </c:ext>
            </c:extLst>
          </c:dPt>
          <c:dLbls>
            <c:dLbl>
              <c:idx val="0"/>
              <c:tx>
                <c:rich>
                  <a:bodyPr/>
                  <a:lstStyle/>
                  <a:p>
                    <a:fld id="{EE9592EA-65AF-4EFF-9DB4-D5BC834920AC}" type="CELLRANGE">
                      <a:rPr lang="en-US">
                        <a:solidFill>
                          <a:schemeClr val="bg1"/>
                        </a:solidFill>
                      </a:rPr>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9F62-4E55-94DA-D5A49C8CE1A3}"/>
                </c:ext>
              </c:extLst>
            </c:dLbl>
            <c:dLbl>
              <c:idx val="1"/>
              <c:tx>
                <c:rich>
                  <a:bodyPr/>
                  <a:lstStyle/>
                  <a:p>
                    <a:fld id="{71E1D760-8564-499B-B7BF-62DC20FAA9B1}"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9F62-4E55-94DA-D5A49C8CE1A3}"/>
                </c:ext>
              </c:extLst>
            </c:dLbl>
            <c:dLbl>
              <c:idx val="2"/>
              <c:tx>
                <c:rich>
                  <a:bodyPr/>
                  <a:lstStyle/>
                  <a:p>
                    <a:fld id="{60A55ABD-305C-4319-8837-C1F4B3D284B9}"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F62-4E55-94DA-D5A49C8CE1A3}"/>
                </c:ext>
              </c:extLst>
            </c:dLbl>
            <c:dLbl>
              <c:idx val="3"/>
              <c:tx>
                <c:rich>
                  <a:bodyPr/>
                  <a:lstStyle/>
                  <a:p>
                    <a:fld id="{B292F03D-A9BB-42BE-A63E-15006256AE6F}"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F62-4E55-94DA-D5A49C8CE1A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Rounded MT Bold" panose="020F0704030504030204" pitchFamily="34" charset="0"/>
                    <a:ea typeface="+mn-ea"/>
                    <a:cs typeface="+mn-cs"/>
                  </a:defRPr>
                </a:pPr>
                <a:endParaRPr lang="en-US"/>
              </a:p>
            </c:txPr>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cat>
            <c:strRef>
              <c:f>Pivot_Analysis!$AN$4:$AN$7</c:f>
              <c:strCache>
                <c:ptCount val="4"/>
                <c:pt idx="0">
                  <c:v>Kartu Kredit</c:v>
                </c:pt>
                <c:pt idx="1">
                  <c:v>Transfer Bank</c:v>
                </c:pt>
                <c:pt idx="2">
                  <c:v>e-Wallet</c:v>
                </c:pt>
                <c:pt idx="3">
                  <c:v>COD</c:v>
                </c:pt>
              </c:strCache>
            </c:strRef>
          </c:cat>
          <c:val>
            <c:numRef>
              <c:f>Pivot_Analysis!$AN$4:$AN$7</c:f>
              <c:numCache>
                <c:formatCode>"Rp"#,##0</c:formatCode>
                <c:ptCount val="4"/>
                <c:pt idx="0">
                  <c:v>41582805</c:v>
                </c:pt>
                <c:pt idx="1">
                  <c:v>41206355</c:v>
                </c:pt>
                <c:pt idx="2">
                  <c:v>38756115</c:v>
                </c:pt>
                <c:pt idx="3">
                  <c:v>37939287.5</c:v>
                </c:pt>
              </c:numCache>
            </c:numRef>
          </c:val>
          <c:extLst>
            <c:ext xmlns:c15="http://schemas.microsoft.com/office/drawing/2012/chart" uri="{02D57815-91ED-43cb-92C2-25804820EDAC}">
              <c15:datalabelsRange>
                <c15:f>Pivot_Analysis!$AN$4:$AN$7</c15:f>
                <c15:dlblRangeCache>
                  <c:ptCount val="4"/>
                  <c:pt idx="0">
                    <c:v>26%</c:v>
                  </c:pt>
                  <c:pt idx="1">
                    <c:v>26%</c:v>
                  </c:pt>
                  <c:pt idx="2">
                    <c:v>24%</c:v>
                  </c:pt>
                  <c:pt idx="3">
                    <c:v>24%</c:v>
                  </c:pt>
                </c15:dlblRangeCache>
              </c15:datalabelsRange>
            </c:ext>
            <c:ext xmlns:c16="http://schemas.microsoft.com/office/drawing/2014/chart" uri="{C3380CC4-5D6E-409C-BE32-E72D297353CC}">
              <c16:uniqueId val="{00000008-9F62-4E55-94DA-D5A49C8CE1A3}"/>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layout>
        <c:manualLayout>
          <c:xMode val="edge"/>
          <c:yMode val="edge"/>
          <c:x val="2.3359011590905553E-2"/>
          <c:y val="0.82192451851705473"/>
          <c:w val="0.9386052877610398"/>
          <c:h val="0.17807548148294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310660462908378"/>
          <c:y val="7.1428611602143754E-2"/>
          <c:w val="0.53378679074183244"/>
          <c:h val="0.69821242869090483"/>
        </c:manualLayout>
      </c:layout>
      <c:doughnutChart>
        <c:varyColors val="1"/>
        <c:ser>
          <c:idx val="0"/>
          <c:order val="0"/>
          <c:dPt>
            <c:idx val="0"/>
            <c:bubble3D val="0"/>
            <c:spPr>
              <a:solidFill>
                <a:srgbClr val="1F6F5F"/>
              </a:solidFill>
              <a:ln w="19050">
                <a:solidFill>
                  <a:srgbClr val="1F6F5F"/>
                </a:solidFill>
              </a:ln>
              <a:effectLst/>
            </c:spPr>
            <c:extLst>
              <c:ext xmlns:c16="http://schemas.microsoft.com/office/drawing/2014/chart" uri="{C3380CC4-5D6E-409C-BE32-E72D297353CC}">
                <c16:uniqueId val="{00000001-A4A2-40C4-8251-101C3AE97F23}"/>
              </c:ext>
            </c:extLst>
          </c:dPt>
          <c:dPt>
            <c:idx val="1"/>
            <c:bubble3D val="0"/>
            <c:spPr>
              <a:solidFill>
                <a:srgbClr val="2FA084"/>
              </a:solidFill>
              <a:ln w="19050">
                <a:solidFill>
                  <a:srgbClr val="2FA084"/>
                </a:solidFill>
              </a:ln>
              <a:effectLst/>
            </c:spPr>
            <c:extLst>
              <c:ext xmlns:c16="http://schemas.microsoft.com/office/drawing/2014/chart" uri="{C3380CC4-5D6E-409C-BE32-E72D297353CC}">
                <c16:uniqueId val="{00000003-A4A2-40C4-8251-101C3AE97F23}"/>
              </c:ext>
            </c:extLst>
          </c:dPt>
          <c:dPt>
            <c:idx val="2"/>
            <c:bubble3D val="0"/>
            <c:spPr>
              <a:solidFill>
                <a:srgbClr val="F2C94C"/>
              </a:solidFill>
              <a:ln w="19050">
                <a:solidFill>
                  <a:srgbClr val="F2C94C"/>
                </a:solidFill>
              </a:ln>
              <a:effectLst/>
            </c:spPr>
            <c:extLst>
              <c:ext xmlns:c16="http://schemas.microsoft.com/office/drawing/2014/chart" uri="{C3380CC4-5D6E-409C-BE32-E72D297353CC}">
                <c16:uniqueId val="{00000005-A4A2-40C4-8251-101C3AE97F23}"/>
              </c:ext>
            </c:extLst>
          </c:dPt>
          <c:dPt>
            <c:idx val="3"/>
            <c:bubble3D val="0"/>
            <c:spPr>
              <a:solidFill>
                <a:srgbClr val="F2994A"/>
              </a:solidFill>
              <a:ln w="19050">
                <a:solidFill>
                  <a:srgbClr val="F2994A"/>
                </a:solidFill>
              </a:ln>
              <a:effectLst/>
            </c:spPr>
            <c:extLst>
              <c:ext xmlns:c16="http://schemas.microsoft.com/office/drawing/2014/chart" uri="{C3380CC4-5D6E-409C-BE32-E72D297353CC}">
                <c16:uniqueId val="{00000007-A4A2-40C4-8251-101C3AE97F23}"/>
              </c:ext>
            </c:extLst>
          </c:dPt>
          <c:dPt>
            <c:idx val="4"/>
            <c:bubble3D val="0"/>
            <c:spPr>
              <a:solidFill>
                <a:srgbClr val="EB5757"/>
              </a:solidFill>
              <a:ln w="19050">
                <a:solidFill>
                  <a:srgbClr val="EB5757"/>
                </a:solidFill>
              </a:ln>
              <a:effectLst/>
            </c:spPr>
            <c:extLst>
              <c:ext xmlns:c16="http://schemas.microsoft.com/office/drawing/2014/chart" uri="{C3380CC4-5D6E-409C-BE32-E72D297353CC}">
                <c16:uniqueId val="{00000009-A4A2-40C4-8251-101C3AE97F23}"/>
              </c:ext>
            </c:extLst>
          </c:dPt>
          <c:dLbls>
            <c:dLbl>
              <c:idx val="0"/>
              <c:layout>
                <c:manualLayout>
                  <c:x val="-1.0962318970681407E-2"/>
                  <c:y val="7.0654393201155838E-2"/>
                </c:manualLayout>
              </c:layout>
              <c:tx>
                <c:rich>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fld id="{978A585B-B30F-43B4-9292-98E7902A7330}" type="CELLRANGE">
                      <a:rPr lang="en-US">
                        <a:solidFill>
                          <a:schemeClr val="bg1"/>
                        </a:solidFill>
                      </a:rPr>
                      <a:pPr>
                        <a:defRPr sz="800">
                          <a:solidFill>
                            <a:schemeClr val="bg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4A2-40C4-8251-101C3AE97F23}"/>
                </c:ext>
              </c:extLst>
            </c:dLbl>
            <c:dLbl>
              <c:idx val="1"/>
              <c:layout>
                <c:manualLayout>
                  <c:x val="-2.7405797426703519E-2"/>
                  <c:y val="-1.4130878640231201E-2"/>
                </c:manualLayout>
              </c:layout>
              <c:tx>
                <c:rich>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fld id="{6966C73D-FC1D-4196-B5D6-956A28A3A03A}" type="CELLRANGE">
                      <a:rPr lang="en-US">
                        <a:solidFill>
                          <a:schemeClr val="bg1"/>
                        </a:solidFill>
                      </a:rPr>
                      <a:pPr>
                        <a:defRPr sz="800">
                          <a:solidFill>
                            <a:schemeClr val="bg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A2-40C4-8251-101C3AE97F23}"/>
                </c:ext>
              </c:extLst>
            </c:dLbl>
            <c:dLbl>
              <c:idx val="2"/>
              <c:layout>
                <c:manualLayout>
                  <c:x val="-1.0962318970681357E-2"/>
                  <c:y val="-2.1196317960346784E-2"/>
                </c:manualLayout>
              </c:layout>
              <c:tx>
                <c:rich>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fld id="{DD58524E-A076-421F-81A8-DE03ECD5040B}" type="CELLRANGE">
                      <a:rPr lang="en-US">
                        <a:solidFill>
                          <a:schemeClr val="bg1"/>
                        </a:solidFill>
                      </a:rPr>
                      <a:pPr>
                        <a:defRPr sz="800">
                          <a:solidFill>
                            <a:schemeClr val="bg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A4A2-40C4-8251-101C3AE97F23}"/>
                </c:ext>
              </c:extLst>
            </c:dLbl>
            <c:dLbl>
              <c:idx val="3"/>
              <c:delete val="1"/>
              <c:extLst>
                <c:ext xmlns:c15="http://schemas.microsoft.com/office/drawing/2012/chart" uri="{CE6537A1-D6FC-4f65-9D91-7224C49458BB}"/>
                <c:ext xmlns:c16="http://schemas.microsoft.com/office/drawing/2014/chart" uri="{C3380CC4-5D6E-409C-BE32-E72D297353CC}">
                  <c16:uniqueId val="{00000007-A4A2-40C4-8251-101C3AE97F23}"/>
                </c:ext>
              </c:extLst>
            </c:dLbl>
            <c:dLbl>
              <c:idx val="4"/>
              <c:delete val="1"/>
              <c:extLst>
                <c:ext xmlns:c15="http://schemas.microsoft.com/office/drawing/2012/chart" uri="{CE6537A1-D6FC-4f65-9D91-7224C49458BB}"/>
                <c:ext xmlns:c16="http://schemas.microsoft.com/office/drawing/2014/chart" uri="{C3380CC4-5D6E-409C-BE32-E72D297353CC}">
                  <c16:uniqueId val="{00000009-A4A2-40C4-8251-101C3AE97F23}"/>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ext>
            </c:extLst>
          </c:dLbls>
          <c:cat>
            <c:strRef>
              <c:f>Pivot_Analysis!$AT$4:$AT$8</c:f>
              <c:strCache>
                <c:ptCount val="5"/>
                <c:pt idx="0">
                  <c:v>Completed</c:v>
                </c:pt>
                <c:pt idx="1">
                  <c:v>Returned</c:v>
                </c:pt>
                <c:pt idx="2">
                  <c:v>Cancelled</c:v>
                </c:pt>
                <c:pt idx="3">
                  <c:v>Pending</c:v>
                </c:pt>
                <c:pt idx="4">
                  <c:v>Shipped</c:v>
                </c:pt>
              </c:strCache>
            </c:strRef>
          </c:cat>
          <c:val>
            <c:numRef>
              <c:f>Pivot_Analysis!$AU$4:$AU$8</c:f>
              <c:numCache>
                <c:formatCode>General</c:formatCode>
                <c:ptCount val="5"/>
                <c:pt idx="0">
                  <c:v>1495</c:v>
                </c:pt>
                <c:pt idx="1">
                  <c:v>277</c:v>
                </c:pt>
                <c:pt idx="2">
                  <c:v>108</c:v>
                </c:pt>
                <c:pt idx="3">
                  <c:v>67</c:v>
                </c:pt>
                <c:pt idx="4">
                  <c:v>53</c:v>
                </c:pt>
              </c:numCache>
            </c:numRef>
          </c:val>
          <c:extLst>
            <c:ext xmlns:c15="http://schemas.microsoft.com/office/drawing/2012/chart" uri="{02D57815-91ED-43cb-92C2-25804820EDAC}">
              <c15:datalabelsRange>
                <c15:f>Pivot_Analysis!$AV$8:$AV$12</c15:f>
                <c15:dlblRangeCache>
                  <c:ptCount val="5"/>
                </c15:dlblRangeCache>
              </c15:datalabelsRange>
            </c:ext>
            <c:ext xmlns:c16="http://schemas.microsoft.com/office/drawing/2014/chart" uri="{C3380CC4-5D6E-409C-BE32-E72D297353CC}">
              <c16:uniqueId val="{0000000A-A4A2-40C4-8251-101C3AE97F23}"/>
            </c:ext>
          </c:extLst>
        </c:ser>
        <c:ser>
          <c:idx val="1"/>
          <c:order val="1"/>
          <c:dPt>
            <c:idx val="0"/>
            <c:bubble3D val="0"/>
            <c:spPr>
              <a:solidFill>
                <a:srgbClr val="1F6F5F"/>
              </a:solidFill>
              <a:ln w="19050">
                <a:solidFill>
                  <a:srgbClr val="1F6F5F"/>
                </a:solidFill>
              </a:ln>
              <a:effectLst/>
            </c:spPr>
            <c:extLst>
              <c:ext xmlns:c16="http://schemas.microsoft.com/office/drawing/2014/chart" uri="{C3380CC4-5D6E-409C-BE32-E72D297353CC}">
                <c16:uniqueId val="{0000000C-A4A2-40C4-8251-101C3AE97F23}"/>
              </c:ext>
            </c:extLst>
          </c:dPt>
          <c:dPt>
            <c:idx val="1"/>
            <c:bubble3D val="0"/>
            <c:spPr>
              <a:solidFill>
                <a:srgbClr val="2FA084"/>
              </a:solidFill>
              <a:ln w="19050">
                <a:solidFill>
                  <a:srgbClr val="2FA084"/>
                </a:solidFill>
              </a:ln>
              <a:effectLst/>
            </c:spPr>
            <c:extLst>
              <c:ext xmlns:c16="http://schemas.microsoft.com/office/drawing/2014/chart" uri="{C3380CC4-5D6E-409C-BE32-E72D297353CC}">
                <c16:uniqueId val="{0000000E-A4A2-40C4-8251-101C3AE97F23}"/>
              </c:ext>
            </c:extLst>
          </c:dPt>
          <c:dPt>
            <c:idx val="2"/>
            <c:bubble3D val="0"/>
            <c:spPr>
              <a:solidFill>
                <a:srgbClr val="F2C94C"/>
              </a:solidFill>
              <a:ln w="19050">
                <a:solidFill>
                  <a:srgbClr val="F2C94C"/>
                </a:solidFill>
              </a:ln>
              <a:effectLst/>
            </c:spPr>
            <c:extLst>
              <c:ext xmlns:c16="http://schemas.microsoft.com/office/drawing/2014/chart" uri="{C3380CC4-5D6E-409C-BE32-E72D297353CC}">
                <c16:uniqueId val="{00000010-A4A2-40C4-8251-101C3AE97F23}"/>
              </c:ext>
            </c:extLst>
          </c:dPt>
          <c:dPt>
            <c:idx val="3"/>
            <c:bubble3D val="0"/>
            <c:spPr>
              <a:solidFill>
                <a:srgbClr val="F2994A"/>
              </a:solidFill>
              <a:ln w="19050">
                <a:solidFill>
                  <a:srgbClr val="F2994A"/>
                </a:solidFill>
              </a:ln>
              <a:effectLst/>
            </c:spPr>
            <c:extLst>
              <c:ext xmlns:c16="http://schemas.microsoft.com/office/drawing/2014/chart" uri="{C3380CC4-5D6E-409C-BE32-E72D297353CC}">
                <c16:uniqueId val="{00000012-A4A2-40C4-8251-101C3AE97F23}"/>
              </c:ext>
            </c:extLst>
          </c:dPt>
          <c:dPt>
            <c:idx val="4"/>
            <c:bubble3D val="0"/>
            <c:spPr>
              <a:solidFill>
                <a:srgbClr val="EB5757"/>
              </a:solidFill>
              <a:ln w="19050">
                <a:solidFill>
                  <a:srgbClr val="EB5757"/>
                </a:solidFill>
              </a:ln>
              <a:effectLst/>
            </c:spPr>
            <c:extLst>
              <c:ext xmlns:c16="http://schemas.microsoft.com/office/drawing/2014/chart" uri="{C3380CC4-5D6E-409C-BE32-E72D297353CC}">
                <c16:uniqueId val="{00000014-A4A2-40C4-8251-101C3AE97F23}"/>
              </c:ext>
            </c:extLst>
          </c:dPt>
          <c:dLbls>
            <c:delete val="1"/>
          </c:dLbls>
          <c:val>
            <c:numRef>
              <c:f>Pivot_Analysis!$AU$4:$AU$8</c:f>
              <c:numCache>
                <c:formatCode>General</c:formatCode>
                <c:ptCount val="5"/>
                <c:pt idx="0">
                  <c:v>1495</c:v>
                </c:pt>
                <c:pt idx="1">
                  <c:v>277</c:v>
                </c:pt>
                <c:pt idx="2">
                  <c:v>108</c:v>
                </c:pt>
                <c:pt idx="3">
                  <c:v>67</c:v>
                </c:pt>
                <c:pt idx="4">
                  <c:v>53</c:v>
                </c:pt>
              </c:numCache>
            </c:numRef>
          </c:val>
          <c:extLst>
            <c:ext xmlns:c16="http://schemas.microsoft.com/office/drawing/2014/chart" uri="{C3380CC4-5D6E-409C-BE32-E72D297353CC}">
              <c16:uniqueId val="{00000015-A4A2-40C4-8251-101C3AE97F23}"/>
            </c:ext>
          </c:extLst>
        </c:ser>
        <c:ser>
          <c:idx val="2"/>
          <c:order val="2"/>
          <c:dPt>
            <c:idx val="0"/>
            <c:bubble3D val="0"/>
            <c:spPr>
              <a:solidFill>
                <a:srgbClr val="1F6F5F"/>
              </a:solidFill>
              <a:ln w="19050">
                <a:solidFill>
                  <a:srgbClr val="1F6F5F"/>
                </a:solidFill>
              </a:ln>
              <a:effectLst/>
            </c:spPr>
            <c:extLst>
              <c:ext xmlns:c16="http://schemas.microsoft.com/office/drawing/2014/chart" uri="{C3380CC4-5D6E-409C-BE32-E72D297353CC}">
                <c16:uniqueId val="{00000017-A4A2-40C4-8251-101C3AE97F23}"/>
              </c:ext>
            </c:extLst>
          </c:dPt>
          <c:dPt>
            <c:idx val="1"/>
            <c:bubble3D val="0"/>
            <c:spPr>
              <a:solidFill>
                <a:srgbClr val="2FA084"/>
              </a:solidFill>
              <a:ln w="19050">
                <a:solidFill>
                  <a:srgbClr val="2FA084"/>
                </a:solidFill>
              </a:ln>
              <a:effectLst/>
            </c:spPr>
            <c:extLst>
              <c:ext xmlns:c16="http://schemas.microsoft.com/office/drawing/2014/chart" uri="{C3380CC4-5D6E-409C-BE32-E72D297353CC}">
                <c16:uniqueId val="{00000019-A4A2-40C4-8251-101C3AE97F23}"/>
              </c:ext>
            </c:extLst>
          </c:dPt>
          <c:dPt>
            <c:idx val="2"/>
            <c:bubble3D val="0"/>
            <c:spPr>
              <a:solidFill>
                <a:srgbClr val="F2C94C"/>
              </a:solidFill>
              <a:ln w="19050">
                <a:solidFill>
                  <a:srgbClr val="F2C94C"/>
                </a:solidFill>
              </a:ln>
              <a:effectLst/>
            </c:spPr>
            <c:extLst>
              <c:ext xmlns:c16="http://schemas.microsoft.com/office/drawing/2014/chart" uri="{C3380CC4-5D6E-409C-BE32-E72D297353CC}">
                <c16:uniqueId val="{0000001B-A4A2-40C4-8251-101C3AE97F23}"/>
              </c:ext>
            </c:extLst>
          </c:dPt>
          <c:dPt>
            <c:idx val="3"/>
            <c:bubble3D val="0"/>
            <c:spPr>
              <a:solidFill>
                <a:srgbClr val="F2994A"/>
              </a:solidFill>
              <a:ln w="19050">
                <a:solidFill>
                  <a:srgbClr val="F2994A"/>
                </a:solidFill>
              </a:ln>
              <a:effectLst/>
            </c:spPr>
            <c:extLst>
              <c:ext xmlns:c16="http://schemas.microsoft.com/office/drawing/2014/chart" uri="{C3380CC4-5D6E-409C-BE32-E72D297353CC}">
                <c16:uniqueId val="{0000001D-A4A2-40C4-8251-101C3AE97F23}"/>
              </c:ext>
            </c:extLst>
          </c:dPt>
          <c:dPt>
            <c:idx val="4"/>
            <c:bubble3D val="0"/>
            <c:spPr>
              <a:noFill/>
              <a:ln w="19050">
                <a:noFill/>
              </a:ln>
              <a:effectLst/>
            </c:spPr>
            <c:extLst>
              <c:ext xmlns:c16="http://schemas.microsoft.com/office/drawing/2014/chart" uri="{C3380CC4-5D6E-409C-BE32-E72D297353CC}">
                <c16:uniqueId val="{0000001F-A4A2-40C4-8251-101C3AE97F2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1-A4A2-40C4-8251-101C3AE97F23}"/>
              </c:ext>
            </c:extLst>
          </c:dPt>
          <c:dLbls>
            <c:delete val="1"/>
          </c:dLbls>
          <c:val>
            <c:numRef>
              <c:f>Pivot_Analysis!$AU$4:$AU$9</c:f>
              <c:numCache>
                <c:formatCode>General</c:formatCode>
                <c:ptCount val="6"/>
                <c:pt idx="0">
                  <c:v>1495</c:v>
                </c:pt>
                <c:pt idx="1">
                  <c:v>277</c:v>
                </c:pt>
                <c:pt idx="2">
                  <c:v>108</c:v>
                </c:pt>
                <c:pt idx="3">
                  <c:v>67</c:v>
                </c:pt>
                <c:pt idx="4">
                  <c:v>53</c:v>
                </c:pt>
              </c:numCache>
            </c:numRef>
          </c:val>
          <c:extLst>
            <c:ext xmlns:c16="http://schemas.microsoft.com/office/drawing/2014/chart" uri="{C3380CC4-5D6E-409C-BE32-E72D297353CC}">
              <c16:uniqueId val="{00000022-A4A2-40C4-8251-101C3AE97F23}"/>
            </c:ext>
          </c:extLst>
        </c:ser>
        <c:ser>
          <c:idx val="3"/>
          <c:order val="3"/>
          <c:dPt>
            <c:idx val="0"/>
            <c:bubble3D val="0"/>
            <c:spPr>
              <a:solidFill>
                <a:srgbClr val="1F6F5F"/>
              </a:solidFill>
              <a:ln w="19050">
                <a:solidFill>
                  <a:srgbClr val="1F6F5F"/>
                </a:solidFill>
              </a:ln>
              <a:effectLst/>
            </c:spPr>
            <c:extLst>
              <c:ext xmlns:c16="http://schemas.microsoft.com/office/drawing/2014/chart" uri="{C3380CC4-5D6E-409C-BE32-E72D297353CC}">
                <c16:uniqueId val="{00000024-A4A2-40C4-8251-101C3AE97F23}"/>
              </c:ext>
            </c:extLst>
          </c:dPt>
          <c:dPt>
            <c:idx val="1"/>
            <c:bubble3D val="0"/>
            <c:spPr>
              <a:solidFill>
                <a:srgbClr val="2FA084"/>
              </a:solidFill>
              <a:ln w="19050">
                <a:solidFill>
                  <a:srgbClr val="2FA084"/>
                </a:solidFill>
              </a:ln>
              <a:effectLst/>
            </c:spPr>
            <c:extLst>
              <c:ext xmlns:c16="http://schemas.microsoft.com/office/drawing/2014/chart" uri="{C3380CC4-5D6E-409C-BE32-E72D297353CC}">
                <c16:uniqueId val="{00000026-A4A2-40C4-8251-101C3AE97F23}"/>
              </c:ext>
            </c:extLst>
          </c:dPt>
          <c:dPt>
            <c:idx val="2"/>
            <c:bubble3D val="0"/>
            <c:spPr>
              <a:solidFill>
                <a:srgbClr val="F2C94C"/>
              </a:solidFill>
              <a:ln w="19050">
                <a:solidFill>
                  <a:srgbClr val="F2C94C"/>
                </a:solidFill>
              </a:ln>
              <a:effectLst/>
            </c:spPr>
            <c:extLst>
              <c:ext xmlns:c16="http://schemas.microsoft.com/office/drawing/2014/chart" uri="{C3380CC4-5D6E-409C-BE32-E72D297353CC}">
                <c16:uniqueId val="{00000028-A4A2-40C4-8251-101C3AE97F23}"/>
              </c:ext>
            </c:extLst>
          </c:dPt>
          <c:dPt>
            <c:idx val="3"/>
            <c:bubble3D val="0"/>
            <c:spPr>
              <a:noFill/>
              <a:ln w="19050">
                <a:solidFill>
                  <a:schemeClr val="bg1"/>
                </a:solidFill>
              </a:ln>
              <a:effectLst/>
            </c:spPr>
            <c:extLst>
              <c:ext xmlns:c16="http://schemas.microsoft.com/office/drawing/2014/chart" uri="{C3380CC4-5D6E-409C-BE32-E72D297353CC}">
                <c16:uniqueId val="{0000002A-A4A2-40C4-8251-101C3AE97F23}"/>
              </c:ext>
            </c:extLst>
          </c:dPt>
          <c:dPt>
            <c:idx val="4"/>
            <c:bubble3D val="0"/>
            <c:spPr>
              <a:noFill/>
              <a:ln w="19050">
                <a:noFill/>
              </a:ln>
              <a:effectLst/>
            </c:spPr>
            <c:extLst>
              <c:ext xmlns:c16="http://schemas.microsoft.com/office/drawing/2014/chart" uri="{C3380CC4-5D6E-409C-BE32-E72D297353CC}">
                <c16:uniqueId val="{0000002C-A4A2-40C4-8251-101C3AE97F2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E-A4A2-40C4-8251-101C3AE97F23}"/>
              </c:ext>
            </c:extLst>
          </c:dPt>
          <c:dLbls>
            <c:delete val="1"/>
          </c:dLbls>
          <c:val>
            <c:numRef>
              <c:f>Pivot_Analysis!$AU$4:$AU$9</c:f>
              <c:numCache>
                <c:formatCode>General</c:formatCode>
                <c:ptCount val="6"/>
                <c:pt idx="0">
                  <c:v>1495</c:v>
                </c:pt>
                <c:pt idx="1">
                  <c:v>277</c:v>
                </c:pt>
                <c:pt idx="2">
                  <c:v>108</c:v>
                </c:pt>
                <c:pt idx="3">
                  <c:v>67</c:v>
                </c:pt>
                <c:pt idx="4">
                  <c:v>53</c:v>
                </c:pt>
              </c:numCache>
            </c:numRef>
          </c:val>
          <c:extLst>
            <c:ext xmlns:c16="http://schemas.microsoft.com/office/drawing/2014/chart" uri="{C3380CC4-5D6E-409C-BE32-E72D297353CC}">
              <c16:uniqueId val="{0000002F-A4A2-40C4-8251-101C3AE97F23}"/>
            </c:ext>
          </c:extLst>
        </c:ser>
        <c:ser>
          <c:idx val="4"/>
          <c:order val="4"/>
          <c:dPt>
            <c:idx val="0"/>
            <c:bubble3D val="0"/>
            <c:spPr>
              <a:solidFill>
                <a:srgbClr val="1F6F5F"/>
              </a:solidFill>
              <a:ln w="19050">
                <a:solidFill>
                  <a:srgbClr val="1F6F5F"/>
                </a:solidFill>
              </a:ln>
              <a:effectLst/>
            </c:spPr>
            <c:extLst>
              <c:ext xmlns:c16="http://schemas.microsoft.com/office/drawing/2014/chart" uri="{C3380CC4-5D6E-409C-BE32-E72D297353CC}">
                <c16:uniqueId val="{00000031-A4A2-40C4-8251-101C3AE97F23}"/>
              </c:ext>
            </c:extLst>
          </c:dPt>
          <c:dPt>
            <c:idx val="1"/>
            <c:bubble3D val="0"/>
            <c:spPr>
              <a:solidFill>
                <a:srgbClr val="2FA084"/>
              </a:solidFill>
              <a:ln w="19050">
                <a:solidFill>
                  <a:srgbClr val="2FA084"/>
                </a:solidFill>
              </a:ln>
              <a:effectLst/>
            </c:spPr>
            <c:extLst>
              <c:ext xmlns:c16="http://schemas.microsoft.com/office/drawing/2014/chart" uri="{C3380CC4-5D6E-409C-BE32-E72D297353CC}">
                <c16:uniqueId val="{00000033-A4A2-40C4-8251-101C3AE97F23}"/>
              </c:ext>
            </c:extLst>
          </c:dPt>
          <c:dPt>
            <c:idx val="2"/>
            <c:bubble3D val="0"/>
            <c:spPr>
              <a:noFill/>
              <a:ln w="19050">
                <a:solidFill>
                  <a:schemeClr val="bg1"/>
                </a:solidFill>
              </a:ln>
              <a:effectLst/>
            </c:spPr>
            <c:extLst>
              <c:ext xmlns:c16="http://schemas.microsoft.com/office/drawing/2014/chart" uri="{C3380CC4-5D6E-409C-BE32-E72D297353CC}">
                <c16:uniqueId val="{00000035-A4A2-40C4-8251-101C3AE97F23}"/>
              </c:ext>
            </c:extLst>
          </c:dPt>
          <c:dPt>
            <c:idx val="3"/>
            <c:bubble3D val="0"/>
            <c:spPr>
              <a:noFill/>
              <a:ln w="19050">
                <a:noFill/>
              </a:ln>
              <a:effectLst/>
            </c:spPr>
            <c:extLst>
              <c:ext xmlns:c16="http://schemas.microsoft.com/office/drawing/2014/chart" uri="{C3380CC4-5D6E-409C-BE32-E72D297353CC}">
                <c16:uniqueId val="{00000037-A4A2-40C4-8251-101C3AE97F23}"/>
              </c:ext>
            </c:extLst>
          </c:dPt>
          <c:dPt>
            <c:idx val="4"/>
            <c:bubble3D val="0"/>
            <c:spPr>
              <a:noFill/>
              <a:ln w="19050">
                <a:noFill/>
              </a:ln>
              <a:effectLst/>
            </c:spPr>
            <c:extLst>
              <c:ext xmlns:c16="http://schemas.microsoft.com/office/drawing/2014/chart" uri="{C3380CC4-5D6E-409C-BE32-E72D297353CC}">
                <c16:uniqueId val="{00000039-A4A2-40C4-8251-101C3AE97F2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B-A4A2-40C4-8251-101C3AE97F23}"/>
              </c:ext>
            </c:extLst>
          </c:dPt>
          <c:dLbls>
            <c:delete val="1"/>
          </c:dLbls>
          <c:val>
            <c:numRef>
              <c:f>Pivot_Analysis!$AU$4:$AU$9</c:f>
              <c:numCache>
                <c:formatCode>General</c:formatCode>
                <c:ptCount val="6"/>
                <c:pt idx="0">
                  <c:v>1495</c:v>
                </c:pt>
                <c:pt idx="1">
                  <c:v>277</c:v>
                </c:pt>
                <c:pt idx="2">
                  <c:v>108</c:v>
                </c:pt>
                <c:pt idx="3">
                  <c:v>67</c:v>
                </c:pt>
                <c:pt idx="4">
                  <c:v>53</c:v>
                </c:pt>
              </c:numCache>
            </c:numRef>
          </c:val>
          <c:extLst>
            <c:ext xmlns:c16="http://schemas.microsoft.com/office/drawing/2014/chart" uri="{C3380CC4-5D6E-409C-BE32-E72D297353CC}">
              <c16:uniqueId val="{0000003C-A4A2-40C4-8251-101C3AE97F23}"/>
            </c:ext>
          </c:extLst>
        </c:ser>
        <c:ser>
          <c:idx val="5"/>
          <c:order val="5"/>
          <c:dPt>
            <c:idx val="0"/>
            <c:bubble3D val="0"/>
            <c:spPr>
              <a:solidFill>
                <a:srgbClr val="1F6F5F"/>
              </a:solidFill>
              <a:ln w="19050">
                <a:solidFill>
                  <a:srgbClr val="1F6F5F"/>
                </a:solidFill>
              </a:ln>
              <a:effectLst/>
            </c:spPr>
            <c:extLst>
              <c:ext xmlns:c16="http://schemas.microsoft.com/office/drawing/2014/chart" uri="{C3380CC4-5D6E-409C-BE32-E72D297353CC}">
                <c16:uniqueId val="{0000003E-A4A2-40C4-8251-101C3AE97F23}"/>
              </c:ext>
            </c:extLst>
          </c:dPt>
          <c:dPt>
            <c:idx val="1"/>
            <c:bubble3D val="0"/>
            <c:spPr>
              <a:noFill/>
              <a:ln w="19050">
                <a:solidFill>
                  <a:schemeClr val="bg1"/>
                </a:solidFill>
              </a:ln>
              <a:effectLst/>
            </c:spPr>
            <c:extLst>
              <c:ext xmlns:c16="http://schemas.microsoft.com/office/drawing/2014/chart" uri="{C3380CC4-5D6E-409C-BE32-E72D297353CC}">
                <c16:uniqueId val="{00000040-A4A2-40C4-8251-101C3AE97F23}"/>
              </c:ext>
            </c:extLst>
          </c:dPt>
          <c:dPt>
            <c:idx val="2"/>
            <c:bubble3D val="0"/>
            <c:spPr>
              <a:noFill/>
              <a:ln w="19050">
                <a:noFill/>
              </a:ln>
              <a:effectLst/>
            </c:spPr>
            <c:extLst>
              <c:ext xmlns:c16="http://schemas.microsoft.com/office/drawing/2014/chart" uri="{C3380CC4-5D6E-409C-BE32-E72D297353CC}">
                <c16:uniqueId val="{00000042-A4A2-40C4-8251-101C3AE97F23}"/>
              </c:ext>
            </c:extLst>
          </c:dPt>
          <c:dPt>
            <c:idx val="3"/>
            <c:bubble3D val="0"/>
            <c:spPr>
              <a:noFill/>
              <a:ln w="19050">
                <a:noFill/>
              </a:ln>
              <a:effectLst/>
            </c:spPr>
            <c:extLst>
              <c:ext xmlns:c16="http://schemas.microsoft.com/office/drawing/2014/chart" uri="{C3380CC4-5D6E-409C-BE32-E72D297353CC}">
                <c16:uniqueId val="{00000044-A4A2-40C4-8251-101C3AE97F23}"/>
              </c:ext>
            </c:extLst>
          </c:dPt>
          <c:dPt>
            <c:idx val="4"/>
            <c:bubble3D val="0"/>
            <c:spPr>
              <a:noFill/>
              <a:ln w="19050">
                <a:noFill/>
              </a:ln>
              <a:effectLst/>
            </c:spPr>
            <c:extLst>
              <c:ext xmlns:c16="http://schemas.microsoft.com/office/drawing/2014/chart" uri="{C3380CC4-5D6E-409C-BE32-E72D297353CC}">
                <c16:uniqueId val="{00000046-A4A2-40C4-8251-101C3AE97F2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8-A4A2-40C4-8251-101C3AE97F23}"/>
              </c:ext>
            </c:extLst>
          </c:dPt>
          <c:dLbls>
            <c:delete val="1"/>
          </c:dLbls>
          <c:val>
            <c:numRef>
              <c:f>Pivot_Analysis!$AU$4:$AU$9</c:f>
              <c:numCache>
                <c:formatCode>General</c:formatCode>
                <c:ptCount val="6"/>
                <c:pt idx="0">
                  <c:v>1495</c:v>
                </c:pt>
                <c:pt idx="1">
                  <c:v>277</c:v>
                </c:pt>
                <c:pt idx="2">
                  <c:v>108</c:v>
                </c:pt>
                <c:pt idx="3">
                  <c:v>67</c:v>
                </c:pt>
                <c:pt idx="4">
                  <c:v>53</c:v>
                </c:pt>
              </c:numCache>
            </c:numRef>
          </c:val>
          <c:extLst>
            <c:ext xmlns:c16="http://schemas.microsoft.com/office/drawing/2014/chart" uri="{C3380CC4-5D6E-409C-BE32-E72D297353CC}">
              <c16:uniqueId val="{00000049-A4A2-40C4-8251-101C3AE97F23}"/>
            </c:ext>
          </c:extLst>
        </c:ser>
        <c:dLbls>
          <c:showLegendKey val="0"/>
          <c:showVal val="1"/>
          <c:showCatName val="0"/>
          <c:showSerName val="0"/>
          <c:showPercent val="0"/>
          <c:showBubbleSize val="0"/>
          <c:showLeaderLines val="0"/>
        </c:dLbls>
        <c:firstSliceAng val="0"/>
        <c:holeSize val="55"/>
      </c:doughnutChart>
      <c:spPr>
        <a:noFill/>
        <a:ln>
          <a:noFill/>
        </a:ln>
        <a:effectLst/>
      </c:spPr>
    </c:plotArea>
    <c:legend>
      <c:legendPos val="b"/>
      <c:legendEntry>
        <c:idx val="5"/>
        <c:delete val="1"/>
      </c:legendEntry>
      <c:layout>
        <c:manualLayout>
          <c:xMode val="edge"/>
          <c:yMode val="edge"/>
          <c:x val="2.3918093879356936E-2"/>
          <c:y val="0.819220370765113"/>
          <c:w val="0.94124230818678523"/>
          <c:h val="0.1782200102474748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Pivot_Analysis!$U$26</c:f>
              <c:strCache>
                <c:ptCount val="1"/>
                <c:pt idx="0">
                  <c:v>Sales</c:v>
                </c:pt>
              </c:strCache>
            </c:strRef>
          </c:tx>
          <c:spPr>
            <a:solidFill>
              <a:srgbClr val="1F6F5F"/>
            </a:solidFill>
            <a:ln>
              <a:solidFill>
                <a:srgbClr val="2FA084"/>
              </a:solidFill>
            </a:ln>
            <a:effectLst/>
            <a:sp3d>
              <a:contourClr>
                <a:srgbClr val="2FA084"/>
              </a:contourClr>
            </a:sp3d>
          </c:spPr>
          <c:invertIfNegative val="0"/>
          <c:dLbls>
            <c:dLbl>
              <c:idx val="0"/>
              <c:tx>
                <c:rich>
                  <a:bodyPr/>
                  <a:lstStyle/>
                  <a:p>
                    <a:fld id="{8A0C8BE9-CF61-45A7-B4D9-65670F0F0F36}"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46A9-4941-823E-744FFE970C8F}"/>
                </c:ext>
              </c:extLst>
            </c:dLbl>
            <c:dLbl>
              <c:idx val="1"/>
              <c:tx>
                <c:rich>
                  <a:bodyPr/>
                  <a:lstStyle/>
                  <a:p>
                    <a:fld id="{929ED726-5CDE-40C0-AD4B-D621523A367C}"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6A9-4941-823E-744FFE970C8F}"/>
                </c:ext>
              </c:extLst>
            </c:dLbl>
            <c:dLbl>
              <c:idx val="2"/>
              <c:tx>
                <c:rich>
                  <a:bodyPr/>
                  <a:lstStyle/>
                  <a:p>
                    <a:fld id="{B118FE08-BE8C-49B0-8A0C-8A435F4F2E6A}"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6A9-4941-823E-744FFE970C8F}"/>
                </c:ext>
              </c:extLst>
            </c:dLbl>
            <c:dLbl>
              <c:idx val="3"/>
              <c:tx>
                <c:rich>
                  <a:bodyPr/>
                  <a:lstStyle/>
                  <a:p>
                    <a:fld id="{4D82B931-DE04-4415-819C-C822B759C1FC}"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6A9-4941-823E-744FFE970C8F}"/>
                </c:ext>
              </c:extLst>
            </c:dLbl>
            <c:dLbl>
              <c:idx val="4"/>
              <c:tx>
                <c:rich>
                  <a:bodyPr/>
                  <a:lstStyle/>
                  <a:p>
                    <a:fld id="{D2F87BFC-424D-489C-AB1E-753869BEFEFA}"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6A9-4941-823E-744FFE970C8F}"/>
                </c:ext>
              </c:extLst>
            </c:dLbl>
            <c:dLbl>
              <c:idx val="5"/>
              <c:tx>
                <c:rich>
                  <a:bodyPr/>
                  <a:lstStyle/>
                  <a:p>
                    <a:fld id="{63F422C6-BEDE-470B-BFC7-B466AB4AFDEE}"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6A9-4941-823E-744FFE970C8F}"/>
                </c:ext>
              </c:extLst>
            </c:dLbl>
            <c:dLbl>
              <c:idx val="6"/>
              <c:tx>
                <c:rich>
                  <a:bodyPr/>
                  <a:lstStyle/>
                  <a:p>
                    <a:fld id="{F7AB7BEE-D722-4484-ADDF-1D91F38209BA}"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46A9-4941-823E-744FFE970C8F}"/>
                </c:ext>
              </c:extLst>
            </c:dLbl>
            <c:dLbl>
              <c:idx val="7"/>
              <c:tx>
                <c:rich>
                  <a:bodyPr/>
                  <a:lstStyle/>
                  <a:p>
                    <a:fld id="{280DDC96-9B09-4A83-9CAD-724ABE5F32B6}"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6A9-4941-823E-744FFE970C8F}"/>
                </c:ext>
              </c:extLst>
            </c:dLbl>
            <c:dLbl>
              <c:idx val="8"/>
              <c:tx>
                <c:rich>
                  <a:bodyPr/>
                  <a:lstStyle/>
                  <a:p>
                    <a:fld id="{58175D9F-16B9-45BA-9524-7D6CEA14815D}"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46A9-4941-823E-744FFE970C8F}"/>
                </c:ext>
              </c:extLst>
            </c:dLbl>
            <c:dLbl>
              <c:idx val="9"/>
              <c:tx>
                <c:rich>
                  <a:bodyPr/>
                  <a:lstStyle/>
                  <a:p>
                    <a:fld id="{97F5917C-6BC1-4AB9-B32A-D10B4F3F8A17}"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6A9-4941-823E-744FFE970C8F}"/>
                </c:ext>
              </c:extLst>
            </c:dLbl>
            <c:dLbl>
              <c:idx val="10"/>
              <c:tx>
                <c:rich>
                  <a:bodyPr/>
                  <a:lstStyle/>
                  <a:p>
                    <a:fld id="{A00BBF04-E746-4E14-9F7D-C77DBDE5F691}"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46A9-4941-823E-744FFE970C8F}"/>
                </c:ext>
              </c:extLst>
            </c:dLbl>
            <c:dLbl>
              <c:idx val="11"/>
              <c:tx>
                <c:rich>
                  <a:bodyPr/>
                  <a:lstStyle/>
                  <a:p>
                    <a:fld id="{1874E4DB-4D03-4FE0-83D8-2E00E2B967BE}"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46A9-4941-823E-744FFE970C8F}"/>
                </c:ext>
              </c:extLst>
            </c:dLbl>
            <c:spPr>
              <a:noFill/>
              <a:ln>
                <a:noFill/>
              </a:ln>
              <a:effectLst/>
            </c:spPr>
            <c:txPr>
              <a:bodyPr rot="-5400000" spcFirstLastPara="1" vertOverflow="overflow" horzOverflow="overflow"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Pivot_Analysis!$T$27:$T$38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Pivot_Analysis!$U$27:$U$38</c:f>
              <c:numCache>
                <c:formatCode>_-"Rp"\.#.#,," Jt"_-;\-"Rp"\.#.#," Jt"_-;_-@_-</c:formatCode>
                <c:ptCount val="12"/>
                <c:pt idx="0">
                  <c:v>14140055</c:v>
                </c:pt>
                <c:pt idx="1">
                  <c:v>12711592.5</c:v>
                </c:pt>
                <c:pt idx="2">
                  <c:v>12798592.5</c:v>
                </c:pt>
                <c:pt idx="3">
                  <c:v>12671902.5</c:v>
                </c:pt>
                <c:pt idx="4">
                  <c:v>12203452.5</c:v>
                </c:pt>
                <c:pt idx="5">
                  <c:v>13498585</c:v>
                </c:pt>
                <c:pt idx="6">
                  <c:v>12056577.5</c:v>
                </c:pt>
                <c:pt idx="7">
                  <c:v>12502047.5</c:v>
                </c:pt>
                <c:pt idx="8">
                  <c:v>11719375</c:v>
                </c:pt>
                <c:pt idx="9">
                  <c:v>13920020</c:v>
                </c:pt>
                <c:pt idx="10">
                  <c:v>13812720</c:v>
                </c:pt>
                <c:pt idx="11">
                  <c:v>17449642.5</c:v>
                </c:pt>
              </c:numCache>
            </c:numRef>
          </c:val>
          <c:extLst>
            <c:ext xmlns:c15="http://schemas.microsoft.com/office/drawing/2012/chart" uri="{02D57815-91ED-43cb-92C2-25804820EDAC}">
              <c15:datalabelsRange>
                <c15:f>Pivot_Analysis!$X$27:$X$38</c15:f>
                <c15:dlblRangeCache>
                  <c:ptCount val="12"/>
                  <c:pt idx="0">
                    <c:v>  </c:v>
                  </c:pt>
                  <c:pt idx="1">
                    <c:v>  </c:v>
                  </c:pt>
                  <c:pt idx="2">
                    <c:v>  </c:v>
                  </c:pt>
                  <c:pt idx="3">
                    <c:v>  </c:v>
                  </c:pt>
                  <c:pt idx="4">
                    <c:v>  </c:v>
                  </c:pt>
                  <c:pt idx="5">
                    <c:v>  </c:v>
                  </c:pt>
                  <c:pt idx="6">
                    <c:v>  </c:v>
                  </c:pt>
                  <c:pt idx="7">
                    <c:v>  </c:v>
                  </c:pt>
                  <c:pt idx="8">
                    <c:v>  </c:v>
                  </c:pt>
                  <c:pt idx="9">
                    <c:v>  </c:v>
                  </c:pt>
                  <c:pt idx="10">
                    <c:v>  </c:v>
                  </c:pt>
                  <c:pt idx="11">
                    <c:v>  </c:v>
                  </c:pt>
                </c15:dlblRangeCache>
              </c15:datalabelsRange>
            </c:ext>
            <c:ext xmlns:c16="http://schemas.microsoft.com/office/drawing/2014/chart" uri="{C3380CC4-5D6E-409C-BE32-E72D297353CC}">
              <c16:uniqueId val="{0000000C-46A9-4941-823E-744FFE970C8F}"/>
            </c:ext>
          </c:extLst>
        </c:ser>
        <c:ser>
          <c:idx val="1"/>
          <c:order val="1"/>
          <c:tx>
            <c:strRef>
              <c:f>Pivot_Analysis!$V$26</c:f>
              <c:strCache>
                <c:ptCount val="1"/>
                <c:pt idx="0">
                  <c:v>Quantity</c:v>
                </c:pt>
              </c:strCache>
            </c:strRef>
          </c:tx>
          <c:spPr>
            <a:solidFill>
              <a:srgbClr val="F2C94C"/>
            </a:solidFill>
            <a:ln>
              <a:solidFill>
                <a:srgbClr val="FFFF99"/>
              </a:solidFill>
            </a:ln>
            <a:effectLst/>
            <a:sp3d>
              <a:contourClr>
                <a:srgbClr val="FFFF99"/>
              </a:contourClr>
            </a:sp3d>
          </c:spPr>
          <c:invertIfNegative val="0"/>
          <c:dLbls>
            <c:dLbl>
              <c:idx val="0"/>
              <c:tx>
                <c:rich>
                  <a:bodyPr/>
                  <a:lstStyle/>
                  <a:p>
                    <a:fld id="{CD1E1026-4DDE-448C-8933-BCEE88FAF053}"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46A9-4941-823E-744FFE970C8F}"/>
                </c:ext>
              </c:extLst>
            </c:dLbl>
            <c:dLbl>
              <c:idx val="1"/>
              <c:tx>
                <c:rich>
                  <a:bodyPr/>
                  <a:lstStyle/>
                  <a:p>
                    <a:fld id="{559B787A-61EE-45BB-BA9F-9B0A7C7FD456}"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46A9-4941-823E-744FFE970C8F}"/>
                </c:ext>
              </c:extLst>
            </c:dLbl>
            <c:dLbl>
              <c:idx val="2"/>
              <c:tx>
                <c:rich>
                  <a:bodyPr/>
                  <a:lstStyle/>
                  <a:p>
                    <a:fld id="{ED1144B9-78B8-49B0-9EBC-B4EE2134C959}"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46A9-4941-823E-744FFE970C8F}"/>
                </c:ext>
              </c:extLst>
            </c:dLbl>
            <c:dLbl>
              <c:idx val="3"/>
              <c:tx>
                <c:rich>
                  <a:bodyPr/>
                  <a:lstStyle/>
                  <a:p>
                    <a:fld id="{D812859C-B06B-4CE7-BC4F-28A19C5F7D07}"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46A9-4941-823E-744FFE970C8F}"/>
                </c:ext>
              </c:extLst>
            </c:dLbl>
            <c:dLbl>
              <c:idx val="4"/>
              <c:tx>
                <c:rich>
                  <a:bodyPr/>
                  <a:lstStyle/>
                  <a:p>
                    <a:fld id="{344187BA-A93C-4277-A4F0-DC5EF75EF7A2}"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46A9-4941-823E-744FFE970C8F}"/>
                </c:ext>
              </c:extLst>
            </c:dLbl>
            <c:dLbl>
              <c:idx val="5"/>
              <c:tx>
                <c:rich>
                  <a:bodyPr/>
                  <a:lstStyle/>
                  <a:p>
                    <a:fld id="{5C91ADF9-7E91-4691-BB55-746FD2F52450}"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46A9-4941-823E-744FFE970C8F}"/>
                </c:ext>
              </c:extLst>
            </c:dLbl>
            <c:dLbl>
              <c:idx val="6"/>
              <c:tx>
                <c:rich>
                  <a:bodyPr/>
                  <a:lstStyle/>
                  <a:p>
                    <a:fld id="{BAD3C72A-87C7-48EF-B099-9B735826834F}"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46A9-4941-823E-744FFE970C8F}"/>
                </c:ext>
              </c:extLst>
            </c:dLbl>
            <c:dLbl>
              <c:idx val="7"/>
              <c:tx>
                <c:rich>
                  <a:bodyPr/>
                  <a:lstStyle/>
                  <a:p>
                    <a:fld id="{BF1268F9-1C3C-4573-B062-EBF8D488D6C8}"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46A9-4941-823E-744FFE970C8F}"/>
                </c:ext>
              </c:extLst>
            </c:dLbl>
            <c:dLbl>
              <c:idx val="8"/>
              <c:tx>
                <c:rich>
                  <a:bodyPr/>
                  <a:lstStyle/>
                  <a:p>
                    <a:fld id="{7BEA275A-7F0F-4DD4-8A2B-1E6E57897B76}"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46A9-4941-823E-744FFE970C8F}"/>
                </c:ext>
              </c:extLst>
            </c:dLbl>
            <c:dLbl>
              <c:idx val="9"/>
              <c:tx>
                <c:rich>
                  <a:bodyPr/>
                  <a:lstStyle/>
                  <a:p>
                    <a:fld id="{F4B671FE-D4D7-4CE4-846D-CA54F75A0480}"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46A9-4941-823E-744FFE970C8F}"/>
                </c:ext>
              </c:extLst>
            </c:dLbl>
            <c:dLbl>
              <c:idx val="10"/>
              <c:tx>
                <c:rich>
                  <a:bodyPr/>
                  <a:lstStyle/>
                  <a:p>
                    <a:fld id="{84D382D3-7A02-40D5-AC87-843905086AC8}"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46A9-4941-823E-744FFE970C8F}"/>
                </c:ext>
              </c:extLst>
            </c:dLbl>
            <c:dLbl>
              <c:idx val="11"/>
              <c:tx>
                <c:rich>
                  <a:bodyPr/>
                  <a:lstStyle/>
                  <a:p>
                    <a:fld id="{69B96F99-1CE9-470D-A3A1-05C9A1328475}"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46A9-4941-823E-744FFE970C8F}"/>
                </c:ext>
              </c:extLst>
            </c:dLbl>
            <c:spPr>
              <a:noFill/>
              <a:ln>
                <a:noFill/>
              </a:ln>
              <a:effectLst/>
            </c:spPr>
            <c:txPr>
              <a:bodyPr rot="-5400000" spcFirstLastPara="1" vertOverflow="ellipsis" wrap="square" lIns="38100" tIns="19050" rIns="38100" bIns="19050" anchor="ctr" anchorCtr="1">
                <a:spAutoFit/>
              </a:bodyPr>
              <a:lstStyle/>
              <a:p>
                <a:pPr>
                  <a:defRPr sz="1000" b="0" i="0" u="none" strike="noStrike" kern="1200" baseline="0">
                    <a:solidFill>
                      <a:schemeClr val="tx2">
                        <a:lumMod val="85000"/>
                        <a:lumOff val="1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Pivot_Analysis!$T$27:$T$38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Pivot_Analysis!$V$27:$V$38</c:f>
              <c:numCache>
                <c:formatCode>General\ "Kg"</c:formatCode>
                <c:ptCount val="12"/>
                <c:pt idx="0">
                  <c:v>222.60000000000002</c:v>
                </c:pt>
                <c:pt idx="1">
                  <c:v>200.4</c:v>
                </c:pt>
                <c:pt idx="2">
                  <c:v>218.3000000000001</c:v>
                </c:pt>
                <c:pt idx="3">
                  <c:v>200.69999999999996</c:v>
                </c:pt>
                <c:pt idx="4">
                  <c:v>189.49999999999994</c:v>
                </c:pt>
                <c:pt idx="5">
                  <c:v>194.50000000000003</c:v>
                </c:pt>
                <c:pt idx="6">
                  <c:v>200.30000000000004</c:v>
                </c:pt>
                <c:pt idx="7">
                  <c:v>189.10000000000002</c:v>
                </c:pt>
                <c:pt idx="8">
                  <c:v>185.39999999999992</c:v>
                </c:pt>
                <c:pt idx="9">
                  <c:v>216.60000000000002</c:v>
                </c:pt>
                <c:pt idx="10">
                  <c:v>229.10000000000005</c:v>
                </c:pt>
                <c:pt idx="11">
                  <c:v>276.90000000000015</c:v>
                </c:pt>
              </c:numCache>
            </c:numRef>
          </c:val>
          <c:extLst>
            <c:ext xmlns:c15="http://schemas.microsoft.com/office/drawing/2012/chart" uri="{02D57815-91ED-43cb-92C2-25804820EDAC}">
              <c15:datalabelsRange>
                <c15:f>Pivot_Analysis!$Y$27:$Y$38</c15:f>
                <c15:dlblRangeCache>
                  <c:ptCount val="12"/>
                </c15:dlblRangeCache>
              </c15:datalabelsRange>
            </c:ext>
            <c:ext xmlns:c16="http://schemas.microsoft.com/office/drawing/2014/chart" uri="{C3380CC4-5D6E-409C-BE32-E72D297353CC}">
              <c16:uniqueId val="{00000019-46A9-4941-823E-744FFE970C8F}"/>
            </c:ext>
          </c:extLst>
        </c:ser>
        <c:dLbls>
          <c:showLegendKey val="0"/>
          <c:showVal val="1"/>
          <c:showCatName val="0"/>
          <c:showSerName val="0"/>
          <c:showPercent val="0"/>
          <c:showBubbleSize val="0"/>
        </c:dLbls>
        <c:gapWidth val="58"/>
        <c:shape val="box"/>
        <c:axId val="1929530512"/>
        <c:axId val="1929526768"/>
        <c:axId val="0"/>
      </c:bar3DChart>
      <c:catAx>
        <c:axId val="19295305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526768"/>
        <c:crosses val="autoZero"/>
        <c:auto val="1"/>
        <c:lblAlgn val="ctr"/>
        <c:lblOffset val="100"/>
        <c:noMultiLvlLbl val="0"/>
      </c:catAx>
      <c:valAx>
        <c:axId val="1929526768"/>
        <c:scaling>
          <c:orientation val="minMax"/>
        </c:scaling>
        <c:delete val="0"/>
        <c:axPos val="l"/>
        <c:numFmt formatCode="_-&quot;Rp&quot;\.#.#,,&quot; Jt&quot;_-;\-&quot;Rp&quot;\.#.#,&quot; J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530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DataExcel_Sayuran_2026.xlsx]Pivot_Analysis!sales_gender</c:name>
    <c:fmtId val="27"/>
  </c:pivotSource>
  <c:chart>
    <c:autoTitleDeleted val="1"/>
    <c:pivotFmts>
      <c:pivotFmt>
        <c:idx val="0"/>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w="1905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43E6B67B-712F-4ADD-96BD-205FA20E4AD2}" type="CELLRANGE">
                  <a:rPr lang="en-US"/>
                  <a:pPr>
                    <a:defRPr sz="1000" b="0" i="0" u="none" strike="noStrike" kern="1200" baseline="0">
                      <a:solidFill>
                        <a:schemeClr val="bg1"/>
                      </a:solidFill>
                      <a:latin typeface="+mn-lt"/>
                      <a:ea typeface="+mn-ea"/>
                      <a:cs typeface="+mn-cs"/>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solidFill>
            <a:schemeClr val="accent1"/>
          </a:solidFill>
          <a:ln w="1905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3DA3792C-EB16-4B30-A80F-38673ABA7ECD}" type="CELLRANGE">
                  <a:rPr lang="en-US"/>
                  <a:pPr>
                    <a:defRPr sz="1000" b="0" i="0" u="none" strike="noStrike" kern="1200" baseline="0">
                      <a:solidFill>
                        <a:schemeClr val="bg1"/>
                      </a:solidFill>
                      <a:latin typeface="+mn-lt"/>
                      <a:ea typeface="+mn-ea"/>
                      <a:cs typeface="+mn-cs"/>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w="1905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A7BD8A1D-8859-41E8-BA86-23985E20744D}" type="CELLRANGE">
                  <a:rPr lang="en-US"/>
                  <a:pPr>
                    <a:defRPr sz="1000" b="0" i="0" u="none" strike="noStrike" kern="1200" baseline="0">
                      <a:solidFill>
                        <a:schemeClr val="bg1"/>
                      </a:solidFill>
                      <a:latin typeface="+mn-lt"/>
                      <a:ea typeface="+mn-ea"/>
                      <a:cs typeface="+mn-cs"/>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w="1905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B107F991-9E62-47C0-ADCE-E14A945FC3B5}" type="CELLRANGE">
                  <a:rPr lang="en-US"/>
                  <a:pPr>
                    <a:defRPr sz="1000" b="0" i="0" u="none" strike="noStrike" kern="1200" baseline="0">
                      <a:solidFill>
                        <a:schemeClr val="bg1"/>
                      </a:solidFill>
                      <a:latin typeface="+mn-lt"/>
                      <a:ea typeface="+mn-ea"/>
                      <a:cs typeface="+mn-cs"/>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w="1905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ED3F16C6-745E-49B8-9FD5-2BC24A558D5C}" type="CELLRANGE">
                  <a:rPr lang="en-US"/>
                  <a:pPr>
                    <a:defRPr sz="1000" b="0" i="0" u="none" strike="noStrike" kern="1200" baseline="0">
                      <a:solidFill>
                        <a:schemeClr val="bg1"/>
                      </a:solidFill>
                      <a:latin typeface="+mn-lt"/>
                      <a:ea typeface="+mn-ea"/>
                      <a:cs typeface="+mn-cs"/>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7"/>
        <c:spPr>
          <a:solidFill>
            <a:schemeClr val="accent1"/>
          </a:solidFill>
          <a:ln w="1905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43E6B67B-712F-4ADD-96BD-205FA20E4AD2}" type="CELLRANGE">
                  <a:rPr lang="en-US"/>
                  <a:pPr>
                    <a:defRPr sz="1000" b="0" i="0" u="none" strike="noStrike" kern="1200" baseline="0">
                      <a:solidFill>
                        <a:schemeClr val="bg1"/>
                      </a:solidFill>
                      <a:latin typeface="+mn-lt"/>
                      <a:ea typeface="+mn-ea"/>
                      <a:cs typeface="+mn-cs"/>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8"/>
        <c:spPr>
          <a:solidFill>
            <a:schemeClr val="accent1"/>
          </a:solidFill>
          <a:ln w="1905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3DA3792C-EB16-4B30-A80F-38673ABA7ECD}" type="CELLRANGE">
                  <a:rPr lang="en-US"/>
                  <a:pPr>
                    <a:defRPr sz="1000" b="0" i="0" u="none" strike="noStrike" kern="1200" baseline="0">
                      <a:solidFill>
                        <a:schemeClr val="bg1"/>
                      </a:solidFill>
                      <a:latin typeface="+mn-lt"/>
                      <a:ea typeface="+mn-ea"/>
                      <a:cs typeface="+mn-cs"/>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9"/>
        <c:spPr>
          <a:solidFill>
            <a:schemeClr val="accent1"/>
          </a:solidFill>
          <a:ln w="1905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A7BD8A1D-8859-41E8-BA86-23985E20744D}" type="CELLRANGE">
                  <a:rPr lang="en-US"/>
                  <a:pPr>
                    <a:defRPr sz="1000" b="0" i="0" u="none" strike="noStrike" kern="1200" baseline="0">
                      <a:solidFill>
                        <a:schemeClr val="bg1"/>
                      </a:solidFill>
                      <a:latin typeface="+mn-lt"/>
                      <a:ea typeface="+mn-ea"/>
                      <a:cs typeface="+mn-cs"/>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
        <c:spPr>
          <a:solidFill>
            <a:schemeClr val="accent1"/>
          </a:solidFill>
          <a:ln w="1905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B107F991-9E62-47C0-ADCE-E14A945FC3B5}" type="CELLRANGE">
                  <a:rPr lang="en-US"/>
                  <a:pPr>
                    <a:defRPr sz="1000" b="0" i="0" u="none" strike="noStrike" kern="1200" baseline="0">
                      <a:solidFill>
                        <a:schemeClr val="bg1"/>
                      </a:solidFill>
                      <a:latin typeface="+mn-lt"/>
                      <a:ea typeface="+mn-ea"/>
                      <a:cs typeface="+mn-cs"/>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
        <c:spPr>
          <a:solidFill>
            <a:schemeClr val="accent1"/>
          </a:solidFill>
          <a:ln w="1905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ED3F16C6-745E-49B8-9FD5-2BC24A558D5C}" type="CELLRANGE">
                  <a:rPr lang="en-US"/>
                  <a:pPr>
                    <a:defRPr sz="1000" b="0" i="0" u="none" strike="noStrike" kern="1200" baseline="0">
                      <a:solidFill>
                        <a:schemeClr val="bg1"/>
                      </a:solidFill>
                      <a:latin typeface="+mn-lt"/>
                      <a:ea typeface="+mn-ea"/>
                      <a:cs typeface="+mn-cs"/>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3"/>
        <c:spPr>
          <a:solidFill>
            <a:srgbClr val="1F6F5F"/>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C9B5214C-6829-492A-ABCF-10C1DD188FA2}" type="CELLRANGE">
                  <a:rPr lang="en-US"/>
                  <a:pPr>
                    <a:defRPr sz="1000">
                      <a:solidFill>
                        <a:schemeClr val="bg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4"/>
        <c:spPr>
          <a:solidFill>
            <a:srgbClr val="EB5757"/>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4B7B6EE7-29FD-4A5C-9983-C0858B4C5473}" type="CELLRANGE">
                  <a:rPr lang="en-ID"/>
                  <a:pPr>
                    <a:defRPr sz="1000">
                      <a:solidFill>
                        <a:schemeClr val="bg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solidFill>
            <a:srgbClr val="F2994A"/>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AAA9917A-7C64-4C1A-9ADF-5CE01F4D0E87}" type="CELLRANGE">
                  <a:rPr lang="en-ID"/>
                  <a:pPr>
                    <a:defRPr sz="1000">
                      <a:solidFill>
                        <a:schemeClr val="bg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rgbClr val="F2C94C"/>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7DEE33C9-4E89-48E8-98D9-D3FB6F7F339F}" type="CELLRANGE">
                  <a:rPr lang="en-ID"/>
                  <a:pPr>
                    <a:defRPr sz="1000">
                      <a:solidFill>
                        <a:schemeClr val="bg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spPr>
          <a:solidFill>
            <a:srgbClr val="3FA796"/>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11EAC23F-722A-4BAC-A5D8-9005A1275355}" type="CELLRANGE">
                  <a:rPr lang="en-ID"/>
                  <a:pPr>
                    <a:defRPr sz="1000">
                      <a:solidFill>
                        <a:schemeClr val="bg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610169491525423"/>
          <c:y val="6.3794109069699623E-2"/>
          <c:w val="0.70846870412384888"/>
          <c:h val="0.80657626130067073"/>
        </c:manualLayout>
      </c:layout>
      <c:pie3DChart>
        <c:varyColors val="1"/>
        <c:ser>
          <c:idx val="0"/>
          <c:order val="0"/>
          <c:tx>
            <c:strRef>
              <c:f>Pivot_Analysis!$AH$4:$AH$8</c:f>
              <c:strCache>
                <c:ptCount val="1"/>
                <c:pt idx="0">
                  <c:v>Total</c:v>
                </c:pt>
              </c:strCache>
            </c:strRef>
          </c:tx>
          <c:dPt>
            <c:idx val="0"/>
            <c:bubble3D val="0"/>
            <c:spPr>
              <a:solidFill>
                <a:srgbClr val="1F6F5F"/>
              </a:solidFill>
              <a:ln w="25400">
                <a:solidFill>
                  <a:schemeClr val="lt1"/>
                </a:solidFill>
              </a:ln>
              <a:effectLst/>
              <a:sp3d contourW="25400">
                <a:contourClr>
                  <a:schemeClr val="lt1"/>
                </a:contourClr>
              </a:sp3d>
            </c:spPr>
            <c:extLst>
              <c:ext xmlns:c16="http://schemas.microsoft.com/office/drawing/2014/chart" uri="{C3380CC4-5D6E-409C-BE32-E72D297353CC}">
                <c16:uniqueId val="{00000001-1129-461A-964B-A4E09F4E6061}"/>
              </c:ext>
            </c:extLst>
          </c:dPt>
          <c:dPt>
            <c:idx val="1"/>
            <c:bubble3D val="0"/>
            <c:spPr>
              <a:solidFill>
                <a:srgbClr val="EB5757"/>
              </a:solidFill>
              <a:ln w="25400">
                <a:solidFill>
                  <a:schemeClr val="lt1"/>
                </a:solidFill>
              </a:ln>
              <a:effectLst/>
              <a:sp3d contourW="25400">
                <a:contourClr>
                  <a:schemeClr val="lt1"/>
                </a:contourClr>
              </a:sp3d>
            </c:spPr>
            <c:extLst>
              <c:ext xmlns:c16="http://schemas.microsoft.com/office/drawing/2014/chart" uri="{C3380CC4-5D6E-409C-BE32-E72D297353CC}">
                <c16:uniqueId val="{00000003-1129-461A-964B-A4E09F4E6061}"/>
              </c:ext>
            </c:extLst>
          </c:dPt>
          <c:dPt>
            <c:idx val="2"/>
            <c:bubble3D val="0"/>
            <c:spPr>
              <a:solidFill>
                <a:srgbClr val="F2994A"/>
              </a:solidFill>
              <a:ln w="25400">
                <a:solidFill>
                  <a:schemeClr val="lt1"/>
                </a:solidFill>
              </a:ln>
              <a:effectLst/>
              <a:sp3d contourW="25400">
                <a:contourClr>
                  <a:schemeClr val="lt1"/>
                </a:contourClr>
              </a:sp3d>
            </c:spPr>
            <c:extLst>
              <c:ext xmlns:c16="http://schemas.microsoft.com/office/drawing/2014/chart" uri="{C3380CC4-5D6E-409C-BE32-E72D297353CC}">
                <c16:uniqueId val="{00000005-1129-461A-964B-A4E09F4E6061}"/>
              </c:ext>
            </c:extLst>
          </c:dPt>
          <c:dPt>
            <c:idx val="3"/>
            <c:bubble3D val="0"/>
            <c:spPr>
              <a:solidFill>
                <a:srgbClr val="F2C94C"/>
              </a:solidFill>
              <a:ln w="25400">
                <a:solidFill>
                  <a:schemeClr val="lt1"/>
                </a:solidFill>
              </a:ln>
              <a:effectLst/>
              <a:sp3d contourW="25400">
                <a:contourClr>
                  <a:schemeClr val="lt1"/>
                </a:contourClr>
              </a:sp3d>
            </c:spPr>
            <c:extLst>
              <c:ext xmlns:c16="http://schemas.microsoft.com/office/drawing/2014/chart" uri="{C3380CC4-5D6E-409C-BE32-E72D297353CC}">
                <c16:uniqueId val="{00000007-1129-461A-964B-A4E09F4E6061}"/>
              </c:ext>
            </c:extLst>
          </c:dPt>
          <c:dPt>
            <c:idx val="4"/>
            <c:bubble3D val="0"/>
            <c:spPr>
              <a:solidFill>
                <a:srgbClr val="3FA796"/>
              </a:solidFill>
              <a:ln w="25400">
                <a:solidFill>
                  <a:schemeClr val="lt1"/>
                </a:solidFill>
              </a:ln>
              <a:effectLst/>
              <a:sp3d contourW="25400">
                <a:contourClr>
                  <a:schemeClr val="lt1"/>
                </a:contourClr>
              </a:sp3d>
            </c:spPr>
            <c:extLst>
              <c:ext xmlns:c16="http://schemas.microsoft.com/office/drawing/2014/chart" uri="{C3380CC4-5D6E-409C-BE32-E72D297353CC}">
                <c16:uniqueId val="{00000009-1129-461A-964B-A4E09F4E6061}"/>
              </c:ext>
            </c:extLst>
          </c:dPt>
          <c:dLbls>
            <c:dLbl>
              <c:idx val="0"/>
              <c:tx>
                <c:rich>
                  <a:bodyPr/>
                  <a:lstStyle/>
                  <a:p>
                    <a:fld id="{C9B5214C-6829-492A-ABCF-10C1DD188FA2}" type="CELLRANGE">
                      <a:rPr lang="en-US"/>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1129-461A-964B-A4E09F4E6061}"/>
                </c:ext>
              </c:extLst>
            </c:dLbl>
            <c:dLbl>
              <c:idx val="1"/>
              <c:tx>
                <c:rich>
                  <a:bodyPr/>
                  <a:lstStyle/>
                  <a:p>
                    <a:fld id="{4B7B6EE7-29FD-4A5C-9983-C0858B4C5473}" type="CELLRANGE">
                      <a:rPr lang="en-ID"/>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129-461A-964B-A4E09F4E6061}"/>
                </c:ext>
              </c:extLst>
            </c:dLbl>
            <c:dLbl>
              <c:idx val="2"/>
              <c:tx>
                <c:rich>
                  <a:bodyPr/>
                  <a:lstStyle/>
                  <a:p>
                    <a:fld id="{AAA9917A-7C64-4C1A-9ADF-5CE01F4D0E87}" type="CELLRANGE">
                      <a:rPr lang="en-ID"/>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129-461A-964B-A4E09F4E6061}"/>
                </c:ext>
              </c:extLst>
            </c:dLbl>
            <c:dLbl>
              <c:idx val="3"/>
              <c:tx>
                <c:rich>
                  <a:bodyPr/>
                  <a:lstStyle/>
                  <a:p>
                    <a:fld id="{7DEE33C9-4E89-48E8-98D9-D3FB6F7F339F}" type="CELLRANGE">
                      <a:rPr lang="en-ID"/>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129-461A-964B-A4E09F4E6061}"/>
                </c:ext>
              </c:extLst>
            </c:dLbl>
            <c:dLbl>
              <c:idx val="4"/>
              <c:tx>
                <c:rich>
                  <a:bodyPr/>
                  <a:lstStyle/>
                  <a:p>
                    <a:fld id="{11EAC23F-722A-4BAC-A5D8-9005A1275355}" type="CELLRANGE">
                      <a:rPr lang="en-ID"/>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129-461A-964B-A4E09F4E606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cat>
            <c:strRef>
              <c:f>Pivot_Analysis!$AH$4:$AH$8</c:f>
              <c:strCache>
                <c:ptCount val="5"/>
                <c:pt idx="0">
                  <c:v>Jakarta</c:v>
                </c:pt>
                <c:pt idx="1">
                  <c:v>Pontianak</c:v>
                </c:pt>
                <c:pt idx="2">
                  <c:v>Sorong</c:v>
                </c:pt>
                <c:pt idx="3">
                  <c:v>Surabaya</c:v>
                </c:pt>
                <c:pt idx="4">
                  <c:v>Yogyakarta</c:v>
                </c:pt>
              </c:strCache>
            </c:strRef>
          </c:cat>
          <c:val>
            <c:numRef>
              <c:f>Pivot_Analysis!$AH$4:$AH$8</c:f>
              <c:numCache>
                <c:formatCode>"Rp"#,##0</c:formatCode>
                <c:ptCount val="5"/>
                <c:pt idx="0">
                  <c:v>11759992.5</c:v>
                </c:pt>
                <c:pt idx="1">
                  <c:v>8241555</c:v>
                </c:pt>
                <c:pt idx="2">
                  <c:v>6780125</c:v>
                </c:pt>
                <c:pt idx="3">
                  <c:v>7044342.5</c:v>
                </c:pt>
                <c:pt idx="4">
                  <c:v>6598142.5</c:v>
                </c:pt>
              </c:numCache>
            </c:numRef>
          </c:val>
          <c:extLst>
            <c:ext xmlns:c15="http://schemas.microsoft.com/office/drawing/2012/chart" uri="{02D57815-91ED-43cb-92C2-25804820EDAC}">
              <c15:datalabelsRange>
                <c15:f>Pivot_Analysis!$AH$4:$AH$8</c15:f>
                <c15:dlblRangeCache>
                  <c:ptCount val="5"/>
                  <c:pt idx="0">
                    <c:v>29%</c:v>
                  </c:pt>
                  <c:pt idx="1">
                    <c:v>20%</c:v>
                  </c:pt>
                  <c:pt idx="2">
                    <c:v>17%</c:v>
                  </c:pt>
                  <c:pt idx="3">
                    <c:v>17%</c:v>
                  </c:pt>
                  <c:pt idx="4">
                    <c:v>16%</c:v>
                  </c:pt>
                </c15:dlblRangeCache>
              </c15:datalabelsRange>
            </c:ext>
            <c:ext xmlns:c16="http://schemas.microsoft.com/office/drawing/2014/chart" uri="{C3380CC4-5D6E-409C-BE32-E72D297353CC}">
              <c16:uniqueId val="{0000000A-1129-461A-964B-A4E09F4E6061}"/>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4.7451754971306555E-2"/>
          <c:y val="0.789060950714494"/>
          <c:w val="0.91526010943547298"/>
          <c:h val="0.207894065325167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DataExcel_Sayuran_2026.xlsx]Pivot_Analysis!PivotTable2</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11EB686-2E79-4CF0-92F1-E3C7674148A8}" type="CELLRANGE">
                  <a:rPr lang="en-US"/>
                  <a:pPr>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FFF7B39-2A03-42BF-A675-72F986510AFE}" type="CELLRANGE">
                  <a:rPr lang="en-ID"/>
                  <a:pPr>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4B54E13-9FA3-4984-AE64-34642CDA5EA9}" type="CELLRANGE">
                  <a:rPr lang="en-ID"/>
                  <a:pPr>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3D5CAAD-9C65-4333-9675-DA7DF0F5386B}" type="CELLRANGE">
                  <a:rPr lang="en-ID"/>
                  <a:pPr>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5CE54E1-952B-40F4-89C9-D6D01BC3FFDB}" type="CELLRANGE">
                  <a:rPr lang="en-ID"/>
                  <a:pPr>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872FDA4-F7AB-4374-A22C-4A43C897DB60}" type="CELLRANGE">
                  <a:rPr lang="en-ID"/>
                  <a:pPr>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9A702EC-BDE3-455D-ADCD-675FE897F9CA}" type="CELLRANGE">
                  <a:rPr lang="en-ID"/>
                  <a:pPr>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05D59DF-BC81-4721-8AB1-A7C24C4721CA}" type="CELLRANGE">
                  <a:rPr lang="en-ID"/>
                  <a:pPr>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D43A26-25F8-4EAE-9705-A27A651EE66A}" type="CELLRANGE">
                  <a:rPr lang="en-ID"/>
                  <a:pPr>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0C151DA-1428-49B4-8487-FAEB5E1DE9DD}" type="CELLRANGE">
                  <a:rPr lang="en-ID"/>
                  <a:pPr>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0ABBBD5-63A5-4D34-8EE5-680AC3F38715}" type="CELLRANGE">
                  <a:rPr lang="en-ID"/>
                  <a:pPr>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1"/>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1A6E5AD-51C5-4026-8A22-7F0898E12516}" type="CELLRANGE">
                  <a:rPr lang="en-ID"/>
                  <a:pPr>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Pivot_Analysis!$U$4:$U$15</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2-D050-43F4-B6F8-6E9B35955D26}"/>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3-D050-43F4-B6F8-6E9B35955D26}"/>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4-D050-43F4-B6F8-6E9B35955D26}"/>
              </c:ext>
            </c:extLst>
          </c:dPt>
          <c:dPt>
            <c:idx val="3"/>
            <c:invertIfNegative val="0"/>
            <c:bubble3D val="0"/>
            <c:spPr>
              <a:solidFill>
                <a:schemeClr val="accent1"/>
              </a:solidFill>
              <a:ln>
                <a:noFill/>
              </a:ln>
              <a:effectLst/>
              <a:sp3d/>
            </c:spPr>
            <c:extLst>
              <c:ext xmlns:c16="http://schemas.microsoft.com/office/drawing/2014/chart" uri="{C3380CC4-5D6E-409C-BE32-E72D297353CC}">
                <c16:uniqueId val="{00000005-D050-43F4-B6F8-6E9B35955D26}"/>
              </c:ext>
            </c:extLst>
          </c:dPt>
          <c:dPt>
            <c:idx val="4"/>
            <c:invertIfNegative val="0"/>
            <c:bubble3D val="0"/>
            <c:spPr>
              <a:solidFill>
                <a:schemeClr val="accent1"/>
              </a:solidFill>
              <a:ln>
                <a:noFill/>
              </a:ln>
              <a:effectLst/>
              <a:sp3d/>
            </c:spPr>
            <c:extLst>
              <c:ext xmlns:c16="http://schemas.microsoft.com/office/drawing/2014/chart" uri="{C3380CC4-5D6E-409C-BE32-E72D297353CC}">
                <c16:uniqueId val="{00000006-D050-43F4-B6F8-6E9B35955D26}"/>
              </c:ext>
            </c:extLst>
          </c:dPt>
          <c:dPt>
            <c:idx val="5"/>
            <c:invertIfNegative val="0"/>
            <c:bubble3D val="0"/>
            <c:spPr>
              <a:solidFill>
                <a:schemeClr val="accent1"/>
              </a:solidFill>
              <a:ln>
                <a:noFill/>
              </a:ln>
              <a:effectLst/>
              <a:sp3d/>
            </c:spPr>
            <c:extLst>
              <c:ext xmlns:c16="http://schemas.microsoft.com/office/drawing/2014/chart" uri="{C3380CC4-5D6E-409C-BE32-E72D297353CC}">
                <c16:uniqueId val="{00000007-D050-43F4-B6F8-6E9B35955D26}"/>
              </c:ext>
            </c:extLst>
          </c:dPt>
          <c:dPt>
            <c:idx val="6"/>
            <c:invertIfNegative val="0"/>
            <c:bubble3D val="0"/>
            <c:spPr>
              <a:solidFill>
                <a:schemeClr val="accent1"/>
              </a:solidFill>
              <a:ln>
                <a:noFill/>
              </a:ln>
              <a:effectLst/>
              <a:sp3d/>
            </c:spPr>
            <c:extLst>
              <c:ext xmlns:c16="http://schemas.microsoft.com/office/drawing/2014/chart" uri="{C3380CC4-5D6E-409C-BE32-E72D297353CC}">
                <c16:uniqueId val="{00000008-D050-43F4-B6F8-6E9B35955D26}"/>
              </c:ext>
            </c:extLst>
          </c:dPt>
          <c:dPt>
            <c:idx val="7"/>
            <c:invertIfNegative val="0"/>
            <c:bubble3D val="0"/>
            <c:spPr>
              <a:solidFill>
                <a:schemeClr val="accent1"/>
              </a:solidFill>
              <a:ln>
                <a:noFill/>
              </a:ln>
              <a:effectLst/>
              <a:sp3d/>
            </c:spPr>
            <c:extLst>
              <c:ext xmlns:c16="http://schemas.microsoft.com/office/drawing/2014/chart" uri="{C3380CC4-5D6E-409C-BE32-E72D297353CC}">
                <c16:uniqueId val="{00000009-D050-43F4-B6F8-6E9B35955D26}"/>
              </c:ext>
            </c:extLst>
          </c:dPt>
          <c:dPt>
            <c:idx val="8"/>
            <c:invertIfNegative val="0"/>
            <c:bubble3D val="0"/>
            <c:spPr>
              <a:solidFill>
                <a:schemeClr val="accent1"/>
              </a:solidFill>
              <a:ln>
                <a:noFill/>
              </a:ln>
              <a:effectLst/>
              <a:sp3d/>
            </c:spPr>
            <c:extLst>
              <c:ext xmlns:c16="http://schemas.microsoft.com/office/drawing/2014/chart" uri="{C3380CC4-5D6E-409C-BE32-E72D297353CC}">
                <c16:uniqueId val="{0000000A-D050-43F4-B6F8-6E9B35955D26}"/>
              </c:ext>
            </c:extLst>
          </c:dPt>
          <c:dPt>
            <c:idx val="9"/>
            <c:invertIfNegative val="0"/>
            <c:bubble3D val="0"/>
            <c:spPr>
              <a:solidFill>
                <a:schemeClr val="accent1"/>
              </a:solidFill>
              <a:ln>
                <a:noFill/>
              </a:ln>
              <a:effectLst/>
              <a:sp3d/>
            </c:spPr>
            <c:extLst>
              <c:ext xmlns:c16="http://schemas.microsoft.com/office/drawing/2014/chart" uri="{C3380CC4-5D6E-409C-BE32-E72D297353CC}">
                <c16:uniqueId val="{0000000B-D050-43F4-B6F8-6E9B35955D26}"/>
              </c:ext>
            </c:extLst>
          </c:dPt>
          <c:dPt>
            <c:idx val="10"/>
            <c:invertIfNegative val="0"/>
            <c:bubble3D val="0"/>
            <c:spPr>
              <a:solidFill>
                <a:schemeClr val="accent1"/>
              </a:solidFill>
              <a:ln>
                <a:noFill/>
              </a:ln>
              <a:effectLst/>
              <a:sp3d/>
            </c:spPr>
            <c:extLst>
              <c:ext xmlns:c16="http://schemas.microsoft.com/office/drawing/2014/chart" uri="{C3380CC4-5D6E-409C-BE32-E72D297353CC}">
                <c16:uniqueId val="{0000000C-D050-43F4-B6F8-6E9B35955D26}"/>
              </c:ext>
            </c:extLst>
          </c:dPt>
          <c:dPt>
            <c:idx val="11"/>
            <c:invertIfNegative val="0"/>
            <c:bubble3D val="0"/>
            <c:spPr>
              <a:solidFill>
                <a:schemeClr val="accent1"/>
              </a:solidFill>
              <a:ln>
                <a:noFill/>
              </a:ln>
              <a:effectLst/>
              <a:sp3d/>
            </c:spPr>
            <c:extLst>
              <c:ext xmlns:c16="http://schemas.microsoft.com/office/drawing/2014/chart" uri="{C3380CC4-5D6E-409C-BE32-E72D297353CC}">
                <c16:uniqueId val="{0000000D-D050-43F4-B6F8-6E9B35955D26}"/>
              </c:ext>
            </c:extLst>
          </c:dPt>
          <c:dLbls>
            <c:dLbl>
              <c:idx val="0"/>
              <c:tx>
                <c:rich>
                  <a:bodyPr/>
                  <a:lstStyle/>
                  <a:p>
                    <a:fld id="{A11EB686-2E79-4CF0-92F1-E3C7674148A8}"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D050-43F4-B6F8-6E9B35955D26}"/>
                </c:ext>
              </c:extLst>
            </c:dLbl>
            <c:dLbl>
              <c:idx val="1"/>
              <c:tx>
                <c:rich>
                  <a:bodyPr/>
                  <a:lstStyle/>
                  <a:p>
                    <a:fld id="{6FFF7B39-2A03-42BF-A675-72F986510AFE}"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050-43F4-B6F8-6E9B35955D26}"/>
                </c:ext>
              </c:extLst>
            </c:dLbl>
            <c:dLbl>
              <c:idx val="2"/>
              <c:tx>
                <c:rich>
                  <a:bodyPr/>
                  <a:lstStyle/>
                  <a:p>
                    <a:fld id="{64B54E13-9FA3-4984-AE64-34642CDA5EA9}"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050-43F4-B6F8-6E9B35955D26}"/>
                </c:ext>
              </c:extLst>
            </c:dLbl>
            <c:dLbl>
              <c:idx val="3"/>
              <c:tx>
                <c:rich>
                  <a:bodyPr/>
                  <a:lstStyle/>
                  <a:p>
                    <a:fld id="{F3D5CAAD-9C65-4333-9675-DA7DF0F5386B}"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D050-43F4-B6F8-6E9B35955D26}"/>
                </c:ext>
              </c:extLst>
            </c:dLbl>
            <c:dLbl>
              <c:idx val="4"/>
              <c:tx>
                <c:rich>
                  <a:bodyPr/>
                  <a:lstStyle/>
                  <a:p>
                    <a:fld id="{25CE54E1-952B-40F4-89C9-D6D01BC3FFDB}"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D050-43F4-B6F8-6E9B35955D26}"/>
                </c:ext>
              </c:extLst>
            </c:dLbl>
            <c:dLbl>
              <c:idx val="5"/>
              <c:tx>
                <c:rich>
                  <a:bodyPr/>
                  <a:lstStyle/>
                  <a:p>
                    <a:fld id="{8872FDA4-F7AB-4374-A22C-4A43C897DB60}"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D050-43F4-B6F8-6E9B35955D26}"/>
                </c:ext>
              </c:extLst>
            </c:dLbl>
            <c:dLbl>
              <c:idx val="6"/>
              <c:tx>
                <c:rich>
                  <a:bodyPr/>
                  <a:lstStyle/>
                  <a:p>
                    <a:fld id="{39A702EC-BDE3-455D-ADCD-675FE897F9CA}"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D050-43F4-B6F8-6E9B35955D26}"/>
                </c:ext>
              </c:extLst>
            </c:dLbl>
            <c:dLbl>
              <c:idx val="7"/>
              <c:tx>
                <c:rich>
                  <a:bodyPr/>
                  <a:lstStyle/>
                  <a:p>
                    <a:fld id="{605D59DF-BC81-4721-8AB1-A7C24C4721CA}"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050-43F4-B6F8-6E9B35955D26}"/>
                </c:ext>
              </c:extLst>
            </c:dLbl>
            <c:dLbl>
              <c:idx val="8"/>
              <c:tx>
                <c:rich>
                  <a:bodyPr/>
                  <a:lstStyle/>
                  <a:p>
                    <a:fld id="{B9D43A26-25F8-4EAE-9705-A27A651EE66A}"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D050-43F4-B6F8-6E9B35955D26}"/>
                </c:ext>
              </c:extLst>
            </c:dLbl>
            <c:dLbl>
              <c:idx val="9"/>
              <c:tx>
                <c:rich>
                  <a:bodyPr/>
                  <a:lstStyle/>
                  <a:p>
                    <a:fld id="{10C151DA-1428-49B4-8487-FAEB5E1DE9DD}"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050-43F4-B6F8-6E9B35955D26}"/>
                </c:ext>
              </c:extLst>
            </c:dLbl>
            <c:dLbl>
              <c:idx val="10"/>
              <c:tx>
                <c:rich>
                  <a:bodyPr/>
                  <a:lstStyle/>
                  <a:p>
                    <a:fld id="{E0ABBBD5-63A5-4D34-8EE5-680AC3F38715}"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D050-43F4-B6F8-6E9B35955D26}"/>
                </c:ext>
              </c:extLst>
            </c:dLbl>
            <c:dLbl>
              <c:idx val="11"/>
              <c:tx>
                <c:rich>
                  <a:bodyPr/>
                  <a:lstStyle/>
                  <a:p>
                    <a:fld id="{21A6E5AD-51C5-4026-8A22-7F0898E12516}"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D050-43F4-B6F8-6E9B35955D2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Pivot_Analysis!$U$4:$U$15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Pivot_Analysis!$U$4:$U$15</c:f>
              <c:numCache>
                <c:formatCode>"Rp"#,##0</c:formatCode>
                <c:ptCount val="12"/>
                <c:pt idx="0">
                  <c:v>14140055</c:v>
                </c:pt>
                <c:pt idx="1">
                  <c:v>12711592.5</c:v>
                </c:pt>
                <c:pt idx="2">
                  <c:v>12798592.5</c:v>
                </c:pt>
                <c:pt idx="3">
                  <c:v>12671902.5</c:v>
                </c:pt>
                <c:pt idx="4">
                  <c:v>12203452.5</c:v>
                </c:pt>
                <c:pt idx="5">
                  <c:v>13498585</c:v>
                </c:pt>
                <c:pt idx="6">
                  <c:v>12056577.5</c:v>
                </c:pt>
                <c:pt idx="7">
                  <c:v>12502047.5</c:v>
                </c:pt>
                <c:pt idx="8">
                  <c:v>11719375</c:v>
                </c:pt>
                <c:pt idx="9">
                  <c:v>13920020</c:v>
                </c:pt>
                <c:pt idx="10">
                  <c:v>13812720</c:v>
                </c:pt>
                <c:pt idx="11">
                  <c:v>17449642.5</c:v>
                </c:pt>
              </c:numCache>
            </c:numRef>
          </c:val>
          <c:extLst>
            <c:ext xmlns:c15="http://schemas.microsoft.com/office/drawing/2012/chart" uri="{02D57815-91ED-43cb-92C2-25804820EDAC}">
              <c15:datalabelsRange>
                <c15:f>Pivot_Analysis!$U$4:$U$15</c15:f>
                <c15:dlblRangeCache>
                  <c:ptCount val="12"/>
                  <c:pt idx="0">
                    <c:v>9%</c:v>
                  </c:pt>
                  <c:pt idx="1">
                    <c:v>8%</c:v>
                  </c:pt>
                  <c:pt idx="2">
                    <c:v>8%</c:v>
                  </c:pt>
                  <c:pt idx="3">
                    <c:v>8%</c:v>
                  </c:pt>
                  <c:pt idx="4">
                    <c:v>8%</c:v>
                  </c:pt>
                  <c:pt idx="5">
                    <c:v>8%</c:v>
                  </c:pt>
                  <c:pt idx="6">
                    <c:v>8%</c:v>
                  </c:pt>
                  <c:pt idx="7">
                    <c:v>8%</c:v>
                  </c:pt>
                  <c:pt idx="8">
                    <c:v>7%</c:v>
                  </c:pt>
                  <c:pt idx="9">
                    <c:v>9%</c:v>
                  </c:pt>
                  <c:pt idx="10">
                    <c:v>9%</c:v>
                  </c:pt>
                  <c:pt idx="11">
                    <c:v>11%</c:v>
                  </c:pt>
                </c15:dlblRangeCache>
              </c15:datalabelsRange>
            </c:ext>
            <c:ext xmlns:c16="http://schemas.microsoft.com/office/drawing/2014/chart" uri="{C3380CC4-5D6E-409C-BE32-E72D297353CC}">
              <c16:uniqueId val="{00000000-D050-43F4-B6F8-6E9B35955D26}"/>
            </c:ext>
          </c:extLst>
        </c:ser>
        <c:dLbls>
          <c:showLegendKey val="0"/>
          <c:showVal val="1"/>
          <c:showCatName val="0"/>
          <c:showSerName val="0"/>
          <c:showPercent val="0"/>
          <c:showBubbleSize val="0"/>
        </c:dLbls>
        <c:gapWidth val="150"/>
        <c:shape val="box"/>
        <c:axId val="1848258639"/>
        <c:axId val="1848256143"/>
        <c:axId val="0"/>
      </c:bar3DChart>
      <c:catAx>
        <c:axId val="18482586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256143"/>
        <c:crosses val="autoZero"/>
        <c:auto val="1"/>
        <c:lblAlgn val="ctr"/>
        <c:lblOffset val="100"/>
        <c:noMultiLvlLbl val="0"/>
      </c:catAx>
      <c:valAx>
        <c:axId val="1848256143"/>
        <c:scaling>
          <c:orientation val="minMax"/>
        </c:scaling>
        <c:delete val="0"/>
        <c:axPos val="l"/>
        <c:numFmt formatCode="&quot;Rp&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258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DataExcel_Sayuran_2026.xlsx]Pivot_Analysis!platform_performance</c:name>
    <c:fmtId val="0"/>
  </c:pivotSource>
  <c:chart>
    <c:autoTitleDeleted val="1"/>
    <c:pivotFmts>
      <c:pivotFmt>
        <c:idx val="0"/>
        <c:spPr>
          <a:solidFill>
            <a:schemeClr val="accent1"/>
          </a:solidFill>
          <a:ln>
            <a:noFill/>
          </a:ln>
          <a:effectLst/>
        </c:spPr>
        <c:marker>
          <c:symbol val="none"/>
        </c:marker>
        <c:dLbl>
          <c:idx val="0"/>
          <c:numFmt formatCode="#..&quot;Jt&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s>
    <c:plotArea>
      <c:layout/>
      <c:barChart>
        <c:barDir val="bar"/>
        <c:grouping val="clustered"/>
        <c:varyColors val="0"/>
        <c:ser>
          <c:idx val="0"/>
          <c:order val="0"/>
          <c:tx>
            <c:strRef>
              <c:f>Pivot_Analysis!$AB$3</c:f>
              <c:strCache>
                <c:ptCount val="1"/>
                <c:pt idx="0">
                  <c:v>Total</c:v>
                </c:pt>
              </c:strCache>
            </c:strRef>
          </c:tx>
          <c:spPr>
            <a:solidFill>
              <a:schemeClr val="accent1"/>
            </a:solidFill>
            <a:ln>
              <a:noFill/>
            </a:ln>
            <a:effectLst/>
          </c:spPr>
          <c:invertIfNegative val="0"/>
          <c:dLbls>
            <c:numFmt formatCode="#..&quot;Jt&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Pivot_Analysis!$AA$4:$AA$9</c:f>
              <c:strCache>
                <c:ptCount val="5"/>
                <c:pt idx="0">
                  <c:v>SayurKota Mart</c:v>
                </c:pt>
                <c:pt idx="1">
                  <c:v>Hijau Mart</c:v>
                </c:pt>
                <c:pt idx="2">
                  <c:v>Karirnex VegMart App</c:v>
                </c:pt>
                <c:pt idx="3">
                  <c:v>BelanjaSayur App</c:v>
                </c:pt>
                <c:pt idx="4">
                  <c:v>FoodMart</c:v>
                </c:pt>
              </c:strCache>
            </c:strRef>
          </c:cat>
          <c:val>
            <c:numRef>
              <c:f>Pivot_Analysis!$AB$4:$AB$9</c:f>
              <c:numCache>
                <c:formatCode>"Rp"#,##0</c:formatCode>
                <c:ptCount val="5"/>
                <c:pt idx="0">
                  <c:v>32254927.5</c:v>
                </c:pt>
                <c:pt idx="1">
                  <c:v>32251402.5</c:v>
                </c:pt>
                <c:pt idx="2">
                  <c:v>31749497.5</c:v>
                </c:pt>
                <c:pt idx="3">
                  <c:v>31724182.5</c:v>
                </c:pt>
                <c:pt idx="4">
                  <c:v>31504552.5</c:v>
                </c:pt>
              </c:numCache>
            </c:numRef>
          </c:val>
          <c:extLst>
            <c:ext xmlns:c16="http://schemas.microsoft.com/office/drawing/2014/chart" uri="{C3380CC4-5D6E-409C-BE32-E72D297353CC}">
              <c16:uniqueId val="{00000000-00EC-452D-9D34-534B5C141417}"/>
            </c:ext>
          </c:extLst>
        </c:ser>
        <c:dLbls>
          <c:dLblPos val="outEnd"/>
          <c:showLegendKey val="0"/>
          <c:showVal val="1"/>
          <c:showCatName val="0"/>
          <c:showSerName val="0"/>
          <c:showPercent val="0"/>
          <c:showBubbleSize val="0"/>
        </c:dLbls>
        <c:gapWidth val="182"/>
        <c:axId val="2077841983"/>
        <c:axId val="2077853631"/>
      </c:barChart>
      <c:catAx>
        <c:axId val="207784198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853631"/>
        <c:crosses val="autoZero"/>
        <c:auto val="1"/>
        <c:lblAlgn val="ctr"/>
        <c:lblOffset val="100"/>
        <c:noMultiLvlLbl val="0"/>
      </c:catAx>
      <c:valAx>
        <c:axId val="2077853631"/>
        <c:scaling>
          <c:orientation val="minMax"/>
        </c:scaling>
        <c:delete val="1"/>
        <c:axPos val="t"/>
        <c:numFmt formatCode="&quot;Rp&quot;#,##0" sourceLinked="1"/>
        <c:majorTickMark val="none"/>
        <c:minorTickMark val="none"/>
        <c:tickLblPos val="nextTo"/>
        <c:crossAx val="2077841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DataExcel_Sayuran_2026.xlsx]Pivot_Analysis!payment_method</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EC8371F-AFB4-45A4-ADB8-8579881C3C25}" type="CELLRANGE">
                  <a:rPr lang="en-US"/>
                  <a:pPr>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CACBD65-48C5-4205-B0E8-FF7ECF9DA2C0}" type="CELLRANGE">
                  <a:rPr lang="en-ID"/>
                  <a:pPr>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05B5AB2-65D9-4515-943A-CA93FEEDF1B0}" type="CELLRANGE">
                  <a:rPr lang="en-ID"/>
                  <a:pPr>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D312E11-1B27-4918-BCD1-93C146FDA0D3}" type="CELLRANGE">
                  <a:rPr lang="en-ID"/>
                  <a:pPr>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16624081364829396"/>
          <c:y val="9.3009259259259264E-2"/>
          <c:w val="0.3636388888888889"/>
          <c:h val="0.60606481481481478"/>
        </c:manualLayout>
      </c:layout>
      <c:doughnutChart>
        <c:varyColors val="1"/>
        <c:ser>
          <c:idx val="0"/>
          <c:order val="0"/>
          <c:tx>
            <c:strRef>
              <c:f>Pivot_Analysis!$AN$4:$AN$7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A879-47D8-92F2-6D6AC5336B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79-47D8-92F2-6D6AC5336B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A879-47D8-92F2-6D6AC5336B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A879-47D8-92F2-6D6AC5336B39}"/>
              </c:ext>
            </c:extLst>
          </c:dPt>
          <c:dLbls>
            <c:dLbl>
              <c:idx val="0"/>
              <c:tx>
                <c:rich>
                  <a:bodyPr/>
                  <a:lstStyle/>
                  <a:p>
                    <a:fld id="{6EC8371F-AFB4-45A4-ADB8-8579881C3C25}"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879-47D8-92F2-6D6AC5336B39}"/>
                </c:ext>
              </c:extLst>
            </c:dLbl>
            <c:dLbl>
              <c:idx val="1"/>
              <c:tx>
                <c:rich>
                  <a:bodyPr/>
                  <a:lstStyle/>
                  <a:p>
                    <a:fld id="{5CACBD65-48C5-4205-B0E8-FF7ECF9DA2C0}"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879-47D8-92F2-6D6AC5336B39}"/>
                </c:ext>
              </c:extLst>
            </c:dLbl>
            <c:dLbl>
              <c:idx val="2"/>
              <c:tx>
                <c:rich>
                  <a:bodyPr/>
                  <a:lstStyle/>
                  <a:p>
                    <a:fld id="{F05B5AB2-65D9-4515-943A-CA93FEEDF1B0}"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879-47D8-92F2-6D6AC5336B39}"/>
                </c:ext>
              </c:extLst>
            </c:dLbl>
            <c:dLbl>
              <c:idx val="3"/>
              <c:tx>
                <c:rich>
                  <a:bodyPr/>
                  <a:lstStyle/>
                  <a:p>
                    <a:fld id="{AD312E11-1B27-4918-BCD1-93C146FDA0D3}"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879-47D8-92F2-6D6AC5336B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cat>
            <c:strRef>
              <c:f>Pivot_Analysis!$AN$4:$AN$7</c:f>
              <c:strCache>
                <c:ptCount val="4"/>
                <c:pt idx="0">
                  <c:v>Kartu Kredit</c:v>
                </c:pt>
                <c:pt idx="1">
                  <c:v>Transfer Bank</c:v>
                </c:pt>
                <c:pt idx="2">
                  <c:v>e-Wallet</c:v>
                </c:pt>
                <c:pt idx="3">
                  <c:v>COD</c:v>
                </c:pt>
              </c:strCache>
            </c:strRef>
          </c:cat>
          <c:val>
            <c:numRef>
              <c:f>Pivot_Analysis!$AN$4:$AN$7</c:f>
              <c:numCache>
                <c:formatCode>"Rp"#,##0</c:formatCode>
                <c:ptCount val="4"/>
                <c:pt idx="0">
                  <c:v>41582805</c:v>
                </c:pt>
                <c:pt idx="1">
                  <c:v>41206355</c:v>
                </c:pt>
                <c:pt idx="2">
                  <c:v>38756115</c:v>
                </c:pt>
                <c:pt idx="3">
                  <c:v>37939287.5</c:v>
                </c:pt>
              </c:numCache>
            </c:numRef>
          </c:val>
          <c:extLst>
            <c:ext xmlns:c15="http://schemas.microsoft.com/office/drawing/2012/chart" uri="{02D57815-91ED-43cb-92C2-25804820EDAC}">
              <c15:datalabelsRange>
                <c15:f>Pivot_Analysis!$AN$4:$AN$7</c15:f>
                <c15:dlblRangeCache>
                  <c:ptCount val="4"/>
                  <c:pt idx="0">
                    <c:v>26%</c:v>
                  </c:pt>
                  <c:pt idx="1">
                    <c:v>26%</c:v>
                  </c:pt>
                  <c:pt idx="2">
                    <c:v>24%</c:v>
                  </c:pt>
                  <c:pt idx="3">
                    <c:v>24%</c:v>
                  </c:pt>
                </c15:dlblRangeCache>
              </c15:datalabelsRange>
            </c:ext>
            <c:ext xmlns:c16="http://schemas.microsoft.com/office/drawing/2014/chart" uri="{C3380CC4-5D6E-409C-BE32-E72D297353CC}">
              <c16:uniqueId val="{00000000-A879-47D8-92F2-6D6AC5336B39}"/>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1F6F5F"/>
              </a:solidFill>
              <a:ln w="19050">
                <a:solidFill>
                  <a:srgbClr val="1F6F5F"/>
                </a:solidFill>
              </a:ln>
              <a:effectLst/>
            </c:spPr>
            <c:extLst>
              <c:ext xmlns:c16="http://schemas.microsoft.com/office/drawing/2014/chart" uri="{C3380CC4-5D6E-409C-BE32-E72D297353CC}">
                <c16:uniqueId val="{0000000C-72D7-44ED-B7B7-2214A341C322}"/>
              </c:ext>
            </c:extLst>
          </c:dPt>
          <c:dPt>
            <c:idx val="1"/>
            <c:bubble3D val="0"/>
            <c:spPr>
              <a:solidFill>
                <a:srgbClr val="2FA084"/>
              </a:solidFill>
              <a:ln w="19050">
                <a:solidFill>
                  <a:srgbClr val="2FA084"/>
                </a:solidFill>
              </a:ln>
              <a:effectLst/>
            </c:spPr>
            <c:extLst>
              <c:ext xmlns:c16="http://schemas.microsoft.com/office/drawing/2014/chart" uri="{C3380CC4-5D6E-409C-BE32-E72D297353CC}">
                <c16:uniqueId val="{00000012-72D7-44ED-B7B7-2214A341C322}"/>
              </c:ext>
            </c:extLst>
          </c:dPt>
          <c:dPt>
            <c:idx val="2"/>
            <c:bubble3D val="0"/>
            <c:spPr>
              <a:solidFill>
                <a:srgbClr val="F2C94C"/>
              </a:solidFill>
              <a:ln w="19050">
                <a:solidFill>
                  <a:srgbClr val="F2C94C"/>
                </a:solidFill>
              </a:ln>
              <a:effectLst/>
            </c:spPr>
            <c:extLst>
              <c:ext xmlns:c16="http://schemas.microsoft.com/office/drawing/2014/chart" uri="{C3380CC4-5D6E-409C-BE32-E72D297353CC}">
                <c16:uniqueId val="{00000018-72D7-44ED-B7B7-2214A341C322}"/>
              </c:ext>
            </c:extLst>
          </c:dPt>
          <c:dPt>
            <c:idx val="3"/>
            <c:bubble3D val="0"/>
            <c:spPr>
              <a:solidFill>
                <a:srgbClr val="F2994A"/>
              </a:solidFill>
              <a:ln w="19050">
                <a:solidFill>
                  <a:srgbClr val="F2994A"/>
                </a:solidFill>
              </a:ln>
              <a:effectLst/>
            </c:spPr>
            <c:extLst>
              <c:ext xmlns:c16="http://schemas.microsoft.com/office/drawing/2014/chart" uri="{C3380CC4-5D6E-409C-BE32-E72D297353CC}">
                <c16:uniqueId val="{0000001E-72D7-44ED-B7B7-2214A341C322}"/>
              </c:ext>
            </c:extLst>
          </c:dPt>
          <c:dPt>
            <c:idx val="4"/>
            <c:bubble3D val="0"/>
            <c:spPr>
              <a:solidFill>
                <a:srgbClr val="EB5757"/>
              </a:solidFill>
              <a:ln w="19050">
                <a:solidFill>
                  <a:srgbClr val="EB5757"/>
                </a:solidFill>
              </a:ln>
              <a:effectLst/>
            </c:spPr>
            <c:extLst>
              <c:ext xmlns:c16="http://schemas.microsoft.com/office/drawing/2014/chart" uri="{C3380CC4-5D6E-409C-BE32-E72D297353CC}">
                <c16:uniqueId val="{00000024-72D7-44ED-B7B7-2214A341C322}"/>
              </c:ext>
            </c:extLst>
          </c:dPt>
          <c:cat>
            <c:strRef>
              <c:f>Pivot_Analysis!$AT$4:$AT$8</c:f>
              <c:strCache>
                <c:ptCount val="5"/>
                <c:pt idx="0">
                  <c:v>Completed</c:v>
                </c:pt>
                <c:pt idx="1">
                  <c:v>Returned</c:v>
                </c:pt>
                <c:pt idx="2">
                  <c:v>Cancelled</c:v>
                </c:pt>
                <c:pt idx="3">
                  <c:v>Pending</c:v>
                </c:pt>
                <c:pt idx="4">
                  <c:v>Shipped</c:v>
                </c:pt>
              </c:strCache>
            </c:strRef>
          </c:cat>
          <c:val>
            <c:numRef>
              <c:f>Pivot_Analysis!$AU$4:$AU$8</c:f>
              <c:numCache>
                <c:formatCode>General</c:formatCode>
                <c:ptCount val="5"/>
                <c:pt idx="0">
                  <c:v>1495</c:v>
                </c:pt>
                <c:pt idx="1">
                  <c:v>277</c:v>
                </c:pt>
                <c:pt idx="2">
                  <c:v>108</c:v>
                </c:pt>
                <c:pt idx="3">
                  <c:v>67</c:v>
                </c:pt>
                <c:pt idx="4">
                  <c:v>53</c:v>
                </c:pt>
              </c:numCache>
            </c:numRef>
          </c:val>
          <c:extLst>
            <c:ext xmlns:c16="http://schemas.microsoft.com/office/drawing/2014/chart" uri="{C3380CC4-5D6E-409C-BE32-E72D297353CC}">
              <c16:uniqueId val="{00000000-72D7-44ED-B7B7-2214A341C322}"/>
            </c:ext>
          </c:extLst>
        </c:ser>
        <c:ser>
          <c:idx val="1"/>
          <c:order val="1"/>
          <c:dPt>
            <c:idx val="0"/>
            <c:bubble3D val="0"/>
            <c:spPr>
              <a:solidFill>
                <a:srgbClr val="1F6F5F"/>
              </a:solidFill>
              <a:ln w="19050">
                <a:solidFill>
                  <a:srgbClr val="1F6F5F"/>
                </a:solidFill>
              </a:ln>
              <a:effectLst/>
            </c:spPr>
            <c:extLst>
              <c:ext xmlns:c16="http://schemas.microsoft.com/office/drawing/2014/chart" uri="{C3380CC4-5D6E-409C-BE32-E72D297353CC}">
                <c16:uniqueId val="{0000000B-72D7-44ED-B7B7-2214A341C322}"/>
              </c:ext>
            </c:extLst>
          </c:dPt>
          <c:dPt>
            <c:idx val="1"/>
            <c:bubble3D val="0"/>
            <c:spPr>
              <a:solidFill>
                <a:srgbClr val="2FA084"/>
              </a:solidFill>
              <a:ln w="19050">
                <a:solidFill>
                  <a:srgbClr val="2FA084"/>
                </a:solidFill>
              </a:ln>
              <a:effectLst/>
            </c:spPr>
            <c:extLst>
              <c:ext xmlns:c16="http://schemas.microsoft.com/office/drawing/2014/chart" uri="{C3380CC4-5D6E-409C-BE32-E72D297353CC}">
                <c16:uniqueId val="{00000011-72D7-44ED-B7B7-2214A341C322}"/>
              </c:ext>
            </c:extLst>
          </c:dPt>
          <c:dPt>
            <c:idx val="2"/>
            <c:bubble3D val="0"/>
            <c:spPr>
              <a:solidFill>
                <a:srgbClr val="F2C94C"/>
              </a:solidFill>
              <a:ln w="19050">
                <a:solidFill>
                  <a:srgbClr val="F2C94C"/>
                </a:solidFill>
              </a:ln>
              <a:effectLst/>
            </c:spPr>
            <c:extLst>
              <c:ext xmlns:c16="http://schemas.microsoft.com/office/drawing/2014/chart" uri="{C3380CC4-5D6E-409C-BE32-E72D297353CC}">
                <c16:uniqueId val="{00000017-72D7-44ED-B7B7-2214A341C322}"/>
              </c:ext>
            </c:extLst>
          </c:dPt>
          <c:dPt>
            <c:idx val="3"/>
            <c:bubble3D val="0"/>
            <c:spPr>
              <a:solidFill>
                <a:srgbClr val="F2994A"/>
              </a:solidFill>
              <a:ln w="19050">
                <a:solidFill>
                  <a:srgbClr val="F2994A"/>
                </a:solidFill>
              </a:ln>
              <a:effectLst/>
            </c:spPr>
            <c:extLst>
              <c:ext xmlns:c16="http://schemas.microsoft.com/office/drawing/2014/chart" uri="{C3380CC4-5D6E-409C-BE32-E72D297353CC}">
                <c16:uniqueId val="{0000001D-72D7-44ED-B7B7-2214A341C322}"/>
              </c:ext>
            </c:extLst>
          </c:dPt>
          <c:dPt>
            <c:idx val="4"/>
            <c:bubble3D val="0"/>
            <c:spPr>
              <a:solidFill>
                <a:srgbClr val="EB5757"/>
              </a:solidFill>
              <a:ln w="19050">
                <a:solidFill>
                  <a:srgbClr val="EB5757"/>
                </a:solidFill>
              </a:ln>
              <a:effectLst/>
            </c:spPr>
            <c:extLst>
              <c:ext xmlns:c16="http://schemas.microsoft.com/office/drawing/2014/chart" uri="{C3380CC4-5D6E-409C-BE32-E72D297353CC}">
                <c16:uniqueId val="{00000023-72D7-44ED-B7B7-2214A341C322}"/>
              </c:ext>
            </c:extLst>
          </c:dPt>
          <c:val>
            <c:numRef>
              <c:f>Pivot_Analysis!$AU$4:$AU$8</c:f>
              <c:numCache>
                <c:formatCode>General</c:formatCode>
                <c:ptCount val="5"/>
                <c:pt idx="0">
                  <c:v>1495</c:v>
                </c:pt>
                <c:pt idx="1">
                  <c:v>277</c:v>
                </c:pt>
                <c:pt idx="2">
                  <c:v>108</c:v>
                </c:pt>
                <c:pt idx="3">
                  <c:v>67</c:v>
                </c:pt>
                <c:pt idx="4">
                  <c:v>53</c:v>
                </c:pt>
              </c:numCache>
            </c:numRef>
          </c:val>
          <c:extLst>
            <c:ext xmlns:c16="http://schemas.microsoft.com/office/drawing/2014/chart" uri="{C3380CC4-5D6E-409C-BE32-E72D297353CC}">
              <c16:uniqueId val="{00000002-72D7-44ED-B7B7-2214A341C322}"/>
            </c:ext>
          </c:extLst>
        </c:ser>
        <c:ser>
          <c:idx val="2"/>
          <c:order val="2"/>
          <c:dPt>
            <c:idx val="0"/>
            <c:bubble3D val="0"/>
            <c:spPr>
              <a:solidFill>
                <a:srgbClr val="1F6F5F"/>
              </a:solidFill>
              <a:ln w="19050">
                <a:solidFill>
                  <a:srgbClr val="1F6F5F"/>
                </a:solidFill>
              </a:ln>
              <a:effectLst/>
            </c:spPr>
            <c:extLst>
              <c:ext xmlns:c16="http://schemas.microsoft.com/office/drawing/2014/chart" uri="{C3380CC4-5D6E-409C-BE32-E72D297353CC}">
                <c16:uniqueId val="{0000000A-72D7-44ED-B7B7-2214A341C322}"/>
              </c:ext>
            </c:extLst>
          </c:dPt>
          <c:dPt>
            <c:idx val="1"/>
            <c:bubble3D val="0"/>
            <c:spPr>
              <a:solidFill>
                <a:srgbClr val="2FA084"/>
              </a:solidFill>
              <a:ln w="19050">
                <a:solidFill>
                  <a:srgbClr val="2FA084"/>
                </a:solidFill>
              </a:ln>
              <a:effectLst/>
            </c:spPr>
            <c:extLst>
              <c:ext xmlns:c16="http://schemas.microsoft.com/office/drawing/2014/chart" uri="{C3380CC4-5D6E-409C-BE32-E72D297353CC}">
                <c16:uniqueId val="{00000010-72D7-44ED-B7B7-2214A341C322}"/>
              </c:ext>
            </c:extLst>
          </c:dPt>
          <c:dPt>
            <c:idx val="2"/>
            <c:bubble3D val="0"/>
            <c:spPr>
              <a:solidFill>
                <a:srgbClr val="F2C94C"/>
              </a:solidFill>
              <a:ln w="19050">
                <a:solidFill>
                  <a:srgbClr val="F2C94C"/>
                </a:solidFill>
              </a:ln>
              <a:effectLst/>
            </c:spPr>
            <c:extLst>
              <c:ext xmlns:c16="http://schemas.microsoft.com/office/drawing/2014/chart" uri="{C3380CC4-5D6E-409C-BE32-E72D297353CC}">
                <c16:uniqueId val="{00000016-72D7-44ED-B7B7-2214A341C322}"/>
              </c:ext>
            </c:extLst>
          </c:dPt>
          <c:dPt>
            <c:idx val="3"/>
            <c:bubble3D val="0"/>
            <c:spPr>
              <a:solidFill>
                <a:srgbClr val="F2994A"/>
              </a:solidFill>
              <a:ln w="19050">
                <a:solidFill>
                  <a:srgbClr val="F2994A"/>
                </a:solidFill>
              </a:ln>
              <a:effectLst/>
            </c:spPr>
            <c:extLst>
              <c:ext xmlns:c16="http://schemas.microsoft.com/office/drawing/2014/chart" uri="{C3380CC4-5D6E-409C-BE32-E72D297353CC}">
                <c16:uniqueId val="{0000001C-72D7-44ED-B7B7-2214A341C322}"/>
              </c:ext>
            </c:extLst>
          </c:dPt>
          <c:dPt>
            <c:idx val="4"/>
            <c:bubble3D val="0"/>
            <c:spPr>
              <a:noFill/>
              <a:ln w="19050">
                <a:noFill/>
              </a:ln>
              <a:effectLst/>
            </c:spPr>
            <c:extLst>
              <c:ext xmlns:c16="http://schemas.microsoft.com/office/drawing/2014/chart" uri="{C3380CC4-5D6E-409C-BE32-E72D297353CC}">
                <c16:uniqueId val="{00000022-72D7-44ED-B7B7-2214A341C32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F-CD0B-45EC-BC7F-848E27E030AF}"/>
              </c:ext>
            </c:extLst>
          </c:dPt>
          <c:val>
            <c:numRef>
              <c:f>Pivot_Analysis!$AU$4:$AU$9</c:f>
              <c:numCache>
                <c:formatCode>General</c:formatCode>
                <c:ptCount val="6"/>
                <c:pt idx="0">
                  <c:v>1495</c:v>
                </c:pt>
                <c:pt idx="1">
                  <c:v>277</c:v>
                </c:pt>
                <c:pt idx="2">
                  <c:v>108</c:v>
                </c:pt>
                <c:pt idx="3">
                  <c:v>67</c:v>
                </c:pt>
                <c:pt idx="4">
                  <c:v>53</c:v>
                </c:pt>
              </c:numCache>
            </c:numRef>
          </c:val>
          <c:extLst>
            <c:ext xmlns:c16="http://schemas.microsoft.com/office/drawing/2014/chart" uri="{C3380CC4-5D6E-409C-BE32-E72D297353CC}">
              <c16:uniqueId val="{00000003-72D7-44ED-B7B7-2214A341C322}"/>
            </c:ext>
          </c:extLst>
        </c:ser>
        <c:ser>
          <c:idx val="3"/>
          <c:order val="3"/>
          <c:dPt>
            <c:idx val="0"/>
            <c:bubble3D val="0"/>
            <c:spPr>
              <a:solidFill>
                <a:srgbClr val="1F6F5F"/>
              </a:solidFill>
              <a:ln w="19050">
                <a:solidFill>
                  <a:srgbClr val="1F6F5F"/>
                </a:solidFill>
              </a:ln>
              <a:effectLst/>
            </c:spPr>
            <c:extLst>
              <c:ext xmlns:c16="http://schemas.microsoft.com/office/drawing/2014/chart" uri="{C3380CC4-5D6E-409C-BE32-E72D297353CC}">
                <c16:uniqueId val="{00000009-72D7-44ED-B7B7-2214A341C322}"/>
              </c:ext>
            </c:extLst>
          </c:dPt>
          <c:dPt>
            <c:idx val="1"/>
            <c:bubble3D val="0"/>
            <c:spPr>
              <a:solidFill>
                <a:srgbClr val="2FA084"/>
              </a:solidFill>
              <a:ln w="19050">
                <a:solidFill>
                  <a:srgbClr val="2FA084"/>
                </a:solidFill>
              </a:ln>
              <a:effectLst/>
            </c:spPr>
            <c:extLst>
              <c:ext xmlns:c16="http://schemas.microsoft.com/office/drawing/2014/chart" uri="{C3380CC4-5D6E-409C-BE32-E72D297353CC}">
                <c16:uniqueId val="{0000000F-72D7-44ED-B7B7-2214A341C322}"/>
              </c:ext>
            </c:extLst>
          </c:dPt>
          <c:dPt>
            <c:idx val="2"/>
            <c:bubble3D val="0"/>
            <c:spPr>
              <a:solidFill>
                <a:srgbClr val="F2C94C"/>
              </a:solidFill>
              <a:ln w="19050">
                <a:solidFill>
                  <a:srgbClr val="F2C94C"/>
                </a:solidFill>
              </a:ln>
              <a:effectLst/>
            </c:spPr>
            <c:extLst>
              <c:ext xmlns:c16="http://schemas.microsoft.com/office/drawing/2014/chart" uri="{C3380CC4-5D6E-409C-BE32-E72D297353CC}">
                <c16:uniqueId val="{00000015-72D7-44ED-B7B7-2214A341C322}"/>
              </c:ext>
            </c:extLst>
          </c:dPt>
          <c:dPt>
            <c:idx val="3"/>
            <c:bubble3D val="0"/>
            <c:spPr>
              <a:noFill/>
              <a:ln w="19050">
                <a:solidFill>
                  <a:schemeClr val="bg1"/>
                </a:solidFill>
              </a:ln>
              <a:effectLst/>
            </c:spPr>
            <c:extLst>
              <c:ext xmlns:c16="http://schemas.microsoft.com/office/drawing/2014/chart" uri="{C3380CC4-5D6E-409C-BE32-E72D297353CC}">
                <c16:uniqueId val="{0000001B-72D7-44ED-B7B7-2214A341C322}"/>
              </c:ext>
            </c:extLst>
          </c:dPt>
          <c:dPt>
            <c:idx val="4"/>
            <c:bubble3D val="0"/>
            <c:spPr>
              <a:noFill/>
              <a:ln w="19050">
                <a:noFill/>
              </a:ln>
              <a:effectLst/>
            </c:spPr>
            <c:extLst>
              <c:ext xmlns:c16="http://schemas.microsoft.com/office/drawing/2014/chart" uri="{C3380CC4-5D6E-409C-BE32-E72D297353CC}">
                <c16:uniqueId val="{00000021-72D7-44ED-B7B7-2214A341C32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B-CD0B-45EC-BC7F-848E27E030AF}"/>
              </c:ext>
            </c:extLst>
          </c:dPt>
          <c:val>
            <c:numRef>
              <c:f>Pivot_Analysis!$AU$4:$AU$9</c:f>
              <c:numCache>
                <c:formatCode>General</c:formatCode>
                <c:ptCount val="6"/>
                <c:pt idx="0">
                  <c:v>1495</c:v>
                </c:pt>
                <c:pt idx="1">
                  <c:v>277</c:v>
                </c:pt>
                <c:pt idx="2">
                  <c:v>108</c:v>
                </c:pt>
                <c:pt idx="3">
                  <c:v>67</c:v>
                </c:pt>
                <c:pt idx="4">
                  <c:v>53</c:v>
                </c:pt>
              </c:numCache>
            </c:numRef>
          </c:val>
          <c:extLst>
            <c:ext xmlns:c16="http://schemas.microsoft.com/office/drawing/2014/chart" uri="{C3380CC4-5D6E-409C-BE32-E72D297353CC}">
              <c16:uniqueId val="{00000004-72D7-44ED-B7B7-2214A341C322}"/>
            </c:ext>
          </c:extLst>
        </c:ser>
        <c:ser>
          <c:idx val="4"/>
          <c:order val="4"/>
          <c:dPt>
            <c:idx val="0"/>
            <c:bubble3D val="0"/>
            <c:spPr>
              <a:solidFill>
                <a:srgbClr val="1F6F5F"/>
              </a:solidFill>
              <a:ln w="19050">
                <a:solidFill>
                  <a:srgbClr val="1F6F5F"/>
                </a:solidFill>
              </a:ln>
              <a:effectLst/>
            </c:spPr>
            <c:extLst>
              <c:ext xmlns:c16="http://schemas.microsoft.com/office/drawing/2014/chart" uri="{C3380CC4-5D6E-409C-BE32-E72D297353CC}">
                <c16:uniqueId val="{00000008-72D7-44ED-B7B7-2214A341C322}"/>
              </c:ext>
            </c:extLst>
          </c:dPt>
          <c:dPt>
            <c:idx val="1"/>
            <c:bubble3D val="0"/>
            <c:spPr>
              <a:solidFill>
                <a:srgbClr val="2FA084"/>
              </a:solidFill>
              <a:ln w="19050">
                <a:solidFill>
                  <a:srgbClr val="2FA084"/>
                </a:solidFill>
              </a:ln>
              <a:effectLst/>
            </c:spPr>
            <c:extLst>
              <c:ext xmlns:c16="http://schemas.microsoft.com/office/drawing/2014/chart" uri="{C3380CC4-5D6E-409C-BE32-E72D297353CC}">
                <c16:uniqueId val="{0000000E-72D7-44ED-B7B7-2214A341C322}"/>
              </c:ext>
            </c:extLst>
          </c:dPt>
          <c:dPt>
            <c:idx val="2"/>
            <c:bubble3D val="0"/>
            <c:spPr>
              <a:noFill/>
              <a:ln w="19050">
                <a:solidFill>
                  <a:schemeClr val="bg1"/>
                </a:solidFill>
              </a:ln>
              <a:effectLst/>
            </c:spPr>
            <c:extLst>
              <c:ext xmlns:c16="http://schemas.microsoft.com/office/drawing/2014/chart" uri="{C3380CC4-5D6E-409C-BE32-E72D297353CC}">
                <c16:uniqueId val="{00000014-72D7-44ED-B7B7-2214A341C322}"/>
              </c:ext>
            </c:extLst>
          </c:dPt>
          <c:dPt>
            <c:idx val="3"/>
            <c:bubble3D val="0"/>
            <c:spPr>
              <a:noFill/>
              <a:ln w="19050">
                <a:noFill/>
              </a:ln>
              <a:effectLst/>
            </c:spPr>
            <c:extLst>
              <c:ext xmlns:c16="http://schemas.microsoft.com/office/drawing/2014/chart" uri="{C3380CC4-5D6E-409C-BE32-E72D297353CC}">
                <c16:uniqueId val="{0000001A-72D7-44ED-B7B7-2214A341C322}"/>
              </c:ext>
            </c:extLst>
          </c:dPt>
          <c:dPt>
            <c:idx val="4"/>
            <c:bubble3D val="0"/>
            <c:spPr>
              <a:noFill/>
              <a:ln w="19050">
                <a:noFill/>
              </a:ln>
              <a:effectLst/>
            </c:spPr>
            <c:extLst>
              <c:ext xmlns:c16="http://schemas.microsoft.com/office/drawing/2014/chart" uri="{C3380CC4-5D6E-409C-BE32-E72D297353CC}">
                <c16:uniqueId val="{00000020-72D7-44ED-B7B7-2214A341C32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7-CD0B-45EC-BC7F-848E27E030AF}"/>
              </c:ext>
            </c:extLst>
          </c:dPt>
          <c:val>
            <c:numRef>
              <c:f>Pivot_Analysis!$AU$4:$AU$9</c:f>
              <c:numCache>
                <c:formatCode>General</c:formatCode>
                <c:ptCount val="6"/>
                <c:pt idx="0">
                  <c:v>1495</c:v>
                </c:pt>
                <c:pt idx="1">
                  <c:v>277</c:v>
                </c:pt>
                <c:pt idx="2">
                  <c:v>108</c:v>
                </c:pt>
                <c:pt idx="3">
                  <c:v>67</c:v>
                </c:pt>
                <c:pt idx="4">
                  <c:v>53</c:v>
                </c:pt>
              </c:numCache>
            </c:numRef>
          </c:val>
          <c:extLst>
            <c:ext xmlns:c16="http://schemas.microsoft.com/office/drawing/2014/chart" uri="{C3380CC4-5D6E-409C-BE32-E72D297353CC}">
              <c16:uniqueId val="{00000005-72D7-44ED-B7B7-2214A341C322}"/>
            </c:ext>
          </c:extLst>
        </c:ser>
        <c:ser>
          <c:idx val="5"/>
          <c:order val="5"/>
          <c:dPt>
            <c:idx val="0"/>
            <c:bubble3D val="0"/>
            <c:spPr>
              <a:solidFill>
                <a:srgbClr val="1F6F5F"/>
              </a:solidFill>
              <a:ln w="19050">
                <a:solidFill>
                  <a:srgbClr val="1F6F5F"/>
                </a:solidFill>
              </a:ln>
              <a:effectLst/>
            </c:spPr>
            <c:extLst>
              <c:ext xmlns:c16="http://schemas.microsoft.com/office/drawing/2014/chart" uri="{C3380CC4-5D6E-409C-BE32-E72D297353CC}">
                <c16:uniqueId val="{00000007-72D7-44ED-B7B7-2214A341C322}"/>
              </c:ext>
            </c:extLst>
          </c:dPt>
          <c:dPt>
            <c:idx val="1"/>
            <c:bubble3D val="0"/>
            <c:spPr>
              <a:noFill/>
              <a:ln w="19050">
                <a:solidFill>
                  <a:schemeClr val="bg1"/>
                </a:solidFill>
              </a:ln>
              <a:effectLst/>
            </c:spPr>
            <c:extLst>
              <c:ext xmlns:c16="http://schemas.microsoft.com/office/drawing/2014/chart" uri="{C3380CC4-5D6E-409C-BE32-E72D297353CC}">
                <c16:uniqueId val="{0000000D-72D7-44ED-B7B7-2214A341C322}"/>
              </c:ext>
            </c:extLst>
          </c:dPt>
          <c:dPt>
            <c:idx val="2"/>
            <c:bubble3D val="0"/>
            <c:spPr>
              <a:noFill/>
              <a:ln w="19050">
                <a:noFill/>
              </a:ln>
              <a:effectLst/>
            </c:spPr>
            <c:extLst>
              <c:ext xmlns:c16="http://schemas.microsoft.com/office/drawing/2014/chart" uri="{C3380CC4-5D6E-409C-BE32-E72D297353CC}">
                <c16:uniqueId val="{00000013-72D7-44ED-B7B7-2214A341C322}"/>
              </c:ext>
            </c:extLst>
          </c:dPt>
          <c:dPt>
            <c:idx val="3"/>
            <c:bubble3D val="0"/>
            <c:spPr>
              <a:noFill/>
              <a:ln w="19050">
                <a:noFill/>
              </a:ln>
              <a:effectLst/>
            </c:spPr>
            <c:extLst>
              <c:ext xmlns:c16="http://schemas.microsoft.com/office/drawing/2014/chart" uri="{C3380CC4-5D6E-409C-BE32-E72D297353CC}">
                <c16:uniqueId val="{00000019-72D7-44ED-B7B7-2214A341C322}"/>
              </c:ext>
            </c:extLst>
          </c:dPt>
          <c:dPt>
            <c:idx val="4"/>
            <c:bubble3D val="0"/>
            <c:spPr>
              <a:noFill/>
              <a:ln w="19050">
                <a:noFill/>
              </a:ln>
              <a:effectLst/>
            </c:spPr>
            <c:extLst>
              <c:ext xmlns:c16="http://schemas.microsoft.com/office/drawing/2014/chart" uri="{C3380CC4-5D6E-409C-BE32-E72D297353CC}">
                <c16:uniqueId val="{0000001F-72D7-44ED-B7B7-2214A341C32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3-CD0B-45EC-BC7F-848E27E030AF}"/>
              </c:ext>
            </c:extLst>
          </c:dPt>
          <c:val>
            <c:numRef>
              <c:f>Pivot_Analysis!$AU$4:$AU$9</c:f>
              <c:numCache>
                <c:formatCode>General</c:formatCode>
                <c:ptCount val="6"/>
                <c:pt idx="0">
                  <c:v>1495</c:v>
                </c:pt>
                <c:pt idx="1">
                  <c:v>277</c:v>
                </c:pt>
                <c:pt idx="2">
                  <c:v>108</c:v>
                </c:pt>
                <c:pt idx="3">
                  <c:v>67</c:v>
                </c:pt>
                <c:pt idx="4">
                  <c:v>53</c:v>
                </c:pt>
              </c:numCache>
            </c:numRef>
          </c:val>
          <c:extLst>
            <c:ext xmlns:c16="http://schemas.microsoft.com/office/drawing/2014/chart" uri="{C3380CC4-5D6E-409C-BE32-E72D297353CC}">
              <c16:uniqueId val="{00000006-72D7-44ED-B7B7-2214A341C322}"/>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b"/>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Pivot_Analysis!$U$26</c:f>
              <c:strCache>
                <c:ptCount val="1"/>
                <c:pt idx="0">
                  <c:v>Sales</c:v>
                </c:pt>
              </c:strCache>
            </c:strRef>
          </c:tx>
          <c:spPr>
            <a:solidFill>
              <a:schemeClr val="accent1"/>
            </a:solidFill>
            <a:ln>
              <a:noFill/>
            </a:ln>
            <a:effectLst/>
            <a:sp3d/>
          </c:spPr>
          <c:invertIfNegative val="0"/>
          <c:dLbls>
            <c:dLbl>
              <c:idx val="0"/>
              <c:tx>
                <c:rich>
                  <a:bodyPr/>
                  <a:lstStyle/>
                  <a:p>
                    <a:fld id="{072405E7-7494-4097-B150-E3E39E10B33C}"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B46B-4020-9630-C0EC4EC006A2}"/>
                </c:ext>
              </c:extLst>
            </c:dLbl>
            <c:dLbl>
              <c:idx val="1"/>
              <c:tx>
                <c:rich>
                  <a:bodyPr/>
                  <a:lstStyle/>
                  <a:p>
                    <a:fld id="{BEDCC45D-B903-4BA7-9B95-7140CCCE5B1C}"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46B-4020-9630-C0EC4EC006A2}"/>
                </c:ext>
              </c:extLst>
            </c:dLbl>
            <c:dLbl>
              <c:idx val="2"/>
              <c:tx>
                <c:rich>
                  <a:bodyPr/>
                  <a:lstStyle/>
                  <a:p>
                    <a:fld id="{956269A6-51DE-464D-90AC-75DD27B64CF6}"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46B-4020-9630-C0EC4EC006A2}"/>
                </c:ext>
              </c:extLst>
            </c:dLbl>
            <c:dLbl>
              <c:idx val="3"/>
              <c:tx>
                <c:rich>
                  <a:bodyPr/>
                  <a:lstStyle/>
                  <a:p>
                    <a:fld id="{C0509FE3-B1B4-4DCC-A9A3-EC56EDC8B2B5}"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46B-4020-9630-C0EC4EC006A2}"/>
                </c:ext>
              </c:extLst>
            </c:dLbl>
            <c:dLbl>
              <c:idx val="4"/>
              <c:tx>
                <c:rich>
                  <a:bodyPr/>
                  <a:lstStyle/>
                  <a:p>
                    <a:fld id="{7A40E1F1-CE00-41E7-8E82-1D3A72FBD57B}"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46B-4020-9630-C0EC4EC006A2}"/>
                </c:ext>
              </c:extLst>
            </c:dLbl>
            <c:dLbl>
              <c:idx val="5"/>
              <c:tx>
                <c:rich>
                  <a:bodyPr/>
                  <a:lstStyle/>
                  <a:p>
                    <a:fld id="{A1D065C3-F1F6-4FF4-9AEB-533E52E48101}"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46B-4020-9630-C0EC4EC006A2}"/>
                </c:ext>
              </c:extLst>
            </c:dLbl>
            <c:dLbl>
              <c:idx val="6"/>
              <c:tx>
                <c:rich>
                  <a:bodyPr/>
                  <a:lstStyle/>
                  <a:p>
                    <a:fld id="{AF65F462-9EE5-4D3E-86F4-A6DA48BF1D78}"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46B-4020-9630-C0EC4EC006A2}"/>
                </c:ext>
              </c:extLst>
            </c:dLbl>
            <c:dLbl>
              <c:idx val="7"/>
              <c:tx>
                <c:rich>
                  <a:bodyPr/>
                  <a:lstStyle/>
                  <a:p>
                    <a:fld id="{D5F41FDA-3C93-4995-8754-A85E50E6A458}"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46B-4020-9630-C0EC4EC006A2}"/>
                </c:ext>
              </c:extLst>
            </c:dLbl>
            <c:dLbl>
              <c:idx val="8"/>
              <c:tx>
                <c:rich>
                  <a:bodyPr/>
                  <a:lstStyle/>
                  <a:p>
                    <a:fld id="{76F688F4-738E-46AA-A441-DBA784B5CE5D}"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46B-4020-9630-C0EC4EC006A2}"/>
                </c:ext>
              </c:extLst>
            </c:dLbl>
            <c:dLbl>
              <c:idx val="9"/>
              <c:tx>
                <c:rich>
                  <a:bodyPr/>
                  <a:lstStyle/>
                  <a:p>
                    <a:fld id="{2EE693FD-95F7-4D4E-880A-28FFBC8A755F}"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46B-4020-9630-C0EC4EC006A2}"/>
                </c:ext>
              </c:extLst>
            </c:dLbl>
            <c:dLbl>
              <c:idx val="10"/>
              <c:tx>
                <c:rich>
                  <a:bodyPr/>
                  <a:lstStyle/>
                  <a:p>
                    <a:fld id="{C3BE4ADD-974B-4489-8770-6E1C45E90D4F}"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46B-4020-9630-C0EC4EC006A2}"/>
                </c:ext>
              </c:extLst>
            </c:dLbl>
            <c:dLbl>
              <c:idx val="11"/>
              <c:tx>
                <c:rich>
                  <a:bodyPr/>
                  <a:lstStyle/>
                  <a:p>
                    <a:fld id="{98D9C08B-D895-418B-A140-59CBDB0A81B9}"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46B-4020-9630-C0EC4EC006A2}"/>
                </c:ext>
              </c:extLst>
            </c:dLbl>
            <c:spPr>
              <a:noFill/>
              <a:ln>
                <a:noFill/>
              </a:ln>
              <a:effectLst/>
            </c:spPr>
            <c:txPr>
              <a:bodyPr rot="-5400000" spcFirstLastPara="1" vertOverflow="overflow" horzOverflow="overflow"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Pivot_Analysis!$T$27:$T$38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Pivot_Analysis!$U$27:$U$38</c:f>
              <c:numCache>
                <c:formatCode>_-"Rp"\.#.#,," Jt"_-;\-"Rp"\.#.#," Jt"_-;_-@_-</c:formatCode>
                <c:ptCount val="12"/>
                <c:pt idx="0">
                  <c:v>14140055</c:v>
                </c:pt>
                <c:pt idx="1">
                  <c:v>12711592.5</c:v>
                </c:pt>
                <c:pt idx="2">
                  <c:v>12798592.5</c:v>
                </c:pt>
                <c:pt idx="3">
                  <c:v>12671902.5</c:v>
                </c:pt>
                <c:pt idx="4">
                  <c:v>12203452.5</c:v>
                </c:pt>
                <c:pt idx="5">
                  <c:v>13498585</c:v>
                </c:pt>
                <c:pt idx="6">
                  <c:v>12056577.5</c:v>
                </c:pt>
                <c:pt idx="7">
                  <c:v>12502047.5</c:v>
                </c:pt>
                <c:pt idx="8">
                  <c:v>11719375</c:v>
                </c:pt>
                <c:pt idx="9">
                  <c:v>13920020</c:v>
                </c:pt>
                <c:pt idx="10">
                  <c:v>13812720</c:v>
                </c:pt>
                <c:pt idx="11">
                  <c:v>17449642.5</c:v>
                </c:pt>
              </c:numCache>
            </c:numRef>
          </c:val>
          <c:extLst>
            <c:ext xmlns:c15="http://schemas.microsoft.com/office/drawing/2012/chart" uri="{02D57815-91ED-43cb-92C2-25804820EDAC}">
              <c15:datalabelsRange>
                <c15:f>Pivot_Analysis!$X$27:$X$38</c15:f>
                <c15:dlblRangeCache>
                  <c:ptCount val="12"/>
                  <c:pt idx="0">
                    <c:v>  </c:v>
                  </c:pt>
                  <c:pt idx="1">
                    <c:v>  </c:v>
                  </c:pt>
                  <c:pt idx="2">
                    <c:v>  </c:v>
                  </c:pt>
                  <c:pt idx="3">
                    <c:v>  </c:v>
                  </c:pt>
                  <c:pt idx="4">
                    <c:v>  </c:v>
                  </c:pt>
                  <c:pt idx="5">
                    <c:v>  </c:v>
                  </c:pt>
                  <c:pt idx="6">
                    <c:v>  </c:v>
                  </c:pt>
                  <c:pt idx="7">
                    <c:v>  </c:v>
                  </c:pt>
                  <c:pt idx="8">
                    <c:v>  </c:v>
                  </c:pt>
                  <c:pt idx="9">
                    <c:v>  </c:v>
                  </c:pt>
                  <c:pt idx="10">
                    <c:v>  </c:v>
                  </c:pt>
                  <c:pt idx="11">
                    <c:v>  </c:v>
                  </c:pt>
                </c15:dlblRangeCache>
              </c15:datalabelsRange>
            </c:ext>
            <c:ext xmlns:c16="http://schemas.microsoft.com/office/drawing/2014/chart" uri="{C3380CC4-5D6E-409C-BE32-E72D297353CC}">
              <c16:uniqueId val="{00000000-B46B-4020-9630-C0EC4EC006A2}"/>
            </c:ext>
          </c:extLst>
        </c:ser>
        <c:ser>
          <c:idx val="1"/>
          <c:order val="1"/>
          <c:tx>
            <c:strRef>
              <c:f>Pivot_Analysis!$V$26</c:f>
              <c:strCache>
                <c:ptCount val="1"/>
                <c:pt idx="0">
                  <c:v>Quantity</c:v>
                </c:pt>
              </c:strCache>
            </c:strRef>
          </c:tx>
          <c:spPr>
            <a:solidFill>
              <a:schemeClr val="accent2"/>
            </a:solidFill>
            <a:ln>
              <a:noFill/>
            </a:ln>
            <a:effectLst/>
            <a:sp3d/>
          </c:spPr>
          <c:invertIfNegative val="0"/>
          <c:dLbls>
            <c:dLbl>
              <c:idx val="0"/>
              <c:tx>
                <c:rich>
                  <a:bodyPr/>
                  <a:lstStyle/>
                  <a:p>
                    <a:fld id="{6B3E1D49-06C7-42D9-A446-0EDE9AC79204}"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B46B-4020-9630-C0EC4EC006A2}"/>
                </c:ext>
              </c:extLst>
            </c:dLbl>
            <c:dLbl>
              <c:idx val="1"/>
              <c:tx>
                <c:rich>
                  <a:bodyPr/>
                  <a:lstStyle/>
                  <a:p>
                    <a:fld id="{B8ECA51B-C65A-4367-8CA3-E5102524C29F}"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B46B-4020-9630-C0EC4EC006A2}"/>
                </c:ext>
              </c:extLst>
            </c:dLbl>
            <c:dLbl>
              <c:idx val="2"/>
              <c:tx>
                <c:rich>
                  <a:bodyPr/>
                  <a:lstStyle/>
                  <a:p>
                    <a:fld id="{7B83207D-0580-4D79-B0A2-7E95B64609C8}"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B46B-4020-9630-C0EC4EC006A2}"/>
                </c:ext>
              </c:extLst>
            </c:dLbl>
            <c:dLbl>
              <c:idx val="3"/>
              <c:tx>
                <c:rich>
                  <a:bodyPr/>
                  <a:lstStyle/>
                  <a:p>
                    <a:fld id="{FE8BE5C2-D9CE-4181-ACF8-1E0ECCDAE073}"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B46B-4020-9630-C0EC4EC006A2}"/>
                </c:ext>
              </c:extLst>
            </c:dLbl>
            <c:dLbl>
              <c:idx val="4"/>
              <c:tx>
                <c:rich>
                  <a:bodyPr/>
                  <a:lstStyle/>
                  <a:p>
                    <a:fld id="{6512FC0A-1B2A-4F5A-91A2-FFC1C43858AA}"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B46B-4020-9630-C0EC4EC006A2}"/>
                </c:ext>
              </c:extLst>
            </c:dLbl>
            <c:dLbl>
              <c:idx val="5"/>
              <c:tx>
                <c:rich>
                  <a:bodyPr/>
                  <a:lstStyle/>
                  <a:p>
                    <a:fld id="{B9C27CE8-A266-4395-BAB5-90059A1032D8}"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B46B-4020-9630-C0EC4EC006A2}"/>
                </c:ext>
              </c:extLst>
            </c:dLbl>
            <c:dLbl>
              <c:idx val="6"/>
              <c:tx>
                <c:rich>
                  <a:bodyPr/>
                  <a:lstStyle/>
                  <a:p>
                    <a:fld id="{E94D83CC-D3CC-4BF1-99EB-DC47E8C5B2F4}"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B46B-4020-9630-C0EC4EC006A2}"/>
                </c:ext>
              </c:extLst>
            </c:dLbl>
            <c:dLbl>
              <c:idx val="7"/>
              <c:tx>
                <c:rich>
                  <a:bodyPr/>
                  <a:lstStyle/>
                  <a:p>
                    <a:fld id="{ECDFBE90-ED0B-4DC0-B2DD-4CBEF243D881}"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B46B-4020-9630-C0EC4EC006A2}"/>
                </c:ext>
              </c:extLst>
            </c:dLbl>
            <c:dLbl>
              <c:idx val="8"/>
              <c:tx>
                <c:rich>
                  <a:bodyPr/>
                  <a:lstStyle/>
                  <a:p>
                    <a:fld id="{E5AC9C19-0EA4-4807-A74F-D817A5CEF6D5}"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B46B-4020-9630-C0EC4EC006A2}"/>
                </c:ext>
              </c:extLst>
            </c:dLbl>
            <c:dLbl>
              <c:idx val="9"/>
              <c:tx>
                <c:rich>
                  <a:bodyPr/>
                  <a:lstStyle/>
                  <a:p>
                    <a:fld id="{023ADBFF-927D-41B5-B8B2-C8C3818F8D6C}"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B46B-4020-9630-C0EC4EC006A2}"/>
                </c:ext>
              </c:extLst>
            </c:dLbl>
            <c:dLbl>
              <c:idx val="10"/>
              <c:tx>
                <c:rich>
                  <a:bodyPr/>
                  <a:lstStyle/>
                  <a:p>
                    <a:fld id="{3F413C2A-2611-45CF-869F-90AD05807C89}"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B46B-4020-9630-C0EC4EC006A2}"/>
                </c:ext>
              </c:extLst>
            </c:dLbl>
            <c:dLbl>
              <c:idx val="11"/>
              <c:tx>
                <c:rich>
                  <a:bodyPr/>
                  <a:lstStyle/>
                  <a:p>
                    <a:fld id="{CBF18491-67FF-4F37-8DD4-FB0AD3B4A3A7}"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B46B-4020-9630-C0EC4EC006A2}"/>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Pivot_Analysis!$T$27:$T$38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Pivot_Analysis!$V$27:$V$38</c:f>
              <c:numCache>
                <c:formatCode>General\ "Kg"</c:formatCode>
                <c:ptCount val="12"/>
                <c:pt idx="0">
                  <c:v>222.60000000000002</c:v>
                </c:pt>
                <c:pt idx="1">
                  <c:v>200.4</c:v>
                </c:pt>
                <c:pt idx="2">
                  <c:v>218.3000000000001</c:v>
                </c:pt>
                <c:pt idx="3">
                  <c:v>200.69999999999996</c:v>
                </c:pt>
                <c:pt idx="4">
                  <c:v>189.49999999999994</c:v>
                </c:pt>
                <c:pt idx="5">
                  <c:v>194.50000000000003</c:v>
                </c:pt>
                <c:pt idx="6">
                  <c:v>200.30000000000004</c:v>
                </c:pt>
                <c:pt idx="7">
                  <c:v>189.10000000000002</c:v>
                </c:pt>
                <c:pt idx="8">
                  <c:v>185.39999999999992</c:v>
                </c:pt>
                <c:pt idx="9">
                  <c:v>216.60000000000002</c:v>
                </c:pt>
                <c:pt idx="10">
                  <c:v>229.10000000000005</c:v>
                </c:pt>
                <c:pt idx="11">
                  <c:v>276.90000000000015</c:v>
                </c:pt>
              </c:numCache>
            </c:numRef>
          </c:val>
          <c:extLst>
            <c:ext xmlns:c15="http://schemas.microsoft.com/office/drawing/2012/chart" uri="{02D57815-91ED-43cb-92C2-25804820EDAC}">
              <c15:datalabelsRange>
                <c15:f>Pivot_Analysis!$Y$27:$Y$38</c15:f>
                <c15:dlblRangeCache>
                  <c:ptCount val="12"/>
                </c15:dlblRangeCache>
              </c15:datalabelsRange>
            </c:ext>
            <c:ext xmlns:c16="http://schemas.microsoft.com/office/drawing/2014/chart" uri="{C3380CC4-5D6E-409C-BE32-E72D297353CC}">
              <c16:uniqueId val="{00000001-B46B-4020-9630-C0EC4EC006A2}"/>
            </c:ext>
          </c:extLst>
        </c:ser>
        <c:dLbls>
          <c:showLegendKey val="0"/>
          <c:showVal val="1"/>
          <c:showCatName val="0"/>
          <c:showSerName val="0"/>
          <c:showPercent val="0"/>
          <c:showBubbleSize val="0"/>
        </c:dLbls>
        <c:gapWidth val="150"/>
        <c:shape val="box"/>
        <c:axId val="1929530512"/>
        <c:axId val="1929526768"/>
        <c:axId val="0"/>
      </c:bar3DChart>
      <c:catAx>
        <c:axId val="19295305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526768"/>
        <c:crosses val="autoZero"/>
        <c:auto val="1"/>
        <c:lblAlgn val="ctr"/>
        <c:lblOffset val="100"/>
        <c:noMultiLvlLbl val="0"/>
      </c:catAx>
      <c:valAx>
        <c:axId val="1929526768"/>
        <c:scaling>
          <c:orientation val="minMax"/>
        </c:scaling>
        <c:delete val="0"/>
        <c:axPos val="l"/>
        <c:majorGridlines>
          <c:spPr>
            <a:ln w="9525" cap="flat" cmpd="sng" algn="ctr">
              <a:solidFill>
                <a:schemeClr val="tx1">
                  <a:lumMod val="15000"/>
                  <a:lumOff val="85000"/>
                </a:schemeClr>
              </a:solidFill>
              <a:round/>
            </a:ln>
            <a:effectLst/>
          </c:spPr>
        </c:majorGridlines>
        <c:numFmt formatCode="_-&quot;Rp&quot;\.#.#,,&quot; Jt&quot;_-;\-&quot;Rp&quot;\.#.#,&quot; J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530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DataExcel_Sayuran_2026.xlsx]Pivot_Analysis!sales_gender</c:name>
    <c:fmtId val="24"/>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6C3566DD-7374-437E-A934-2971573AB02B}" type="CELLRANGE">
                  <a:rPr lang="en-US"/>
                  <a:pPr>
                    <a:defRPr sz="1000">
                      <a:solidFill>
                        <a:schemeClr val="bg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solidFill>
            <a:schemeClr val="accent2"/>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7B4709DF-54B1-4848-A592-3BD5588B6805}" type="CELLRANGE">
                  <a:rPr lang="en-US"/>
                  <a:pPr>
                    <a:defRPr sz="1000">
                      <a:solidFill>
                        <a:schemeClr val="bg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3"/>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B7F50639-EA71-4CBE-8663-D8B38EAEED3F}" type="CELLRANGE">
                  <a:rPr lang="en-US"/>
                  <a:pPr>
                    <a:defRPr sz="1000">
                      <a:solidFill>
                        <a:schemeClr val="bg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4"/>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98263141-6F65-441F-A22C-E53286FCA45A}" type="CELLRANGE">
                  <a:rPr lang="en-US"/>
                  <a:pPr>
                    <a:defRPr sz="1000">
                      <a:solidFill>
                        <a:schemeClr val="bg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5"/>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749A17B0-4B08-491C-A1D4-0A6BAADE709D}" type="CELLRANGE">
                  <a:rPr lang="en-US"/>
                  <a:pPr>
                    <a:defRPr sz="1000">
                      <a:solidFill>
                        <a:schemeClr val="bg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610169491525423"/>
          <c:y val="6.3794109069699623E-2"/>
          <c:w val="0.70846870412384888"/>
          <c:h val="0.80657626130067073"/>
        </c:manualLayout>
      </c:layout>
      <c:pie3DChart>
        <c:varyColors val="1"/>
        <c:ser>
          <c:idx val="0"/>
          <c:order val="0"/>
          <c:tx>
            <c:strRef>
              <c:f>Pivot_Analysis!$AH$4:$AH$8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2-9E23-4167-A7BB-EDE750C25CC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E23-4167-A7BB-EDE750C25CC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4-9E23-4167-A7BB-EDE750C25CC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9E23-4167-A7BB-EDE750C25CC4}"/>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6-9E23-4167-A7BB-EDE750C25CC4}"/>
              </c:ext>
            </c:extLst>
          </c:dPt>
          <c:dLbls>
            <c:dLbl>
              <c:idx val="0"/>
              <c:tx>
                <c:rich>
                  <a:bodyPr/>
                  <a:lstStyle/>
                  <a:p>
                    <a:fld id="{6C3566DD-7374-437E-A934-2971573AB02B}" type="CELLRANGE">
                      <a:rPr lang="en-US"/>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E23-4167-A7BB-EDE750C25CC4}"/>
                </c:ext>
              </c:extLst>
            </c:dLbl>
            <c:dLbl>
              <c:idx val="1"/>
              <c:tx>
                <c:rich>
                  <a:bodyPr/>
                  <a:lstStyle/>
                  <a:p>
                    <a:fld id="{7B4709DF-54B1-4848-A592-3BD5588B6805}" type="CELLRANGE">
                      <a:rPr lang="en-US"/>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E23-4167-A7BB-EDE750C25CC4}"/>
                </c:ext>
              </c:extLst>
            </c:dLbl>
            <c:dLbl>
              <c:idx val="2"/>
              <c:tx>
                <c:rich>
                  <a:bodyPr/>
                  <a:lstStyle/>
                  <a:p>
                    <a:fld id="{B7F50639-EA71-4CBE-8663-D8B38EAEED3F}" type="CELLRANGE">
                      <a:rPr lang="en-US"/>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E23-4167-A7BB-EDE750C25CC4}"/>
                </c:ext>
              </c:extLst>
            </c:dLbl>
            <c:dLbl>
              <c:idx val="3"/>
              <c:tx>
                <c:rich>
                  <a:bodyPr/>
                  <a:lstStyle/>
                  <a:p>
                    <a:fld id="{98263141-6F65-441F-A22C-E53286FCA45A}" type="CELLRANGE">
                      <a:rPr lang="en-US"/>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E23-4167-A7BB-EDE750C25CC4}"/>
                </c:ext>
              </c:extLst>
            </c:dLbl>
            <c:dLbl>
              <c:idx val="4"/>
              <c:tx>
                <c:rich>
                  <a:bodyPr/>
                  <a:lstStyle/>
                  <a:p>
                    <a:fld id="{749A17B0-4B08-491C-A1D4-0A6BAADE709D}" type="CELLRANGE">
                      <a:rPr lang="en-US"/>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E23-4167-A7BB-EDE750C25CC4}"/>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cat>
            <c:strRef>
              <c:f>Pivot_Analysis!$AH$4:$AH$8</c:f>
              <c:strCache>
                <c:ptCount val="5"/>
                <c:pt idx="0">
                  <c:v>Jakarta</c:v>
                </c:pt>
                <c:pt idx="1">
                  <c:v>Pontianak</c:v>
                </c:pt>
                <c:pt idx="2">
                  <c:v>Sorong</c:v>
                </c:pt>
                <c:pt idx="3">
                  <c:v>Surabaya</c:v>
                </c:pt>
                <c:pt idx="4">
                  <c:v>Yogyakarta</c:v>
                </c:pt>
              </c:strCache>
            </c:strRef>
          </c:cat>
          <c:val>
            <c:numRef>
              <c:f>Pivot_Analysis!$AH$4:$AH$8</c:f>
              <c:numCache>
                <c:formatCode>"Rp"#,##0</c:formatCode>
                <c:ptCount val="5"/>
                <c:pt idx="0">
                  <c:v>11759992.5</c:v>
                </c:pt>
                <c:pt idx="1">
                  <c:v>8241555</c:v>
                </c:pt>
                <c:pt idx="2">
                  <c:v>6780125</c:v>
                </c:pt>
                <c:pt idx="3">
                  <c:v>7044342.5</c:v>
                </c:pt>
                <c:pt idx="4">
                  <c:v>6598142.5</c:v>
                </c:pt>
              </c:numCache>
            </c:numRef>
          </c:val>
          <c:extLst>
            <c:ext xmlns:c15="http://schemas.microsoft.com/office/drawing/2012/chart" uri="{02D57815-91ED-43cb-92C2-25804820EDAC}">
              <c15:datalabelsRange>
                <c15:f>Pivot_Analysis!$AH$4:$AH$8</c15:f>
                <c15:dlblRangeCache>
                  <c:ptCount val="5"/>
                  <c:pt idx="0">
                    <c:v>29%</c:v>
                  </c:pt>
                  <c:pt idx="1">
                    <c:v>20%</c:v>
                  </c:pt>
                  <c:pt idx="2">
                    <c:v>17%</c:v>
                  </c:pt>
                  <c:pt idx="3">
                    <c:v>17%</c:v>
                  </c:pt>
                  <c:pt idx="4">
                    <c:v>16%</c:v>
                  </c:pt>
                </c15:dlblRangeCache>
              </c15:datalabelsRange>
            </c:ext>
            <c:ext xmlns:c16="http://schemas.microsoft.com/office/drawing/2014/chart" uri="{C3380CC4-5D6E-409C-BE32-E72D297353CC}">
              <c16:uniqueId val="{00000000-9E23-4167-A7BB-EDE750C25CC4}"/>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4.7451754971306555E-2"/>
          <c:y val="0.789060950714494"/>
          <c:w val="0.91526010943547298"/>
          <c:h val="0.207894065325167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Pivot_Analysis!$U$25" lockText="1" noThreeD="1"/>
</file>

<file path=xl/ctrlProps/ctrlProp2.xml><?xml version="1.0" encoding="utf-8"?>
<formControlPr xmlns="http://schemas.microsoft.com/office/spreadsheetml/2009/9/main" objectType="CheckBox" checked="Checked" fmlaLink="Pivot_Analysis!$V$25" lockText="1" noThreeD="1"/>
</file>

<file path=xl/ctrlProps/ctrlProp3.xml><?xml version="1.0" encoding="utf-8"?>
<formControlPr xmlns="http://schemas.microsoft.com/office/spreadsheetml/2009/9/main" objectType="CheckBox" checked="Checked" fmlaLink="$U$25" lockText="1" noThreeD="1"/>
</file>

<file path=xl/ctrlProps/ctrlProp4.xml><?xml version="1.0" encoding="utf-8"?>
<formControlPr xmlns="http://schemas.microsoft.com/office/spreadsheetml/2009/9/main" objectType="CheckBox" checked="Checked" fmlaLink="$V$25" lockText="1" noThreeD="1"/>
</file>

<file path=xl/ctrlProps/ctrlProp5.xml><?xml version="1.0" encoding="utf-8"?>
<formControlPr xmlns="http://schemas.microsoft.com/office/spreadsheetml/2009/9/main" objectType="CheckBox" checked="Checked" fmlaLink="$W$25" lockText="1" noThreeD="1"/>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chart" Target="../charts/chart5.xml"/><Relationship Id="rId5" Type="http://schemas.openxmlformats.org/officeDocument/2006/relationships/image" Target="../media/image2.png"/><Relationship Id="rId10" Type="http://schemas.openxmlformats.org/officeDocument/2006/relationships/chart" Target="../charts/chart4.xml"/><Relationship Id="rId4" Type="http://schemas.openxmlformats.org/officeDocument/2006/relationships/image" Target="../media/image1.png"/><Relationship Id="rId9" Type="http://schemas.openxmlformats.org/officeDocument/2006/relationships/image" Target="../media/image6.png"/></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587376</xdr:colOff>
      <xdr:row>0</xdr:row>
      <xdr:rowOff>30162</xdr:rowOff>
    </xdr:from>
    <xdr:to>
      <xdr:col>18</xdr:col>
      <xdr:colOff>39689</xdr:colOff>
      <xdr:row>3</xdr:row>
      <xdr:rowOff>30162</xdr:rowOff>
    </xdr:to>
    <xdr:grpSp>
      <xdr:nvGrpSpPr>
        <xdr:cNvPr id="4" name="Group 3">
          <a:extLst>
            <a:ext uri="{FF2B5EF4-FFF2-40B4-BE49-F238E27FC236}">
              <a16:creationId xmlns:a16="http://schemas.microsoft.com/office/drawing/2014/main" id="{00000000-0008-0000-0100-000004000000}"/>
            </a:ext>
          </a:extLst>
        </xdr:cNvPr>
        <xdr:cNvGrpSpPr/>
      </xdr:nvGrpSpPr>
      <xdr:grpSpPr>
        <a:xfrm>
          <a:off x="3626305" y="30162"/>
          <a:ext cx="7353527" cy="544286"/>
          <a:chOff x="4127500" y="44450"/>
          <a:chExt cx="4337050" cy="552450"/>
        </a:xfrm>
      </xdr:grpSpPr>
      <xdr:sp macro="" textlink="">
        <xdr:nvSpPr>
          <xdr:cNvPr id="2" name="Rectangle: Diagonal Corners Rounded 1">
            <a:extLst>
              <a:ext uri="{FF2B5EF4-FFF2-40B4-BE49-F238E27FC236}">
                <a16:creationId xmlns:a16="http://schemas.microsoft.com/office/drawing/2014/main" id="{00000000-0008-0000-0100-000002000000}"/>
              </a:ext>
            </a:extLst>
          </xdr:cNvPr>
          <xdr:cNvSpPr/>
        </xdr:nvSpPr>
        <xdr:spPr>
          <a:xfrm>
            <a:off x="4127500" y="44450"/>
            <a:ext cx="4337050" cy="552450"/>
          </a:xfrm>
          <a:prstGeom prst="round2DiagRect">
            <a:avLst/>
          </a:prstGeom>
          <a:gradFill flip="none" rotWithShape="1">
            <a:gsLst>
              <a:gs pos="0">
                <a:srgbClr val="1F6F5F">
                  <a:shade val="30000"/>
                  <a:satMod val="115000"/>
                </a:srgbClr>
              </a:gs>
              <a:gs pos="80000">
                <a:srgbClr val="1F6F5F">
                  <a:shade val="67500"/>
                  <a:satMod val="115000"/>
                </a:srgbClr>
              </a:gs>
              <a:gs pos="100000">
                <a:srgbClr val="1F6F5F">
                  <a:shade val="100000"/>
                  <a:satMod val="115000"/>
                </a:srgbClr>
              </a:gs>
            </a:gsLst>
            <a:lin ang="10800000" scaled="1"/>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4132682" y="117061"/>
            <a:ext cx="4320191"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2000">
                <a:solidFill>
                  <a:schemeClr val="bg1"/>
                </a:solidFill>
                <a:latin typeface="Arial Rounded MT Bold" panose="020F0704030504030204" pitchFamily="34" charset="0"/>
              </a:rPr>
              <a:t>KARIRNEX</a:t>
            </a:r>
            <a:r>
              <a:rPr lang="en-ID" sz="2000" baseline="0">
                <a:solidFill>
                  <a:schemeClr val="bg1"/>
                </a:solidFill>
                <a:latin typeface="Arial Rounded MT Bold" panose="020F0704030504030204" pitchFamily="34" charset="0"/>
              </a:rPr>
              <a:t> VEGMART SALES DASHBOARD</a:t>
            </a:r>
            <a:endParaRPr lang="en-ID" sz="2000" b="1">
              <a:solidFill>
                <a:schemeClr val="bg1"/>
              </a:solidFill>
              <a:latin typeface="Arial Rounded MT Bold" panose="020F0704030504030204" pitchFamily="34" charset="0"/>
            </a:endParaRPr>
          </a:p>
        </xdr:txBody>
      </xdr:sp>
    </xdr:grpSp>
    <xdr:clientData/>
  </xdr:twoCellAnchor>
  <xdr:twoCellAnchor>
    <xdr:from>
      <xdr:col>3</xdr:col>
      <xdr:colOff>382589</xdr:colOff>
      <xdr:row>4</xdr:row>
      <xdr:rowOff>176214</xdr:rowOff>
    </xdr:from>
    <xdr:to>
      <xdr:col>6</xdr:col>
      <xdr:colOff>414339</xdr:colOff>
      <xdr:row>8</xdr:row>
      <xdr:rowOff>136525</xdr:rowOff>
    </xdr:to>
    <xdr:grpSp>
      <xdr:nvGrpSpPr>
        <xdr:cNvPr id="52" name="Group 51">
          <a:extLst>
            <a:ext uri="{FF2B5EF4-FFF2-40B4-BE49-F238E27FC236}">
              <a16:creationId xmlns:a16="http://schemas.microsoft.com/office/drawing/2014/main" id="{00000000-0008-0000-0100-000034000000}"/>
            </a:ext>
          </a:extLst>
        </xdr:cNvPr>
        <xdr:cNvGrpSpPr/>
      </xdr:nvGrpSpPr>
      <xdr:grpSpPr>
        <a:xfrm>
          <a:off x="2205946" y="901928"/>
          <a:ext cx="1855107" cy="686026"/>
          <a:chOff x="2525714" y="906464"/>
          <a:chExt cx="1865312" cy="690561"/>
        </a:xfrm>
        <a:gradFill flip="none" rotWithShape="1">
          <a:gsLst>
            <a:gs pos="0">
              <a:srgbClr val="2FA084">
                <a:shade val="30000"/>
                <a:satMod val="115000"/>
              </a:srgbClr>
            </a:gs>
            <a:gs pos="50000">
              <a:srgbClr val="2FA084">
                <a:shade val="67500"/>
                <a:satMod val="115000"/>
              </a:srgbClr>
            </a:gs>
            <a:gs pos="100000">
              <a:srgbClr val="2FA084">
                <a:shade val="100000"/>
                <a:satMod val="115000"/>
              </a:srgbClr>
            </a:gs>
          </a:gsLst>
          <a:lin ang="8100000" scaled="1"/>
          <a:tileRect/>
        </a:gradFill>
      </xdr:grpSpPr>
      <xdr:sp macro="" textlink="">
        <xdr:nvSpPr>
          <xdr:cNvPr id="11" name="Rectangle: Rounded Corners 10">
            <a:extLst>
              <a:ext uri="{FF2B5EF4-FFF2-40B4-BE49-F238E27FC236}">
                <a16:creationId xmlns:a16="http://schemas.microsoft.com/office/drawing/2014/main" id="{00000000-0008-0000-0100-00000B000000}"/>
              </a:ext>
            </a:extLst>
          </xdr:cNvPr>
          <xdr:cNvSpPr/>
        </xdr:nvSpPr>
        <xdr:spPr>
          <a:xfrm>
            <a:off x="2525714" y="906464"/>
            <a:ext cx="1865312" cy="690561"/>
          </a:xfrm>
          <a:prstGeom prst="round2DiagRect">
            <a:avLst/>
          </a:prstGeom>
          <a:grp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2541588" y="1319216"/>
            <a:ext cx="1849438" cy="190498"/>
          </a:xfrm>
          <a:prstGeom prst="round2Diag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a:solidFill>
                  <a:schemeClr val="bg1"/>
                </a:solidFill>
                <a:latin typeface="Arial Rounded MT Bold" panose="020F0704030504030204" pitchFamily="34" charset="0"/>
                <a:cs typeface="Arial" panose="020B0604020202020204" pitchFamily="34" charset="0"/>
              </a:rPr>
              <a:t>Total</a:t>
            </a:r>
            <a:r>
              <a:rPr lang="en-ID" sz="1100" baseline="0">
                <a:solidFill>
                  <a:schemeClr val="bg1"/>
                </a:solidFill>
                <a:latin typeface="Arial Rounded MT Bold" panose="020F0704030504030204" pitchFamily="34" charset="0"/>
                <a:cs typeface="Arial" panose="020B0604020202020204" pitchFamily="34" charset="0"/>
              </a:rPr>
              <a:t> Order</a:t>
            </a:r>
            <a:endParaRPr lang="en-ID" sz="1100">
              <a:solidFill>
                <a:schemeClr val="bg1"/>
              </a:solidFill>
              <a:latin typeface="Arial Rounded MT Bold" panose="020F0704030504030204" pitchFamily="34" charset="0"/>
              <a:cs typeface="Arial" panose="020B0604020202020204" pitchFamily="34" charset="0"/>
            </a:endParaRPr>
          </a:p>
        </xdr:txBody>
      </xdr:sp>
      <xdr:sp macro="" textlink="Pivot_Analysis!C4">
        <xdr:nvSpPr>
          <xdr:cNvPr id="13" name="TextBox 12">
            <a:extLst>
              <a:ext uri="{FF2B5EF4-FFF2-40B4-BE49-F238E27FC236}">
                <a16:creationId xmlns:a16="http://schemas.microsoft.com/office/drawing/2014/main" id="{00000000-0008-0000-0100-00000D000000}"/>
              </a:ext>
            </a:extLst>
          </xdr:cNvPr>
          <xdr:cNvSpPr txBox="1"/>
        </xdr:nvSpPr>
        <xdr:spPr>
          <a:xfrm>
            <a:off x="3098800" y="1027113"/>
            <a:ext cx="768351" cy="331785"/>
          </a:xfrm>
          <a:prstGeom prst="round2Diag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68B7A53-3BEF-4C63-AC0B-58E796A0563D}" type="TxLink">
              <a:rPr lang="en-US" sz="1600" b="0" i="0" u="none" strike="noStrike">
                <a:solidFill>
                  <a:schemeClr val="bg1"/>
                </a:solidFill>
                <a:latin typeface="Arial Rounded MT Bold" panose="020F0704030504030204" pitchFamily="34" charset="0"/>
                <a:cs typeface="Calibri"/>
              </a:rPr>
              <a:pPr algn="ctr"/>
              <a:t>2000</a:t>
            </a:fld>
            <a:endParaRPr lang="en-ID" sz="1600" b="1">
              <a:solidFill>
                <a:schemeClr val="bg1"/>
              </a:solidFill>
              <a:latin typeface="Arial Rounded MT Bold" panose="020F0704030504030204" pitchFamily="34" charset="0"/>
              <a:cs typeface="Arial" panose="020B0604020202020204" pitchFamily="34" charset="0"/>
            </a:endParaRPr>
          </a:p>
        </xdr:txBody>
      </xdr:sp>
    </xdr:grpSp>
    <xdr:clientData/>
  </xdr:twoCellAnchor>
  <xdr:twoCellAnchor>
    <xdr:from>
      <xdr:col>6</xdr:col>
      <xdr:colOff>503240</xdr:colOff>
      <xdr:row>5</xdr:row>
      <xdr:rowOff>3176</xdr:rowOff>
    </xdr:from>
    <xdr:to>
      <xdr:col>9</xdr:col>
      <xdr:colOff>534989</xdr:colOff>
      <xdr:row>8</xdr:row>
      <xdr:rowOff>146050</xdr:rowOff>
    </xdr:to>
    <xdr:grpSp>
      <xdr:nvGrpSpPr>
        <xdr:cNvPr id="53" name="Group 52">
          <a:extLst>
            <a:ext uri="{FF2B5EF4-FFF2-40B4-BE49-F238E27FC236}">
              <a16:creationId xmlns:a16="http://schemas.microsoft.com/office/drawing/2014/main" id="{00000000-0008-0000-0100-000035000000}"/>
            </a:ext>
          </a:extLst>
        </xdr:cNvPr>
        <xdr:cNvGrpSpPr/>
      </xdr:nvGrpSpPr>
      <xdr:grpSpPr>
        <a:xfrm>
          <a:off x="4149954" y="910319"/>
          <a:ext cx="1855106" cy="687160"/>
          <a:chOff x="4479927" y="915989"/>
          <a:chExt cx="1865312" cy="690561"/>
        </a:xfrm>
        <a:gradFill flip="none" rotWithShape="1">
          <a:gsLst>
            <a:gs pos="0">
              <a:srgbClr val="2FA084">
                <a:shade val="30000"/>
                <a:satMod val="115000"/>
              </a:srgbClr>
            </a:gs>
            <a:gs pos="50000">
              <a:srgbClr val="2FA084">
                <a:shade val="67500"/>
                <a:satMod val="115000"/>
              </a:srgbClr>
            </a:gs>
            <a:gs pos="100000">
              <a:srgbClr val="2FA084">
                <a:shade val="100000"/>
                <a:satMod val="115000"/>
              </a:srgbClr>
            </a:gs>
          </a:gsLst>
          <a:lin ang="2700000" scaled="1"/>
          <a:tileRect/>
        </a:gradFill>
      </xdr:grpSpPr>
      <xdr:sp macro="" textlink="">
        <xdr:nvSpPr>
          <xdr:cNvPr id="14" name="Rectangle: Rounded Corners 13">
            <a:extLst>
              <a:ext uri="{FF2B5EF4-FFF2-40B4-BE49-F238E27FC236}">
                <a16:creationId xmlns:a16="http://schemas.microsoft.com/office/drawing/2014/main" id="{00000000-0008-0000-0100-00000E000000}"/>
              </a:ext>
            </a:extLst>
          </xdr:cNvPr>
          <xdr:cNvSpPr/>
        </xdr:nvSpPr>
        <xdr:spPr>
          <a:xfrm>
            <a:off x="4479927" y="915989"/>
            <a:ext cx="1865312" cy="690561"/>
          </a:xfrm>
          <a:prstGeom prst="round2DiagRect">
            <a:avLst/>
          </a:prstGeom>
          <a:grp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4495801" y="1328741"/>
            <a:ext cx="1849438" cy="274634"/>
          </a:xfrm>
          <a:prstGeom prst="round2Diag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a:solidFill>
                  <a:schemeClr val="bg1"/>
                </a:solidFill>
                <a:latin typeface="Arial Rounded MT Bold" panose="020F0704030504030204" pitchFamily="34" charset="0"/>
              </a:rPr>
              <a:t>Avg Customer Rating</a:t>
            </a:r>
            <a:endParaRPr lang="en-ID" sz="1100">
              <a:solidFill>
                <a:schemeClr val="bg1"/>
              </a:solidFill>
              <a:latin typeface="Arial Rounded MT Bold" panose="020F0704030504030204" pitchFamily="34" charset="0"/>
              <a:cs typeface="Arial" panose="020B0604020202020204" pitchFamily="34" charset="0"/>
            </a:endParaRPr>
          </a:p>
        </xdr:txBody>
      </xdr:sp>
      <xdr:sp macro="" textlink="Pivot_Analysis!A11">
        <xdr:nvSpPr>
          <xdr:cNvPr id="16" name="TextBox 15">
            <a:extLst>
              <a:ext uri="{FF2B5EF4-FFF2-40B4-BE49-F238E27FC236}">
                <a16:creationId xmlns:a16="http://schemas.microsoft.com/office/drawing/2014/main" id="{00000000-0008-0000-0100-000010000000}"/>
              </a:ext>
            </a:extLst>
          </xdr:cNvPr>
          <xdr:cNvSpPr txBox="1"/>
        </xdr:nvSpPr>
        <xdr:spPr>
          <a:xfrm>
            <a:off x="5053013" y="1036638"/>
            <a:ext cx="768351" cy="331785"/>
          </a:xfrm>
          <a:prstGeom prst="round2Diag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1A887D6-DC9E-4019-BE77-70F77EA543F1}" type="TxLink">
              <a:rPr lang="en-US" sz="1600" b="0" i="0" u="none" strike="noStrike">
                <a:solidFill>
                  <a:schemeClr val="bg2"/>
                </a:solidFill>
                <a:latin typeface="Arial Rounded MT Bold" panose="020F0704030504030204" pitchFamily="34" charset="0"/>
                <a:cs typeface="Calibri"/>
              </a:rPr>
              <a:pPr algn="ctr"/>
              <a:t>3</a:t>
            </a:fld>
            <a:endParaRPr lang="en-ID" sz="1600" b="1">
              <a:solidFill>
                <a:schemeClr val="bg2"/>
              </a:solidFill>
              <a:latin typeface="Arial Rounded MT Bold" panose="020F0704030504030204" pitchFamily="34" charset="0"/>
              <a:cs typeface="Arial" panose="020B0604020202020204" pitchFamily="34" charset="0"/>
            </a:endParaRPr>
          </a:p>
        </xdr:txBody>
      </xdr:sp>
    </xdr:grpSp>
    <xdr:clientData/>
  </xdr:twoCellAnchor>
  <xdr:twoCellAnchor>
    <xdr:from>
      <xdr:col>10</xdr:col>
      <xdr:colOff>12703</xdr:colOff>
      <xdr:row>5</xdr:row>
      <xdr:rowOff>4764</xdr:rowOff>
    </xdr:from>
    <xdr:to>
      <xdr:col>13</xdr:col>
      <xdr:colOff>44452</xdr:colOff>
      <xdr:row>8</xdr:row>
      <xdr:rowOff>147638</xdr:rowOff>
    </xdr:to>
    <xdr:grpSp>
      <xdr:nvGrpSpPr>
        <xdr:cNvPr id="54" name="Group 53">
          <a:extLst>
            <a:ext uri="{FF2B5EF4-FFF2-40B4-BE49-F238E27FC236}">
              <a16:creationId xmlns:a16="http://schemas.microsoft.com/office/drawing/2014/main" id="{00000000-0008-0000-0100-000036000000}"/>
            </a:ext>
          </a:extLst>
        </xdr:cNvPr>
        <xdr:cNvGrpSpPr/>
      </xdr:nvGrpSpPr>
      <xdr:grpSpPr>
        <a:xfrm>
          <a:off x="6090560" y="911907"/>
          <a:ext cx="1855106" cy="687160"/>
          <a:chOff x="6434140" y="917577"/>
          <a:chExt cx="1865312" cy="690561"/>
        </a:xfrm>
        <a:gradFill flip="none" rotWithShape="1">
          <a:gsLst>
            <a:gs pos="0">
              <a:srgbClr val="2FA084">
                <a:shade val="30000"/>
                <a:satMod val="115000"/>
              </a:srgbClr>
            </a:gs>
            <a:gs pos="50000">
              <a:srgbClr val="2FA084">
                <a:shade val="67500"/>
                <a:satMod val="115000"/>
              </a:srgbClr>
            </a:gs>
            <a:gs pos="100000">
              <a:srgbClr val="2FA084">
                <a:shade val="100000"/>
                <a:satMod val="115000"/>
              </a:srgbClr>
            </a:gs>
          </a:gsLst>
          <a:lin ang="8100000" scaled="1"/>
          <a:tileRect/>
        </a:gradFill>
      </xdr:grpSpPr>
      <xdr:sp macro="" textlink="">
        <xdr:nvSpPr>
          <xdr:cNvPr id="17" name="Rectangle: Rounded Corners 16">
            <a:extLst>
              <a:ext uri="{FF2B5EF4-FFF2-40B4-BE49-F238E27FC236}">
                <a16:creationId xmlns:a16="http://schemas.microsoft.com/office/drawing/2014/main" id="{00000000-0008-0000-0100-000011000000}"/>
              </a:ext>
            </a:extLst>
          </xdr:cNvPr>
          <xdr:cNvSpPr/>
        </xdr:nvSpPr>
        <xdr:spPr>
          <a:xfrm>
            <a:off x="6434140" y="917577"/>
            <a:ext cx="1865312" cy="690561"/>
          </a:xfrm>
          <a:prstGeom prst="round2DiagRect">
            <a:avLst/>
          </a:prstGeom>
          <a:grp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
        <xdr:nvSpPr>
          <xdr:cNvPr id="18" name="TextBox 17">
            <a:extLst>
              <a:ext uri="{FF2B5EF4-FFF2-40B4-BE49-F238E27FC236}">
                <a16:creationId xmlns:a16="http://schemas.microsoft.com/office/drawing/2014/main" id="{00000000-0008-0000-0100-000012000000}"/>
              </a:ext>
            </a:extLst>
          </xdr:cNvPr>
          <xdr:cNvSpPr txBox="1"/>
        </xdr:nvSpPr>
        <xdr:spPr>
          <a:xfrm>
            <a:off x="6450014" y="1330328"/>
            <a:ext cx="1849438" cy="265109"/>
          </a:xfrm>
          <a:prstGeom prst="round2Diag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b="1">
                <a:solidFill>
                  <a:schemeClr val="bg1"/>
                </a:solidFill>
              </a:rPr>
              <a:t>Total Quantity Sold</a:t>
            </a:r>
            <a:r>
              <a:rPr lang="en-ID">
                <a:solidFill>
                  <a:schemeClr val="bg1"/>
                </a:solidFill>
              </a:rPr>
              <a:t> </a:t>
            </a:r>
            <a:endParaRPr lang="en-ID" sz="1100">
              <a:solidFill>
                <a:schemeClr val="bg1"/>
              </a:solidFill>
              <a:latin typeface="Arial Rounded MT Bold" panose="020F0704030504030204" pitchFamily="34" charset="0"/>
              <a:cs typeface="Arial" panose="020B0604020202020204" pitchFamily="34" charset="0"/>
            </a:endParaRPr>
          </a:p>
        </xdr:txBody>
      </xdr:sp>
      <xdr:sp macro="" textlink="Pivot_Analysis!C13">
        <xdr:nvSpPr>
          <xdr:cNvPr id="19" name="TextBox 18">
            <a:extLst>
              <a:ext uri="{FF2B5EF4-FFF2-40B4-BE49-F238E27FC236}">
                <a16:creationId xmlns:a16="http://schemas.microsoft.com/office/drawing/2014/main" id="{00000000-0008-0000-0100-000013000000}"/>
              </a:ext>
            </a:extLst>
          </xdr:cNvPr>
          <xdr:cNvSpPr txBox="1"/>
        </xdr:nvSpPr>
        <xdr:spPr>
          <a:xfrm>
            <a:off x="7007226" y="1038226"/>
            <a:ext cx="768351" cy="331785"/>
          </a:xfrm>
          <a:prstGeom prst="round2Diag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C2106D2-B0BA-45EA-A15C-7C1D0ABA3E74}" type="TxLink">
              <a:rPr lang="en-US" sz="1600" b="0" i="0" u="none" strike="noStrike">
                <a:solidFill>
                  <a:schemeClr val="bg2"/>
                </a:solidFill>
                <a:latin typeface="Arial Rounded MT Bold" panose="020F0704030504030204" pitchFamily="34" charset="0"/>
                <a:cs typeface="Calibri"/>
              </a:rPr>
              <a:pPr algn="ctr"/>
              <a:t>1892</a:t>
            </a:fld>
            <a:endParaRPr lang="en-ID" sz="1600" b="1">
              <a:solidFill>
                <a:schemeClr val="bg2"/>
              </a:solidFill>
              <a:latin typeface="Arial Rounded MT Bold" panose="020F0704030504030204" pitchFamily="34" charset="0"/>
              <a:cs typeface="Arial" panose="020B0604020202020204" pitchFamily="34" charset="0"/>
            </a:endParaRPr>
          </a:p>
        </xdr:txBody>
      </xdr:sp>
    </xdr:grpSp>
    <xdr:clientData/>
  </xdr:twoCellAnchor>
  <xdr:twoCellAnchor>
    <xdr:from>
      <xdr:col>3</xdr:col>
      <xdr:colOff>374650</xdr:colOff>
      <xdr:row>9</xdr:row>
      <xdr:rowOff>41275</xdr:rowOff>
    </xdr:from>
    <xdr:to>
      <xdr:col>13</xdr:col>
      <xdr:colOff>39687</xdr:colOff>
      <xdr:row>26</xdr:row>
      <xdr:rowOff>177713</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2198007" y="1674132"/>
          <a:ext cx="5742894" cy="3220724"/>
          <a:chOff x="573088" y="1676400"/>
          <a:chExt cx="5776912" cy="3240000"/>
        </a:xfrm>
      </xdr:grpSpPr>
      <xdr:sp macro="" textlink="">
        <xdr:nvSpPr>
          <xdr:cNvPr id="20" name="Rectangle: Rounded Corners 19">
            <a:extLst>
              <a:ext uri="{FF2B5EF4-FFF2-40B4-BE49-F238E27FC236}">
                <a16:creationId xmlns:a16="http://schemas.microsoft.com/office/drawing/2014/main" id="{00000000-0008-0000-0100-000014000000}"/>
              </a:ext>
            </a:extLst>
          </xdr:cNvPr>
          <xdr:cNvSpPr/>
        </xdr:nvSpPr>
        <xdr:spPr>
          <a:xfrm>
            <a:off x="573088" y="1676400"/>
            <a:ext cx="5776912" cy="3240000"/>
          </a:xfrm>
          <a:prstGeom prst="roundRect">
            <a:avLst>
              <a:gd name="adj" fmla="val 2869"/>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
        <xdr:nvSpPr>
          <xdr:cNvPr id="22" name="TextBox 21">
            <a:extLst>
              <a:ext uri="{FF2B5EF4-FFF2-40B4-BE49-F238E27FC236}">
                <a16:creationId xmlns:a16="http://schemas.microsoft.com/office/drawing/2014/main" id="{00000000-0008-0000-0100-000016000000}"/>
              </a:ext>
            </a:extLst>
          </xdr:cNvPr>
          <xdr:cNvSpPr txBox="1"/>
        </xdr:nvSpPr>
        <xdr:spPr>
          <a:xfrm>
            <a:off x="1071561" y="1844679"/>
            <a:ext cx="1447801" cy="242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D" sz="1100">
                <a:solidFill>
                  <a:srgbClr val="1F6F5F"/>
                </a:solidFill>
                <a:latin typeface="Arial Rounded MT Bold" panose="020F0704030504030204" pitchFamily="34" charset="0"/>
                <a:cs typeface="Arial" panose="020B0604020202020204" pitchFamily="34" charset="0"/>
              </a:rPr>
              <a:t>Sales Trend</a:t>
            </a:r>
          </a:p>
        </xdr:txBody>
      </xdr:sp>
    </xdr:grpSp>
    <xdr:clientData/>
  </xdr:twoCellAnchor>
  <xdr:twoCellAnchor>
    <xdr:from>
      <xdr:col>0</xdr:col>
      <xdr:colOff>261937</xdr:colOff>
      <xdr:row>9</xdr:row>
      <xdr:rowOff>39688</xdr:rowOff>
    </xdr:from>
    <xdr:to>
      <xdr:col>3</xdr:col>
      <xdr:colOff>293174</xdr:colOff>
      <xdr:row>17</xdr:row>
      <xdr:rowOff>163188</xdr:rowOff>
    </xdr:to>
    <xdr:grpSp>
      <xdr:nvGrpSpPr>
        <xdr:cNvPr id="50" name="Group 49">
          <a:extLst>
            <a:ext uri="{FF2B5EF4-FFF2-40B4-BE49-F238E27FC236}">
              <a16:creationId xmlns:a16="http://schemas.microsoft.com/office/drawing/2014/main" id="{00000000-0008-0000-0100-000032000000}"/>
            </a:ext>
          </a:extLst>
        </xdr:cNvPr>
        <xdr:cNvGrpSpPr/>
      </xdr:nvGrpSpPr>
      <xdr:grpSpPr>
        <a:xfrm>
          <a:off x="261937" y="1672545"/>
          <a:ext cx="1854594" cy="1574929"/>
          <a:chOff x="571499" y="1682751"/>
          <a:chExt cx="1864800" cy="1584000"/>
        </a:xfrm>
        <a:gradFill flip="none" rotWithShape="1">
          <a:gsLst>
            <a:gs pos="0">
              <a:srgbClr val="F2C94C"/>
            </a:gs>
            <a:gs pos="100000">
              <a:srgbClr val="F2C94C">
                <a:tint val="44500"/>
                <a:satMod val="160000"/>
              </a:srgbClr>
            </a:gs>
            <a:gs pos="100000">
              <a:srgbClr val="F2C94C">
                <a:tint val="23500"/>
                <a:satMod val="160000"/>
              </a:srgbClr>
            </a:gs>
          </a:gsLst>
          <a:lin ang="2700000" scaled="1"/>
          <a:tileRect/>
        </a:gradFill>
      </xdr:grpSpPr>
      <xdr:sp macro="" textlink="">
        <xdr:nvSpPr>
          <xdr:cNvPr id="21" name="Rectangle: Rounded Corners 20">
            <a:extLst>
              <a:ext uri="{FF2B5EF4-FFF2-40B4-BE49-F238E27FC236}">
                <a16:creationId xmlns:a16="http://schemas.microsoft.com/office/drawing/2014/main" id="{00000000-0008-0000-0100-000015000000}"/>
              </a:ext>
            </a:extLst>
          </xdr:cNvPr>
          <xdr:cNvSpPr/>
        </xdr:nvSpPr>
        <xdr:spPr>
          <a:xfrm>
            <a:off x="571499" y="1682751"/>
            <a:ext cx="1864800" cy="1584000"/>
          </a:xfrm>
          <a:prstGeom prst="roundRect">
            <a:avLst>
              <a:gd name="adj" fmla="val 6406"/>
            </a:avLst>
          </a:prstGeom>
          <a:grp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
        <xdr:nvSpPr>
          <xdr:cNvPr id="25" name="TextBox 24">
            <a:extLst>
              <a:ext uri="{FF2B5EF4-FFF2-40B4-BE49-F238E27FC236}">
                <a16:creationId xmlns:a16="http://schemas.microsoft.com/office/drawing/2014/main" id="{00000000-0008-0000-0100-000019000000}"/>
              </a:ext>
            </a:extLst>
          </xdr:cNvPr>
          <xdr:cNvSpPr txBox="1"/>
        </xdr:nvSpPr>
        <xdr:spPr>
          <a:xfrm>
            <a:off x="635000" y="1724029"/>
            <a:ext cx="1746250" cy="27622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a:solidFill>
                  <a:schemeClr val="tx1"/>
                </a:solidFill>
                <a:latin typeface="Arial Rounded MT Bold" panose="020F0704030504030204" pitchFamily="34" charset="0"/>
                <a:cs typeface="Arial" panose="020B0604020202020204" pitchFamily="34" charset="0"/>
              </a:rPr>
              <a:t>Best-Seller</a:t>
            </a:r>
            <a:r>
              <a:rPr lang="en-ID" sz="1100" baseline="0">
                <a:solidFill>
                  <a:schemeClr val="tx1"/>
                </a:solidFill>
                <a:latin typeface="Arial Rounded MT Bold" panose="020F0704030504030204" pitchFamily="34" charset="0"/>
                <a:cs typeface="Arial" panose="020B0604020202020204" pitchFamily="34" charset="0"/>
              </a:rPr>
              <a:t> Product</a:t>
            </a:r>
            <a:endParaRPr lang="en-ID" sz="1100">
              <a:solidFill>
                <a:schemeClr val="tx1"/>
              </a:solidFill>
              <a:latin typeface="Arial Rounded MT Bold" panose="020F0704030504030204" pitchFamily="34" charset="0"/>
              <a:cs typeface="Arial" panose="020B0604020202020204" pitchFamily="34" charset="0"/>
            </a:endParaRPr>
          </a:p>
        </xdr:txBody>
      </xdr:sp>
    </xdr:grpSp>
    <xdr:clientData/>
  </xdr:twoCellAnchor>
  <xdr:twoCellAnchor>
    <xdr:from>
      <xdr:col>0</xdr:col>
      <xdr:colOff>261938</xdr:colOff>
      <xdr:row>18</xdr:row>
      <xdr:rowOff>73026</xdr:rowOff>
    </xdr:from>
    <xdr:to>
      <xdr:col>3</xdr:col>
      <xdr:colOff>293175</xdr:colOff>
      <xdr:row>27</xdr:row>
      <xdr:rowOff>13963</xdr:rowOff>
    </xdr:to>
    <xdr:grpSp>
      <xdr:nvGrpSpPr>
        <xdr:cNvPr id="51" name="Group 50">
          <a:extLst>
            <a:ext uri="{FF2B5EF4-FFF2-40B4-BE49-F238E27FC236}">
              <a16:creationId xmlns:a16="http://schemas.microsoft.com/office/drawing/2014/main" id="{00000000-0008-0000-0100-000033000000}"/>
            </a:ext>
          </a:extLst>
        </xdr:cNvPr>
        <xdr:cNvGrpSpPr/>
      </xdr:nvGrpSpPr>
      <xdr:grpSpPr>
        <a:xfrm>
          <a:off x="261938" y="3338740"/>
          <a:ext cx="1854594" cy="1573794"/>
          <a:chOff x="571500" y="3359151"/>
          <a:chExt cx="1864800" cy="1584000"/>
        </a:xfrm>
      </xdr:grpSpPr>
      <xdr:sp macro="" textlink="">
        <xdr:nvSpPr>
          <xdr:cNvPr id="24" name="Rectangle: Rounded Corners 23">
            <a:extLst>
              <a:ext uri="{FF2B5EF4-FFF2-40B4-BE49-F238E27FC236}">
                <a16:creationId xmlns:a16="http://schemas.microsoft.com/office/drawing/2014/main" id="{00000000-0008-0000-0100-000018000000}"/>
              </a:ext>
            </a:extLst>
          </xdr:cNvPr>
          <xdr:cNvSpPr/>
        </xdr:nvSpPr>
        <xdr:spPr>
          <a:xfrm>
            <a:off x="571500" y="3359151"/>
            <a:ext cx="1864800" cy="1584000"/>
          </a:xfrm>
          <a:prstGeom prst="roundRect">
            <a:avLst>
              <a:gd name="adj" fmla="val 6406"/>
            </a:avLst>
          </a:prstGeom>
          <a:gradFill flip="none" rotWithShape="1">
            <a:gsLst>
              <a:gs pos="0">
                <a:srgbClr val="F2C94C"/>
              </a:gs>
              <a:gs pos="85000">
                <a:srgbClr val="F2C94C">
                  <a:tint val="44500"/>
                  <a:satMod val="160000"/>
                </a:srgbClr>
              </a:gs>
              <a:gs pos="100000">
                <a:srgbClr val="F2C94C">
                  <a:tint val="23500"/>
                  <a:satMod val="160000"/>
                </a:srgbClr>
              </a:gs>
            </a:gsLst>
            <a:lin ang="2700000" scaled="1"/>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
        <xdr:nvSpPr>
          <xdr:cNvPr id="26" name="TextBox 25">
            <a:extLst>
              <a:ext uri="{FF2B5EF4-FFF2-40B4-BE49-F238E27FC236}">
                <a16:creationId xmlns:a16="http://schemas.microsoft.com/office/drawing/2014/main" id="{00000000-0008-0000-0100-00001A000000}"/>
              </a:ext>
            </a:extLst>
          </xdr:cNvPr>
          <xdr:cNvSpPr txBox="1"/>
        </xdr:nvSpPr>
        <xdr:spPr>
          <a:xfrm>
            <a:off x="627062" y="3376616"/>
            <a:ext cx="1789113" cy="234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a:solidFill>
                  <a:schemeClr val="tx1"/>
                </a:solidFill>
                <a:latin typeface="Arial Rounded MT Bold" panose="020F0704030504030204" pitchFamily="34" charset="0"/>
                <a:cs typeface="Arial" panose="020B0604020202020204" pitchFamily="34" charset="0"/>
              </a:rPr>
              <a:t>Revenue Contribution</a:t>
            </a:r>
          </a:p>
        </xdr:txBody>
      </xdr:sp>
    </xdr:grpSp>
    <xdr:clientData/>
  </xdr:twoCellAnchor>
  <xdr:twoCellAnchor>
    <xdr:from>
      <xdr:col>13</xdr:col>
      <xdr:colOff>142877</xdr:colOff>
      <xdr:row>5</xdr:row>
      <xdr:rowOff>17463</xdr:rowOff>
    </xdr:from>
    <xdr:to>
      <xdr:col>17</xdr:col>
      <xdr:colOff>38127</xdr:colOff>
      <xdr:row>15</xdr:row>
      <xdr:rowOff>135838</xdr:rowOff>
    </xdr:to>
    <xdr:grpSp>
      <xdr:nvGrpSpPr>
        <xdr:cNvPr id="32" name="Group 31">
          <a:extLst>
            <a:ext uri="{FF2B5EF4-FFF2-40B4-BE49-F238E27FC236}">
              <a16:creationId xmlns:a16="http://schemas.microsoft.com/office/drawing/2014/main" id="{00000000-0008-0000-0100-000020000000}"/>
            </a:ext>
          </a:extLst>
        </xdr:cNvPr>
        <xdr:cNvGrpSpPr/>
      </xdr:nvGrpSpPr>
      <xdr:grpSpPr>
        <a:xfrm>
          <a:off x="8044091" y="924606"/>
          <a:ext cx="2326393" cy="1932661"/>
          <a:chOff x="8397877" y="930276"/>
          <a:chExt cx="2340000" cy="1944000"/>
        </a:xfrm>
      </xdr:grpSpPr>
      <xdr:sp macro="" textlink="">
        <xdr:nvSpPr>
          <xdr:cNvPr id="27" name="Rectangle: Rounded Corners 26">
            <a:extLst>
              <a:ext uri="{FF2B5EF4-FFF2-40B4-BE49-F238E27FC236}">
                <a16:creationId xmlns:a16="http://schemas.microsoft.com/office/drawing/2014/main" id="{00000000-0008-0000-0100-00001B000000}"/>
              </a:ext>
            </a:extLst>
          </xdr:cNvPr>
          <xdr:cNvSpPr/>
        </xdr:nvSpPr>
        <xdr:spPr>
          <a:xfrm>
            <a:off x="8397877" y="930276"/>
            <a:ext cx="2340000" cy="1944000"/>
          </a:xfrm>
          <a:prstGeom prst="roundRect">
            <a:avLst>
              <a:gd name="adj" fmla="val 6406"/>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
        <xdr:nvSpPr>
          <xdr:cNvPr id="28" name="TextBox 27">
            <a:extLst>
              <a:ext uri="{FF2B5EF4-FFF2-40B4-BE49-F238E27FC236}">
                <a16:creationId xmlns:a16="http://schemas.microsoft.com/office/drawing/2014/main" id="{00000000-0008-0000-0100-00001C000000}"/>
              </a:ext>
            </a:extLst>
          </xdr:cNvPr>
          <xdr:cNvSpPr txBox="1"/>
        </xdr:nvSpPr>
        <xdr:spPr>
          <a:xfrm>
            <a:off x="8424861" y="955677"/>
            <a:ext cx="2290763" cy="211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a:solidFill>
                  <a:srgbClr val="1F6F5F"/>
                </a:solidFill>
                <a:latin typeface="Arial Rounded MT Bold" panose="020F0704030504030204" pitchFamily="34" charset="0"/>
                <a:cs typeface="Arial" panose="020B0604020202020204" pitchFamily="34" charset="0"/>
              </a:rPr>
              <a:t>Platform Performance</a:t>
            </a:r>
          </a:p>
        </xdr:txBody>
      </xdr:sp>
    </xdr:grpSp>
    <xdr:clientData/>
  </xdr:twoCellAnchor>
  <xdr:twoCellAnchor>
    <xdr:from>
      <xdr:col>13</xdr:col>
      <xdr:colOff>152402</xdr:colOff>
      <xdr:row>16</xdr:row>
      <xdr:rowOff>34926</xdr:rowOff>
    </xdr:from>
    <xdr:to>
      <xdr:col>17</xdr:col>
      <xdr:colOff>47652</xdr:colOff>
      <xdr:row>26</xdr:row>
      <xdr:rowOff>153301</xdr:rowOff>
    </xdr:to>
    <xdr:grpSp>
      <xdr:nvGrpSpPr>
        <xdr:cNvPr id="34" name="Group 33">
          <a:extLst>
            <a:ext uri="{FF2B5EF4-FFF2-40B4-BE49-F238E27FC236}">
              <a16:creationId xmlns:a16="http://schemas.microsoft.com/office/drawing/2014/main" id="{00000000-0008-0000-0100-000022000000}"/>
            </a:ext>
          </a:extLst>
        </xdr:cNvPr>
        <xdr:cNvGrpSpPr/>
      </xdr:nvGrpSpPr>
      <xdr:grpSpPr>
        <a:xfrm>
          <a:off x="8053616" y="2937783"/>
          <a:ext cx="2326393" cy="1932661"/>
          <a:chOff x="8397877" y="930276"/>
          <a:chExt cx="2340000" cy="1944000"/>
        </a:xfrm>
      </xdr:grpSpPr>
      <xdr:sp macro="" textlink="">
        <xdr:nvSpPr>
          <xdr:cNvPr id="35" name="Rectangle: Rounded Corners 34">
            <a:extLst>
              <a:ext uri="{FF2B5EF4-FFF2-40B4-BE49-F238E27FC236}">
                <a16:creationId xmlns:a16="http://schemas.microsoft.com/office/drawing/2014/main" id="{00000000-0008-0000-0100-000023000000}"/>
              </a:ext>
            </a:extLst>
          </xdr:cNvPr>
          <xdr:cNvSpPr/>
        </xdr:nvSpPr>
        <xdr:spPr>
          <a:xfrm>
            <a:off x="8397877" y="930276"/>
            <a:ext cx="2340000" cy="1944000"/>
          </a:xfrm>
          <a:prstGeom prst="roundRect">
            <a:avLst>
              <a:gd name="adj" fmla="val 6406"/>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
        <xdr:nvSpPr>
          <xdr:cNvPr id="36" name="TextBox 35">
            <a:extLst>
              <a:ext uri="{FF2B5EF4-FFF2-40B4-BE49-F238E27FC236}">
                <a16:creationId xmlns:a16="http://schemas.microsoft.com/office/drawing/2014/main" id="{00000000-0008-0000-0100-000024000000}"/>
              </a:ext>
            </a:extLst>
          </xdr:cNvPr>
          <xdr:cNvSpPr txBox="1"/>
        </xdr:nvSpPr>
        <xdr:spPr>
          <a:xfrm>
            <a:off x="8424861" y="955678"/>
            <a:ext cx="2265363" cy="201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a:solidFill>
                  <a:srgbClr val="1F6F5F"/>
                </a:solidFill>
                <a:latin typeface="Arial Rounded MT Bold" panose="020F0704030504030204" pitchFamily="34" charset="0"/>
                <a:cs typeface="Arial" panose="020B0604020202020204" pitchFamily="34" charset="0"/>
              </a:rPr>
              <a:t>Sales by City</a:t>
            </a:r>
          </a:p>
        </xdr:txBody>
      </xdr:sp>
    </xdr:grpSp>
    <xdr:clientData/>
  </xdr:twoCellAnchor>
  <xdr:twoCellAnchor>
    <xdr:from>
      <xdr:col>17</xdr:col>
      <xdr:colOff>144464</xdr:colOff>
      <xdr:row>5</xdr:row>
      <xdr:rowOff>19051</xdr:rowOff>
    </xdr:from>
    <xdr:to>
      <xdr:col>21</xdr:col>
      <xdr:colOff>39714</xdr:colOff>
      <xdr:row>15</xdr:row>
      <xdr:rowOff>137426</xdr:rowOff>
    </xdr:to>
    <xdr:grpSp>
      <xdr:nvGrpSpPr>
        <xdr:cNvPr id="40" name="Group 39">
          <a:extLst>
            <a:ext uri="{FF2B5EF4-FFF2-40B4-BE49-F238E27FC236}">
              <a16:creationId xmlns:a16="http://schemas.microsoft.com/office/drawing/2014/main" id="{00000000-0008-0000-0100-000028000000}"/>
            </a:ext>
          </a:extLst>
        </xdr:cNvPr>
        <xdr:cNvGrpSpPr/>
      </xdr:nvGrpSpPr>
      <xdr:grpSpPr>
        <a:xfrm>
          <a:off x="10476821" y="926194"/>
          <a:ext cx="2326393" cy="1932661"/>
          <a:chOff x="8397877" y="930276"/>
          <a:chExt cx="2340000" cy="1944000"/>
        </a:xfrm>
      </xdr:grpSpPr>
      <xdr:sp macro="" textlink="">
        <xdr:nvSpPr>
          <xdr:cNvPr id="41" name="Rectangle: Rounded Corners 40">
            <a:extLst>
              <a:ext uri="{FF2B5EF4-FFF2-40B4-BE49-F238E27FC236}">
                <a16:creationId xmlns:a16="http://schemas.microsoft.com/office/drawing/2014/main" id="{00000000-0008-0000-0100-000029000000}"/>
              </a:ext>
            </a:extLst>
          </xdr:cNvPr>
          <xdr:cNvSpPr/>
        </xdr:nvSpPr>
        <xdr:spPr>
          <a:xfrm>
            <a:off x="8397877" y="930276"/>
            <a:ext cx="2340000" cy="1944000"/>
          </a:xfrm>
          <a:prstGeom prst="roundRect">
            <a:avLst>
              <a:gd name="adj" fmla="val 6406"/>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
        <xdr:nvSpPr>
          <xdr:cNvPr id="42" name="TextBox 41">
            <a:extLst>
              <a:ext uri="{FF2B5EF4-FFF2-40B4-BE49-F238E27FC236}">
                <a16:creationId xmlns:a16="http://schemas.microsoft.com/office/drawing/2014/main" id="{00000000-0008-0000-0100-00002A000000}"/>
              </a:ext>
            </a:extLst>
          </xdr:cNvPr>
          <xdr:cNvSpPr txBox="1"/>
        </xdr:nvSpPr>
        <xdr:spPr>
          <a:xfrm>
            <a:off x="8424861" y="955677"/>
            <a:ext cx="2290763" cy="211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a:solidFill>
                  <a:srgbClr val="1F6F5F"/>
                </a:solidFill>
                <a:latin typeface="Arial Rounded MT Bold" panose="020F0704030504030204" pitchFamily="34" charset="0"/>
                <a:cs typeface="Arial" panose="020B0604020202020204" pitchFamily="34" charset="0"/>
              </a:rPr>
              <a:t>Payment Method</a:t>
            </a:r>
          </a:p>
        </xdr:txBody>
      </xdr:sp>
    </xdr:grpSp>
    <xdr:clientData/>
  </xdr:twoCellAnchor>
  <xdr:twoCellAnchor>
    <xdr:from>
      <xdr:col>17</xdr:col>
      <xdr:colOff>161927</xdr:colOff>
      <xdr:row>16</xdr:row>
      <xdr:rowOff>20639</xdr:rowOff>
    </xdr:from>
    <xdr:to>
      <xdr:col>21</xdr:col>
      <xdr:colOff>57177</xdr:colOff>
      <xdr:row>26</xdr:row>
      <xdr:rowOff>139014</xdr:rowOff>
    </xdr:to>
    <xdr:grpSp>
      <xdr:nvGrpSpPr>
        <xdr:cNvPr id="43" name="Group 42">
          <a:extLst>
            <a:ext uri="{FF2B5EF4-FFF2-40B4-BE49-F238E27FC236}">
              <a16:creationId xmlns:a16="http://schemas.microsoft.com/office/drawing/2014/main" id="{00000000-0008-0000-0100-00002B000000}"/>
            </a:ext>
          </a:extLst>
        </xdr:cNvPr>
        <xdr:cNvGrpSpPr/>
      </xdr:nvGrpSpPr>
      <xdr:grpSpPr>
        <a:xfrm>
          <a:off x="10494284" y="2923496"/>
          <a:ext cx="2326393" cy="1932661"/>
          <a:chOff x="8397877" y="930276"/>
          <a:chExt cx="2340000" cy="1944000"/>
        </a:xfrm>
      </xdr:grpSpPr>
      <xdr:sp macro="" textlink="">
        <xdr:nvSpPr>
          <xdr:cNvPr id="44" name="Rectangle: Rounded Corners 43">
            <a:extLst>
              <a:ext uri="{FF2B5EF4-FFF2-40B4-BE49-F238E27FC236}">
                <a16:creationId xmlns:a16="http://schemas.microsoft.com/office/drawing/2014/main" id="{00000000-0008-0000-0100-00002C000000}"/>
              </a:ext>
            </a:extLst>
          </xdr:cNvPr>
          <xdr:cNvSpPr/>
        </xdr:nvSpPr>
        <xdr:spPr>
          <a:xfrm>
            <a:off x="8397877" y="930276"/>
            <a:ext cx="2340000" cy="1944000"/>
          </a:xfrm>
          <a:prstGeom prst="roundRect">
            <a:avLst>
              <a:gd name="adj" fmla="val 6406"/>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
        <xdr:nvSpPr>
          <xdr:cNvPr id="45" name="TextBox 44">
            <a:extLst>
              <a:ext uri="{FF2B5EF4-FFF2-40B4-BE49-F238E27FC236}">
                <a16:creationId xmlns:a16="http://schemas.microsoft.com/office/drawing/2014/main" id="{00000000-0008-0000-0100-00002D000000}"/>
              </a:ext>
            </a:extLst>
          </xdr:cNvPr>
          <xdr:cNvSpPr txBox="1"/>
        </xdr:nvSpPr>
        <xdr:spPr>
          <a:xfrm>
            <a:off x="8424861" y="955677"/>
            <a:ext cx="2290763" cy="211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a:solidFill>
                  <a:srgbClr val="1F6F5F"/>
                </a:solidFill>
                <a:latin typeface="Arial Rounded MT Bold" panose="020F0704030504030204" pitchFamily="34" charset="0"/>
                <a:cs typeface="Arial" panose="020B0604020202020204" pitchFamily="34" charset="0"/>
              </a:rPr>
              <a:t>Order</a:t>
            </a:r>
            <a:r>
              <a:rPr lang="en-ID" sz="1100" baseline="0">
                <a:solidFill>
                  <a:srgbClr val="1F6F5F"/>
                </a:solidFill>
                <a:latin typeface="Arial Rounded MT Bold" panose="020F0704030504030204" pitchFamily="34" charset="0"/>
                <a:cs typeface="Arial" panose="020B0604020202020204" pitchFamily="34" charset="0"/>
              </a:rPr>
              <a:t> Status</a:t>
            </a:r>
            <a:endParaRPr lang="en-ID" sz="1100">
              <a:solidFill>
                <a:srgbClr val="1F6F5F"/>
              </a:solidFill>
              <a:latin typeface="Arial Rounded MT Bold" panose="020F0704030504030204" pitchFamily="34" charset="0"/>
              <a:cs typeface="Arial" panose="020B0604020202020204" pitchFamily="34" charset="0"/>
            </a:endParaRPr>
          </a:p>
        </xdr:txBody>
      </xdr:sp>
    </xdr:grpSp>
    <xdr:clientData/>
  </xdr:twoCellAnchor>
  <xdr:twoCellAnchor>
    <xdr:from>
      <xdr:col>21</xdr:col>
      <xdr:colOff>150811</xdr:colOff>
      <xdr:row>5</xdr:row>
      <xdr:rowOff>12701</xdr:rowOff>
    </xdr:from>
    <xdr:to>
      <xdr:col>23</xdr:col>
      <xdr:colOff>452437</xdr:colOff>
      <xdr:row>26</xdr:row>
      <xdr:rowOff>142875</xdr:rowOff>
    </xdr:to>
    <xdr:sp macro="" textlink="">
      <xdr:nvSpPr>
        <xdr:cNvPr id="47" name="Rectangle: Rounded Corners 46">
          <a:extLst>
            <a:ext uri="{FF2B5EF4-FFF2-40B4-BE49-F238E27FC236}">
              <a16:creationId xmlns:a16="http://schemas.microsoft.com/office/drawing/2014/main" id="{00000000-0008-0000-0100-00002F000000}"/>
            </a:ext>
          </a:extLst>
        </xdr:cNvPr>
        <xdr:cNvSpPr/>
      </xdr:nvSpPr>
      <xdr:spPr>
        <a:xfrm>
          <a:off x="12985749" y="925514"/>
          <a:ext cx="1524001" cy="3963986"/>
        </a:xfrm>
        <a:prstGeom prst="roundRect">
          <a:avLst>
            <a:gd name="adj" fmla="val 6406"/>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273052</xdr:colOff>
      <xdr:row>5</xdr:row>
      <xdr:rowOff>3176</xdr:rowOff>
    </xdr:from>
    <xdr:to>
      <xdr:col>3</xdr:col>
      <xdr:colOff>309561</xdr:colOff>
      <xdr:row>8</xdr:row>
      <xdr:rowOff>146050</xdr:rowOff>
    </xdr:to>
    <xdr:grpSp>
      <xdr:nvGrpSpPr>
        <xdr:cNvPr id="55" name="Group 54">
          <a:extLst>
            <a:ext uri="{FF2B5EF4-FFF2-40B4-BE49-F238E27FC236}">
              <a16:creationId xmlns:a16="http://schemas.microsoft.com/office/drawing/2014/main" id="{00000000-0008-0000-0100-000037000000}"/>
            </a:ext>
          </a:extLst>
        </xdr:cNvPr>
        <xdr:cNvGrpSpPr/>
      </xdr:nvGrpSpPr>
      <xdr:grpSpPr>
        <a:xfrm>
          <a:off x="273052" y="910319"/>
          <a:ext cx="1859866" cy="687160"/>
          <a:chOff x="2525714" y="906464"/>
          <a:chExt cx="1870072" cy="690561"/>
        </a:xfrm>
        <a:gradFill flip="none" rotWithShape="1">
          <a:gsLst>
            <a:gs pos="0">
              <a:srgbClr val="2FA084">
                <a:shade val="30000"/>
                <a:satMod val="115000"/>
              </a:srgbClr>
            </a:gs>
            <a:gs pos="50000">
              <a:srgbClr val="2FA084">
                <a:shade val="67500"/>
                <a:satMod val="115000"/>
              </a:srgbClr>
            </a:gs>
            <a:gs pos="100000">
              <a:srgbClr val="2FA084">
                <a:shade val="100000"/>
                <a:satMod val="115000"/>
              </a:srgbClr>
            </a:gs>
          </a:gsLst>
          <a:lin ang="2700000" scaled="1"/>
          <a:tileRect/>
        </a:gradFill>
      </xdr:grpSpPr>
      <xdr:sp macro="" textlink="">
        <xdr:nvSpPr>
          <xdr:cNvPr id="56" name="Rectangle: Rounded Corners 55">
            <a:extLst>
              <a:ext uri="{FF2B5EF4-FFF2-40B4-BE49-F238E27FC236}">
                <a16:creationId xmlns:a16="http://schemas.microsoft.com/office/drawing/2014/main" id="{00000000-0008-0000-0100-000038000000}"/>
              </a:ext>
            </a:extLst>
          </xdr:cNvPr>
          <xdr:cNvSpPr/>
        </xdr:nvSpPr>
        <xdr:spPr>
          <a:xfrm>
            <a:off x="2525714" y="906464"/>
            <a:ext cx="1865312" cy="690561"/>
          </a:xfrm>
          <a:prstGeom prst="round2DiagRect">
            <a:avLst/>
          </a:prstGeom>
          <a:grp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
        <xdr:nvSpPr>
          <xdr:cNvPr id="57" name="TextBox 56">
            <a:extLst>
              <a:ext uri="{FF2B5EF4-FFF2-40B4-BE49-F238E27FC236}">
                <a16:creationId xmlns:a16="http://schemas.microsoft.com/office/drawing/2014/main" id="{00000000-0008-0000-0100-000039000000}"/>
              </a:ext>
            </a:extLst>
          </xdr:cNvPr>
          <xdr:cNvSpPr txBox="1"/>
        </xdr:nvSpPr>
        <xdr:spPr>
          <a:xfrm>
            <a:off x="2541588" y="1319216"/>
            <a:ext cx="1849438" cy="190498"/>
          </a:xfrm>
          <a:prstGeom prst="round2Diag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a:solidFill>
                  <a:schemeClr val="bg1"/>
                </a:solidFill>
                <a:latin typeface="Arial Rounded MT Bold" panose="020F0704030504030204" pitchFamily="34" charset="0"/>
                <a:cs typeface="Arial" panose="020B0604020202020204" pitchFamily="34" charset="0"/>
              </a:rPr>
              <a:t>Total</a:t>
            </a:r>
            <a:r>
              <a:rPr lang="en-ID" sz="1100" baseline="0">
                <a:solidFill>
                  <a:schemeClr val="bg1"/>
                </a:solidFill>
                <a:latin typeface="Arial Rounded MT Bold" panose="020F0704030504030204" pitchFamily="34" charset="0"/>
                <a:cs typeface="Arial" panose="020B0604020202020204" pitchFamily="34" charset="0"/>
              </a:rPr>
              <a:t> Revenue</a:t>
            </a:r>
            <a:endParaRPr lang="en-ID" sz="1100">
              <a:solidFill>
                <a:schemeClr val="bg1"/>
              </a:solidFill>
              <a:latin typeface="Arial Rounded MT Bold" panose="020F0704030504030204" pitchFamily="34" charset="0"/>
              <a:cs typeface="Arial" panose="020B0604020202020204" pitchFamily="34" charset="0"/>
            </a:endParaRPr>
          </a:p>
        </xdr:txBody>
      </xdr:sp>
      <xdr:sp macro="" textlink="Pivot_Analysis!A4">
        <xdr:nvSpPr>
          <xdr:cNvPr id="58" name="TextBox 57">
            <a:extLst>
              <a:ext uri="{FF2B5EF4-FFF2-40B4-BE49-F238E27FC236}">
                <a16:creationId xmlns:a16="http://schemas.microsoft.com/office/drawing/2014/main" id="{00000000-0008-0000-0100-00003A000000}"/>
              </a:ext>
            </a:extLst>
          </xdr:cNvPr>
          <xdr:cNvSpPr txBox="1"/>
        </xdr:nvSpPr>
        <xdr:spPr>
          <a:xfrm>
            <a:off x="2554287" y="1027113"/>
            <a:ext cx="1841499" cy="331785"/>
          </a:xfrm>
          <a:prstGeom prst="round2Diag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EC15459-C7C0-4B59-B71F-36EFF935398E}" type="TxLink">
              <a:rPr lang="en-US" sz="1600" b="0" i="0" u="none" strike="noStrike">
                <a:solidFill>
                  <a:schemeClr val="bg1"/>
                </a:solidFill>
                <a:latin typeface="Arial Rounded MT Bold" panose="020F0704030504030204" pitchFamily="34" charset="0"/>
                <a:cs typeface="Calibri"/>
              </a:rPr>
              <a:pPr algn="ctr"/>
              <a:t>Rp159.484.563</a:t>
            </a:fld>
            <a:endParaRPr lang="en-ID" sz="1600" b="1">
              <a:solidFill>
                <a:schemeClr val="bg1"/>
              </a:solidFill>
              <a:latin typeface="Arial Rounded MT Bold" panose="020F0704030504030204" pitchFamily="34" charset="0"/>
              <a:cs typeface="Arial" panose="020B0604020202020204" pitchFamily="34" charset="0"/>
            </a:endParaRPr>
          </a:p>
        </xdr:txBody>
      </xdr:sp>
    </xdr:grpSp>
    <xdr:clientData/>
  </xdr:twoCellAnchor>
  <xdr:twoCellAnchor>
    <xdr:from>
      <xdr:col>0</xdr:col>
      <xdr:colOff>317500</xdr:colOff>
      <xdr:row>11</xdr:row>
      <xdr:rowOff>39688</xdr:rowOff>
    </xdr:from>
    <xdr:to>
      <xdr:col>3</xdr:col>
      <xdr:colOff>230187</xdr:colOff>
      <xdr:row>12</xdr:row>
      <xdr:rowOff>133348</xdr:rowOff>
    </xdr:to>
    <xdr:sp macro="" textlink="Pivot_Analysis!K4">
      <xdr:nvSpPr>
        <xdr:cNvPr id="61" name="TextBox 60">
          <a:extLst>
            <a:ext uri="{FF2B5EF4-FFF2-40B4-BE49-F238E27FC236}">
              <a16:creationId xmlns:a16="http://schemas.microsoft.com/office/drawing/2014/main" id="{00000000-0008-0000-0100-00003D000000}"/>
            </a:ext>
          </a:extLst>
        </xdr:cNvPr>
        <xdr:cNvSpPr txBox="1"/>
      </xdr:nvSpPr>
      <xdr:spPr>
        <a:xfrm>
          <a:off x="317500" y="2047876"/>
          <a:ext cx="1746250" cy="276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C3CBDEC9-7997-4411-9C80-C0B29A8A2B75}" type="TxLink">
            <a:rPr lang="en-US" sz="1100" b="0" i="0" u="none" strike="noStrike">
              <a:solidFill>
                <a:srgbClr val="000000"/>
              </a:solidFill>
              <a:latin typeface="Arial Rounded MT Bold"/>
              <a:cs typeface="Calibri"/>
            </a:rPr>
            <a:pPr algn="l"/>
            <a:t>Bawang Merah</a:t>
          </a:fld>
          <a:endParaRPr lang="en-ID" sz="1100">
            <a:solidFill>
              <a:schemeClr val="tx2">
                <a:lumMod val="85000"/>
                <a:lumOff val="15000"/>
              </a:schemeClr>
            </a:solidFill>
            <a:latin typeface="Arial Rounded MT Bold" panose="020F0704030504030204" pitchFamily="34" charset="0"/>
            <a:cs typeface="Arial" panose="020B0604020202020204" pitchFamily="34" charset="0"/>
          </a:endParaRPr>
        </a:p>
      </xdr:txBody>
    </xdr:sp>
    <xdr:clientData/>
  </xdr:twoCellAnchor>
  <xdr:twoCellAnchor>
    <xdr:from>
      <xdr:col>0</xdr:col>
      <xdr:colOff>319088</xdr:colOff>
      <xdr:row>12</xdr:row>
      <xdr:rowOff>96838</xdr:rowOff>
    </xdr:from>
    <xdr:to>
      <xdr:col>3</xdr:col>
      <xdr:colOff>238125</xdr:colOff>
      <xdr:row>14</xdr:row>
      <xdr:rowOff>174624</xdr:rowOff>
    </xdr:to>
    <xdr:sp macro="" textlink="Pivot_Analysis!L4">
      <xdr:nvSpPr>
        <xdr:cNvPr id="62" name="TextBox 61">
          <a:extLst>
            <a:ext uri="{FF2B5EF4-FFF2-40B4-BE49-F238E27FC236}">
              <a16:creationId xmlns:a16="http://schemas.microsoft.com/office/drawing/2014/main" id="{00000000-0008-0000-0100-00003E000000}"/>
            </a:ext>
          </a:extLst>
        </xdr:cNvPr>
        <xdr:cNvSpPr txBox="1"/>
      </xdr:nvSpPr>
      <xdr:spPr>
        <a:xfrm>
          <a:off x="319088" y="2287588"/>
          <a:ext cx="1752600" cy="442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0A98217F-1764-49F8-9E6D-D50A8ADFBC71}" type="TxLink">
            <a:rPr lang="en-US" sz="1600" b="1" i="0" u="none" strike="noStrike">
              <a:solidFill>
                <a:srgbClr val="1F6F5F"/>
              </a:solidFill>
              <a:latin typeface="Arial Rounded MT Bold"/>
              <a:cs typeface="Calibri"/>
            </a:rPr>
            <a:pPr algn="l"/>
            <a:t>Rp15.755.625</a:t>
          </a:fld>
          <a:endParaRPr lang="en-ID" sz="1600" b="1">
            <a:solidFill>
              <a:srgbClr val="1F6F5F"/>
            </a:solidFill>
            <a:latin typeface="Arial Black" panose="020B0A04020102020204" pitchFamily="34" charset="0"/>
            <a:cs typeface="Arial" panose="020B0604020202020204" pitchFamily="34" charset="0"/>
          </a:endParaRPr>
        </a:p>
      </xdr:txBody>
    </xdr:sp>
    <xdr:clientData/>
  </xdr:twoCellAnchor>
  <xdr:twoCellAnchor>
    <xdr:from>
      <xdr:col>0</xdr:col>
      <xdr:colOff>322263</xdr:colOff>
      <xdr:row>20</xdr:row>
      <xdr:rowOff>25401</xdr:rowOff>
    </xdr:from>
    <xdr:to>
      <xdr:col>2</xdr:col>
      <xdr:colOff>261938</xdr:colOff>
      <xdr:row>21</xdr:row>
      <xdr:rowOff>111125</xdr:rowOff>
    </xdr:to>
    <xdr:sp macro="" textlink="Pivot_Analysis!M5">
      <xdr:nvSpPr>
        <xdr:cNvPr id="59" name="TextBox 58">
          <a:extLst>
            <a:ext uri="{FF2B5EF4-FFF2-40B4-BE49-F238E27FC236}">
              <a16:creationId xmlns:a16="http://schemas.microsoft.com/office/drawing/2014/main" id="{00000000-0008-0000-0100-00003B000000}"/>
            </a:ext>
          </a:extLst>
        </xdr:cNvPr>
        <xdr:cNvSpPr txBox="1"/>
      </xdr:nvSpPr>
      <xdr:spPr>
        <a:xfrm>
          <a:off x="322263" y="3676651"/>
          <a:ext cx="1162050" cy="268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74F76EAA-2BE8-4EF3-9F58-08C4F7BDAF03}" type="TxLink">
            <a:rPr lang="en-US" sz="1000" b="0" i="0" u="none" strike="noStrike">
              <a:solidFill>
                <a:srgbClr val="000000"/>
              </a:solidFill>
              <a:latin typeface="Arial Rounded MT Bold" panose="020F0704030504030204" pitchFamily="34" charset="0"/>
              <a:cs typeface="Calibri"/>
            </a:rPr>
            <a:pPr algn="l"/>
            <a:t>Bawang Merah</a:t>
          </a:fld>
          <a:endParaRPr lang="en-ID" sz="1000">
            <a:solidFill>
              <a:schemeClr val="tx2">
                <a:lumMod val="85000"/>
                <a:lumOff val="15000"/>
              </a:schemeClr>
            </a:solidFill>
            <a:latin typeface="Arial Rounded MT Bold" panose="020F0704030504030204" pitchFamily="34" charset="0"/>
            <a:cs typeface="Arial" panose="020B0604020202020204" pitchFamily="34" charset="0"/>
          </a:endParaRPr>
        </a:p>
      </xdr:txBody>
    </xdr:sp>
    <xdr:clientData/>
  </xdr:twoCellAnchor>
  <xdr:twoCellAnchor>
    <xdr:from>
      <xdr:col>0</xdr:col>
      <xdr:colOff>322263</xdr:colOff>
      <xdr:row>21</xdr:row>
      <xdr:rowOff>74613</xdr:rowOff>
    </xdr:from>
    <xdr:to>
      <xdr:col>2</xdr:col>
      <xdr:colOff>130176</xdr:colOff>
      <xdr:row>22</xdr:row>
      <xdr:rowOff>168275</xdr:rowOff>
    </xdr:to>
    <xdr:sp macro="" textlink="Pivot_Analysis!M6">
      <xdr:nvSpPr>
        <xdr:cNvPr id="60" name="TextBox 59">
          <a:extLst>
            <a:ext uri="{FF2B5EF4-FFF2-40B4-BE49-F238E27FC236}">
              <a16:creationId xmlns:a16="http://schemas.microsoft.com/office/drawing/2014/main" id="{00000000-0008-0000-0100-00003C000000}"/>
            </a:ext>
          </a:extLst>
        </xdr:cNvPr>
        <xdr:cNvSpPr txBox="1"/>
      </xdr:nvSpPr>
      <xdr:spPr>
        <a:xfrm>
          <a:off x="322263" y="3908426"/>
          <a:ext cx="1030288"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045FF53D-EAB0-428A-B8DA-8E4C5B1F80C5}" type="TxLink">
            <a:rPr lang="en-US" sz="1000" b="0" i="0" u="none" strike="noStrike">
              <a:solidFill>
                <a:srgbClr val="000000"/>
              </a:solidFill>
              <a:latin typeface="Arial Rounded MT Bold" panose="020F0704030504030204" pitchFamily="34" charset="0"/>
              <a:cs typeface="Calibri"/>
            </a:rPr>
            <a:pPr algn="l"/>
            <a:t>Bawang Putih</a:t>
          </a:fld>
          <a:endParaRPr lang="en-ID" sz="1000">
            <a:solidFill>
              <a:schemeClr val="tx2">
                <a:lumMod val="85000"/>
                <a:lumOff val="15000"/>
              </a:schemeClr>
            </a:solidFill>
            <a:latin typeface="Arial Rounded MT Bold" panose="020F0704030504030204" pitchFamily="34" charset="0"/>
            <a:cs typeface="Arial" panose="020B0604020202020204" pitchFamily="34" charset="0"/>
          </a:endParaRPr>
        </a:p>
      </xdr:txBody>
    </xdr:sp>
    <xdr:clientData/>
  </xdr:twoCellAnchor>
  <xdr:twoCellAnchor>
    <xdr:from>
      <xdr:col>0</xdr:col>
      <xdr:colOff>322263</xdr:colOff>
      <xdr:row>22</xdr:row>
      <xdr:rowOff>98426</xdr:rowOff>
    </xdr:from>
    <xdr:to>
      <xdr:col>2</xdr:col>
      <xdr:colOff>130176</xdr:colOff>
      <xdr:row>24</xdr:row>
      <xdr:rowOff>9525</xdr:rowOff>
    </xdr:to>
    <xdr:sp macro="" textlink="Pivot_Analysis!M7">
      <xdr:nvSpPr>
        <xdr:cNvPr id="63" name="TextBox 62">
          <a:extLst>
            <a:ext uri="{FF2B5EF4-FFF2-40B4-BE49-F238E27FC236}">
              <a16:creationId xmlns:a16="http://schemas.microsoft.com/office/drawing/2014/main" id="{00000000-0008-0000-0100-00003F000000}"/>
            </a:ext>
          </a:extLst>
        </xdr:cNvPr>
        <xdr:cNvSpPr txBox="1"/>
      </xdr:nvSpPr>
      <xdr:spPr>
        <a:xfrm>
          <a:off x="322263" y="4114801"/>
          <a:ext cx="1030288"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B253818-FB6E-4101-A6DB-012BC511DC00}" type="TxLink">
            <a:rPr lang="en-US" sz="1000" b="0" i="0" u="none" strike="noStrike">
              <a:solidFill>
                <a:srgbClr val="000000"/>
              </a:solidFill>
              <a:latin typeface="Arial Rounded MT Bold" panose="020F0704030504030204" pitchFamily="34" charset="0"/>
              <a:cs typeface="Calibri"/>
            </a:rPr>
            <a:pPr algn="l"/>
            <a:t>Kentang</a:t>
          </a:fld>
          <a:endParaRPr lang="en-ID" sz="1000">
            <a:solidFill>
              <a:schemeClr val="tx2">
                <a:lumMod val="85000"/>
                <a:lumOff val="15000"/>
              </a:schemeClr>
            </a:solidFill>
            <a:latin typeface="Arial Rounded MT Bold" panose="020F0704030504030204" pitchFamily="34" charset="0"/>
            <a:cs typeface="Arial" panose="020B0604020202020204" pitchFamily="34" charset="0"/>
          </a:endParaRPr>
        </a:p>
      </xdr:txBody>
    </xdr:sp>
    <xdr:clientData/>
  </xdr:twoCellAnchor>
  <xdr:twoCellAnchor>
    <xdr:from>
      <xdr:col>0</xdr:col>
      <xdr:colOff>322263</xdr:colOff>
      <xdr:row>23</xdr:row>
      <xdr:rowOff>147638</xdr:rowOff>
    </xdr:from>
    <xdr:to>
      <xdr:col>2</xdr:col>
      <xdr:colOff>130176</xdr:colOff>
      <xdr:row>25</xdr:row>
      <xdr:rowOff>58737</xdr:rowOff>
    </xdr:to>
    <xdr:sp macro="" textlink="Pivot_Analysis!M8">
      <xdr:nvSpPr>
        <xdr:cNvPr id="64" name="TextBox 63">
          <a:extLst>
            <a:ext uri="{FF2B5EF4-FFF2-40B4-BE49-F238E27FC236}">
              <a16:creationId xmlns:a16="http://schemas.microsoft.com/office/drawing/2014/main" id="{00000000-0008-0000-0100-000040000000}"/>
            </a:ext>
          </a:extLst>
        </xdr:cNvPr>
        <xdr:cNvSpPr txBox="1"/>
      </xdr:nvSpPr>
      <xdr:spPr>
        <a:xfrm>
          <a:off x="322263" y="4346576"/>
          <a:ext cx="1030288"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A56B9D2A-54ED-464B-B5C2-BB34B4BF55AA}" type="TxLink">
            <a:rPr lang="en-US" sz="1000" b="0" i="0" u="none" strike="noStrike">
              <a:solidFill>
                <a:srgbClr val="000000"/>
              </a:solidFill>
              <a:latin typeface="Arial Rounded MT Bold" panose="020F0704030504030204" pitchFamily="34" charset="0"/>
              <a:cs typeface="Calibri"/>
            </a:rPr>
            <a:pPr algn="l"/>
            <a:t>Cabai Rawit Merah</a:t>
          </a:fld>
          <a:endParaRPr lang="en-ID" sz="1000">
            <a:solidFill>
              <a:schemeClr val="tx2">
                <a:lumMod val="85000"/>
                <a:lumOff val="15000"/>
              </a:schemeClr>
            </a:solidFill>
            <a:latin typeface="Arial Rounded MT Bold" panose="020F0704030504030204" pitchFamily="34" charset="0"/>
            <a:cs typeface="Arial" panose="020B0604020202020204" pitchFamily="34" charset="0"/>
          </a:endParaRPr>
        </a:p>
      </xdr:txBody>
    </xdr:sp>
    <xdr:clientData/>
  </xdr:twoCellAnchor>
  <xdr:twoCellAnchor>
    <xdr:from>
      <xdr:col>0</xdr:col>
      <xdr:colOff>322263</xdr:colOff>
      <xdr:row>25</xdr:row>
      <xdr:rowOff>20638</xdr:rowOff>
    </xdr:from>
    <xdr:to>
      <xdr:col>2</xdr:col>
      <xdr:colOff>130176</xdr:colOff>
      <xdr:row>26</xdr:row>
      <xdr:rowOff>114300</xdr:rowOff>
    </xdr:to>
    <xdr:sp macro="" textlink="Pivot_Analysis!M9">
      <xdr:nvSpPr>
        <xdr:cNvPr id="65" name="TextBox 64">
          <a:extLst>
            <a:ext uri="{FF2B5EF4-FFF2-40B4-BE49-F238E27FC236}">
              <a16:creationId xmlns:a16="http://schemas.microsoft.com/office/drawing/2014/main" id="{00000000-0008-0000-0100-000041000000}"/>
            </a:ext>
          </a:extLst>
        </xdr:cNvPr>
        <xdr:cNvSpPr txBox="1"/>
      </xdr:nvSpPr>
      <xdr:spPr>
        <a:xfrm>
          <a:off x="322263" y="4584701"/>
          <a:ext cx="1030288"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8F719623-AD45-4E76-B2C9-1775572EFA2F}" type="TxLink">
            <a:rPr lang="en-US" sz="1000" b="0" i="0" u="none" strike="noStrike">
              <a:solidFill>
                <a:srgbClr val="000000"/>
              </a:solidFill>
              <a:latin typeface="Arial Rounded MT Bold" panose="020F0704030504030204" pitchFamily="34" charset="0"/>
              <a:cs typeface="Calibri"/>
            </a:rPr>
            <a:pPr algn="l"/>
            <a:t>Cabai Merah</a:t>
          </a:fld>
          <a:endParaRPr lang="en-ID" sz="1000">
            <a:solidFill>
              <a:schemeClr val="tx2">
                <a:lumMod val="85000"/>
                <a:lumOff val="15000"/>
              </a:schemeClr>
            </a:solidFill>
            <a:latin typeface="Arial Rounded MT Bold" panose="020F0704030504030204" pitchFamily="34" charset="0"/>
            <a:cs typeface="Arial" panose="020B0604020202020204" pitchFamily="34" charset="0"/>
          </a:endParaRPr>
        </a:p>
      </xdr:txBody>
    </xdr:sp>
    <xdr:clientData/>
  </xdr:twoCellAnchor>
  <xdr:twoCellAnchor>
    <xdr:from>
      <xdr:col>2</xdr:col>
      <xdr:colOff>261938</xdr:colOff>
      <xdr:row>20</xdr:row>
      <xdr:rowOff>42864</xdr:rowOff>
    </xdr:from>
    <xdr:to>
      <xdr:col>3</xdr:col>
      <xdr:colOff>198437</xdr:colOff>
      <xdr:row>26</xdr:row>
      <xdr:rowOff>131763</xdr:rowOff>
    </xdr:to>
    <xdr:grpSp>
      <xdr:nvGrpSpPr>
        <xdr:cNvPr id="5" name="Group 4">
          <a:extLst>
            <a:ext uri="{FF2B5EF4-FFF2-40B4-BE49-F238E27FC236}">
              <a16:creationId xmlns:a16="http://schemas.microsoft.com/office/drawing/2014/main" id="{00000000-0008-0000-0100-000005000000}"/>
            </a:ext>
          </a:extLst>
        </xdr:cNvPr>
        <xdr:cNvGrpSpPr/>
      </xdr:nvGrpSpPr>
      <xdr:grpSpPr>
        <a:xfrm>
          <a:off x="1477509" y="3671435"/>
          <a:ext cx="544285" cy="1177471"/>
          <a:chOff x="1085851" y="3694114"/>
          <a:chExt cx="1030288" cy="1184274"/>
        </a:xfrm>
      </xdr:grpSpPr>
      <xdr:sp macro="" textlink="Pivot_Analysis!N5">
        <xdr:nvSpPr>
          <xdr:cNvPr id="67" name="TextBox 66">
            <a:extLst>
              <a:ext uri="{FF2B5EF4-FFF2-40B4-BE49-F238E27FC236}">
                <a16:creationId xmlns:a16="http://schemas.microsoft.com/office/drawing/2014/main" id="{00000000-0008-0000-0100-000043000000}"/>
              </a:ext>
            </a:extLst>
          </xdr:cNvPr>
          <xdr:cNvSpPr txBox="1"/>
        </xdr:nvSpPr>
        <xdr:spPr>
          <a:xfrm>
            <a:off x="1085851" y="3694114"/>
            <a:ext cx="1030288"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F8CF4BB-ABD5-4285-883C-EFA6C6A7FFFB}" type="TxLink">
              <a:rPr lang="en-US" sz="1000" b="0" i="0" u="none" strike="noStrike">
                <a:solidFill>
                  <a:srgbClr val="000000"/>
                </a:solidFill>
                <a:latin typeface="Arial Rounded MT Bold" panose="020F0704030504030204" pitchFamily="34" charset="0"/>
                <a:cs typeface="Calibri"/>
              </a:rPr>
              <a:pPr algn="r"/>
              <a:t>10%</a:t>
            </a:fld>
            <a:endParaRPr lang="en-ID" sz="1000">
              <a:solidFill>
                <a:schemeClr val="tx2">
                  <a:lumMod val="85000"/>
                  <a:lumOff val="15000"/>
                </a:schemeClr>
              </a:solidFill>
              <a:latin typeface="Arial Rounded MT Bold" panose="020F0704030504030204" pitchFamily="34" charset="0"/>
              <a:cs typeface="Arial" panose="020B0604020202020204" pitchFamily="34" charset="0"/>
            </a:endParaRPr>
          </a:p>
        </xdr:txBody>
      </xdr:sp>
      <xdr:sp macro="" textlink="Pivot_Analysis!N6">
        <xdr:nvSpPr>
          <xdr:cNvPr id="68" name="TextBox 67">
            <a:extLst>
              <a:ext uri="{FF2B5EF4-FFF2-40B4-BE49-F238E27FC236}">
                <a16:creationId xmlns:a16="http://schemas.microsoft.com/office/drawing/2014/main" id="{00000000-0008-0000-0100-000044000000}"/>
              </a:ext>
            </a:extLst>
          </xdr:cNvPr>
          <xdr:cNvSpPr txBox="1"/>
        </xdr:nvSpPr>
        <xdr:spPr>
          <a:xfrm>
            <a:off x="1085851" y="3925889"/>
            <a:ext cx="1030288"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087DA523-6B76-470F-8956-0F7CB2C3354C}" type="TxLink">
              <a:rPr lang="en-US" sz="1000" b="0" i="0" u="none" strike="noStrike">
                <a:solidFill>
                  <a:srgbClr val="000000"/>
                </a:solidFill>
                <a:latin typeface="Arial Rounded MT Bold" panose="020F0704030504030204" pitchFamily="34" charset="0"/>
                <a:cs typeface="Calibri"/>
              </a:rPr>
              <a:pPr algn="r"/>
              <a:t>9%</a:t>
            </a:fld>
            <a:endParaRPr lang="en-ID" sz="1000">
              <a:solidFill>
                <a:schemeClr val="tx2">
                  <a:lumMod val="85000"/>
                  <a:lumOff val="15000"/>
                </a:schemeClr>
              </a:solidFill>
              <a:latin typeface="Arial Rounded MT Bold" panose="020F0704030504030204" pitchFamily="34" charset="0"/>
              <a:cs typeface="Arial" panose="020B0604020202020204" pitchFamily="34" charset="0"/>
            </a:endParaRPr>
          </a:p>
        </xdr:txBody>
      </xdr:sp>
      <xdr:sp macro="" textlink="Pivot_Analysis!N7">
        <xdr:nvSpPr>
          <xdr:cNvPr id="69" name="TextBox 68">
            <a:extLst>
              <a:ext uri="{FF2B5EF4-FFF2-40B4-BE49-F238E27FC236}">
                <a16:creationId xmlns:a16="http://schemas.microsoft.com/office/drawing/2014/main" id="{00000000-0008-0000-0100-000045000000}"/>
              </a:ext>
            </a:extLst>
          </xdr:cNvPr>
          <xdr:cNvSpPr txBox="1"/>
        </xdr:nvSpPr>
        <xdr:spPr>
          <a:xfrm>
            <a:off x="1085851" y="4132264"/>
            <a:ext cx="1030288"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9188978-8E42-4F4B-AEE1-93A7D8105FAC}" type="TxLink">
              <a:rPr lang="en-US" sz="1000" b="0" i="0" u="none" strike="noStrike">
                <a:solidFill>
                  <a:srgbClr val="000000"/>
                </a:solidFill>
                <a:latin typeface="Arial Rounded MT Bold" panose="020F0704030504030204" pitchFamily="34" charset="0"/>
                <a:cs typeface="Calibri"/>
              </a:rPr>
              <a:pPr algn="r"/>
              <a:t>8%</a:t>
            </a:fld>
            <a:endParaRPr lang="en-ID" sz="1000">
              <a:solidFill>
                <a:schemeClr val="tx2">
                  <a:lumMod val="85000"/>
                  <a:lumOff val="15000"/>
                </a:schemeClr>
              </a:solidFill>
              <a:latin typeface="Arial Rounded MT Bold" panose="020F0704030504030204" pitchFamily="34" charset="0"/>
              <a:cs typeface="Arial" panose="020B0604020202020204" pitchFamily="34" charset="0"/>
            </a:endParaRPr>
          </a:p>
        </xdr:txBody>
      </xdr:sp>
      <xdr:sp macro="" textlink="Pivot_Analysis!N8">
        <xdr:nvSpPr>
          <xdr:cNvPr id="70" name="TextBox 69">
            <a:extLst>
              <a:ext uri="{FF2B5EF4-FFF2-40B4-BE49-F238E27FC236}">
                <a16:creationId xmlns:a16="http://schemas.microsoft.com/office/drawing/2014/main" id="{00000000-0008-0000-0100-000046000000}"/>
              </a:ext>
            </a:extLst>
          </xdr:cNvPr>
          <xdr:cNvSpPr txBox="1"/>
        </xdr:nvSpPr>
        <xdr:spPr>
          <a:xfrm>
            <a:off x="1085851" y="4364039"/>
            <a:ext cx="1030288"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1D004BF3-9AA7-4774-A88B-B36B38BC2E33}" type="TxLink">
              <a:rPr lang="en-US" sz="1000" b="0" i="0" u="none" strike="noStrike">
                <a:solidFill>
                  <a:srgbClr val="000000"/>
                </a:solidFill>
                <a:latin typeface="Arial Rounded MT Bold" panose="020F0704030504030204" pitchFamily="34" charset="0"/>
                <a:cs typeface="Calibri"/>
              </a:rPr>
              <a:pPr algn="r"/>
              <a:t>7%</a:t>
            </a:fld>
            <a:endParaRPr lang="en-ID" sz="1000">
              <a:solidFill>
                <a:schemeClr val="tx2">
                  <a:lumMod val="85000"/>
                  <a:lumOff val="15000"/>
                </a:schemeClr>
              </a:solidFill>
              <a:latin typeface="Arial Rounded MT Bold" panose="020F0704030504030204" pitchFamily="34" charset="0"/>
              <a:cs typeface="Arial" panose="020B0604020202020204" pitchFamily="34" charset="0"/>
            </a:endParaRPr>
          </a:p>
        </xdr:txBody>
      </xdr:sp>
      <xdr:sp macro="" textlink="Pivot_Analysis!N9">
        <xdr:nvSpPr>
          <xdr:cNvPr id="71" name="TextBox 70">
            <a:extLst>
              <a:ext uri="{FF2B5EF4-FFF2-40B4-BE49-F238E27FC236}">
                <a16:creationId xmlns:a16="http://schemas.microsoft.com/office/drawing/2014/main" id="{00000000-0008-0000-0100-000047000000}"/>
              </a:ext>
            </a:extLst>
          </xdr:cNvPr>
          <xdr:cNvSpPr txBox="1"/>
        </xdr:nvSpPr>
        <xdr:spPr>
          <a:xfrm>
            <a:off x="1085851" y="4602164"/>
            <a:ext cx="1030288"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FE9C0EF9-9CBF-4565-83B6-AAB450E94BA9}" type="TxLink">
              <a:rPr lang="en-US" sz="1000" b="0" i="0" u="none" strike="noStrike">
                <a:solidFill>
                  <a:srgbClr val="000000"/>
                </a:solidFill>
                <a:latin typeface="Arial Rounded MT Bold" panose="020F0704030504030204" pitchFamily="34" charset="0"/>
                <a:cs typeface="Calibri"/>
              </a:rPr>
              <a:pPr algn="r"/>
              <a:t>7%</a:t>
            </a:fld>
            <a:endParaRPr lang="en-ID" sz="1000">
              <a:solidFill>
                <a:schemeClr val="tx2">
                  <a:lumMod val="85000"/>
                  <a:lumOff val="15000"/>
                </a:schemeClr>
              </a:solidFill>
              <a:latin typeface="Arial Rounded MT Bold" panose="020F0704030504030204" pitchFamily="34" charset="0"/>
              <a:cs typeface="Arial" panose="020B0604020202020204" pitchFamily="34" charset="0"/>
            </a:endParaRPr>
          </a:p>
        </xdr:txBody>
      </xdr:sp>
    </xdr:grpSp>
    <xdr:clientData/>
  </xdr:twoCellAnchor>
  <xdr:twoCellAnchor>
    <xdr:from>
      <xdr:col>13</xdr:col>
      <xdr:colOff>179917</xdr:colOff>
      <xdr:row>6</xdr:row>
      <xdr:rowOff>75847</xdr:rowOff>
    </xdr:from>
    <xdr:to>
      <xdr:col>17</xdr:col>
      <xdr:colOff>3528</xdr:colOff>
      <xdr:row>15</xdr:row>
      <xdr:rowOff>95250</xdr:rowOff>
    </xdr:to>
    <xdr:graphicFrame macro="">
      <xdr:nvGraphicFramePr>
        <xdr:cNvPr id="74" name="Chart 73">
          <a:extLst>
            <a:ext uri="{FF2B5EF4-FFF2-40B4-BE49-F238E27FC236}">
              <a16:creationId xmlns:a16="http://schemas.microsoft.com/office/drawing/2014/main" id="{00000000-0008-0000-0100-00004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321971</xdr:colOff>
      <xdr:row>6</xdr:row>
      <xdr:rowOff>89437</xdr:rowOff>
    </xdr:from>
    <xdr:to>
      <xdr:col>20</xdr:col>
      <xdr:colOff>500845</xdr:colOff>
      <xdr:row>15</xdr:row>
      <xdr:rowOff>116267</xdr:rowOff>
    </xdr:to>
    <xdr:graphicFrame macro="">
      <xdr:nvGraphicFramePr>
        <xdr:cNvPr id="76" name="Chart 75">
          <a:extLst>
            <a:ext uri="{FF2B5EF4-FFF2-40B4-BE49-F238E27FC236}">
              <a16:creationId xmlns:a16="http://schemas.microsoft.com/office/drawing/2014/main" id="{00000000-0008-0000-0100-00004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166687</xdr:colOff>
      <xdr:row>17</xdr:row>
      <xdr:rowOff>1</xdr:rowOff>
    </xdr:from>
    <xdr:to>
      <xdr:col>21</xdr:col>
      <xdr:colOff>47624</xdr:colOff>
      <xdr:row>26</xdr:row>
      <xdr:rowOff>134938</xdr:rowOff>
    </xdr:to>
    <xdr:graphicFrame macro="">
      <xdr:nvGraphicFramePr>
        <xdr:cNvPr id="77" name="Chart 76">
          <a:extLst>
            <a:ext uri="{FF2B5EF4-FFF2-40B4-BE49-F238E27FC236}">
              <a16:creationId xmlns:a16="http://schemas.microsoft.com/office/drawing/2014/main" id="{00000000-0008-0000-0100-00004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21</xdr:col>
      <xdr:colOff>261938</xdr:colOff>
      <xdr:row>5</xdr:row>
      <xdr:rowOff>127001</xdr:rowOff>
    </xdr:from>
    <xdr:to>
      <xdr:col>23</xdr:col>
      <xdr:colOff>333375</xdr:colOff>
      <xdr:row>25</xdr:row>
      <xdr:rowOff>79375</xdr:rowOff>
    </xdr:to>
    <mc:AlternateContent xmlns:mc="http://schemas.openxmlformats.org/markup-compatibility/2006" xmlns:a14="http://schemas.microsoft.com/office/drawing/2010/main">
      <mc:Choice Requires="a14">
        <xdr:graphicFrame macro="">
          <xdr:nvGraphicFramePr>
            <xdr:cNvPr id="78" name="Months 1">
              <a:extLst>
                <a:ext uri="{FF2B5EF4-FFF2-40B4-BE49-F238E27FC236}">
                  <a16:creationId xmlns:a16="http://schemas.microsoft.com/office/drawing/2014/main" id="{00000000-0008-0000-0100-00004E000000}"/>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13096876" y="1039814"/>
              <a:ext cx="1293812" cy="37782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508000</xdr:colOff>
      <xdr:row>9</xdr:row>
      <xdr:rowOff>85648</xdr:rowOff>
    </xdr:from>
    <xdr:to>
      <xdr:col>4</xdr:col>
      <xdr:colOff>269875</xdr:colOff>
      <xdr:row>11</xdr:row>
      <xdr:rowOff>93585</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341563" y="1728711"/>
          <a:ext cx="373062" cy="373062"/>
        </a:xfrm>
        <a:prstGeom prst="rect">
          <a:avLst/>
        </a:prstGeom>
      </xdr:spPr>
    </xdr:pic>
    <xdr:clientData/>
  </xdr:twoCellAnchor>
  <xdr:twoCellAnchor editAs="oneCell">
    <xdr:from>
      <xdr:col>1</xdr:col>
      <xdr:colOff>412750</xdr:colOff>
      <xdr:row>3</xdr:row>
      <xdr:rowOff>150812</xdr:rowOff>
    </xdr:from>
    <xdr:to>
      <xdr:col>2</xdr:col>
      <xdr:colOff>174626</xdr:colOff>
      <xdr:row>5</xdr:row>
      <xdr:rowOff>158750</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023938" y="698500"/>
          <a:ext cx="373063" cy="373063"/>
        </a:xfrm>
        <a:prstGeom prst="rect">
          <a:avLst/>
        </a:prstGeom>
      </xdr:spPr>
    </xdr:pic>
    <xdr:clientData/>
  </xdr:twoCellAnchor>
  <xdr:twoCellAnchor editAs="oneCell">
    <xdr:from>
      <xdr:col>4</xdr:col>
      <xdr:colOff>531812</xdr:colOff>
      <xdr:row>3</xdr:row>
      <xdr:rowOff>150813</xdr:rowOff>
    </xdr:from>
    <xdr:to>
      <xdr:col>5</xdr:col>
      <xdr:colOff>295024</xdr:colOff>
      <xdr:row>5</xdr:row>
      <xdr:rowOff>160088</xdr:rowOff>
    </xdr:to>
    <xdr:pic>
      <xdr:nvPicPr>
        <xdr:cNvPr id="29" name="Picture 28">
          <a:extLst>
            <a:ext uri="{FF2B5EF4-FFF2-40B4-BE49-F238E27FC236}">
              <a16:creationId xmlns:a16="http://schemas.microsoft.com/office/drawing/2014/main" id="{00000000-0008-0000-0100-00001D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976562" y="698501"/>
          <a:ext cx="374400" cy="374400"/>
        </a:xfrm>
        <a:prstGeom prst="rect">
          <a:avLst/>
        </a:prstGeom>
      </xdr:spPr>
    </xdr:pic>
    <xdr:clientData/>
  </xdr:twoCellAnchor>
  <xdr:twoCellAnchor editAs="oneCell">
    <xdr:from>
      <xdr:col>8</xdr:col>
      <xdr:colOff>55563</xdr:colOff>
      <xdr:row>3</xdr:row>
      <xdr:rowOff>142875</xdr:rowOff>
    </xdr:from>
    <xdr:to>
      <xdr:col>8</xdr:col>
      <xdr:colOff>429963</xdr:colOff>
      <xdr:row>5</xdr:row>
      <xdr:rowOff>152150</xdr:rowOff>
    </xdr:to>
    <xdr:pic>
      <xdr:nvPicPr>
        <xdr:cNvPr id="31" name="Picture 30">
          <a:extLst>
            <a:ext uri="{FF2B5EF4-FFF2-40B4-BE49-F238E27FC236}">
              <a16:creationId xmlns:a16="http://schemas.microsoft.com/office/drawing/2014/main" id="{00000000-0008-0000-0100-00001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945063" y="690563"/>
          <a:ext cx="374400" cy="374400"/>
        </a:xfrm>
        <a:prstGeom prst="rect">
          <a:avLst/>
        </a:prstGeom>
      </xdr:spPr>
    </xdr:pic>
    <xdr:clientData/>
  </xdr:twoCellAnchor>
  <xdr:twoCellAnchor editAs="oneCell">
    <xdr:from>
      <xdr:col>11</xdr:col>
      <xdr:colOff>174625</xdr:colOff>
      <xdr:row>3</xdr:row>
      <xdr:rowOff>150812</xdr:rowOff>
    </xdr:from>
    <xdr:to>
      <xdr:col>11</xdr:col>
      <xdr:colOff>549025</xdr:colOff>
      <xdr:row>5</xdr:row>
      <xdr:rowOff>160087</xdr:rowOff>
    </xdr:to>
    <xdr:pic>
      <xdr:nvPicPr>
        <xdr:cNvPr id="37" name="Picture 36">
          <a:extLst>
            <a:ext uri="{FF2B5EF4-FFF2-40B4-BE49-F238E27FC236}">
              <a16:creationId xmlns:a16="http://schemas.microsoft.com/office/drawing/2014/main" id="{00000000-0008-0000-0100-000025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897688" y="698500"/>
          <a:ext cx="374400" cy="374400"/>
        </a:xfrm>
        <a:prstGeom prst="rect">
          <a:avLst/>
        </a:prstGeom>
      </xdr:spPr>
    </xdr:pic>
    <xdr:clientData/>
  </xdr:twoCellAnchor>
  <xdr:twoCellAnchor editAs="oneCell">
    <xdr:from>
      <xdr:col>2</xdr:col>
      <xdr:colOff>246061</xdr:colOff>
      <xdr:row>14</xdr:row>
      <xdr:rowOff>55562</xdr:rowOff>
    </xdr:from>
    <xdr:to>
      <xdr:col>3</xdr:col>
      <xdr:colOff>243749</xdr:colOff>
      <xdr:row>17</xdr:row>
      <xdr:rowOff>116750</xdr:rowOff>
    </xdr:to>
    <xdr:pic>
      <xdr:nvPicPr>
        <xdr:cNvPr id="39" name="Picture 38">
          <a:extLst>
            <a:ext uri="{FF2B5EF4-FFF2-40B4-BE49-F238E27FC236}">
              <a16:creationId xmlns:a16="http://schemas.microsoft.com/office/drawing/2014/main" id="{00000000-0008-0000-0100-000027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468436" y="2611437"/>
          <a:ext cx="608876" cy="608876"/>
        </a:xfrm>
        <a:prstGeom prst="rect">
          <a:avLst/>
        </a:prstGeom>
      </xdr:spPr>
    </xdr:pic>
    <xdr:clientData/>
  </xdr:twoCellAnchor>
  <xdr:twoCellAnchor>
    <xdr:from>
      <xdr:col>3</xdr:col>
      <xdr:colOff>563562</xdr:colOff>
      <xdr:row>11</xdr:row>
      <xdr:rowOff>111125</xdr:rowOff>
    </xdr:from>
    <xdr:to>
      <xdr:col>12</xdr:col>
      <xdr:colOff>468313</xdr:colOff>
      <xdr:row>26</xdr:row>
      <xdr:rowOff>115888</xdr:rowOff>
    </xdr:to>
    <xdr:graphicFrame macro="">
      <xdr:nvGraphicFramePr>
        <xdr:cNvPr id="72" name="Chart 71">
          <a:extLst>
            <a:ext uri="{FF2B5EF4-FFF2-40B4-BE49-F238E27FC236}">
              <a16:creationId xmlns:a16="http://schemas.microsoft.com/office/drawing/2014/main" id="{00000000-0008-0000-0100-00004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9</xdr:col>
          <xdr:colOff>400050</xdr:colOff>
          <xdr:row>9</xdr:row>
          <xdr:rowOff>88900</xdr:rowOff>
        </xdr:from>
        <xdr:to>
          <xdr:col>11</xdr:col>
          <xdr:colOff>107950</xdr:colOff>
          <xdr:row>11</xdr:row>
          <xdr:rowOff>88900</xdr:rowOff>
        </xdr:to>
        <xdr:sp macro="" textlink="">
          <xdr:nvSpPr>
            <xdr:cNvPr id="1025" name="Check Box 1" descr="Grand Total"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D" sz="800" b="0" i="0" u="none" strike="noStrike" baseline="0">
                  <a:solidFill>
                    <a:srgbClr val="000000"/>
                  </a:solidFill>
                  <a:latin typeface="Segoe UI"/>
                  <a:cs typeface="Segoe UI"/>
                </a:rPr>
                <a:t>Sales Revenue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114300</xdr:colOff>
          <xdr:row>9</xdr:row>
          <xdr:rowOff>95250</xdr:rowOff>
        </xdr:from>
        <xdr:to>
          <xdr:col>12</xdr:col>
          <xdr:colOff>438150</xdr:colOff>
          <xdr:row>11</xdr:row>
          <xdr:rowOff>95250</xdr:rowOff>
        </xdr:to>
        <xdr:sp macro="" textlink="">
          <xdr:nvSpPr>
            <xdr:cNvPr id="1026" name="Check Box 2" descr="Grand Total"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D" sz="800" b="0" i="0" u="none" strike="noStrike" baseline="0">
                  <a:solidFill>
                    <a:srgbClr val="000000"/>
                  </a:solidFill>
                  <a:latin typeface="Segoe UI"/>
                  <a:cs typeface="Segoe UI"/>
                </a:rPr>
                <a:t>Quantity</a:t>
              </a:r>
            </a:p>
          </xdr:txBody>
        </xdr:sp>
        <xdr:clientData/>
      </xdr:twoCellAnchor>
    </mc:Choice>
    <mc:Fallback/>
  </mc:AlternateContent>
  <xdr:twoCellAnchor>
    <xdr:from>
      <xdr:col>13</xdr:col>
      <xdr:colOff>214313</xdr:colOff>
      <xdr:row>17</xdr:row>
      <xdr:rowOff>119064</xdr:rowOff>
    </xdr:from>
    <xdr:to>
      <xdr:col>16</xdr:col>
      <xdr:colOff>539751</xdr:colOff>
      <xdr:row>25</xdr:row>
      <xdr:rowOff>174626</xdr:rowOff>
    </xdr:to>
    <xdr:graphicFrame macro="">
      <xdr:nvGraphicFramePr>
        <xdr:cNvPr id="73" name="Chart 72">
          <a:extLst>
            <a:ext uri="{FF2B5EF4-FFF2-40B4-BE49-F238E27FC236}">
              <a16:creationId xmlns:a16="http://schemas.microsoft.com/office/drawing/2014/main" id="{DDA3F976-BC54-45F7-9CFC-18F3B0FF8C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670949</xdr:colOff>
      <xdr:row>26</xdr:row>
      <xdr:rowOff>66286</xdr:rowOff>
    </xdr:from>
    <xdr:to>
      <xdr:col>12</xdr:col>
      <xdr:colOff>660242</xdr:colOff>
      <xdr:row>41</xdr:row>
      <xdr:rowOff>96503</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21099</xdr:colOff>
      <xdr:row>10</xdr:row>
      <xdr:rowOff>30376</xdr:rowOff>
    </xdr:from>
    <xdr:to>
      <xdr:col>29</xdr:col>
      <xdr:colOff>959268</xdr:colOff>
      <xdr:row>24</xdr:row>
      <xdr:rowOff>88183</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37</xdr:col>
      <xdr:colOff>33243</xdr:colOff>
      <xdr:row>9</xdr:row>
      <xdr:rowOff>149018</xdr:rowOff>
    </xdr:from>
    <xdr:to>
      <xdr:col>39</xdr:col>
      <xdr:colOff>69273</xdr:colOff>
      <xdr:row>20</xdr:row>
      <xdr:rowOff>46184</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43</xdr:col>
      <xdr:colOff>48871</xdr:colOff>
      <xdr:row>9</xdr:row>
      <xdr:rowOff>169930</xdr:rowOff>
    </xdr:from>
    <xdr:to>
      <xdr:col>46</xdr:col>
      <xdr:colOff>57728</xdr:colOff>
      <xdr:row>21</xdr:row>
      <xdr:rowOff>161636</xdr:rowOff>
    </xdr:to>
    <xdr:graphicFrame macro="">
      <xdr:nvGraphicFramePr>
        <xdr:cNvPr id="9" name="Chart 8">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9597</xdr:colOff>
      <xdr:row>3</xdr:row>
      <xdr:rowOff>30170</xdr:rowOff>
    </xdr:from>
    <xdr:to>
      <xdr:col>23</xdr:col>
      <xdr:colOff>456840</xdr:colOff>
      <xdr:row>17</xdr:row>
      <xdr:rowOff>60039</xdr:rowOff>
    </xdr:to>
    <mc:AlternateContent xmlns:mc="http://schemas.openxmlformats.org/markup-compatibility/2006">
      <mc:Choice xmlns:a14="http://schemas.microsoft.com/office/drawing/2010/main" Requires="a14">
        <xdr:graphicFrame macro="">
          <xdr:nvGraphicFramePr>
            <xdr:cNvPr id="10" name="Months">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23469961" y="584352"/>
              <a:ext cx="1821152" cy="261605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20</xdr:col>
          <xdr:colOff>393700</xdr:colOff>
          <xdr:row>21</xdr:row>
          <xdr:rowOff>88900</xdr:rowOff>
        </xdr:from>
        <xdr:to>
          <xdr:col>20</xdr:col>
          <xdr:colOff>1327150</xdr:colOff>
          <xdr:row>23</xdr:row>
          <xdr:rowOff>90556</xdr:rowOff>
        </xdr:to>
        <xdr:sp macro="" textlink="">
          <xdr:nvSpPr>
            <xdr:cNvPr id="2050" name="Check Box 2" descr="Grand Total" hidden="1">
              <a:extLst>
                <a:ext uri="{63B3BB69-23CF-44E3-9099-C40C66FF867C}">
                  <a14:compatExt spid="_x0000_s2050"/>
                </a:ext>
                <a:ext uri="{FF2B5EF4-FFF2-40B4-BE49-F238E27FC236}">
                  <a16:creationId xmlns:a16="http://schemas.microsoft.com/office/drawing/2014/main" id="{00000000-0008-0000-02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D" sz="800" b="0" i="0" u="none" strike="noStrike" baseline="0">
                  <a:solidFill>
                    <a:srgbClr val="000000"/>
                  </a:solidFill>
                  <a:latin typeface="Segoe UI"/>
                  <a:cs typeface="Segoe UI"/>
                </a:rPr>
                <a:t>Grand Total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19050</xdr:colOff>
          <xdr:row>21</xdr:row>
          <xdr:rowOff>76200</xdr:rowOff>
        </xdr:from>
        <xdr:to>
          <xdr:col>22</xdr:col>
          <xdr:colOff>190500</xdr:colOff>
          <xdr:row>23</xdr:row>
          <xdr:rowOff>77856</xdr:rowOff>
        </xdr:to>
        <xdr:sp macro="" textlink="">
          <xdr:nvSpPr>
            <xdr:cNvPr id="2051" name="Check Box 3" descr="Grand Total" hidden="1">
              <a:extLst>
                <a:ext uri="{63B3BB69-23CF-44E3-9099-C40C66FF867C}">
                  <a14:compatExt spid="_x0000_s2051"/>
                </a:ext>
                <a:ext uri="{FF2B5EF4-FFF2-40B4-BE49-F238E27FC236}">
                  <a16:creationId xmlns:a16="http://schemas.microsoft.com/office/drawing/2014/main" id="{00000000-0008-0000-02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D" sz="800" b="0" i="0" u="none" strike="noStrike" baseline="0">
                  <a:solidFill>
                    <a:srgbClr val="000000"/>
                  </a:solidFill>
                  <a:latin typeface="Segoe UI"/>
                  <a:cs typeface="Segoe UI"/>
                </a:rPr>
                <a:t>Quantity</a:t>
              </a:r>
            </a:p>
          </xdr:txBody>
        </xdr:sp>
        <xdr:clientData/>
      </xdr:twoCellAnchor>
    </mc:Choice>
    <mc:Fallback/>
  </mc:AlternateContent>
  <xdr:twoCellAnchor>
    <xdr:from>
      <xdr:col>19</xdr:col>
      <xdr:colOff>50671</xdr:colOff>
      <xdr:row>40</xdr:row>
      <xdr:rowOff>72543</xdr:rowOff>
    </xdr:from>
    <xdr:to>
      <xdr:col>23</xdr:col>
      <xdr:colOff>413070</xdr:colOff>
      <xdr:row>55</xdr:row>
      <xdr:rowOff>178248</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22</xdr:col>
          <xdr:colOff>38100</xdr:colOff>
          <xdr:row>21</xdr:row>
          <xdr:rowOff>88900</xdr:rowOff>
        </xdr:from>
        <xdr:to>
          <xdr:col>23</xdr:col>
          <xdr:colOff>361950</xdr:colOff>
          <xdr:row>23</xdr:row>
          <xdr:rowOff>90556</xdr:rowOff>
        </xdr:to>
        <xdr:sp macro="" textlink="">
          <xdr:nvSpPr>
            <xdr:cNvPr id="2052" name="Check Box 4" descr="Grand Total" hidden="1">
              <a:extLst>
                <a:ext uri="{63B3BB69-23CF-44E3-9099-C40C66FF867C}">
                  <a14:compatExt spid="_x0000_s2052"/>
                </a:ext>
                <a:ext uri="{FF2B5EF4-FFF2-40B4-BE49-F238E27FC236}">
                  <a16:creationId xmlns:a16="http://schemas.microsoft.com/office/drawing/2014/main" id="{00000000-0008-0000-02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D" sz="800" b="0" i="0" u="none" strike="noStrike" baseline="0">
                  <a:solidFill>
                    <a:srgbClr val="000000"/>
                  </a:solidFill>
                  <a:latin typeface="Segoe UI"/>
                  <a:cs typeface="Segoe UI"/>
                </a:rPr>
                <a:t>Sales (%)</a:t>
              </a:r>
            </a:p>
          </xdr:txBody>
        </xdr:sp>
        <xdr:clientData/>
      </xdr:twoCellAnchor>
    </mc:Choice>
    <mc:Fallback/>
  </mc:AlternateContent>
  <xdr:twoCellAnchor>
    <xdr:from>
      <xdr:col>31</xdr:col>
      <xdr:colOff>5772</xdr:colOff>
      <xdr:row>9</xdr:row>
      <xdr:rowOff>175491</xdr:rowOff>
    </xdr:from>
    <xdr:to>
      <xdr:col>34</xdr:col>
      <xdr:colOff>150091</xdr:colOff>
      <xdr:row>21</xdr:row>
      <xdr:rowOff>161635</xdr:rowOff>
    </xdr:to>
    <xdr:graphicFrame macro="">
      <xdr:nvGraphicFramePr>
        <xdr:cNvPr id="8" name="Chart 7">
          <a:extLst>
            <a:ext uri="{FF2B5EF4-FFF2-40B4-BE49-F238E27FC236}">
              <a16:creationId xmlns:a16="http://schemas.microsoft.com/office/drawing/2014/main" id="{C3CF07E2-621B-45FE-927C-AAF2E34A09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shita" refreshedDate="46119.493842592594" createdVersion="6" refreshedVersion="6" minRefreshableVersion="3" recordCount="2000" xr:uid="{1A2C81BE-C92C-489E-8363-E9537D8E2F45}">
  <cacheSource type="worksheet">
    <worksheetSource name="data"/>
  </cacheSource>
  <cacheFields count="19">
    <cacheField name="Order ID" numFmtId="0">
      <sharedItems count="1866">
        <s v="ORD01855"/>
        <s v="ORD01741"/>
        <s v="ORD00016"/>
        <s v="ORD00411"/>
        <s v="ORD00326"/>
        <s v="ORD01208"/>
        <s v="ORD01664"/>
        <s v="ORD00644"/>
        <s v="ORD00628"/>
        <s v="ORD00049"/>
        <s v="ORD00634"/>
        <s v="ORD00954"/>
        <s v="ORD00844"/>
        <s v="ORD00946"/>
        <s v="ORD00051"/>
        <s v="ORD00559"/>
        <s v="ORD01530"/>
        <s v="ORD01160"/>
        <s v="ORD01060"/>
        <s v="ORD00181"/>
        <s v="ORD01730"/>
        <s v="ORD01668"/>
        <s v="ORD01529"/>
        <s v="ORD01671"/>
        <s v="ORD00239"/>
        <s v="ORD00403"/>
        <s v="ORD00933"/>
        <s v="ORD01507"/>
        <s v="ORD01414"/>
        <s v="ORD00811"/>
        <s v="ORD01550"/>
        <s v="ORD00179"/>
        <s v="ORD00189"/>
        <s v="ORD00390"/>
        <s v="ORD01128"/>
        <s v="ORD01559"/>
        <s v="ORD01454"/>
        <s v="ORD00452"/>
        <s v="ORD00543"/>
        <s v="ORD01693"/>
        <s v="ORD00633"/>
        <s v="ORD00695"/>
        <s v="ORD00857"/>
        <s v="ORD00498"/>
        <s v="ORD01047"/>
        <s v="ORD00218"/>
        <s v="ORD01560"/>
        <s v="ORD00369"/>
        <s v="ORD01190"/>
        <s v="ORD00958"/>
        <s v="ORD00689"/>
        <s v="ORD01145"/>
        <s v="ORD01796"/>
        <s v="ORD01763"/>
        <s v="ORD00562"/>
        <s v="ORD01716"/>
        <s v="ORD01646"/>
        <s v="ORD01197"/>
        <s v="ORD00619"/>
        <s v="ORD00465"/>
        <s v="ORD01356"/>
        <s v="ORD01042"/>
        <s v="ORD00013"/>
        <s v="ORD00600"/>
        <s v="ORD00433"/>
        <s v="ORD01113"/>
        <s v="ORD00701"/>
        <s v="ORD01151"/>
        <s v="ORD00686"/>
        <s v="ORD00862"/>
        <s v="ORD00193"/>
        <s v="ORD01059"/>
        <s v="ORD01576"/>
        <s v="ORD00503"/>
        <s v="ORD01395"/>
        <s v="ORD00022"/>
        <s v="ORD00521"/>
        <s v="ORD01377"/>
        <s v="ORD01726"/>
        <s v="ORD01283"/>
        <s v="ORD00828"/>
        <s v="ORD01079"/>
        <s v="ORD01481"/>
        <s v="ORD01084"/>
        <s v="ORD00104"/>
        <s v="ORD01233"/>
        <s v="ORD01169"/>
        <s v="ORD00624"/>
        <s v="ORD00062"/>
        <s v="ORD00928"/>
        <s v="ORD01420"/>
        <s v="ORD00885"/>
        <s v="ORD00197"/>
        <s v="ORD01781"/>
        <s v="ORD00741"/>
        <s v="ORD01544"/>
        <s v="ORD00800"/>
        <s v="ORD00237"/>
        <s v="ORD00632"/>
        <s v="ORD01455"/>
        <s v="ORD00198"/>
        <s v="ORD01556"/>
        <s v="ORD01643"/>
        <s v="ORD00422"/>
        <s v="ORD00200"/>
        <s v="ORD00029"/>
        <s v="ORD00612"/>
        <s v="ORD01558"/>
        <s v="ORD00874"/>
        <s v="ORD01816"/>
        <s v="ORD01610"/>
        <s v="ORD01163"/>
        <s v="ORD00114"/>
        <s v="ORD00679"/>
        <s v="ORD00186"/>
        <s v="ORD00699"/>
        <s v="ORD01751"/>
        <s v="ORD01833"/>
        <s v="ORD00378"/>
        <s v="ORD00215"/>
        <s v="ORD00336"/>
        <s v="ORD01674"/>
        <s v="ORD00533"/>
        <s v="ORD00128"/>
        <s v="ORD00956"/>
        <s v="ORD01063"/>
        <s v="ORD01770"/>
        <s v="ORD00455"/>
        <s v="ORD01052"/>
        <s v="ORD00155"/>
        <s v="ORD00716"/>
        <s v="ORD01014"/>
        <s v="ORD01308"/>
        <s v="ORD00585"/>
        <s v="ORD01638"/>
        <s v="ORD01844"/>
        <s v="ORD00023"/>
        <s v="ORD01723"/>
        <s v="ORD00286"/>
        <s v="ORD00927"/>
        <s v="ORD00754"/>
        <s v="ORD00014"/>
        <s v="ORD00746"/>
        <s v="ORD00229"/>
        <s v="ORD01201"/>
        <s v="ORD00156"/>
        <s v="ORD00640"/>
        <s v="ORD01106"/>
        <s v="ORD01630"/>
        <s v="ORD01485"/>
        <s v="ORD00868"/>
        <s v="ORD01149"/>
        <s v="ORD01707"/>
        <s v="ORD01697"/>
        <s v="ORD00483"/>
        <s v="ORD00272"/>
        <s v="ORD01104"/>
        <s v="ORD00522"/>
        <s v="ORD00807"/>
        <s v="ORD00269"/>
        <s v="ORD00733"/>
        <s v="ORD00544"/>
        <s v="ORD00910"/>
        <s v="ORD00305"/>
        <s v="ORD01334"/>
        <s v="ORD00383"/>
        <s v="ORD01601"/>
        <s v="ORD01477"/>
        <s v="ORD01232"/>
        <s v="ORD01409"/>
        <s v="ORD01435"/>
        <s v="ORD01804"/>
        <s v="ORD01156"/>
        <s v="ORD00747"/>
        <s v="ORD00278"/>
        <s v="ORD00111"/>
        <s v="ORD00987"/>
        <s v="ORD00131"/>
        <s v="ORD00995"/>
        <s v="ORD00230"/>
        <s v="ORD00307"/>
        <s v="ORD01202"/>
        <s v="ORD00649"/>
        <s v="ORD00024"/>
        <s v="ORD01739"/>
        <s v="ORD00660"/>
        <s v="ORD00959"/>
        <s v="ORD00801"/>
        <s v="ORD00143"/>
        <s v="ORD00219"/>
        <s v="ORD00228"/>
        <s v="ORD01030"/>
        <s v="ORD00037"/>
        <s v="ORD01263"/>
        <s v="ORD00782"/>
        <s v="ORD01565"/>
        <s v="ORD01280"/>
        <s v="ORD00277"/>
        <s v="ORD01543"/>
        <s v="ORD01046"/>
        <s v="ORD01708"/>
        <s v="ORD00225"/>
        <s v="ORD00796"/>
        <s v="ORD01720"/>
        <s v="ORD00034"/>
        <s v="ORD01547"/>
        <s v="ORD00519"/>
        <s v="ORD01088"/>
        <s v="ORD00905"/>
        <s v="ORD00589"/>
        <s v="ORD00328"/>
        <s v="ORD00510"/>
        <s v="ORD01325"/>
        <s v="ORD00096"/>
        <s v="ORD00835"/>
        <s v="ORD00859"/>
        <s v="ORD00238"/>
        <s v="ORD00735"/>
        <s v="ORD01712"/>
        <s v="ORD00696"/>
        <s v="ORD01323"/>
        <s v="ORD00952"/>
        <s v="ORD01585"/>
        <s v="ORD01822"/>
        <s v="ORD00069"/>
        <s v="ORD01347"/>
        <s v="ORD00993"/>
        <s v="ORD01105"/>
        <s v="ORD01853"/>
        <s v="ORD00012"/>
        <s v="ORD00836"/>
        <s v="ORD00575"/>
        <s v="ORD00816"/>
        <s v="ORD00909"/>
        <s v="ORD01328"/>
        <s v="ORD01259"/>
        <s v="ORD00681"/>
        <s v="ORD00972"/>
        <s v="ORD01206"/>
        <s v="ORD01050"/>
        <s v="ORD01422"/>
        <s v="ORD00653"/>
        <s v="ORD01732"/>
        <s v="ORD01700"/>
        <s v="ORD01410"/>
        <s v="ORD00821"/>
        <s v="ORD01835"/>
        <s v="ORD01124"/>
        <s v="ORD00753"/>
        <s v="ORD00391"/>
        <s v="ORD01125"/>
        <s v="ORD01218"/>
        <s v="ORD01307"/>
        <s v="ORD01554"/>
        <s v="ORD00795"/>
        <s v="ORD01775"/>
        <s v="ORD01293"/>
        <s v="ORD00939"/>
        <s v="ORD00794"/>
        <s v="ORD01316"/>
        <s v="ORD00967"/>
        <s v="ORD01003"/>
        <s v="ORD00058"/>
        <s v="ORD00674"/>
        <s v="ORD00697"/>
        <s v="ORD01101"/>
        <s v="ORD01119"/>
        <s v="ORD00627"/>
        <s v="ORD00072"/>
        <s v="ORD01677"/>
        <s v="ORD01327"/>
        <s v="ORD00930"/>
        <s v="ORD00088"/>
        <s v="ORD01200"/>
        <s v="ORD01619"/>
        <s v="ORD00827"/>
        <s v="ORD00781"/>
        <s v="ORD00904"/>
        <s v="ORD00334"/>
        <s v="ORD00438"/>
        <s v="ORD00875"/>
        <s v="ORD01116"/>
        <s v="ORD01672"/>
        <s v="ORD00908"/>
        <s v="ORD00453"/>
        <s v="ORD01340"/>
        <s v="ORD01851"/>
        <s v="ORD00576"/>
        <s v="ORD00541"/>
        <s v="ORD00661"/>
        <s v="ORD00684"/>
        <s v="ORD01413"/>
        <s v="ORD01605"/>
        <s v="ORD01704"/>
        <s v="ORD00471"/>
        <s v="ORD01177"/>
        <s v="ORD00870"/>
        <s v="ORD01057"/>
        <s v="ORD00144"/>
        <s v="ORD00706"/>
        <s v="ORD00297"/>
        <s v="ORD00513"/>
        <s v="ORD01798"/>
        <s v="ORD01505"/>
        <s v="ORD00618"/>
        <s v="ORD00366"/>
        <s v="ORD00428"/>
        <s v="ORD01725"/>
        <s v="ORD01108"/>
        <s v="ORD00380"/>
        <s v="ORD01214"/>
        <s v="ORD00358"/>
        <s v="ORD01580"/>
        <s v="ORD01460"/>
        <s v="ORD00162"/>
        <s v="ORD00843"/>
        <s v="ORD01584"/>
        <s v="ORD00657"/>
        <s v="ORD01438"/>
        <s v="ORD00409"/>
        <s v="ORD01353"/>
        <s v="ORD00511"/>
        <s v="ORD00548"/>
        <s v="ORD00504"/>
        <s v="ORD00832"/>
        <s v="ORD00090"/>
        <s v="ORD00346"/>
        <s v="ORD01768"/>
        <s v="ORD00662"/>
        <s v="ORD00888"/>
        <s v="ORD00444"/>
        <s v="ORD01769"/>
        <s v="ORD01636"/>
        <s v="ORD00376"/>
        <s v="ORD00646"/>
        <s v="ORD00580"/>
        <s v="ORD00535"/>
        <s v="ORD01406"/>
        <s v="ORD00213"/>
        <s v="ORD00394"/>
        <s v="ORD00379"/>
        <s v="ORD00397"/>
        <s v="ORD00249"/>
        <s v="ORD01403"/>
        <s v="ORD01579"/>
        <s v="ORD00191"/>
        <s v="ORD01667"/>
        <s v="ORD00515"/>
        <s v="ORD00402"/>
        <s v="ORD00105"/>
        <s v="ORD01205"/>
        <s v="ORD00538"/>
        <s v="ORD00761"/>
        <s v="ORD01616"/>
        <s v="ORD00220"/>
        <s v="ORD01539"/>
        <s v="ORD00879"/>
        <s v="ORD01198"/>
        <s v="ORD00038"/>
        <s v="ORD00903"/>
        <s v="ORD01827"/>
        <s v="ORD00084"/>
        <s v="ORD00780"/>
        <s v="ORD00059"/>
        <s v="ORD00451"/>
        <s v="ORD00404"/>
        <s v="ORD01506"/>
        <s v="ORD00025"/>
        <s v="ORD01439"/>
        <s v="ORD01586"/>
        <s v="ORD01330"/>
        <s v="ORD00789"/>
        <s v="ORD00273"/>
        <s v="ORD01109"/>
        <s v="ORD01857"/>
        <s v="ORD00458"/>
        <s v="ORD00330"/>
        <s v="ORD01495"/>
        <s v="ORD00175"/>
        <s v="ORD00645"/>
        <s v="ORD01123"/>
        <s v="ORD00365"/>
        <s v="ORD01670"/>
        <s v="ORD00017"/>
        <s v="ORD01511"/>
        <s v="ORD00315"/>
        <s v="ORD01131"/>
        <s v="ORD01711"/>
        <s v="ORD00539"/>
        <s v="ORD01659"/>
        <s v="ORD01278"/>
        <s v="ORD01773"/>
        <s v="ORD01695"/>
        <s v="ORD01193"/>
        <s v="ORD00386"/>
        <s v="ORD01304"/>
        <s v="ORD01710"/>
        <s v="ORD01519"/>
        <s v="ORD00167"/>
        <s v="ORD01246"/>
        <s v="ORD01607"/>
        <s v="ORD00261"/>
        <s v="ORD00542"/>
        <s v="ORD01498"/>
        <s v="ORD01464"/>
        <s v="ORD00932"/>
        <s v="ORD00028"/>
        <s v="ORD00876"/>
        <s v="ORD00678"/>
        <s v="ORD01535"/>
        <s v="ORD00566"/>
        <s v="ORD01212"/>
        <s v="ORD00918"/>
        <s v="ORD00536"/>
        <s v="ORD01192"/>
        <s v="ORD01010"/>
        <s v="ORD00439"/>
        <s v="ORD01514"/>
        <s v="ORD01375"/>
        <s v="ORD00431"/>
        <s v="ORD00940"/>
        <s v="ORD00779"/>
        <s v="ORD01099"/>
        <s v="ORD01767"/>
        <s v="ORD01006"/>
        <s v="ORD01815"/>
        <s v="ORD01678"/>
        <s v="ORD01658"/>
        <s v="ORD01428"/>
        <s v="ORD01138"/>
        <s v="ORD00564"/>
        <s v="ORD01649"/>
        <s v="ORD01561"/>
        <s v="ORD00762"/>
        <s v="ORD00871"/>
        <s v="ORD00887"/>
        <s v="ORD00991"/>
        <s v="ORD00808"/>
        <s v="ORD01538"/>
        <s v="ORD00584"/>
        <s v="ORD01655"/>
        <s v="ORD00320"/>
        <s v="ORD01373"/>
        <s v="ORD01582"/>
        <s v="ORD00922"/>
        <s v="ORD00936"/>
        <s v="ORD00289"/>
        <s v="ORD01404"/>
        <s v="ORD01574"/>
        <s v="ORD00591"/>
        <s v="ORD01248"/>
        <s v="ORD00573"/>
        <s v="ORD01044"/>
        <s v="ORD01644"/>
        <s v="ORD00372"/>
        <s v="ORD00300"/>
        <s v="ORD01187"/>
        <s v="ORD00355"/>
        <s v="ORD00400"/>
        <s v="ORD00638"/>
        <s v="ORD01036"/>
        <s v="ORD01661"/>
        <s v="ORD00352"/>
        <s v="ORD00030"/>
        <s v="ORD01078"/>
        <s v="ORD01290"/>
        <s v="ORD01380"/>
        <s v="ORD00667"/>
        <s v="ORD01487"/>
        <s v="ORD01600"/>
        <s v="ORD01146"/>
        <s v="ORD00234"/>
        <s v="ORD00943"/>
        <s v="ORD01017"/>
        <s v="ORD01045"/>
        <s v="ORD00214"/>
        <s v="ORD01831"/>
        <s v="ORD01753"/>
        <s v="ORD01345"/>
        <s v="ORD01310"/>
        <s v="ORD00361"/>
        <s v="ORD00098"/>
        <s v="ORD01001"/>
        <s v="ORD01497"/>
        <s v="ORD01023"/>
        <s v="ORD00031"/>
        <s v="ORD00512"/>
        <s v="ORD01515"/>
        <s v="ORD01449"/>
        <s v="ORD01144"/>
        <s v="ORD00520"/>
        <s v="ORD00865"/>
        <s v="ORD01034"/>
        <s v="ORD00725"/>
        <s v="ORD00989"/>
        <s v="ORD01265"/>
        <s v="ORD00434"/>
        <s v="ORD00823"/>
        <s v="ORD00493"/>
        <s v="ORD01465"/>
        <s v="ORD00882"/>
        <s v="ORD01357"/>
        <s v="ORD00316"/>
        <s v="ORD00475"/>
        <s v="ORD00071"/>
        <s v="ORD01139"/>
        <s v="ORD00120"/>
        <s v="ORD01813"/>
        <s v="ORD00710"/>
        <s v="ORD00509"/>
        <s v="ORD00996"/>
        <s v="ORD00663"/>
        <s v="ORD00508"/>
        <s v="ORD00824"/>
        <s v="ORD00916"/>
        <s v="ORD01728"/>
        <s v="ORD00861"/>
        <s v="ORD00108"/>
        <s v="ORD00785"/>
        <s v="ORD00145"/>
        <s v="ORD01652"/>
        <s v="ORD00086"/>
        <s v="ORD01029"/>
        <s v="ORD00748"/>
        <s v="ORD00044"/>
        <s v="ORD00961"/>
        <s v="ORD00262"/>
        <s v="ORD01764"/>
        <s v="ORD00406"/>
        <s v="ORD00233"/>
        <s v="ORD01065"/>
        <s v="ORD01491"/>
        <s v="ORD00442"/>
        <s v="ORD00223"/>
        <s v="ORD00724"/>
        <s v="ORD01549"/>
        <s v="ORD01854"/>
        <s v="ORD00642"/>
        <s v="ORD01352"/>
        <s v="ORD00616"/>
        <s v="ORD00528"/>
        <s v="ORD00809"/>
        <s v="ORD00413"/>
        <s v="ORD00677"/>
        <s v="ORD00212"/>
        <s v="ORD00670"/>
        <s v="ORD00556"/>
        <s v="ORD00221"/>
        <s v="ORD01121"/>
        <s v="ORD01394"/>
        <s v="ORD01758"/>
        <s v="ORD00184"/>
        <s v="ORD00656"/>
        <s v="ORD01520"/>
        <s v="ORD00851"/>
        <s v="ORD01433"/>
        <s v="ORD01803"/>
        <s v="ORD00081"/>
        <s v="ORD00430"/>
        <s v="ORD01337"/>
        <s v="ORD00951"/>
        <s v="ORD00009"/>
        <s v="ORD01054"/>
        <s v="ORD01071"/>
        <s v="ORD00331"/>
        <s v="ORD00704"/>
        <s v="ORD00445"/>
        <s v="ORD01051"/>
        <s v="ORD00590"/>
        <s v="ORD00063"/>
        <s v="ORD00845"/>
        <s v="ORD01022"/>
        <s v="ORD00601"/>
        <s v="ORD00974"/>
        <s v="ORD00393"/>
        <s v="ORD00960"/>
        <s v="ORD01133"/>
        <s v="ORD01821"/>
        <s v="ORD01675"/>
        <s v="ORD00169"/>
        <s v="ORD00395"/>
        <s v="ORD01291"/>
        <s v="ORD00546"/>
        <s v="ORD00362"/>
        <s v="ORD01182"/>
        <s v="ORD01066"/>
        <s v="ORD00421"/>
        <s v="ORD00641"/>
        <s v="ORD00977"/>
        <s v="ORD01848"/>
        <s v="ORD00035"/>
        <s v="ORD01251"/>
        <s v="ORD01639"/>
        <s v="ORD01451"/>
        <s v="ORD00148"/>
        <s v="ORD00207"/>
        <s v="ORD00569"/>
        <s v="ORD01805"/>
        <s v="ORD00599"/>
        <s v="ORD01518"/>
        <s v="ORD00199"/>
        <s v="ORD00005"/>
        <s v="ORD00173"/>
        <s v="ORD01715"/>
        <s v="ORD01234"/>
        <s v="ORD00410"/>
        <s v="ORD00623"/>
        <s v="ORD00980"/>
        <s v="ORD00226"/>
        <s v="ORD00371"/>
        <s v="ORD00830"/>
        <s v="ORD00925"/>
        <s v="ORD00658"/>
        <s v="ORD00170"/>
        <s v="ORD00006"/>
        <s v="ORD01850"/>
        <s v="ORD01424"/>
        <s v="ORD01500"/>
        <s v="ORD00050"/>
        <s v="ORD01342"/>
        <s v="ORD00256"/>
        <s v="ORD01292"/>
        <s v="ORD00026"/>
        <s v="ORD00812"/>
        <s v="ORD01062"/>
        <s v="ORD01461"/>
        <s v="ORD00931"/>
        <s v="ORD01702"/>
        <s v="ORD01369"/>
        <s v="ORD00523"/>
        <s v="ORD00763"/>
        <s v="ORD00534"/>
        <s v="ORD00281"/>
        <s v="ORD00102"/>
        <s v="ORD01681"/>
        <s v="ORD01729"/>
        <s v="ORD00187"/>
        <s v="ORD00614"/>
        <s v="ORD00337"/>
        <s v="ORD00419"/>
        <s v="ORD00749"/>
        <s v="ORD01817"/>
        <s v="ORD00712"/>
        <s v="ORD00531"/>
        <s v="ORD00185"/>
        <s v="ORD00948"/>
        <s v="ORD00480"/>
        <s v="ORD00129"/>
        <s v="ORD01320"/>
        <s v="ORD01673"/>
        <s v="ORD01053"/>
        <s v="ORD01516"/>
        <s v="ORD01569"/>
        <s v="ORD00204"/>
        <s v="ORD01363"/>
        <s v="ORD01008"/>
        <s v="ORD00968"/>
        <s v="ORD01239"/>
        <s v="ORD01127"/>
        <s v="ORD00592"/>
        <s v="ORD00872"/>
        <s v="ORD00479"/>
        <s v="ORD00477"/>
        <s v="ORD01288"/>
        <s v="ORD00124"/>
        <s v="ORD01782"/>
        <s v="ORD01077"/>
        <s v="ORD01567"/>
        <s v="ORD01238"/>
        <s v="ORD01489"/>
        <s v="ORD01240"/>
        <s v="ORD01235"/>
        <s v="ORD01371"/>
        <s v="ORD01606"/>
        <s v="ORD01376"/>
        <s v="ORD00061"/>
        <s v="ORD01318"/>
        <s v="ORD00773"/>
        <s v="ORD00254"/>
        <s v="ORD00999"/>
        <s v="ORD00586"/>
        <s v="ORD01335"/>
        <s v="ORD00082"/>
        <s v="ORD00462"/>
        <s v="ORD01180"/>
        <s v="ORD00803"/>
        <s v="ORD01091"/>
        <s v="ORD01762"/>
        <s v="ORD00166"/>
        <s v="ORD00609"/>
        <s v="ORD00264"/>
        <s v="ORD00976"/>
        <s v="ORD00045"/>
        <s v="ORD00206"/>
        <s v="ORD01407"/>
        <s v="ORD01168"/>
        <s v="ORD01691"/>
        <s v="ORD00494"/>
        <s v="ORD01341"/>
        <s v="ORD01189"/>
        <s v="ORD00464"/>
        <s v="ORD00988"/>
        <s v="ORD00224"/>
        <s v="ORD01504"/>
        <s v="ORD00574"/>
        <s v="ORD01480"/>
        <s v="ORD01778"/>
        <s v="ORD00311"/>
        <s v="ORD01266"/>
        <s v="ORD01573"/>
        <s v="ORD00244"/>
        <s v="ORD00675"/>
        <s v="ORD01081"/>
        <s v="ORD01126"/>
        <s v="ORD00486"/>
        <s v="ORD01476"/>
        <s v="ORD00043"/>
        <s v="ORD01541"/>
        <s v="ORD01300"/>
        <s v="ORD01548"/>
        <s v="ORD00826"/>
        <s v="ORD00854"/>
        <s v="ORD01447"/>
        <s v="ORD01706"/>
        <s v="ORD01653"/>
        <s v="ORD01095"/>
        <s v="ORD00907"/>
        <s v="ORD01810"/>
        <s v="ORD01173"/>
        <s v="ORD01430"/>
        <s v="ORD01306"/>
        <s v="ORD01823"/>
        <s v="ORD00291"/>
        <s v="ORD00526"/>
        <s v="ORD01832"/>
        <s v="ORD00248"/>
        <s v="ORD01660"/>
        <s v="ORD01521"/>
        <s v="ORD01171"/>
        <s v="ORD00110"/>
        <s v="ORD01191"/>
        <s v="ORD00551"/>
        <s v="ORD00375"/>
        <s v="ORD00975"/>
        <s v="ORD00427"/>
        <s v="ORD00919"/>
        <s v="ORD00138"/>
        <s v="ORD00517"/>
        <s v="ORD00727"/>
        <s v="ORD00588"/>
        <s v="ORD00702"/>
        <s v="ORD00276"/>
        <s v="ORD01223"/>
        <s v="ORD00107"/>
        <s v="ORD00432"/>
        <s v="ORD00133"/>
        <s v="ORD01004"/>
        <s v="ORD01475"/>
        <s v="ORD01761"/>
        <s v="ORD00775"/>
        <s v="ORD00734"/>
        <s v="ORD01557"/>
        <s v="ORD00895"/>
        <s v="ORD00015"/>
        <s v="ORD00850"/>
        <s v="ORD00074"/>
        <s v="ORD00152"/>
        <s v="ORD01122"/>
        <s v="ORD00525"/>
        <s v="ORD00837"/>
        <s v="ORD00235"/>
        <s v="ORD00443"/>
        <s v="ORD01626"/>
        <s v="ORD01540"/>
        <s v="ORD01067"/>
        <s v="ORD01349"/>
        <s v="ORD00457"/>
        <s v="ORD00507"/>
        <s v="ORD00353"/>
        <s v="ORD00643"/>
        <s v="ORD00966"/>
        <s v="ORD00075"/>
        <s v="ORD01596"/>
        <s v="ORD01311"/>
        <s v="ORD01735"/>
        <s v="ORD01799"/>
        <s v="ORD00149"/>
        <s v="ORD00042"/>
        <s v="ORD00449"/>
        <s v="ORD01657"/>
        <s v="ORD01471"/>
        <s v="ORD01281"/>
        <s v="ORD01617"/>
        <s v="ORD01662"/>
        <s v="ORD01087"/>
        <s v="ORD01244"/>
        <s v="ORD01209"/>
        <s v="ORD00450"/>
        <s v="ORD00926"/>
        <s v="ORD01575"/>
        <s v="ORD01731"/>
        <s v="ORD01275"/>
        <s v="ORD01462"/>
        <s v="ORD01545"/>
        <s v="ORD00217"/>
        <s v="ORD00793"/>
        <s v="ORD00435"/>
        <s v="ORD00153"/>
        <s v="ORD00420"/>
        <s v="ORD01147"/>
        <s v="ORD00405"/>
        <s v="ORD00474"/>
        <s v="ORD01829"/>
        <s v="ORD00889"/>
        <s v="ORD01696"/>
        <s v="ORD00892"/>
        <s v="ORD01073"/>
        <s v="ORD01493"/>
        <s v="ORD00524"/>
        <s v="ORD00287"/>
        <s v="ORD01282"/>
        <s v="ORD01055"/>
        <s v="ORD00313"/>
        <s v="ORD01389"/>
        <s v="ORD01427"/>
        <s v="ORD00970"/>
        <s v="ORD00982"/>
        <s v="ORD01220"/>
        <s v="ORD00011"/>
        <s v="ORD01789"/>
        <s v="ORD00174"/>
        <s v="ORD01392"/>
        <s v="ORD01633"/>
        <s v="ORD01401"/>
        <s v="ORD00094"/>
        <s v="ORD00302"/>
        <s v="ORD01647"/>
        <s v="ORD00900"/>
        <s v="ORD01154"/>
        <s v="ORD01490"/>
        <s v="ORD01572"/>
        <s v="ORD00260"/>
        <s v="ORD00283"/>
        <s v="ORD01237"/>
        <s v="ORD01819"/>
        <s v="ORD01669"/>
        <s v="ORD00496"/>
        <s v="ORD01583"/>
        <s v="ORD00798"/>
        <s v="ORD01415"/>
        <s v="ORD00327"/>
        <s v="ORD00441"/>
        <s v="ORD01453"/>
        <s v="ORD00495"/>
        <s v="ORD00529"/>
        <s v="ORD00139"/>
        <s v="ORD00231"/>
        <s v="ORD01437"/>
        <s v="ORD00514"/>
        <s v="ORD00777"/>
        <s v="ORD00799"/>
        <s v="ORD01135"/>
        <s v="ORD01537"/>
        <s v="ORD00964"/>
        <s v="ORD01028"/>
        <s v="ORD00788"/>
        <s v="ORD01738"/>
        <s v="ORD01118"/>
        <s v="ORD01058"/>
        <s v="ORD00008"/>
        <s v="ORD00713"/>
        <s v="ORD00500"/>
        <s v="ORD01734"/>
        <s v="ORD00208"/>
        <s v="ORD00068"/>
        <s v="ORD00866"/>
        <s v="ORD00222"/>
        <s v="ORD01581"/>
        <s v="ORD00605"/>
        <s v="ORD00211"/>
        <s v="ORD01703"/>
        <s v="ORD00957"/>
        <s v="ORD00171"/>
        <s v="ORD00398"/>
        <s v="ORD01603"/>
        <s v="ORD00083"/>
        <s v="ORD01483"/>
        <s v="ORD00790"/>
        <s v="ORD00994"/>
        <s v="ORD00095"/>
        <s v="ORD01536"/>
        <s v="ORD01271"/>
        <s v="ORD00194"/>
        <s v="ORD01795"/>
        <s v="ORD01578"/>
        <s v="ORD00275"/>
        <s v="ORD00053"/>
        <s v="ORD01132"/>
        <s v="ORD00040"/>
        <s v="ORD00893"/>
        <s v="ORD00232"/>
        <s v="ORD01374"/>
        <s v="ORD00240"/>
        <s v="ORD01361"/>
        <s v="ORD01364"/>
        <s v="ORD00182"/>
        <s v="ORD01025"/>
        <s v="ORD00620"/>
        <s v="ORD00412"/>
        <s v="ORD00077"/>
        <s v="ORD00805"/>
        <s v="ORD00759"/>
        <s v="ORD01794"/>
        <s v="ORD00151"/>
        <s v="ORD01226"/>
        <s v="ORD00216"/>
        <s v="ORD01255"/>
        <s v="ORD00473"/>
        <s v="ORD01178"/>
        <s v="ORD01175"/>
        <s v="ORD00021"/>
        <s v="ORD00915"/>
        <s v="ORD01834"/>
        <s v="ORD01849"/>
        <s v="ORD01841"/>
        <s v="ORD00608"/>
        <s v="ORD01568"/>
        <s v="ORD00141"/>
        <s v="ORD00784"/>
        <s v="ORD01656"/>
        <s v="ORD00565"/>
        <s v="ORD01217"/>
        <s v="ORD00265"/>
        <s v="ORD00003"/>
        <s v="ORD00651"/>
        <s v="ORD00955"/>
        <s v="ORD00196"/>
        <s v="ORD01459"/>
        <s v="ORD00414"/>
        <s v="ORD01488"/>
        <s v="ORD00172"/>
        <s v="ORD01388"/>
        <s v="ORD00323"/>
        <s v="ORD01016"/>
        <s v="ORD01806"/>
        <s v="ORD01776"/>
        <s v="ORD00306"/>
        <s v="ORD01211"/>
        <s v="ORD01254"/>
        <s v="ORD00537"/>
        <s v="ORD01009"/>
        <s v="ORD01502"/>
        <s v="ORD00856"/>
        <s v="ORD01188"/>
        <s v="ORD01040"/>
        <s v="ORD01721"/>
        <s v="ORD00163"/>
        <s v="ORD01843"/>
        <s v="ORD00886"/>
        <s v="ORD01478"/>
        <s v="ORD01150"/>
        <s v="ORD00596"/>
        <s v="ORD01276"/>
        <s v="ORD01632"/>
        <s v="ORD00813"/>
        <s v="ORD01301"/>
        <s v="ORD01402"/>
        <s v="ORD00750"/>
        <s v="ORD01317"/>
        <s v="ORD01279"/>
        <s v="ORD01083"/>
        <s v="ORD00341"/>
        <s v="ORD00363"/>
        <s v="ORD01348"/>
        <s v="ORD00436"/>
        <s v="ORD01076"/>
        <s v="ORD00160"/>
        <s v="ORD00806"/>
        <s v="ORD00470"/>
        <s v="ORD01274"/>
        <s v="ORD01527"/>
        <s v="ORD01219"/>
        <s v="ORD01445"/>
        <s v="ORD00349"/>
        <s v="ORD01450"/>
        <s v="ORD01577"/>
        <s v="ORD01772"/>
        <s v="ORD01484"/>
        <s v="ORD01416"/>
        <s v="ORD00949"/>
        <s v="ORD01818"/>
        <s v="ORD01021"/>
        <s v="ORD00606"/>
        <s v="ORD01296"/>
        <s v="ORD00838"/>
        <s v="ORD01194"/>
        <s v="ORD00728"/>
        <s v="ORD01608"/>
        <s v="ORD00603"/>
        <s v="ORD00251"/>
        <s v="ORD00787"/>
        <s v="ORD01107"/>
        <s v="ORD00159"/>
        <s v="ORD00296"/>
        <s v="ORD00841"/>
        <s v="ORD01258"/>
        <s v="ORD00625"/>
        <s v="ORD01355"/>
        <s v="ORD01759"/>
        <s v="ORD01686"/>
        <s v="ORD00772"/>
        <s v="ORD01705"/>
        <s v="ORD01024"/>
        <s v="ORD01563"/>
        <s v="ORD00085"/>
        <s v="ORD01526"/>
        <s v="ORD01752"/>
        <s v="ORD01269"/>
        <s v="ORD01336"/>
        <s v="ORD01473"/>
        <s v="ORD01792"/>
        <s v="ORD00549"/>
        <s v="ORD01499"/>
        <s v="ORD00530"/>
        <s v="ORD01221"/>
        <s v="ORD00354"/>
        <s v="ORD01074"/>
        <s v="ORD00852"/>
        <s v="ORD01141"/>
        <s v="ORD00971"/>
        <s v="ORD00834"/>
        <s v="ORD00257"/>
        <s v="ORD01774"/>
        <s v="ORD00374"/>
        <s v="ORD01692"/>
        <s v="ORD01313"/>
        <s v="ORD00771"/>
        <s v="ORD01552"/>
        <s v="ORD01383"/>
        <s v="ORD01102"/>
        <s v="ORD01172"/>
        <s v="ORD00921"/>
        <s v="ORD01294"/>
        <s v="ORD01072"/>
        <s v="ORD00744"/>
        <s v="ORD00202"/>
        <s v="ORD01005"/>
        <s v="ORD00497"/>
        <s v="ORD00992"/>
        <s v="ORD01847"/>
        <s v="ORD00227"/>
        <s v="ORD01319"/>
        <s v="ORD01746"/>
        <s v="ORD01286"/>
        <s v="ORD00973"/>
        <s v="ORD00280"/>
        <s v="ORD01417"/>
        <s v="ORD00891"/>
        <s v="ORD01826"/>
        <s v="ORD01015"/>
        <s v="ORD01512"/>
        <s v="ORD00969"/>
        <s v="ORD00407"/>
        <s v="ORD00831"/>
        <s v="ORD01592"/>
        <s v="ORD00855"/>
        <s v="ORD01441"/>
        <s v="ORD00985"/>
        <s v="ORD01020"/>
        <s v="ORD00157"/>
        <s v="ORD01534"/>
        <s v="ORD01448"/>
        <s v="ORD00437"/>
        <s v="ORD01452"/>
        <s v="ORD00941"/>
        <s v="ORD00983"/>
        <s v="ORD01372"/>
        <s v="ORD00840"/>
        <s v="ORD00714"/>
        <s v="ORD01679"/>
        <s v="ORD01509"/>
        <s v="ORD00109"/>
        <s v="ORD00666"/>
        <s v="ORD01069"/>
        <s v="ORD01090"/>
        <s v="ORD00729"/>
        <s v="ORD01650"/>
        <s v="ORD00883"/>
        <s v="ORD01562"/>
        <s v="ORD01370"/>
        <s v="ORD00250"/>
        <s v="ORD01492"/>
        <s v="ORD01312"/>
        <s v="ORD01165"/>
        <s v="ORD01755"/>
        <s v="ORD01524"/>
        <s v="ORD01793"/>
        <s v="ORD00364"/>
        <s v="ORD00945"/>
        <s v="ORD00705"/>
        <s v="ORD00461"/>
        <s v="ORD00388"/>
        <s v="ORD00901"/>
        <s v="ORD01800"/>
        <s v="ORD01611"/>
        <s v="ORD00732"/>
        <s v="ORD00532"/>
        <s v="ORD01640"/>
        <s v="ORD01157"/>
        <s v="ORD00210"/>
        <s v="ORD00979"/>
        <s v="ORD00099"/>
        <s v="ORD00942"/>
        <s v="ORD01170"/>
        <s v="ORD00817"/>
        <s v="ORD00764"/>
        <s v="ORD00751"/>
        <s v="ORD01859"/>
        <s v="ORD00137"/>
        <s v="ORD01757"/>
        <s v="ORD00325"/>
        <s v="ORD01302"/>
        <s v="ORD01431"/>
        <s v="ORD00897"/>
        <s v="ORD01714"/>
        <s v="ORD00073"/>
        <s v="ORD00730"/>
        <s v="ORD00743"/>
        <s v="ORD01594"/>
        <s v="ORD00132"/>
        <s v="ORD01830"/>
        <s v="ORD01303"/>
        <s v="ORD00487"/>
        <s v="ORD01295"/>
        <s v="ORD00709"/>
        <s v="ORD00698"/>
        <s v="ORD00177"/>
        <s v="ORD00863"/>
        <s v="ORD00127"/>
        <s v="ORD00489"/>
        <s v="ORD01161"/>
        <s v="ORD01379"/>
        <s v="ORD01111"/>
        <s v="ORD01164"/>
        <s v="ORD00396"/>
        <s v="ORD01629"/>
        <s v="ORD00079"/>
        <s v="ORD00965"/>
        <s v="ORD00492"/>
        <s v="ORD01378"/>
        <s v="ORD00639"/>
        <s v="ORD01339"/>
        <s v="ORD00368"/>
        <s v="ORD00351"/>
        <s v="ORD01719"/>
        <s v="ORD00896"/>
        <s v="ORD01687"/>
        <s v="ORD00505"/>
        <s v="ORD01204"/>
        <s v="ORD00502"/>
        <s v="ORD00258"/>
        <s v="ORD00881"/>
        <s v="ORD00899"/>
        <s v="ORD00456"/>
        <s v="ORD00688"/>
        <s v="ORD00329"/>
        <s v="ORD00797"/>
        <s v="ORD00032"/>
        <s v="ORD00579"/>
        <s v="ORD01862"/>
        <s v="ORD01812"/>
        <s v="ORD00385"/>
        <s v="ORD01446"/>
        <s v="ORD00384"/>
        <s v="ORD00630"/>
        <s v="ORD00848"/>
        <s v="ORD01663"/>
        <s v="ORD01486"/>
        <s v="ORD00673"/>
        <s v="ORD00491"/>
        <s v="ORD00672"/>
        <s v="ORD01779"/>
        <s v="ORD00060"/>
        <s v="ORD00990"/>
        <s v="ORD00648"/>
        <s v="ORD01140"/>
        <s v="ORD01333"/>
        <s v="ORD00582"/>
        <s v="ORD00209"/>
        <s v="ORD00802"/>
        <s v="ORD00350"/>
        <s v="ORD01362"/>
        <s v="ORD01408"/>
        <s v="ORD01075"/>
        <s v="ORD00309"/>
        <s v="ORD00742"/>
        <s v="ORD00195"/>
        <s v="ORD01112"/>
        <s v="ORD01354"/>
        <s v="ORD00048"/>
        <s v="ORD00998"/>
        <s v="ORD01203"/>
        <s v="ORD01130"/>
        <s v="ORD01784"/>
        <s v="ORD01080"/>
        <s v="ORD01717"/>
        <s v="ORD00417"/>
        <s v="ORD00158"/>
        <s v="ORD00924"/>
        <s v="ORD00122"/>
        <s v="ORD01393"/>
        <s v="ORD01469"/>
        <s v="ORD01195"/>
        <s v="ORD01754"/>
        <s v="ORD01609"/>
        <s v="ORD00877"/>
        <s v="ORD00707"/>
        <s v="ORD00554"/>
        <s v="ORD00484"/>
        <s v="ORD00097"/>
        <s v="ORD00804"/>
        <s v="ORD01733"/>
        <s v="ORD01839"/>
        <s v="ORD01425"/>
        <s v="ORD01174"/>
        <s v="ORD00778"/>
        <s v="ORD00637"/>
        <s v="ORD01411"/>
        <s v="ORD00116"/>
        <s v="ORD00459"/>
        <s v="ORD01326"/>
        <s v="ORD00066"/>
        <s v="ORD00501"/>
        <s v="ORD01421"/>
        <s v="ORD00317"/>
        <s v="ORD01068"/>
        <s v="ORD01747"/>
        <s v="ORD01641"/>
        <s v="ORD00130"/>
        <s v="ORD00423"/>
        <s v="ORD00774"/>
        <s v="ORD01709"/>
        <s v="ORD00636"/>
        <s v="ORD00259"/>
        <s v="ORD01213"/>
        <s v="ORD00319"/>
        <s v="ORD01227"/>
        <s v="ORD01210"/>
        <s v="ORD01167"/>
        <s v="ORD01231"/>
        <s v="ORD01351"/>
        <s v="ORD00685"/>
        <s v="ORD00595"/>
        <s v="ORD00518"/>
        <s v="ORD00752"/>
        <s v="ORD01532"/>
        <s v="ORD00343"/>
        <s v="ORD00682"/>
        <s v="ORD01064"/>
        <s v="ORD00057"/>
        <s v="ORD00135"/>
        <s v="ORD01267"/>
        <s v="ORD00247"/>
        <s v="ORD01086"/>
        <s v="ORD01155"/>
        <s v="ORD01595"/>
        <s v="ORD00267"/>
        <s v="ORD00570"/>
        <s v="ORD01682"/>
        <s v="ORD01419"/>
        <s v="ORD00864"/>
        <s v="ORD01426"/>
        <s v="ORD01604"/>
        <s v="ORD01152"/>
        <s v="ORD00092"/>
        <s v="ORD01750"/>
        <s v="ORD01665"/>
        <s v="ORD01713"/>
        <s v="ORD00934"/>
        <s v="ORD00165"/>
        <s v="ORD01272"/>
        <s v="ORD01082"/>
        <s v="ORD01457"/>
        <s v="ORD01602"/>
        <s v="ORD01474"/>
        <s v="ORD01807"/>
        <s v="ORD00065"/>
        <s v="ORD01179"/>
        <s v="ORD00715"/>
        <s v="ORD00188"/>
        <s v="ORD00766"/>
        <s v="ORD01264"/>
        <s v="ORD01027"/>
        <s v="ORD01252"/>
        <s v="ORD01865"/>
        <s v="ORD00161"/>
        <s v="ORD00571"/>
        <s v="ORD01225"/>
        <s v="ORD01134"/>
        <s v="ORD00019"/>
        <s v="ORD01777"/>
        <s v="ORD00348"/>
        <s v="ORD01722"/>
        <s v="ORD01780"/>
        <s v="ORD00819"/>
        <s v="ORD01418"/>
        <s v="ORD01866"/>
        <s v="ORD00758"/>
        <s v="ORD01224"/>
        <s v="ORD01387"/>
        <s v="ORD01531"/>
        <s v="ORD01654"/>
        <s v="ORD01026"/>
        <s v="ORD00488"/>
        <s v="ORD01698"/>
        <s v="ORD01620"/>
        <s v="ORD01635"/>
        <s v="ORD01861"/>
        <s v="ORD00607"/>
        <s v="ORD00055"/>
        <s v="ORD00635"/>
        <s v="ORD01396"/>
        <s v="ORD01247"/>
        <s v="ORD00253"/>
        <s v="ORD01623"/>
        <s v="ORD00950"/>
        <s v="ORD00415"/>
        <s v="ORD00314"/>
        <s v="ORD00056"/>
        <s v="ORD01110"/>
        <s v="ORD01838"/>
        <s v="ORD00690"/>
        <s v="ORD00468"/>
        <s v="ORD00252"/>
        <s v="ORD01744"/>
        <s v="ORD00440"/>
        <s v="ORD01181"/>
        <s v="ORD01115"/>
        <s v="ORD00693"/>
        <s v="ORD01384"/>
        <s v="ORD00768"/>
        <s v="ORD00917"/>
        <s v="ORD00683"/>
        <s v="ORD01651"/>
        <s v="ORD01207"/>
        <s v="ORD00101"/>
        <s v="ORD00290"/>
        <s v="ORD01100"/>
        <s v="ORD00318"/>
        <s v="ORD00829"/>
        <s v="ORD01523"/>
        <s v="ORD00692"/>
        <s v="ORD01176"/>
        <s v="ORD01570"/>
        <s v="ORD00002"/>
        <s v="ORD01038"/>
        <s v="ORD01517"/>
        <s v="ORD00947"/>
        <s v="ORD01740"/>
        <s v="ORD01000"/>
        <s v="ORD01766"/>
        <s v="ORD01382"/>
        <s v="ORD01423"/>
        <s v="ORD01148"/>
        <s v="ORD00694"/>
        <s v="ORD00890"/>
        <s v="ORD01590"/>
        <s v="ORD01230"/>
        <s v="ORD01463"/>
        <s v="ORD00740"/>
        <s v="ORD01018"/>
        <s v="ORD01621"/>
        <s v="ORD00242"/>
        <s v="ORD00426"/>
        <s v="ORD01039"/>
        <s v="ORD00825"/>
        <s v="ORD01041"/>
        <s v="ORD01513"/>
        <s v="ORD00115"/>
        <s v="ORD01466"/>
        <s v="ORD00613"/>
        <s v="ORD01689"/>
        <s v="ORD01277"/>
        <s v="ORD00241"/>
        <s v="ORD00091"/>
        <s v="ORD00847"/>
        <s v="ORD01229"/>
        <s v="ORD00650"/>
        <s v="ORD01443"/>
        <s v="ORD01432"/>
        <s v="ORD00146"/>
        <s v="ORD00719"/>
        <s v="ORD01033"/>
        <s v="ORD00944"/>
        <s v="ORD01801"/>
        <s v="ORD00578"/>
        <s v="ORD00769"/>
        <s v="ORD00190"/>
        <s v="ORD01137"/>
        <s v="ORD00818"/>
        <s v="ORD00463"/>
        <s v="ORD00310"/>
        <s v="ORD00929"/>
        <s v="ORD00691"/>
        <s v="ORD01397"/>
        <s v="ORD00382"/>
        <s v="ORD00490"/>
        <s v="ORD00671"/>
        <s v="ORD01591"/>
        <s v="ORD00136"/>
        <s v="ORD01790"/>
        <s v="ORD01727"/>
        <s v="ORD00076"/>
        <s v="ORD01756"/>
        <s v="ORD00894"/>
        <s v="ORD00288"/>
        <s v="ORD01358"/>
        <s v="ORD00849"/>
        <s v="ORD01331"/>
        <s v="ORD01864"/>
        <s v="ORD00594"/>
        <s v="ORD01737"/>
        <s v="ORD00878"/>
        <s v="ORD01840"/>
        <s v="ORD01593"/>
        <s v="ORD00737"/>
        <s v="ORD00770"/>
        <s v="ORD01186"/>
        <s v="ORD00997"/>
        <s v="ORD01824"/>
        <s v="ORD01522"/>
        <s v="ORD00668"/>
        <s v="ORD01788"/>
        <s v="ORD01359"/>
        <s v="ORD01442"/>
        <s v="ORD00560"/>
        <s v="ORD00342"/>
        <s v="ORD00335"/>
        <s v="ORD01184"/>
        <s v="ORD00482"/>
        <s v="ORD01852"/>
        <s v="ORD01142"/>
        <s v="ORD01196"/>
        <s v="ORD00121"/>
        <s v="ORD01749"/>
        <s v="ORD00080"/>
        <s v="ORD00292"/>
        <s v="ORD00425"/>
        <s v="ORD01245"/>
        <s v="ORD01458"/>
        <s v="ORD01470"/>
        <s v="ORD00301"/>
        <s v="ORD01845"/>
        <s v="ORD00962"/>
        <s v="ORD01533"/>
        <s v="ORD01297"/>
        <s v="ORD00164"/>
        <s v="ORD01684"/>
        <s v="ORD01809"/>
        <s v="ORD01360"/>
        <s v="ORD01315"/>
        <s v="ORD00387"/>
        <s v="ORD01786"/>
        <s v="ORD00446"/>
        <s v="ORD01228"/>
        <s v="ORD01648"/>
        <s v="ORD00041"/>
        <s v="ORD00923"/>
        <s v="ORD01366"/>
        <s v="ORD00472"/>
        <s v="ORD00736"/>
        <s v="ORD01103"/>
        <s v="ORD00344"/>
        <s v="ORD01013"/>
        <s v="ORD00621"/>
        <s v="ORD00118"/>
        <s v="ORD00134"/>
        <s v="ORD00126"/>
        <s v="ORD01061"/>
        <s v="ORD00308"/>
        <s v="ORD01645"/>
        <s v="ORD00469"/>
        <s v="ORD00516"/>
        <s v="ORD01035"/>
        <s v="ORD01012"/>
        <s v="ORD01261"/>
        <s v="ORD00448"/>
        <s v="ORD01216"/>
        <s v="ORD01222"/>
        <s v="ORD01787"/>
        <s v="ORD01624"/>
        <s v="ORD00312"/>
        <s v="ORD00978"/>
        <s v="ORD01836"/>
        <s v="ORD01631"/>
        <s v="ORD01031"/>
        <s v="ORD01615"/>
        <s v="ORD01365"/>
        <s v="ORD01129"/>
        <s v="ORD00370"/>
        <s v="ORD00587"/>
        <s v="ORD01825"/>
        <s v="ORD00424"/>
        <s v="ORD01019"/>
        <s v="ORD01253"/>
        <s v="ORD00089"/>
        <s v="ORD00550"/>
        <s v="ORD01143"/>
        <s v="ORD00321"/>
        <s v="ORD00010"/>
        <s v="ORD01564"/>
        <s v="ORD01694"/>
        <s v="ORD00340"/>
        <s v="ORD00205"/>
        <s v="ORD01257"/>
        <s v="ORD00268"/>
        <s v="ORD00547"/>
        <s v="ORD00203"/>
        <s v="ORD01136"/>
        <s v="ORD01863"/>
        <s v="ORD01676"/>
        <s v="ORD01399"/>
        <s v="ORD01092"/>
        <s v="ORD01628"/>
        <s v="ORD00279"/>
        <s v="ORD01612"/>
        <s v="ORD00201"/>
        <s v="ORD01597"/>
        <s v="ORD00284"/>
        <s v="ORD00298"/>
        <s v="ORD01096"/>
        <s v="ORD00963"/>
        <s v="ORD01329"/>
        <s v="ORD01736"/>
        <s v="ORD00481"/>
        <s v="ORD01117"/>
        <s v="ORD00047"/>
        <s v="ORD00270"/>
        <s v="ORD00786"/>
        <s v="ORD00654"/>
        <s v="ORD00263"/>
        <s v="ORD01724"/>
        <s v="ORD00604"/>
        <s v="ORD00282"/>
        <s v="ORD00018"/>
        <s v="ORD01367"/>
        <s v="ORD01007"/>
        <s v="ORD00986"/>
        <s v="ORD01856"/>
        <s v="ORD00476"/>
        <s v="ORD01467"/>
        <s v="ORD00064"/>
        <s v="ORD00416"/>
        <s v="ORD00703"/>
        <s v="ORD00914"/>
        <s v="ORD01368"/>
        <s v="ORD01250"/>
        <s v="ORD01344"/>
        <s v="ORD00087"/>
        <s v="ORD00429"/>
        <s v="ORD00033"/>
        <s v="ORD00485"/>
        <s v="ORD00103"/>
        <s v="ORD01262"/>
        <s v="ORD00858"/>
        <s v="ORD01284"/>
        <s v="ORD01056"/>
        <s v="ORD01528"/>
        <s v="ORD00324"/>
        <s v="ORD00067"/>
        <s v="ORD01765"/>
        <s v="ORD00765"/>
        <s v="ORD00568"/>
        <s v="ORD01642"/>
        <s v="ORD00776"/>
        <s v="ORD01508"/>
        <s v="ORD01381"/>
        <s v="ORD00884"/>
        <s v="ORD00792"/>
        <s v="ORD01390"/>
        <s v="ORD01093"/>
        <s v="ORD01860"/>
        <s v="ORD00721"/>
        <s v="ORD01637"/>
        <s v="ORD00577"/>
        <s v="ORD01305"/>
        <s v="ORD00054"/>
        <s v="ORD00052"/>
        <s v="ORD01070"/>
        <s v="ORD00665"/>
        <s v="ORD00722"/>
        <s v="ORD00418"/>
        <s v="ORD01785"/>
        <s v="ORD01837"/>
        <s v="ORD00293"/>
        <s v="ORD01436"/>
        <s v="ORD01094"/>
        <s v="ORD01162"/>
        <s v="ORD01745"/>
        <s v="ORD00506"/>
        <s v="ORD00597"/>
        <s v="ORD00617"/>
        <s v="ORD01510"/>
        <s v="ORD00113"/>
        <s v="ORD01098"/>
        <s v="ORD00767"/>
        <s v="ORD01808"/>
        <s v="ORD00745"/>
        <s v="ORD01783"/>
        <s v="ORD00046"/>
        <s v="ORD00183"/>
        <s v="ORD00842"/>
        <s v="ORD00399"/>
        <s v="ORD00561"/>
        <s v="ORD00360"/>
        <s v="ORD01412"/>
        <s v="ORD00123"/>
        <s v="ORD01400"/>
        <s v="ORD00938"/>
        <s v="ORD01268"/>
        <s v="ORD01405"/>
        <s v="ORD01771"/>
        <s v="ORD00381"/>
        <s v="ORD00920"/>
        <s v="ORD01037"/>
        <s v="ORD00717"/>
        <s v="ORD00295"/>
        <s v="ORD00913"/>
        <s v="ORD00333"/>
        <s v="ORD01546"/>
        <s v="ORD00004"/>
        <s v="ORD01858"/>
        <s v="ORD00669"/>
        <s v="ORD00720"/>
        <s v="ORD01625"/>
        <s v="ORD00583"/>
        <s v="ORD00020"/>
        <s v="ORD01114"/>
        <s v="ORD00499"/>
        <s v="ORD00572"/>
        <s v="ORD00558"/>
        <s v="ORD01690"/>
        <s v="ORD00898"/>
        <s v="ORD00338"/>
        <s v="ORD00285"/>
        <s v="ORD00631"/>
        <s v="ORD01440"/>
        <s v="ORD00454"/>
        <s v="ORD00711"/>
        <s v="ORD00984"/>
        <s v="ORD01718"/>
        <s v="ORD00738"/>
        <s v="ORD00602"/>
        <s v="ORD01501"/>
        <s v="ORD00839"/>
        <s v="ORD00125"/>
        <s v="ORD00756"/>
        <s v="ORD00359"/>
        <s v="ORD00557"/>
        <s v="ORD00652"/>
        <s v="ORD01343"/>
        <s v="ORD00460"/>
        <s v="ORD01215"/>
        <s v="ORD01627"/>
        <s v="ORD00833"/>
        <s v="ORD01683"/>
        <s v="ORD00880"/>
        <s v="ORD00274"/>
        <s v="ORD01811"/>
        <s v="ORD01613"/>
        <s v="ORD01742"/>
        <s v="ORD01273"/>
        <s v="ORD01321"/>
        <s v="ORD00408"/>
        <s v="ORD00626"/>
        <s v="ORD01386"/>
        <s v="ORD01256"/>
        <s v="ORD00373"/>
        <s v="ORD00615"/>
        <s v="ORD01159"/>
        <s v="ORD01338"/>
        <s v="ORD01166"/>
        <s v="ORD01185"/>
        <s v="ORD01285"/>
        <s v="ORD01542"/>
        <s v="ORD01666"/>
        <s v="ORD00757"/>
        <s v="ORD01236"/>
        <s v="ORD01153"/>
        <s v="ORD01429"/>
        <s v="ORD00356"/>
        <s v="ORD00611"/>
        <s v="ORD01680"/>
        <s v="ORD00117"/>
        <s v="ORD00339"/>
        <s v="ORD01324"/>
        <s v="ORD00726"/>
        <s v="ORD01614"/>
        <s v="ORD00377"/>
        <s v="ORD01496"/>
        <s v="ORD00119"/>
        <s v="ORD01802"/>
        <s v="ORD01598"/>
        <s v="ORD00664"/>
        <s v="ORD00622"/>
        <s v="ORD00912"/>
        <s v="ORD00112"/>
        <s v="ORD01494"/>
        <s v="ORD01828"/>
        <s v="ORD00598"/>
        <s v="ORD01241"/>
        <s v="ORD00255"/>
        <s v="ORD00078"/>
        <s v="ORD00246"/>
        <s v="ORD00106"/>
        <s v="ORD01551"/>
        <s v="ORD00545"/>
        <s v="ORD01748"/>
        <s v="ORD00357"/>
        <s v="ORD00822"/>
        <s v="ORD00567"/>
        <s v="ORD01043"/>
        <s v="ORD01322"/>
        <s v="ORD01120"/>
        <s v="ORD01289"/>
        <s v="ORD00245"/>
        <s v="ORD00911"/>
        <s v="ORD00345"/>
        <s v="ORD01699"/>
        <s v="ORD00093"/>
        <s v="ORD00070"/>
        <s v="ORD01270"/>
        <s v="ORD00271"/>
        <s v="ORD01760"/>
        <s v="ORD00655"/>
        <s v="ORD01242"/>
        <s v="ORD00036"/>
        <s v="ORD00680"/>
        <s v="ORD00718"/>
        <s v="ORD01599"/>
        <s v="ORD01685"/>
        <s v="ORD01791"/>
        <s v="ORD00581"/>
        <s v="ORD00540"/>
        <s v="ORD01350"/>
        <s v="ORD01398"/>
        <s v="ORD00007"/>
        <s v="ORD00815"/>
        <s v="ORD00401"/>
        <s v="ORD00563"/>
        <s v="ORD00347"/>
        <s v="ORD01456"/>
        <s v="ORD00367"/>
        <s v="ORD01332"/>
        <s v="ORD01525"/>
        <s v="ORD00001"/>
        <s v="ORD00552"/>
        <s v="ORD01085"/>
        <s v="ORD00953"/>
        <s v="ORD01243"/>
        <s v="ORD01618"/>
        <s v="ORD01287"/>
        <s v="ORD01589"/>
        <s v="ORD00935"/>
        <s v="ORD01158"/>
        <s v="ORD00180"/>
        <s v="ORD00873"/>
        <s v="ORD00820"/>
        <s v="ORD01622"/>
        <s v="ORD01814"/>
        <s v="ORD01553"/>
        <s v="ORD01503"/>
        <s v="ORD00100"/>
        <s v="ORD00294"/>
        <s v="ORD01199"/>
        <s v="ORD01309"/>
        <s v="ORD00392"/>
        <s v="ORD01820"/>
        <s v="ORD01032"/>
        <s v="ORD00723"/>
        <s v="ORD01260"/>
        <s v="ORD01571"/>
        <s v="ORD01385"/>
        <s v="ORD01634"/>
        <s v="ORD01555"/>
        <s v="ORD01434"/>
        <s v="ORD00467"/>
        <s v="ORD00846"/>
        <s v="ORD00322"/>
        <s v="ORD00140"/>
        <s v="ORD01444"/>
        <s v="ORD01468"/>
        <s v="ORD00739"/>
        <s v="ORD00783"/>
        <s v="ORD00150"/>
        <s v="ORD00178"/>
        <s v="ORD00791"/>
        <s v="ORD01842"/>
        <s v="ORD00981"/>
        <s v="ORD01089"/>
        <s v="ORD00867"/>
        <s v="ORD00906"/>
        <s v="ORD00478"/>
        <s v="ORD01048"/>
        <s v="ORD01391"/>
        <s v="ORD00814"/>
        <s v="ORD00937"/>
        <s v="ORD01743"/>
        <s v="ORD00236"/>
        <s v="ORD01298"/>
        <s v="ORD00869"/>
        <s v="ORD01097"/>
        <s v="ORD00760"/>
        <s v="ORD01299"/>
        <s v="ORD00142"/>
        <s v="ORD00332"/>
        <s v="ORD01249"/>
        <s v="ORD01472"/>
        <s v="ORD00266"/>
        <s v="ORD01846"/>
        <s v="ORD00810"/>
        <s v="ORD00853"/>
        <s v="ORD01688"/>
        <s v="ORD01011"/>
        <s v="ORD01482"/>
        <s v="ORD00647"/>
        <s v="ORD00243"/>
        <s v="ORD01346"/>
        <s v="ORD01588"/>
        <s v="ORD00555"/>
        <s v="ORD01479"/>
        <s v="ORD01183"/>
        <s v="ORD00902"/>
        <s v="ORD00154"/>
        <s v="ORD00176"/>
        <s v="ORD00527"/>
        <s v="ORD00731"/>
        <s v="ORD00629"/>
        <s v="ORD01049"/>
        <s v="ORD00389"/>
        <s v="ORD00708"/>
        <s v="ORD01002"/>
        <s v="ORD00610"/>
        <s v="ORD00466"/>
        <s v="ORD00659"/>
        <s v="ORD00168"/>
        <s v="ORD01701"/>
        <s v="ORD01587"/>
        <s v="ORD00027"/>
        <s v="ORD00303"/>
        <s v="ORD00192"/>
        <s v="ORD00299"/>
        <s v="ORD00147"/>
        <s v="ORD00304"/>
        <s v="ORD00860"/>
        <s v="ORD00447"/>
        <s v="ORD00039"/>
        <s v="ORD01314"/>
        <s v="ORD01797"/>
        <s v="ORD00676"/>
        <s v="ORD00593"/>
        <s v="ORD00755"/>
        <s v="ORD00687"/>
        <s v="ORD01566"/>
        <s v="ORD00700"/>
        <s v="ORD00553"/>
      </sharedItems>
    </cacheField>
    <cacheField name="Order Date" numFmtId="164">
      <sharedItems containsSemiMixedTypes="0" containsNonDate="0" containsDate="1" containsString="0" minDate="2025-01-01T09:13:36" maxDate="2025-12-31T22:25:25" count="1866">
        <d v="2025-01-01T09:13:36"/>
        <d v="2025-01-01T10:09:49"/>
        <d v="2025-01-01T12:15:11"/>
        <d v="2025-01-01T12:48:33"/>
        <d v="2025-01-01T16:28:10"/>
        <d v="2025-01-01T17:40:15"/>
        <d v="2025-01-01T19:06:00"/>
        <d v="2025-01-01T19:19:14"/>
        <d v="2025-01-02T11:20:56"/>
        <d v="2025-01-02T12:20:32"/>
        <d v="2025-01-02T15:44:51"/>
        <d v="2025-01-03T03:35:43"/>
        <d v="2025-01-03T16:06:29"/>
        <d v="2025-01-04T09:45:14"/>
        <d v="2025-01-04T10:45:24"/>
        <d v="2025-01-04T11:46:24"/>
        <d v="2025-01-04T18:00:27"/>
        <d v="2025-01-04T18:26:36"/>
        <d v="2025-01-04T19:58:20"/>
        <d v="2025-01-04T22:11:06"/>
        <d v="2025-01-05T17:20:43"/>
        <d v="2025-01-05T18:30:50"/>
        <d v="2025-01-05T21:29:40"/>
        <d v="2025-01-09T20:31:29"/>
        <d v="2025-01-09T21:34:18"/>
        <d v="2025-01-10T09:50:47"/>
        <d v="2025-01-11T06:13:38"/>
        <d v="2025-01-11T09:34:25"/>
        <d v="2025-01-11T12:40:56"/>
        <d v="2025-01-11T17:26:17"/>
        <d v="2025-01-12T09:15:16"/>
        <d v="2025-01-12T12:05:41"/>
        <d v="2025-01-12T15:34:56"/>
        <d v="2025-01-13T10:58:13"/>
        <d v="2025-01-13T12:12:21"/>
        <d v="2025-01-13T12:34:22"/>
        <d v="2025-01-13T14:31:29"/>
        <d v="2025-01-14T06:09:44"/>
        <d v="2025-01-14T19:38:02"/>
        <d v="2025-01-15T00:51:48"/>
        <d v="2025-01-15T09:19:43"/>
        <d v="2025-01-15T13:16:07"/>
        <d v="2025-01-16T18:52:33"/>
        <d v="2025-01-17T20:48:09"/>
        <d v="2025-01-18T03:31:06"/>
        <d v="2025-01-18T09:46:20"/>
        <d v="2025-01-18T10:58:19"/>
        <d v="2025-01-18T11:50:40"/>
        <d v="2025-01-19T02:56:32"/>
        <d v="2025-01-19T17:15:51"/>
        <d v="2025-01-20T11:05:28"/>
        <d v="2025-01-20T14:32:12"/>
        <d v="2025-01-21T10:47:02"/>
        <d v="2025-01-22T09:43:45"/>
        <d v="2025-01-24T18:04:38"/>
        <d v="2025-01-25T01:03:37"/>
        <d v="2025-01-25T04:59:48"/>
        <d v="2025-01-25T05:58:51"/>
        <d v="2025-01-25T06:38:01"/>
        <d v="2025-01-25T07:41:39"/>
        <d v="2025-01-25T08:37:31"/>
        <d v="2025-01-25T09:31:28"/>
        <d v="2025-01-25T09:47:31"/>
        <d v="2025-01-25T09:56:17"/>
        <d v="2025-01-25T10:50:08"/>
        <d v="2025-01-25T11:38:22"/>
        <d v="2025-01-25T12:07:40"/>
        <d v="2025-01-25T12:22:40"/>
        <d v="2025-01-25T12:33:32"/>
        <d v="2025-01-25T12:34:04"/>
        <d v="2025-01-25T12:36:05"/>
        <d v="2025-01-25T12:54:20"/>
        <d v="2025-01-25T14:21:04"/>
        <d v="2025-01-25T14:59:06"/>
        <d v="2025-01-25T15:08:35"/>
        <d v="2025-01-25T17:41:54"/>
        <d v="2025-01-25T20:25:19"/>
        <d v="2025-01-25T23:30:41"/>
        <d v="2025-01-26T02:26:37"/>
        <d v="2025-01-26T06:33:38"/>
        <d v="2025-01-26T10:18:33"/>
        <d v="2025-01-26T12:18:45"/>
        <d v="2025-01-26T13:03:06"/>
        <d v="2025-01-26T13:11:27"/>
        <d v="2025-01-26T13:39:27"/>
        <d v="2025-01-26T13:55:32"/>
        <d v="2025-01-26T14:25:12"/>
        <d v="2025-01-26T14:44:03"/>
        <d v="2025-01-26T19:43:25"/>
        <d v="2025-01-26T21:32:48"/>
        <d v="2025-01-26T21:40:14"/>
        <d v="2025-01-26T22:38:08"/>
        <d v="2025-01-27T00:04:01"/>
        <d v="2025-01-27T02:53:34"/>
        <d v="2025-01-27T03:44:42"/>
        <d v="2025-01-27T08:41:32"/>
        <d v="2025-01-27T09:11:09"/>
        <d v="2025-01-27T09:37:53"/>
        <d v="2025-01-27T10:04:39"/>
        <d v="2025-01-27T10:58:40"/>
        <d v="2025-01-27T11:25:11"/>
        <d v="2025-01-27T12:37:12"/>
        <d v="2025-01-27T14:33:21"/>
        <d v="2025-01-27T14:54:01"/>
        <d v="2025-01-27T15:13:48"/>
        <d v="2025-01-27T16:34:24"/>
        <d v="2025-01-27T17:07:50"/>
        <d v="2025-01-27T17:45:55"/>
        <d v="2025-01-27T18:00:08"/>
        <d v="2025-01-27T18:45:48"/>
        <d v="2025-01-28T01:49:08"/>
        <d v="2025-01-28T06:31:37"/>
        <d v="2025-01-28T09:03:49"/>
        <d v="2025-01-28T10:10:51"/>
        <d v="2025-01-28T10:32:44"/>
        <d v="2025-01-28T13:27:23"/>
        <d v="2025-01-28T14:56:54"/>
        <d v="2025-01-28T17:04:52"/>
        <d v="2025-01-28T17:18:23"/>
        <d v="2025-01-28T17:38:10"/>
        <d v="2025-01-28T18:50:36"/>
        <d v="2025-01-28T18:56:55"/>
        <d v="2025-01-28T21:19:01"/>
        <d v="2025-01-29T09:05:36"/>
        <d v="2025-01-29T11:05:58"/>
        <d v="2025-01-29T12:46:12"/>
        <d v="2025-01-29T13:24:44"/>
        <d v="2025-01-29T14:01:12"/>
        <d v="2025-01-29T14:15:21"/>
        <d v="2025-01-29T14:50:56"/>
        <d v="2025-01-29T16:51:18"/>
        <d v="2025-01-29T22:06:45"/>
        <d v="2025-01-30T04:42:59"/>
        <d v="2025-01-30T08:34:49"/>
        <d v="2025-01-30T08:36:42"/>
        <d v="2025-01-30T08:48:44"/>
        <d v="2025-01-30T09:30:28"/>
        <d v="2025-01-30T09:39:12"/>
        <d v="2025-01-30T10:10:07"/>
        <d v="2025-01-30T11:33:31"/>
        <d v="2025-01-30T11:48:44"/>
        <d v="2025-01-30T12:25:08"/>
        <d v="2025-01-30T12:45:23"/>
        <d v="2025-01-30T13:22:32"/>
        <d v="2025-01-30T13:46:51"/>
        <d v="2025-01-30T17:12:24"/>
        <d v="2025-01-30T17:54:23"/>
        <d v="2025-01-30T18:37:25"/>
        <d v="2025-01-30T22:31:35"/>
        <d v="2025-01-31T00:29:54"/>
        <d v="2025-01-31T08:13:34"/>
        <d v="2025-01-31T08:22:51"/>
        <d v="2025-01-31T09:07:28"/>
        <d v="2025-01-31T09:23:36"/>
        <d v="2025-01-31T09:33:59"/>
        <d v="2025-01-31T09:40:07"/>
        <d v="2025-01-31T10:11:53"/>
        <d v="2025-01-31T10:30:38"/>
        <d v="2025-01-31T11:34:39"/>
        <d v="2025-01-31T12:15:25"/>
        <d v="2025-01-31T12:30:24"/>
        <d v="2025-01-31T13:09:49"/>
        <d v="2025-01-31T19:25:09"/>
        <d v="2025-01-31T19:26:26"/>
        <d v="2025-01-31T19:37:37"/>
        <d v="2025-01-31T19:45:49"/>
        <d v="2025-02-01T04:25:59"/>
        <d v="2025-02-02T00:12:32"/>
        <d v="2025-02-02T07:20:46"/>
        <d v="2025-02-02T07:50:44"/>
        <d v="2025-02-02T11:38:04"/>
        <d v="2025-02-02T12:04:27"/>
        <d v="2025-02-02T15:29:06"/>
        <d v="2025-02-02T17:10:16"/>
        <d v="2025-02-02T18:15:41"/>
        <d v="2025-02-02T18:57:06"/>
        <d v="2025-02-03T13:10:39"/>
        <d v="2025-02-04T09:09:17"/>
        <d v="2025-02-04T15:43:31"/>
        <d v="2025-02-04T16:39:26"/>
        <d v="2025-02-04T16:59:20"/>
        <d v="2025-02-04T17:40:51"/>
        <d v="2025-02-05T17:30:14"/>
        <d v="2025-02-06T16:31:53"/>
        <d v="2025-02-06T17:39:04"/>
        <d v="2025-02-07T10:16:10"/>
        <d v="2025-02-07T16:21:58"/>
        <d v="2025-02-07T17:00:06"/>
        <d v="2025-02-07T18:25:40"/>
        <d v="2025-02-09T11:52:54"/>
        <d v="2025-02-09T12:27:51"/>
        <d v="2025-02-09T14:32:01"/>
        <d v="2025-02-09T14:35:02"/>
        <d v="2025-02-09T15:43:23"/>
        <d v="2025-02-09T16:41:14"/>
        <d v="2025-02-09T17:54:37"/>
        <d v="2025-02-10T06:16:36"/>
        <d v="2025-02-10T06:50:36"/>
        <d v="2025-02-11T15:10:51"/>
        <d v="2025-02-11T16:15:14"/>
        <d v="2025-02-11T17:22:05"/>
        <d v="2025-02-12T10:56:44"/>
        <d v="2025-02-13T21:52:25"/>
        <d v="2025-02-14T02:38:00"/>
        <d v="2025-02-15T08:11:37"/>
        <d v="2025-02-15T13:59:49"/>
        <d v="2025-02-16T17:16:26"/>
        <d v="2025-02-17T13:46:21"/>
        <d v="2025-02-17T16:52:33"/>
        <d v="2025-02-17T17:09:56"/>
        <d v="2025-02-18T13:39:51"/>
        <d v="2025-02-19T06:27:23"/>
        <d v="2025-02-19T14:15:04"/>
        <d v="2025-02-20T03:38:09"/>
        <d v="2025-02-20T14:10:09"/>
        <d v="2025-02-20T14:12:41"/>
        <d v="2025-02-20T18:22:18"/>
        <d v="2025-02-21T12:07:40"/>
        <d v="2025-02-21T13:16:20"/>
        <d v="2025-02-23T09:56:17"/>
        <d v="2025-02-23T17:55:10"/>
        <d v="2025-02-24T15:26:43"/>
        <d v="2025-02-25T00:52:34"/>
        <d v="2025-02-25T04:40:58"/>
        <d v="2025-02-25T05:26:20"/>
        <d v="2025-02-25T07:01:52"/>
        <d v="2025-02-25T07:50:19"/>
        <d v="2025-02-25T08:56:50"/>
        <d v="2025-02-25T09:01:27"/>
        <d v="2025-02-25T09:26:48"/>
        <d v="2025-02-25T09:32:42"/>
        <d v="2025-02-25T09:47:09"/>
        <d v="2025-02-25T10:34:16"/>
        <d v="2025-02-25T11:15:48"/>
        <d v="2025-02-25T11:39:15"/>
        <d v="2025-02-25T11:44:08"/>
        <d v="2025-02-25T11:51:46"/>
        <d v="2025-02-25T12:05:18"/>
        <d v="2025-02-25T12:31:26"/>
        <d v="2025-02-25T12:34:07"/>
        <d v="2025-02-25T13:11:23"/>
        <d v="2025-02-25T13:29:18"/>
        <d v="2025-02-25T15:28:02"/>
        <d v="2025-02-25T15:47:19"/>
        <d v="2025-02-25T15:48:01"/>
        <d v="2025-02-25T16:06:50"/>
        <d v="2025-02-25T16:49:07"/>
        <d v="2025-02-25T17:24:58"/>
        <d v="2025-02-25T17:38:00"/>
        <d v="2025-02-25T17:56:36"/>
        <d v="2025-02-25T18:12:28"/>
        <d v="2025-02-25T18:29:38"/>
        <d v="2025-02-25T18:44:57"/>
        <d v="2025-02-25T19:30:22"/>
        <d v="2025-02-25T19:34:54"/>
        <d v="2025-02-25T20:53:52"/>
        <d v="2025-02-25T23:02:17"/>
        <d v="2025-02-26T00:53:25"/>
        <d v="2025-02-26T02:37:06"/>
        <d v="2025-02-26T06:54:30"/>
        <d v="2025-02-26T08:15:03"/>
        <d v="2025-02-26T08:17:24"/>
        <d v="2025-02-26T09:13:33"/>
        <d v="2025-02-26T11:29:26"/>
        <d v="2025-02-26T11:51:38"/>
        <d v="2025-02-26T15:37:55"/>
        <d v="2025-02-26T15:58:15"/>
        <d v="2025-02-26T16:06:55"/>
        <d v="2025-02-26T16:49:13"/>
        <d v="2025-02-26T18:54:39"/>
        <d v="2025-02-26T20:19:57"/>
        <d v="2025-02-27T00:17:32"/>
        <d v="2025-02-27T07:01:20"/>
        <d v="2025-02-27T10:30:28"/>
        <d v="2025-02-27T10:54:35"/>
        <d v="2025-02-27T11:16:37"/>
        <d v="2025-02-27T12:07:03"/>
        <d v="2025-02-27T12:14:36"/>
        <d v="2025-02-27T12:27:48"/>
        <d v="2025-02-27T13:24:39"/>
        <d v="2025-02-27T14:34:25"/>
        <d v="2025-02-27T15:01:11"/>
        <d v="2025-02-27T15:59:29"/>
        <d v="2025-02-27T16:12:14"/>
        <d v="2025-02-27T17:40:25"/>
        <d v="2025-02-27T17:48:41"/>
        <d v="2025-02-27T18:22:36"/>
        <d v="2025-02-27T18:48:58"/>
        <d v="2025-02-27T19:09:57"/>
        <d v="2025-02-27T21:28:08"/>
        <d v="2025-02-27T21:52:53"/>
        <d v="2025-02-27T21:53:10"/>
        <d v="2025-02-27T23:14:06"/>
        <d v="2025-02-28T02:59:52"/>
        <d v="2025-02-28T07:30:58"/>
        <d v="2025-02-28T09:10:41"/>
        <d v="2025-02-28T09:36:35"/>
        <d v="2025-02-28T09:41:10"/>
        <d v="2025-02-28T09:47:10"/>
        <d v="2025-02-28T10:08:18"/>
        <d v="2025-02-28T11:20:52"/>
        <d v="2025-02-28T11:46:23"/>
        <d v="2025-02-28T12:10:07"/>
        <d v="2025-02-28T12:21:18"/>
        <d v="2025-02-28T12:23:55"/>
        <d v="2025-02-28T12:26:42"/>
        <d v="2025-02-28T12:36:29"/>
        <d v="2025-02-28T12:56:21"/>
        <d v="2025-02-28T13:13:49"/>
        <d v="2025-02-28T14:24:47"/>
        <d v="2025-02-28T14:39:36"/>
        <d v="2025-02-28T15:20:32"/>
        <d v="2025-02-28T16:27:32"/>
        <d v="2025-02-28T16:49:15"/>
        <d v="2025-02-28T17:56:35"/>
        <d v="2025-02-28T18:55:44"/>
        <d v="2025-03-01T20:39:13"/>
        <d v="2025-03-02T11:36:51"/>
        <d v="2025-03-02T14:11:13"/>
        <d v="2025-03-02T17:51:45"/>
        <d v="2025-03-02T20:00:28"/>
        <d v="2025-03-03T07:29:35"/>
        <d v="2025-03-03T10:17:13"/>
        <d v="2025-03-03T10:26:59"/>
        <d v="2025-03-03T21:55:49"/>
        <d v="2025-03-05T06:29:27"/>
        <d v="2025-03-05T14:53:55"/>
        <d v="2025-03-06T08:32:06"/>
        <d v="2025-03-06T12:26:24"/>
        <d v="2025-03-07T00:47:43"/>
        <d v="2025-03-07T08:41:50"/>
        <d v="2025-03-07T15:19:37"/>
        <d v="2025-03-08T05:04:28"/>
        <d v="2025-03-08T07:46:57"/>
        <d v="2025-03-08T14:11:11"/>
        <d v="2025-03-10T14:26:25"/>
        <d v="2025-03-10T19:14:12"/>
        <d v="2025-03-11T12:22:36"/>
        <d v="2025-03-12T13:38:11"/>
        <d v="2025-03-14T16:44:34"/>
        <d v="2025-03-14T17:38:57"/>
        <d v="2025-03-16T11:56:21"/>
        <d v="2025-03-16T16:43:04"/>
        <d v="2025-03-17T00:00:12"/>
        <d v="2025-03-17T15:56:36"/>
        <d v="2025-03-17T17:41:08"/>
        <d v="2025-03-17T19:47:50"/>
        <d v="2025-03-18T04:46:38"/>
        <d v="2025-03-18T08:42:57"/>
        <d v="2025-03-19T13:24:08"/>
        <d v="2025-03-19T14:37:13"/>
        <d v="2025-03-19T17:14:13"/>
        <d v="2025-03-19T20:34:15"/>
        <d v="2025-03-20T05:37:59"/>
        <d v="2025-03-20T15:04:18"/>
        <d v="2025-03-20T17:23:27"/>
        <d v="2025-03-22T12:49:10"/>
        <d v="2025-03-22T14:22:55"/>
        <d v="2025-03-23T19:04:27"/>
        <d v="2025-03-23T22:38:13"/>
        <d v="2025-03-24T02:44:04"/>
        <d v="2025-03-24T10:10:21"/>
        <d v="2025-03-24T12:09:49"/>
        <d v="2025-03-25T02:07:08"/>
        <d v="2025-03-25T08:28:35"/>
        <d v="2025-03-25T10:15:13"/>
        <d v="2025-03-25T11:11:17"/>
        <d v="2025-03-25T11:18:38"/>
        <d v="2025-03-25T11:20:36"/>
        <d v="2025-03-25T11:28:16"/>
        <d v="2025-03-25T11:55:10"/>
        <d v="2025-03-25T12:10:37"/>
        <d v="2025-03-25T13:00:46"/>
        <d v="2025-03-25T14:19:42"/>
        <d v="2025-03-25T14:36:32"/>
        <d v="2025-03-25T14:58:42"/>
        <d v="2025-03-25T16:46:21"/>
        <d v="2025-03-25T17:05:53"/>
        <d v="2025-03-25T20:39:30"/>
        <d v="2025-03-25T21:43:53"/>
        <d v="2025-03-26T02:41:34"/>
        <d v="2025-03-26T05:29:07"/>
        <d v="2025-03-26T10:10:52"/>
        <d v="2025-03-26T10:39:24"/>
        <d v="2025-03-26T11:00:07"/>
        <d v="2025-03-26T11:29:47"/>
        <d v="2025-03-26T12:33:21"/>
        <d v="2025-03-26T13:03:48"/>
        <d v="2025-03-26T15:05:29"/>
        <d v="2025-03-26T15:59:44"/>
        <d v="2025-03-26T17:39:04"/>
        <d v="2025-03-26T20:59:51"/>
        <d v="2025-03-26T22:10:07"/>
        <d v="2025-03-27T03:30:28"/>
        <d v="2025-03-27T08:51:20"/>
        <d v="2025-03-27T09:36:32"/>
        <d v="2025-03-27T09:45:20"/>
        <d v="2025-03-27T10:24:28"/>
        <d v="2025-03-27T10:56:05"/>
        <d v="2025-03-27T12:22:29"/>
        <d v="2025-03-27T12:57:59"/>
        <d v="2025-03-27T13:32:57"/>
        <d v="2025-03-27T15:42:28"/>
        <d v="2025-03-27T15:48:59"/>
        <d v="2025-03-27T16:07:31"/>
        <d v="2025-03-27T18:47:28"/>
        <d v="2025-03-27T23:21:55"/>
        <d v="2025-03-28T01:50:50"/>
        <d v="2025-03-28T03:27:53"/>
        <d v="2025-03-28T09:09:11"/>
        <d v="2025-03-28T09:54:01"/>
        <d v="2025-03-28T10:06:24"/>
        <d v="2025-03-28T11:06:45"/>
        <d v="2025-03-28T11:10:01"/>
        <d v="2025-03-28T15:36:23"/>
        <d v="2025-03-28T15:47:04"/>
        <d v="2025-03-28T17:16:06"/>
        <d v="2025-03-28T17:18:50"/>
        <d v="2025-03-28T19:00:14"/>
        <d v="2025-03-28T20:29:38"/>
        <d v="2025-03-28T21:18:31"/>
        <d v="2025-03-29T06:54:12"/>
        <d v="2025-03-29T07:14:02"/>
        <d v="2025-03-29T08:59:27"/>
        <d v="2025-03-29T10:03:35"/>
        <d v="2025-03-29T10:38:28"/>
        <d v="2025-03-29T10:40:23"/>
        <d v="2025-03-29T11:40:33"/>
        <d v="2025-03-29T12:02:58"/>
        <d v="2025-03-29T13:11:56"/>
        <d v="2025-03-29T17:03:00"/>
        <d v="2025-03-29T19:05:48"/>
        <d v="2025-03-30T02:47:26"/>
        <d v="2025-03-30T03:35:19"/>
        <d v="2025-03-30T09:24:59"/>
        <d v="2025-03-30T10:41:59"/>
        <d v="2025-03-30T10:43:54"/>
        <d v="2025-03-30T11:04:03"/>
        <d v="2025-03-30T11:13:59"/>
        <d v="2025-03-30T11:53:58"/>
        <d v="2025-03-30T12:27:54"/>
        <d v="2025-03-30T12:59:20"/>
        <d v="2025-03-30T13:14:28"/>
        <d v="2025-03-30T13:47:22"/>
        <d v="2025-03-30T15:15:13"/>
        <d v="2025-03-30T15:21:33"/>
        <d v="2025-03-30T15:26:01"/>
        <d v="2025-03-30T17:45:13"/>
        <d v="2025-03-30T18:33:03"/>
        <d v="2025-03-30T20:34:03"/>
        <d v="2025-03-30T23:12:39"/>
        <d v="2025-03-31T02:09:48"/>
        <d v="2025-03-31T06:18:30"/>
        <d v="2025-03-31T07:42:08"/>
        <d v="2025-03-31T08:27:40"/>
        <d v="2025-03-31T11:42:10"/>
        <d v="2025-03-31T13:06:33"/>
        <d v="2025-03-31T13:32:16"/>
        <d v="2025-03-31T14:10:01"/>
        <d v="2025-03-31T14:47:12"/>
        <d v="2025-03-31T15:26:51"/>
        <d v="2025-03-31T15:38:18"/>
        <d v="2025-03-31T17:05:48"/>
        <d v="2025-03-31T18:02:22"/>
        <d v="2025-03-31T23:29:50"/>
        <d v="2025-03-31T23:43:44"/>
        <d v="2025-04-02T03:35:33"/>
        <d v="2025-04-02T09:36:34"/>
        <d v="2025-04-03T12:22:23"/>
        <d v="2025-04-03T18:05:52"/>
        <d v="2025-04-03T20:32:29"/>
        <d v="2025-04-04T12:33:20"/>
        <d v="2025-04-04T20:33:59"/>
        <d v="2025-04-04T22:33:30"/>
        <d v="2025-04-05T06:07:51"/>
        <d v="2025-04-05T14:58:28"/>
        <d v="2025-04-05T19:48:44"/>
        <d v="2025-04-06T13:42:00"/>
        <d v="2025-04-06T16:46:15"/>
        <d v="2025-04-07T11:34:14"/>
        <d v="2025-04-07T18:44:32"/>
        <d v="2025-04-09T10:28:39"/>
        <d v="2025-04-10T05:25:55"/>
        <d v="2025-04-11T16:01:38"/>
        <d v="2025-04-11T19:40:50"/>
        <d v="2025-04-12T07:44:39"/>
        <d v="2025-04-12T09:46:06"/>
        <d v="2025-04-12T18:49:00"/>
        <d v="2025-04-13T09:24:45"/>
        <d v="2025-04-13T18:39:52"/>
        <d v="2025-04-13T22:54:10"/>
        <d v="2025-04-14T09:09:51"/>
        <d v="2025-04-14T12:09:40"/>
        <d v="2025-04-14T15:07:16"/>
        <d v="2025-04-14T18:43:20"/>
        <d v="2025-04-14T20:42:29"/>
        <d v="2025-04-15T14:40:28"/>
        <d v="2025-04-16T04:01:18"/>
        <d v="2025-04-17T06:30:51"/>
        <d v="2025-04-17T07:43:55"/>
        <d v="2025-04-18T08:39:25"/>
        <d v="2025-04-20T20:30:18"/>
        <d v="2025-04-22T11:44:26"/>
        <d v="2025-04-24T13:13:24"/>
        <d v="2025-04-25T00:05:56"/>
        <d v="2025-04-25T00:19:40"/>
        <d v="2025-04-25T02:15:01"/>
        <d v="2025-04-25T02:23:17"/>
        <d v="2025-04-25T04:38:23"/>
        <d v="2025-04-25T04:45:58"/>
        <d v="2025-04-25T05:46:26"/>
        <d v="2025-04-25T08:02:16"/>
        <d v="2025-04-25T08:17:50"/>
        <d v="2025-04-25T08:48:47"/>
        <d v="2025-04-25T10:24:48"/>
        <d v="2025-04-25T10:52:31"/>
        <d v="2025-04-25T11:03:04"/>
        <d v="2025-04-25T12:29:57"/>
        <d v="2025-04-25T13:08:00"/>
        <d v="2025-04-25T14:25:21"/>
        <d v="2025-04-25T14:50:22"/>
        <d v="2025-04-25T14:56:57"/>
        <d v="2025-04-25T15:03:03"/>
        <d v="2025-04-25T15:28:47"/>
        <d v="2025-04-25T15:39:31"/>
        <d v="2025-04-25T15:43:21"/>
        <d v="2025-04-25T15:52:59"/>
        <d v="2025-04-25T16:33:14"/>
        <d v="2025-04-25T18:05:22"/>
        <d v="2025-04-25T18:19:30"/>
        <d v="2025-04-25T19:56:04"/>
        <d v="2025-04-25T22:00:40"/>
        <d v="2025-04-25T23:08:54"/>
        <d v="2025-04-26T11:49:44"/>
        <d v="2025-04-26T12:41:30"/>
        <d v="2025-04-26T13:08:33"/>
        <d v="2025-04-26T13:38:50"/>
        <d v="2025-04-26T14:41:22"/>
        <d v="2025-04-26T17:27:33"/>
        <d v="2025-04-26T17:28:31"/>
        <d v="2025-04-26T18:51:54"/>
        <d v="2025-04-26T18:53:02"/>
        <d v="2025-04-26T19:16:19"/>
        <d v="2025-04-26T19:17:59"/>
        <d v="2025-04-26T20:34:58"/>
        <d v="2025-04-26T20:56:03"/>
        <d v="2025-04-26T23:24:13"/>
        <d v="2025-04-27T00:48:02"/>
        <d v="2025-04-27T03:08:14"/>
        <d v="2025-04-27T06:47:10"/>
        <d v="2025-04-27T07:15:16"/>
        <d v="2025-04-27T09:18:14"/>
        <d v="2025-04-27T09:27:03"/>
        <d v="2025-04-27T10:44:46"/>
        <d v="2025-04-27T11:11:27"/>
        <d v="2025-04-27T12:00:04"/>
        <d v="2025-04-27T12:06:12"/>
        <d v="2025-04-27T12:12:26"/>
        <d v="2025-04-27T12:23:48"/>
        <d v="2025-04-27T12:32:00"/>
        <d v="2025-04-27T14:03:09"/>
        <d v="2025-04-27T14:24:00"/>
        <d v="2025-04-27T14:35:07"/>
        <d v="2025-04-27T15:31:03"/>
        <d v="2025-04-27T17:07:55"/>
        <d v="2025-04-27T17:10:57"/>
        <d v="2025-04-27T17:38:57"/>
        <d v="2025-04-27T18:08:48"/>
        <d v="2025-04-27T21:01:31"/>
        <d v="2025-04-27T21:53:23"/>
        <d v="2025-04-27T22:10:11"/>
        <d v="2025-04-28T01:08:36"/>
        <d v="2025-04-28T01:19:06"/>
        <d v="2025-04-28T04:15:01"/>
        <d v="2025-04-28T10:24:33"/>
        <d v="2025-04-28T10:56:05"/>
        <d v="2025-04-28T12:54:26"/>
        <d v="2025-04-28T13:12:46"/>
        <d v="2025-04-28T14:59:07"/>
        <d v="2025-04-28T17:33:31"/>
        <d v="2025-04-28T17:54:50"/>
        <d v="2025-04-28T20:06:58"/>
        <d v="2025-04-28T21:45:44"/>
        <d v="2025-04-29T01:09:25"/>
        <d v="2025-04-29T03:12:33"/>
        <d v="2025-04-29T07:47:14"/>
        <d v="2025-04-29T10:12:49"/>
        <d v="2025-04-29T12:11:48"/>
        <d v="2025-04-29T12:13:10"/>
        <d v="2025-04-29T12:23:24"/>
        <d v="2025-04-29T13:31:08"/>
        <d v="2025-04-29T13:33:35"/>
        <d v="2025-04-29T14:01:08"/>
        <d v="2025-04-29T15:16:49"/>
        <d v="2025-04-29T15:44:01"/>
        <d v="2025-04-29T15:50:50"/>
        <d v="2025-04-29T16:51:44"/>
        <d v="2025-04-29T17:30:53"/>
        <d v="2025-04-29T17:37:16"/>
        <d v="2025-04-29T19:47:19"/>
        <d v="2025-04-29T20:04:38"/>
        <d v="2025-04-29T21:44:54"/>
        <d v="2025-04-30T04:38:28"/>
        <d v="2025-04-30T07:26:00"/>
        <d v="2025-04-30T08:22:12"/>
        <d v="2025-04-30T08:54:40"/>
        <d v="2025-04-30T12:14:25"/>
        <d v="2025-04-30T12:15:27"/>
        <d v="2025-04-30T12:47:54"/>
        <d v="2025-04-30T13:22:39"/>
        <d v="2025-04-30T16:23:08"/>
        <d v="2025-04-30T16:42:50"/>
        <d v="2025-04-30T16:57:57"/>
        <d v="2025-04-30T17:37:32"/>
        <d v="2025-04-30T18:46:04"/>
        <d v="2025-04-30T22:53:34"/>
        <d v="2025-04-30T23:29:08"/>
        <d v="2025-05-01T10:11:44"/>
        <d v="2025-05-01T19:01:45"/>
        <d v="2025-05-02T19:00:25"/>
        <d v="2025-05-04T11:19:31"/>
        <d v="2025-05-04T18:39:14"/>
        <d v="2025-05-05T11:07:09"/>
        <d v="2025-05-05T16:03:07"/>
        <d v="2025-05-05T22:03:55"/>
        <d v="2025-05-06T15:44:07"/>
        <d v="2025-05-06T19:20:35"/>
        <d v="2025-05-07T09:38:41"/>
        <d v="2025-05-07T10:11:19"/>
        <d v="2025-05-07T15:18:35"/>
        <d v="2025-05-08T07:39:30"/>
        <d v="2025-05-08T18:21:20"/>
        <d v="2025-05-09T11:25:57"/>
        <d v="2025-05-09T12:51:11"/>
        <d v="2025-05-09T15:40:17"/>
        <d v="2025-05-09T19:45:27"/>
        <d v="2025-05-10T15:57:12"/>
        <d v="2025-05-11T06:44:59"/>
        <d v="2025-05-11T09:16:55"/>
        <d v="2025-05-11T10:50:58"/>
        <d v="2025-05-11T14:02:08"/>
        <d v="2025-05-15T14:16:52"/>
        <d v="2025-05-15T20:45:06"/>
        <d v="2025-05-16T09:19:09"/>
        <d v="2025-05-16T14:23:24"/>
        <d v="2025-05-17T07:18:23"/>
        <d v="2025-05-17T09:42:51"/>
        <d v="2025-05-17T10:42:17"/>
        <d v="2025-05-17T10:48:46"/>
        <d v="2025-05-18T21:33:03"/>
        <d v="2025-05-19T18:19:16"/>
        <d v="2025-05-20T10:04:03"/>
        <d v="2025-05-21T00:35:40"/>
        <d v="2025-05-22T02:47:47"/>
        <d v="2025-05-23T17:32:06"/>
        <d v="2025-05-24T12:16:52"/>
        <d v="2025-05-24T17:18:59"/>
        <d v="2025-05-25T00:56:06"/>
        <d v="2025-05-25T03:16:03"/>
        <d v="2025-05-25T08:08:14"/>
        <d v="2025-05-25T08:26:54"/>
        <d v="2025-05-25T09:57:56"/>
        <d v="2025-05-25T11:40:56"/>
        <d v="2025-05-25T13:58:11"/>
        <d v="2025-05-25T14:07:53"/>
        <d v="2025-05-25T14:50:21"/>
        <d v="2025-05-25T15:28:25"/>
        <d v="2025-05-25T15:50:48"/>
        <d v="2025-05-25T19:39:52"/>
        <d v="2025-05-25T20:46:09"/>
        <d v="2025-05-25T21:26:10"/>
        <d v="2025-05-25T23:06:13"/>
        <d v="2025-05-26T10:15:11"/>
        <d v="2025-05-26T11:09:22"/>
        <d v="2025-05-26T12:23:52"/>
        <d v="2025-05-26T14:32:42"/>
        <d v="2025-05-26T14:58:37"/>
        <d v="2025-05-26T14:59:42"/>
        <d v="2025-05-26T15:38:32"/>
        <d v="2025-05-26T16:39:47"/>
        <d v="2025-05-26T17:50:27"/>
        <d v="2025-05-26T19:07:13"/>
        <d v="2025-05-26T19:21:06"/>
        <d v="2025-05-26T22:41:59"/>
        <d v="2025-05-27T01:20:43"/>
        <d v="2025-05-27T05:21:21"/>
        <d v="2025-05-27T07:03:48"/>
        <d v="2025-05-27T09:10:56"/>
        <d v="2025-05-27T10:55:58"/>
        <d v="2025-05-27T11:25:53"/>
        <d v="2025-05-27T11:41:31"/>
        <d v="2025-05-27T11:42:32"/>
        <d v="2025-05-27T12:28:55"/>
        <d v="2025-05-27T12:30:25"/>
        <d v="2025-05-27T12:33:30"/>
        <d v="2025-05-27T13:23:23"/>
        <d v="2025-05-27T13:54:29"/>
        <d v="2025-05-27T14:50:44"/>
        <d v="2025-05-27T15:01:40"/>
        <d v="2025-05-27T15:06:23"/>
        <d v="2025-05-27T15:56:19"/>
        <d v="2025-05-27T17:19:58"/>
        <d v="2025-05-27T17:34:30"/>
        <d v="2025-05-27T18:03:58"/>
        <d v="2025-05-28T10:17:54"/>
        <d v="2025-05-28T10:23:30"/>
        <d v="2025-05-28T11:44:49"/>
        <d v="2025-05-28T12:53:01"/>
        <d v="2025-05-28T13:39:30"/>
        <d v="2025-05-28T14:31:53"/>
        <d v="2025-05-28T14:58:19"/>
        <d v="2025-05-28T15:55:15"/>
        <d v="2025-05-28T18:01:55"/>
        <d v="2025-05-28T18:34:22"/>
        <d v="2025-05-28T21:43:51"/>
        <d v="2025-05-28T22:23:54"/>
        <d v="2025-05-29T03:44:21"/>
        <d v="2025-05-29T05:23:45"/>
        <d v="2025-05-29T09:54:02"/>
        <d v="2025-05-29T09:56:26"/>
        <d v="2025-05-29T10:14:45"/>
        <d v="2025-05-29T13:48:42"/>
        <d v="2025-05-29T14:15:23"/>
        <d v="2025-05-29T14:28:13"/>
        <d v="2025-05-29T17:00:56"/>
        <d v="2025-05-29T17:04:32"/>
        <d v="2025-05-29T17:25:23"/>
        <d v="2025-05-29T17:37:09"/>
        <d v="2025-05-29T17:56:16"/>
        <d v="2025-05-29T19:28:45"/>
        <d v="2025-05-29T21:07:38"/>
        <d v="2025-05-29T22:45:22"/>
        <d v="2025-05-30T02:09:00"/>
        <d v="2025-05-30T05:07:02"/>
        <d v="2025-05-30T07:14:19"/>
        <d v="2025-05-30T10:08:58"/>
        <d v="2025-05-30T11:06:15"/>
        <d v="2025-05-30T11:46:00"/>
        <d v="2025-05-30T12:36:16"/>
        <d v="2025-05-30T12:37:42"/>
        <d v="2025-05-30T12:47:41"/>
        <d v="2025-05-30T13:44:16"/>
        <d v="2025-05-30T13:57:45"/>
        <d v="2025-05-30T14:58:45"/>
        <d v="2025-05-30T15:01:31"/>
        <d v="2025-05-30T17:07:53"/>
        <d v="2025-05-30T18:58:57"/>
        <d v="2025-05-30T19:22:48"/>
        <d v="2025-05-30T19:39:41"/>
        <d v="2025-05-30T21:58:57"/>
        <d v="2025-05-31T08:24:36"/>
        <d v="2025-05-31T10:44:42"/>
        <d v="2025-05-31T10:47:04"/>
        <d v="2025-05-31T11:08:53"/>
        <d v="2025-05-31T11:39:13"/>
        <d v="2025-05-31T12:03:02"/>
        <d v="2025-05-31T13:08:25"/>
        <d v="2025-05-31T13:57:30"/>
        <d v="2025-05-31T15:38:40"/>
        <d v="2025-05-31T16:20:06"/>
        <d v="2025-05-31T18:29:09"/>
        <d v="2025-06-01T18:44:28"/>
        <d v="2025-06-02T08:46:57"/>
        <d v="2025-06-02T10:23:16"/>
        <d v="2025-06-03T11:52:27"/>
        <d v="2025-06-04T09:43:25"/>
        <d v="2025-06-04T21:59:45"/>
        <d v="2025-06-06T02:13:24"/>
        <d v="2025-06-06T04:19:16"/>
        <d v="2025-06-06T10:13:25"/>
        <d v="2025-06-06T16:34:42"/>
        <d v="2025-06-07T03:43:05"/>
        <d v="2025-06-07T22:29:19"/>
        <d v="2025-06-08T16:12:44"/>
        <d v="2025-06-09T10:38:47"/>
        <d v="2025-06-09T12:45:52"/>
        <d v="2025-06-09T16:54:47"/>
        <d v="2025-06-11T20:14:10"/>
        <d v="2025-06-13T06:48:49"/>
        <d v="2025-06-13T11:46:01"/>
        <d v="2025-06-13T17:44:28"/>
        <d v="2025-06-15T05:06:16"/>
        <d v="2025-06-15T07:27:54"/>
        <d v="2025-06-17T10:24:18"/>
        <d v="2025-06-17T11:21:50"/>
        <d v="2025-06-19T10:16:44"/>
        <d v="2025-06-19T14:14:20"/>
        <d v="2025-06-19T19:41:06"/>
        <d v="2025-06-20T09:27:44"/>
        <d v="2025-06-20T13:08:36"/>
        <d v="2025-06-21T00:34:49"/>
        <d v="2025-06-21T03:09:05"/>
        <d v="2025-06-21T18:30:17"/>
        <d v="2025-06-22T11:51:05"/>
        <d v="2025-06-22T17:45:14"/>
        <d v="2025-06-24T19:10:39"/>
        <d v="2025-06-25T03:28:12"/>
        <d v="2025-06-25T05:06:18"/>
        <d v="2025-06-25T05:20:24"/>
        <d v="2025-06-25T06:18:50"/>
        <d v="2025-06-25T07:46:16"/>
        <d v="2025-06-25T08:15:20"/>
        <d v="2025-06-25T09:12:10"/>
        <d v="2025-06-25T10:24:15"/>
        <d v="2025-06-25T10:34:27"/>
        <d v="2025-06-25T10:45:01"/>
        <d v="2025-06-25T11:45:03"/>
        <d v="2025-06-25T12:25:53"/>
        <d v="2025-06-25T14:34:15"/>
        <d v="2025-06-25T14:38:04"/>
        <d v="2025-06-25T14:44:51"/>
        <d v="2025-06-25T15:35:13"/>
        <d v="2025-06-25T15:39:03"/>
        <d v="2025-06-25T15:52:42"/>
        <d v="2025-06-25T16:09:47"/>
        <d v="2025-06-25T16:09:48"/>
        <d v="2025-06-25T16:29:51"/>
        <d v="2025-06-25T16:57:39"/>
        <d v="2025-06-25T17:12:47"/>
        <d v="2025-06-25T18:57:54"/>
        <d v="2025-06-25T19:32:53"/>
        <d v="2025-06-26T01:48:01"/>
        <d v="2025-06-26T01:48:46"/>
        <d v="2025-06-26T05:15:00"/>
        <d v="2025-06-26T06:41:20"/>
        <d v="2025-06-26T06:51:48"/>
        <d v="2025-06-26T07:11:38"/>
        <d v="2025-06-26T07:14:59"/>
        <d v="2025-06-26T08:19:41"/>
        <d v="2025-06-26T10:19:20"/>
        <d v="2025-06-26T10:28:16"/>
        <d v="2025-06-26T12:00:44"/>
        <d v="2025-06-26T13:09:08"/>
        <d v="2025-06-26T15:09:51"/>
        <d v="2025-06-26T16:35:35"/>
        <d v="2025-06-26T16:49:40"/>
        <d v="2025-06-26T17:06:32"/>
        <d v="2025-06-26T17:33:00"/>
        <d v="2025-06-26T19:53:57"/>
        <d v="2025-06-27T04:59:31"/>
        <d v="2025-06-27T05:41:46"/>
        <d v="2025-06-27T06:03:53"/>
        <d v="2025-06-27T10:37:42"/>
        <d v="2025-06-27T10:54:47"/>
        <d v="2025-06-27T11:08:19"/>
        <d v="2025-06-27T12:32:20"/>
        <d v="2025-06-27T14:26:41"/>
        <d v="2025-06-27T14:51:47"/>
        <d v="2025-06-27T15:03:10"/>
        <d v="2025-06-27T17:39:46"/>
        <d v="2025-06-27T20:27:07"/>
        <d v="2025-06-27T20:32:17"/>
        <d v="2025-06-27T20:59:06"/>
        <d v="2025-06-28T01:51:31"/>
        <d v="2025-06-28T05:31:29"/>
        <d v="2025-06-28T09:22:18"/>
        <d v="2025-06-28T10:37:30"/>
        <d v="2025-06-28T10:48:02"/>
        <d v="2025-06-28T10:55:07"/>
        <d v="2025-06-28T11:02:39"/>
        <d v="2025-06-28T11:39:09"/>
        <d v="2025-06-28T12:03:37"/>
        <d v="2025-06-28T12:26:14"/>
        <d v="2025-06-28T13:34:01"/>
        <d v="2025-06-28T14:00:32"/>
        <d v="2025-06-28T14:18:35"/>
        <d v="2025-06-28T15:14:57"/>
        <d v="2025-06-28T15:44:44"/>
        <d v="2025-06-28T15:57:18"/>
        <d v="2025-06-28T16:34:03"/>
        <d v="2025-06-28T17:21:15"/>
        <d v="2025-06-28T17:35:45"/>
        <d v="2025-06-28T18:28:08"/>
        <d v="2025-06-29T01:56:04"/>
        <d v="2025-06-29T06:51:41"/>
        <d v="2025-06-29T08:03:24"/>
        <d v="2025-06-29T08:57:45"/>
        <d v="2025-06-29T09:27:01"/>
        <d v="2025-06-29T09:32:57"/>
        <d v="2025-06-29T09:53:16"/>
        <d v="2025-06-29T10:07:36"/>
        <d v="2025-06-29T11:02:17"/>
        <d v="2025-06-29T11:54:27"/>
        <d v="2025-06-29T12:59:46"/>
        <d v="2025-06-29T13:10:08"/>
        <d v="2025-06-29T13:17:06"/>
        <d v="2025-06-29T13:46:53"/>
        <d v="2025-06-29T14:31:48"/>
        <d v="2025-06-29T16:07:56"/>
        <d v="2025-06-29T17:00:40"/>
        <d v="2025-06-29T18:24:39"/>
        <d v="2025-06-29T18:50:47"/>
        <d v="2025-06-29T19:36:57"/>
        <d v="2025-06-29T20:26:26"/>
        <d v="2025-06-29T21:17:18"/>
        <d v="2025-06-29T21:19:34"/>
        <d v="2025-06-30T06:51:56"/>
        <d v="2025-06-30T07:43:08"/>
        <d v="2025-06-30T09:32:53"/>
        <d v="2025-06-30T09:34:53"/>
        <d v="2025-06-30T10:20:16"/>
        <d v="2025-06-30T11:08:33"/>
        <d v="2025-06-30T11:16:51"/>
        <d v="2025-06-30T11:22:49"/>
        <d v="2025-06-30T11:59:50"/>
        <d v="2025-06-30T13:17:28"/>
        <d v="2025-06-30T13:39:52"/>
        <d v="2025-06-30T13:40:53"/>
        <d v="2025-06-30T13:53:05"/>
        <d v="2025-06-30T13:57:30"/>
        <d v="2025-06-30T14:28:25"/>
        <d v="2025-06-30T14:48:35"/>
        <d v="2025-06-30T16:16:03"/>
        <d v="2025-06-30T16:57:02"/>
        <d v="2025-06-30T17:38:00"/>
        <d v="2025-06-30T17:50:43"/>
        <d v="2025-06-30T17:53:35"/>
        <d v="2025-06-30T19:25:47"/>
        <d v="2025-06-30T20:32:17"/>
        <d v="2025-07-01T11:51:44"/>
        <d v="2025-07-01T17:49:15"/>
        <d v="2025-07-02T06:31:35"/>
        <d v="2025-07-02T13:21:04"/>
        <d v="2025-07-04T06:45:50"/>
        <d v="2025-07-04T20:13:35"/>
        <d v="2025-07-04T20:27:48"/>
        <d v="2025-07-05T00:09:28"/>
        <d v="2025-07-05T11:18:00"/>
        <d v="2025-07-06T11:13:09"/>
        <d v="2025-07-07T03:14:24"/>
        <d v="2025-07-07T06:33:39"/>
        <d v="2025-07-07T09:17:46"/>
        <d v="2025-07-07T16:16:59"/>
        <d v="2025-07-07T16:28:00"/>
        <d v="2025-07-07T16:52:10"/>
        <d v="2025-07-09T20:04:01"/>
        <d v="2025-07-10T07:21:28"/>
        <d v="2025-07-11T23:04:08"/>
        <d v="2025-07-12T19:52:20"/>
        <d v="2025-07-14T13:03:12"/>
        <d v="2025-07-14T14:20:16"/>
        <d v="2025-07-14T23:48:51"/>
        <d v="2025-07-15T07:39:15"/>
        <d v="2025-07-15T13:23:32"/>
        <d v="2025-07-16T10:38:08"/>
        <d v="2025-07-17T09:17:42"/>
        <d v="2025-07-17T16:16:10"/>
        <d v="2025-07-19T09:51:59"/>
        <d v="2025-07-19T12:40:50"/>
        <d v="2025-07-20T23:50:13"/>
        <d v="2025-07-21T07:04:48"/>
        <d v="2025-07-21T22:26:34"/>
        <d v="2025-07-22T01:46:36"/>
        <d v="2025-07-22T12:30:07"/>
        <d v="2025-07-23T06:38:12"/>
        <d v="2025-07-23T12:05:19"/>
        <d v="2025-07-23T19:05:10"/>
        <d v="2025-07-25T01:20:10"/>
        <d v="2025-07-25T07:20:44"/>
        <d v="2025-07-25T08:10:53"/>
        <d v="2025-07-25T09:01:48"/>
        <d v="2025-07-25T09:41:23"/>
        <d v="2025-07-25T10:39:29"/>
        <d v="2025-07-25T11:02:52"/>
        <d v="2025-07-25T11:47:56"/>
        <d v="2025-07-25T12:01:09"/>
        <d v="2025-07-25T12:01:29"/>
        <d v="2025-07-25T12:08:19"/>
        <d v="2025-07-25T12:41:37"/>
        <d v="2025-07-25T13:35:00"/>
        <d v="2025-07-25T13:46:33"/>
        <d v="2025-07-25T14:32:34"/>
        <d v="2025-07-25T14:49:46"/>
        <d v="2025-07-25T15:03:25"/>
        <d v="2025-07-25T15:14:05"/>
        <d v="2025-07-25T16:27:59"/>
        <d v="2025-07-25T16:49:16"/>
        <d v="2025-07-25T17:57:23"/>
        <d v="2025-07-25T19:59:40"/>
        <d v="2025-07-25T20:27:41"/>
        <d v="2025-07-25T20:45:56"/>
        <d v="2025-07-25T20:55:56"/>
        <d v="2025-07-26T00:03:29"/>
        <d v="2025-07-26T01:05:35"/>
        <d v="2025-07-26T01:53:54"/>
        <d v="2025-07-26T03:17:32"/>
        <d v="2025-07-26T08:39:50"/>
        <d v="2025-07-26T08:45:07"/>
        <d v="2025-07-26T10:58:55"/>
        <d v="2025-07-26T11:23:16"/>
        <d v="2025-07-26T11:56:21"/>
        <d v="2025-07-26T12:03:53"/>
        <d v="2025-07-26T12:04:41"/>
        <d v="2025-07-26T12:16:10"/>
        <d v="2025-07-26T13:22:18"/>
        <d v="2025-07-26T14:02:25"/>
        <d v="2025-07-26T14:09:06"/>
        <d v="2025-07-26T14:33:29"/>
        <d v="2025-07-26T15:05:46"/>
        <d v="2025-07-26T16:16:04"/>
        <d v="2025-07-26T17:50:04"/>
        <d v="2025-07-26T19:27:29"/>
        <d v="2025-07-27T04:37:54"/>
        <d v="2025-07-27T10:32:34"/>
        <d v="2025-07-27T10:52:16"/>
        <d v="2025-07-27T13:47:33"/>
        <d v="2025-07-27T14:07:59"/>
        <d v="2025-07-27T14:49:44"/>
        <d v="2025-07-27T17:43:53"/>
        <d v="2025-07-27T18:22:15"/>
        <d v="2025-07-27T21:36:47"/>
        <d v="2025-07-28T00:32:33"/>
        <d v="2025-07-28T00:47:48"/>
        <d v="2025-07-28T02:24:38"/>
        <d v="2025-07-28T03:11:17"/>
        <d v="2025-07-28T03:43:08"/>
        <d v="2025-07-28T07:11:10"/>
        <d v="2025-07-28T07:35:10"/>
        <d v="2025-07-28T07:38:05"/>
        <d v="2025-07-28T07:38:09"/>
        <d v="2025-07-28T08:41:13"/>
        <d v="2025-07-28T08:43:02"/>
        <d v="2025-07-28T09:23:31"/>
        <d v="2025-07-28T10:35:38"/>
        <d v="2025-07-28T11:10:45"/>
        <d v="2025-07-28T13:43:57"/>
        <d v="2025-07-28T19:42:01"/>
        <d v="2025-07-28T19:42:47"/>
        <d v="2025-07-28T20:55:21"/>
        <d v="2025-07-28T21:33:10"/>
        <d v="2025-07-29T04:29:02"/>
        <d v="2025-07-29T09:30:40"/>
        <d v="2025-07-29T10:06:54"/>
        <d v="2025-07-29T10:10:47"/>
        <d v="2025-07-29T11:17:55"/>
        <d v="2025-07-29T12:20:09"/>
        <d v="2025-07-29T13:07:04"/>
        <d v="2025-07-29T15:58:16"/>
        <d v="2025-07-29T15:58:37"/>
        <d v="2025-07-29T17:35:08"/>
        <d v="2025-07-29T18:10:13"/>
        <d v="2025-07-29T18:36:18"/>
        <d v="2025-07-30T07:05:48"/>
        <d v="2025-07-30T09:16:05"/>
        <d v="2025-07-30T12:46:08"/>
        <d v="2025-07-30T13:53:54"/>
        <d v="2025-07-30T15:49:13"/>
        <d v="2025-07-30T16:46:15"/>
        <d v="2025-07-30T17:25:06"/>
        <d v="2025-07-30T18:48:39"/>
        <d v="2025-07-30T19:49:41"/>
        <d v="2025-07-30T22:46:11"/>
        <d v="2025-07-31T04:06:25"/>
        <d v="2025-07-31T10:06:53"/>
        <d v="2025-07-31T10:53:58"/>
        <d v="2025-07-31T11:11:58"/>
        <d v="2025-07-31T11:27:29"/>
        <d v="2025-07-31T11:47:33"/>
        <d v="2025-07-31T12:11:40"/>
        <d v="2025-07-31T13:48:33"/>
        <d v="2025-07-31T15:27:40"/>
        <d v="2025-07-31T17:30:28"/>
        <d v="2025-07-31T19:15:29"/>
        <d v="2025-08-01T09:39:16"/>
        <d v="2025-08-01T12:56:50"/>
        <d v="2025-08-01T13:22:41"/>
        <d v="2025-08-01T13:47:32"/>
        <d v="2025-08-01T14:44:03"/>
        <d v="2025-08-04T10:53:05"/>
        <d v="2025-08-04T21:44:00"/>
        <d v="2025-08-05T15:00:52"/>
        <d v="2025-08-06T11:23:30"/>
        <d v="2025-08-08T08:36:04"/>
        <d v="2025-08-08T09:33:55"/>
        <d v="2025-08-08T10:06:30"/>
        <d v="2025-08-08T11:02:38"/>
        <d v="2025-08-08T11:32:49"/>
        <d v="2025-08-08T13:29:33"/>
        <d v="2025-08-08T13:54:25"/>
        <d v="2025-08-08T15:24:50"/>
        <d v="2025-08-08T15:26:19"/>
        <d v="2025-08-08T16:16:14"/>
        <d v="2025-08-09T00:47:44"/>
        <d v="2025-08-09T16:37:12"/>
        <d v="2025-08-10T12:11:22"/>
        <d v="2025-08-10T12:20:02"/>
        <d v="2025-08-12T08:54:30"/>
        <d v="2025-08-12T16:30:29"/>
        <d v="2025-08-14T09:14:34"/>
        <d v="2025-08-16T08:29:32"/>
        <d v="2025-08-17T12:25:28"/>
        <d v="2025-08-17T14:13:29"/>
        <d v="2025-08-17T19:54:41"/>
        <d v="2025-08-18T10:42:35"/>
        <d v="2025-08-20T12:12:58"/>
        <d v="2025-08-21T14:23:48"/>
        <d v="2025-08-21T18:35:49"/>
        <d v="2025-08-22T02:04:37"/>
        <d v="2025-08-22T15:51:34"/>
        <d v="2025-08-22T16:28:04"/>
        <d v="2025-08-23T12:53:33"/>
        <d v="2025-08-23T14:58:58"/>
        <d v="2025-08-25T02:07:34"/>
        <d v="2025-08-25T03:40:17"/>
        <d v="2025-08-25T06:36:44"/>
        <d v="2025-08-25T07:02:14"/>
        <d v="2025-08-25T08:03:44"/>
        <d v="2025-08-25T09:27:09"/>
        <d v="2025-08-25T10:44:48"/>
        <d v="2025-08-25T11:04:48"/>
        <d v="2025-08-25T11:19:22"/>
        <d v="2025-08-25T11:20:05"/>
        <d v="2025-08-25T12:19:55"/>
        <d v="2025-08-25T12:37:33"/>
        <d v="2025-08-25T13:19:01"/>
        <d v="2025-08-25T14:28:32"/>
        <d v="2025-08-25T14:43:29"/>
        <d v="2025-08-25T15:14:57"/>
        <d v="2025-08-25T15:50:59"/>
        <d v="2025-08-25T18:27:11"/>
        <d v="2025-08-25T18:31:47"/>
        <d v="2025-08-25T18:47:41"/>
        <d v="2025-08-25T19:09:58"/>
        <d v="2025-08-25T21:58:06"/>
        <d v="2025-08-25T23:41:45"/>
        <d v="2025-08-26T01:56:09"/>
        <d v="2025-08-26T06:05:00"/>
        <d v="2025-08-26T06:16:24"/>
        <d v="2025-08-26T06:46:28"/>
        <d v="2025-08-26T08:22:54"/>
        <d v="2025-08-26T08:32:57"/>
        <d v="2025-08-26T08:48:39"/>
        <d v="2025-08-26T11:17:42"/>
        <d v="2025-08-26T11:31:44"/>
        <d v="2025-08-26T12:16:17"/>
        <d v="2025-08-26T12:17:32"/>
        <d v="2025-08-26T12:39:47"/>
        <d v="2025-08-26T14:08:29"/>
        <d v="2025-08-26T14:54:16"/>
        <d v="2025-08-26T15:36:19"/>
        <d v="2025-08-26T16:07:52"/>
        <d v="2025-08-26T16:12:22"/>
        <d v="2025-08-26T17:06:52"/>
        <d v="2025-08-26T17:26:03"/>
        <d v="2025-08-26T17:36:29"/>
        <d v="2025-08-27T08:47:17"/>
        <d v="2025-08-27T11:40:12"/>
        <d v="2025-08-27T11:58:50"/>
        <d v="2025-08-27T12:42:46"/>
        <d v="2025-08-27T14:03:41"/>
        <d v="2025-08-27T14:55:22"/>
        <d v="2025-08-27T15:29:57"/>
        <d v="2025-08-27T18:53:30"/>
        <d v="2025-08-27T19:43:06"/>
        <d v="2025-08-27T21:45:23"/>
        <d v="2025-08-28T10:59:38"/>
        <d v="2025-08-28T11:51:57"/>
        <d v="2025-08-28T12:02:37"/>
        <d v="2025-08-28T13:20:00"/>
        <d v="2025-08-28T13:41:18"/>
        <d v="2025-08-28T15:16:17"/>
        <d v="2025-08-28T16:12:38"/>
        <d v="2025-08-28T17:01:39"/>
        <d v="2025-08-28T20:04:15"/>
        <d v="2025-08-28T20:23:45"/>
        <d v="2025-08-28T21:38:32"/>
        <d v="2025-08-29T05:22:31"/>
        <d v="2025-08-29T07:11:16"/>
        <d v="2025-08-29T07:49:02"/>
        <d v="2025-08-29T10:04:43"/>
        <d v="2025-08-29T11:17:09"/>
        <d v="2025-08-29T13:15:12"/>
        <d v="2025-08-29T13:19:14"/>
        <d v="2025-08-29T15:12:32"/>
        <d v="2025-08-29T15:37:05"/>
        <d v="2025-08-29T17:38:59"/>
        <d v="2025-08-29T19:20:45"/>
        <d v="2025-08-29T19:54:35"/>
        <d v="2025-08-30T05:50:27"/>
        <d v="2025-08-30T10:10:22"/>
        <d v="2025-08-30T10:17:14"/>
        <d v="2025-08-30T11:53:52"/>
        <d v="2025-08-30T12:50:46"/>
        <d v="2025-08-30T13:58:11"/>
        <d v="2025-08-30T14:36:32"/>
        <d v="2025-08-30T15:29:15"/>
        <d v="2025-08-30T16:00:49"/>
        <d v="2025-08-30T16:04:50"/>
        <d v="2025-08-30T17:26:41"/>
        <d v="2025-08-30T17:38:25"/>
        <d v="2025-08-30T19:46:42"/>
        <d v="2025-08-30T21:28:32"/>
        <d v="2025-08-31T09:44:13"/>
        <d v="2025-08-31T10:23:54"/>
        <d v="2025-08-31T11:27:22"/>
        <d v="2025-08-31T12:05:35"/>
        <d v="2025-08-31T13:29:58"/>
        <d v="2025-08-31T15:56:23"/>
        <d v="2025-08-31T16:25:41"/>
        <d v="2025-08-31T16:50:34"/>
        <d v="2025-08-31T18:19:23"/>
        <d v="2025-08-31T22:52:02"/>
        <d v="2025-09-01T04:35:54"/>
        <d v="2025-09-01T13:18:02"/>
        <d v="2025-09-02T08:04:00"/>
        <d v="2025-09-02T16:45:16"/>
        <d v="2025-09-03T01:26:45"/>
        <d v="2025-09-03T17:01:45"/>
        <d v="2025-09-04T13:08:40"/>
        <d v="2025-09-04T14:31:43"/>
        <d v="2025-09-04T14:44:34"/>
        <d v="2025-09-06T12:15:14"/>
        <d v="2025-09-06T12:29:17"/>
        <d v="2025-09-06T13:18:36"/>
        <d v="2025-09-07T11:44:40"/>
        <d v="2025-09-07T13:19:54"/>
        <d v="2025-09-08T18:12:24"/>
        <d v="2025-09-09T15:17:27"/>
        <d v="2025-09-09T16:10:56"/>
        <d v="2025-09-09T16:17:09"/>
        <d v="2025-09-09T21:06:49"/>
        <d v="2025-09-09T22:06:37"/>
        <d v="2025-09-09T23:47:33"/>
        <d v="2025-09-11T08:04:27"/>
        <d v="2025-09-12T08:30:22"/>
        <d v="2025-09-13T09:46:06"/>
        <d v="2025-09-13T12:13:44"/>
        <d v="2025-09-13T15:12:59"/>
        <d v="2025-09-14T02:18:31"/>
        <d v="2025-09-14T03:02:55"/>
        <d v="2025-09-14T07:28:20"/>
        <d v="2025-09-14T09:39:33"/>
        <d v="2025-09-14T13:55:38"/>
        <d v="2025-09-14T14:36:46"/>
        <d v="2025-09-15T16:46:33"/>
        <d v="2025-09-17T10:25:38"/>
        <d v="2025-09-17T14:41:56"/>
        <d v="2025-09-17T21:07:44"/>
        <d v="2025-09-18T09:05:41"/>
        <d v="2025-09-19T02:30:31"/>
        <d v="2025-09-19T20:48:31"/>
        <d v="2025-09-20T11:15:58"/>
        <d v="2025-09-20T22:39:01"/>
        <d v="2025-09-21T02:45:45"/>
        <d v="2025-09-22T07:11:34"/>
        <d v="2025-09-22T13:15:38"/>
        <d v="2025-09-23T22:29:05"/>
        <d v="2025-09-24T06:13:37"/>
        <d v="2025-09-25T07:56:31"/>
        <d v="2025-09-25T09:02:53"/>
        <d v="2025-09-25T09:45:44"/>
        <d v="2025-09-25T10:38:26"/>
        <d v="2025-09-25T10:57:00"/>
        <d v="2025-09-25T11:11:40"/>
        <d v="2025-09-25T11:51:30"/>
        <d v="2025-09-25T11:53:07"/>
        <d v="2025-09-25T12:11:17"/>
        <d v="2025-09-25T13:20:17"/>
        <d v="2025-09-25T13:22:45"/>
        <d v="2025-09-25T13:27:50"/>
        <d v="2025-09-25T14:27:02"/>
        <d v="2025-09-25T15:04:12"/>
        <d v="2025-09-25T15:50:18"/>
        <d v="2025-09-25T16:01:01"/>
        <d v="2025-09-25T17:18:07"/>
        <d v="2025-09-25T17:40:56"/>
        <d v="2025-09-25T17:50:54"/>
        <d v="2025-09-25T19:03:06"/>
        <d v="2025-09-25T19:18:21"/>
        <d v="2025-09-25T21:25:12"/>
        <d v="2025-09-26T00:08:34"/>
        <d v="2025-09-26T00:42:06"/>
        <d v="2025-09-26T08:33:26"/>
        <d v="2025-09-26T08:39:02"/>
        <d v="2025-09-26T09:50:45"/>
        <d v="2025-09-26T11:34:34"/>
        <d v="2025-09-26T12:06:22"/>
        <d v="2025-09-26T12:16:52"/>
        <d v="2025-09-26T13:20:34"/>
        <d v="2025-09-26T13:35:03"/>
        <d v="2025-09-26T17:06:17"/>
        <d v="2025-09-26T17:35:37"/>
        <d v="2025-09-26T19:10:41"/>
        <d v="2025-09-27T06:01:04"/>
        <d v="2025-09-27T07:24:21"/>
        <d v="2025-09-27T09:06:45"/>
        <d v="2025-09-27T11:03:46"/>
        <d v="2025-09-27T11:58:19"/>
        <d v="2025-09-27T14:18:06"/>
        <d v="2025-09-27T15:44:02"/>
        <d v="2025-09-27T16:35:28"/>
        <d v="2025-09-27T17:53:22"/>
        <d v="2025-09-27T18:26:02"/>
        <d v="2025-09-27T18:31:53"/>
        <d v="2025-09-27T19:18:07"/>
        <d v="2025-09-28T07:38:11"/>
        <d v="2025-09-28T08:14:58"/>
        <d v="2025-09-28T08:46:28"/>
        <d v="2025-09-28T09:08:02"/>
        <d v="2025-09-28T10:08:09"/>
        <d v="2025-09-28T10:08:29"/>
        <d v="2025-09-28T11:42:26"/>
        <d v="2025-09-28T13:13:06"/>
        <d v="2025-09-28T13:15:04"/>
        <d v="2025-09-28T13:40:12"/>
        <d v="2025-09-28T15:03:58"/>
        <d v="2025-09-28T16:11:37"/>
        <d v="2025-09-28T18:52:09"/>
        <d v="2025-09-28T19:00:12"/>
        <d v="2025-09-28T19:35:02"/>
        <d v="2025-09-28T20:32:24"/>
        <d v="2025-09-28T21:02:57"/>
        <d v="2025-09-28T21:55:45"/>
        <d v="2025-09-29T06:14:27"/>
        <d v="2025-09-29T06:29:47"/>
        <d v="2025-09-29T06:52:03"/>
        <d v="2025-09-29T07:49:53"/>
        <d v="2025-09-29T07:59:58"/>
        <d v="2025-09-29T12:02:38"/>
        <d v="2025-09-29T14:59:52"/>
        <d v="2025-09-29T15:17:29"/>
        <d v="2025-09-29T15:29:50"/>
        <d v="2025-09-29T16:20:17"/>
        <d v="2025-09-29T19:48:01"/>
        <d v="2025-09-30T06:00:10"/>
        <d v="2025-09-30T06:01:06"/>
        <d v="2025-09-30T08:33:08"/>
        <d v="2025-09-30T10:30:56"/>
        <d v="2025-09-30T13:21:31"/>
        <d v="2025-09-30T13:50:27"/>
        <d v="2025-09-30T14:05:52"/>
        <d v="2025-09-30T14:46:39"/>
        <d v="2025-09-30T15:39:05"/>
        <d v="2025-09-30T17:48:28"/>
        <d v="2025-09-30T20:19:04"/>
        <d v="2025-09-30T20:29:17"/>
        <d v="2025-09-30T20:35:53"/>
        <d v="2025-10-01T00:01:54"/>
        <d v="2025-10-01T08:28:54"/>
        <d v="2025-10-03T09:46:42"/>
        <d v="2025-10-03T14:15:21"/>
        <d v="2025-10-04T15:14:15"/>
        <d v="2025-10-04T18:40:52"/>
        <d v="2025-10-04T21:30:23"/>
        <d v="2025-10-05T12:07:53"/>
        <d v="2025-10-05T14:45:31"/>
        <d v="2025-10-06T03:54:36"/>
        <d v="2025-10-06T10:56:28"/>
        <d v="2025-10-06T15:25:30"/>
        <d v="2025-10-07T14:25:56"/>
        <d v="2025-10-07T17:59:20"/>
        <d v="2025-10-08T16:01:45"/>
        <d v="2025-10-08T17:18:42"/>
        <d v="2025-10-09T03:00:06"/>
        <d v="2025-10-09T15:36:06"/>
        <d v="2025-10-09T15:42:21"/>
        <d v="2025-10-09T20:02:11"/>
        <d v="2025-10-10T07:27:46"/>
        <d v="2025-10-10T08:27:28"/>
        <d v="2025-10-10T10:04:27"/>
        <d v="2025-10-10T11:02:11"/>
        <d v="2025-10-10T13:16:19"/>
        <d v="2025-10-10T14:08:36"/>
        <d v="2025-10-10T18:50:33"/>
        <d v="2025-10-11T02:17:44"/>
        <d v="2025-10-11T15:40:28"/>
        <d v="2025-10-12T15:45:05"/>
        <d v="2025-10-12T18:51:02"/>
        <d v="2025-10-12T19:36:33"/>
        <d v="2025-10-13T11:38:39"/>
        <d v="2025-10-15T01:16:47"/>
        <d v="2025-10-15T16:20:30"/>
        <d v="2025-10-16T07:05:04"/>
        <d v="2025-10-16T17:50:41"/>
        <d v="2025-10-16T18:15:54"/>
        <d v="2025-10-16T21:00:19"/>
        <d v="2025-10-17T12:29:50"/>
        <d v="2025-10-17T13:11:46"/>
        <d v="2025-10-17T19:21:04"/>
        <d v="2025-10-19T14:42:53"/>
        <d v="2025-10-20T12:09:40"/>
        <d v="2025-10-20T16:13:45"/>
        <d v="2025-10-20T17:22:14"/>
        <d v="2025-10-21T06:31:47"/>
        <d v="2025-10-21T15:40:17"/>
        <d v="2025-10-22T10:21:18"/>
        <d v="2025-10-23T13:03:00"/>
        <d v="2025-10-24T09:32:07"/>
        <d v="2025-10-24T13:37:04"/>
        <d v="2025-10-25T03:57:29"/>
        <d v="2025-10-25T04:00:55"/>
        <d v="2025-10-25T06:11:14"/>
        <d v="2025-10-25T06:55:09"/>
        <d v="2025-10-25T08:39:01"/>
        <d v="2025-10-25T09:03:25"/>
        <d v="2025-10-25T09:55:28"/>
        <d v="2025-10-25T10:41:33"/>
        <d v="2025-10-25T10:47:12"/>
        <d v="2025-10-25T11:42:09"/>
        <d v="2025-10-25T12:57:24"/>
        <d v="2025-10-25T13:55:32"/>
        <d v="2025-10-25T14:00:24"/>
        <d v="2025-10-25T14:25:58"/>
        <d v="2025-10-25T14:29:15"/>
        <d v="2025-10-25T14:36:53"/>
        <d v="2025-10-25T14:40:57"/>
        <d v="2025-10-25T15:16:13"/>
        <d v="2025-10-25T15:47:26"/>
        <d v="2025-10-25T16:53:41"/>
        <d v="2025-10-25T17:39:27"/>
        <d v="2025-10-25T18:20:05"/>
        <d v="2025-10-25T18:58:56"/>
        <d v="2025-10-25T19:41:11"/>
        <d v="2025-10-26T10:51:07"/>
        <d v="2025-10-26T11:49:33"/>
        <d v="2025-10-26T12:30:43"/>
        <d v="2025-10-26T12:57:37"/>
        <d v="2025-10-26T12:59:35"/>
        <d v="2025-10-26T13:45:11"/>
        <d v="2025-10-26T13:46:27"/>
        <d v="2025-10-26T14:20:31"/>
        <d v="2025-10-26T16:57:44"/>
        <d v="2025-10-26T17:03:27"/>
        <d v="2025-10-26T21:41:09"/>
        <d v="2025-10-27T06:23:46"/>
        <d v="2025-10-27T07:46:30"/>
        <d v="2025-10-27T09:17:31"/>
        <d v="2025-10-27T10:18:57"/>
        <d v="2025-10-27T11:18:32"/>
        <d v="2025-10-27T11:31:43"/>
        <d v="2025-10-27T11:32:08"/>
        <d v="2025-10-27T12:59:55"/>
        <d v="2025-10-27T13:21:33"/>
        <d v="2025-10-27T13:26:07"/>
        <d v="2025-10-27T14:09:11"/>
        <d v="2025-10-27T15:36:51"/>
        <d v="2025-10-27T16:14:36"/>
        <d v="2025-10-27T16:53:13"/>
        <d v="2025-10-27T19:38:20"/>
        <d v="2025-10-27T21:01:44"/>
        <d v="2025-10-28T00:32:37"/>
        <d v="2025-10-28T01:52:20"/>
        <d v="2025-10-28T08:36:52"/>
        <d v="2025-10-28T09:33:04"/>
        <d v="2025-10-28T09:34:12"/>
        <d v="2025-10-28T09:55:04"/>
        <d v="2025-10-28T10:40:37"/>
        <d v="2025-10-28T11:24:00"/>
        <d v="2025-10-28T11:32:25"/>
        <d v="2025-10-28T11:49:06"/>
        <d v="2025-10-28T13:15:17"/>
        <d v="2025-10-28T15:48:18"/>
        <d v="2025-10-28T16:29:01"/>
        <d v="2025-10-28T16:29:58"/>
        <d v="2025-10-28T18:01:00"/>
        <d v="2025-10-28T18:54:48"/>
        <d v="2025-10-28T21:01:48"/>
        <d v="2025-10-29T10:33:11"/>
        <d v="2025-10-29T10:58:47"/>
        <d v="2025-10-29T11:21:42"/>
        <d v="2025-10-29T12:28:11"/>
        <d v="2025-10-29T12:30:02"/>
        <d v="2025-10-29T13:42:53"/>
        <d v="2025-10-29T13:56:44"/>
        <d v="2025-10-29T14:46:42"/>
        <d v="2025-10-29T15:28:04"/>
        <d v="2025-10-29T16:19:02"/>
        <d v="2025-10-29T17:16:28"/>
        <d v="2025-10-29T17:53:42"/>
        <d v="2025-10-29T18:28:09"/>
        <d v="2025-10-29T22:02:51"/>
        <d v="2025-10-30T01:33:10"/>
        <d v="2025-10-30T06:52:00"/>
        <d v="2025-10-30T08:57:54"/>
        <d v="2025-10-30T09:42:56"/>
        <d v="2025-10-30T09:55:57"/>
        <d v="2025-10-30T13:09:00"/>
        <d v="2025-10-30T13:56:21"/>
        <d v="2025-10-30T14:40:59"/>
        <d v="2025-10-30T14:59:41"/>
        <d v="2025-10-30T16:21:23"/>
        <d v="2025-10-30T16:56:16"/>
        <d v="2025-10-30T17:58:22"/>
        <d v="2025-10-30T19:03:10"/>
        <d v="2025-10-30T19:14:34"/>
        <d v="2025-10-30T22:20:43"/>
        <d v="2025-10-31T06:13:27"/>
        <d v="2025-10-31T08:42:30"/>
        <d v="2025-10-31T08:58:25"/>
        <d v="2025-10-31T09:53:29"/>
        <d v="2025-10-31T12:03:57"/>
        <d v="2025-10-31T12:39:10"/>
        <d v="2025-10-31T14:14:28"/>
        <d v="2025-10-31T14:14:57"/>
        <d v="2025-10-31T14:18:28"/>
        <d v="2025-10-31T15:17:33"/>
        <d v="2025-10-31T15:20:17"/>
        <d v="2025-10-31T15:29:05"/>
        <d v="2025-10-31T17:06:03"/>
        <d v="2025-10-31T17:37:46"/>
        <d v="2025-10-31T21:02:47"/>
        <d v="2025-10-31T21:57:09"/>
        <d v="2025-10-31T23:06:11"/>
        <d v="2025-11-01T10:56:37"/>
        <d v="2025-11-01T17:02:59"/>
        <d v="2025-11-01T18:33:59"/>
        <d v="2025-11-02T06:10:30"/>
        <d v="2025-11-02T13:54:24"/>
        <d v="2025-11-02T14:37:36"/>
        <d v="2025-11-02T15:08:17"/>
        <d v="2025-11-03T10:14:55"/>
        <d v="2025-11-03T11:08:38"/>
        <d v="2025-11-03T13:08:11"/>
        <d v="2025-11-03T16:45:59"/>
        <d v="2025-11-04T10:13:27"/>
        <d v="2025-11-04T10:21:22"/>
        <d v="2025-11-04T12:27:03"/>
        <d v="2025-11-04T15:36:13"/>
        <d v="2025-11-04T16:42:18"/>
        <d v="2025-11-04T17:57:58"/>
        <d v="2025-11-04T19:23:54"/>
        <d v="2025-11-05T17:21:44"/>
        <d v="2025-11-06T03:25:13"/>
        <d v="2025-11-06T13:48:36"/>
        <d v="2025-11-09T11:40:13"/>
        <d v="2025-11-10T12:41:36"/>
        <d v="2025-11-11T06:43:23"/>
        <d v="2025-11-11T14:01:59"/>
        <d v="2025-11-11T15:54:56"/>
        <d v="2025-11-11T15:57:44"/>
        <d v="2025-11-11T18:51:15"/>
        <d v="2025-11-12T10:45:17"/>
        <d v="2025-11-12T21:52:55"/>
        <d v="2025-11-13T19:21:27"/>
        <d v="2025-11-13T21:49:19"/>
        <d v="2025-11-14T05:38:06"/>
        <d v="2025-11-14T16:24:20"/>
        <d v="2025-11-14T18:12:01"/>
        <d v="2025-11-15T08:25:17"/>
        <d v="2025-11-15T16:15:58"/>
        <d v="2025-11-18T01:05:35"/>
        <d v="2025-11-18T09:06:36"/>
        <d v="2025-11-19T19:12:21"/>
        <d v="2025-11-20T12:52:34"/>
        <d v="2025-11-21T05:01:06"/>
        <d v="2025-11-21T08:27:38"/>
        <d v="2025-11-23T08:47:36"/>
        <d v="2025-11-23T10:37:01"/>
        <d v="2025-11-23T19:43:48"/>
        <d v="2025-11-23T21:35:29"/>
        <d v="2025-11-24T08:58:52"/>
        <d v="2025-11-24T09:18:39"/>
        <d v="2025-11-24T09:51:23"/>
        <d v="2025-11-24T10:02:18"/>
        <d v="2025-11-24T19:56:59"/>
        <d v="2025-11-25T01:25:57"/>
        <d v="2025-11-25T07:26:37"/>
        <d v="2025-11-25T09:14:42"/>
        <d v="2025-11-25T09:33:29"/>
        <d v="2025-11-25T10:12:23"/>
        <d v="2025-11-25T10:13:41"/>
        <d v="2025-11-25T10:22:10"/>
        <d v="2025-11-25T10:48:47"/>
        <d v="2025-11-25T11:05:10"/>
        <d v="2025-11-25T11:08:59"/>
        <d v="2025-11-25T11:18:03"/>
        <d v="2025-11-25T11:22:17"/>
        <d v="2025-11-25T12:14:02"/>
        <d v="2025-11-25T12:16:40"/>
        <d v="2025-11-25T13:08:44"/>
        <d v="2025-11-25T13:46:55"/>
        <d v="2025-11-25T13:47:43"/>
        <d v="2025-11-25T13:53:35"/>
        <d v="2025-11-25T14:22:19"/>
        <d v="2025-11-25T14:48:47"/>
        <d v="2025-11-25T15:09:21"/>
        <d v="2025-11-25T15:13:17"/>
        <d v="2025-11-25T15:37:57"/>
        <d v="2025-11-25T15:47:04"/>
        <d v="2025-11-25T16:25:36"/>
        <d v="2025-11-25T16:26:15"/>
        <d v="2025-11-25T16:40:17"/>
        <d v="2025-11-25T16:43:42"/>
        <d v="2025-11-25T16:59:08"/>
        <d v="2025-11-25T18:46:23"/>
        <d v="2025-11-25T18:52:48"/>
        <d v="2025-11-25T19:39:46"/>
        <d v="2025-11-25T23:37:13"/>
        <d v="2025-11-26T00:52:07"/>
        <d v="2025-11-26T01:13:42"/>
        <d v="2025-11-26T01:38:54"/>
        <d v="2025-11-26T08:36:18"/>
        <d v="2025-11-26T09:45:34"/>
        <d v="2025-11-26T11:37:00"/>
        <d v="2025-11-26T11:48:25"/>
        <d v="2025-11-26T13:26:47"/>
        <d v="2025-11-26T15:47:20"/>
        <d v="2025-11-26T16:17:17"/>
        <d v="2025-11-26T17:28:35"/>
        <d v="2025-11-26T20:44:33"/>
        <d v="2025-11-26T21:54:04"/>
        <d v="2025-11-27T08:42:20"/>
        <d v="2025-11-27T09:44:54"/>
        <d v="2025-11-27T10:19:43"/>
        <d v="2025-11-27T10:30:53"/>
        <d v="2025-11-27T10:53:27"/>
        <d v="2025-11-27T11:11:57"/>
        <d v="2025-11-27T12:47:53"/>
        <d v="2025-11-27T13:56:00"/>
        <d v="2025-11-27T14:50:49"/>
        <d v="2025-11-27T15:28:43"/>
        <d v="2025-11-27T16:50:31"/>
        <d v="2025-11-27T17:13:25"/>
        <d v="2025-11-27T17:17:08"/>
        <d v="2025-11-27T17:30:06"/>
        <d v="2025-11-27T17:57:04"/>
        <d v="2025-11-27T21:05:01"/>
        <d v="2025-11-27T21:51:30"/>
        <d v="2025-11-27T22:20:35"/>
        <d v="2025-11-28T00:17:32"/>
        <d v="2025-11-28T02:24:19"/>
        <d v="2025-11-28T07:09:54"/>
        <d v="2025-11-28T08:42:25"/>
        <d v="2025-11-28T09:06:33"/>
        <d v="2025-11-28T09:46:52"/>
        <d v="2025-11-28T09:53:10"/>
        <d v="2025-11-28T11:58:29"/>
        <d v="2025-11-28T12:20:54"/>
        <d v="2025-11-28T12:20:56"/>
        <d v="2025-11-28T13:42:04"/>
        <d v="2025-11-28T14:08:25"/>
        <d v="2025-11-28T14:13:07"/>
        <d v="2025-11-28T14:54:44"/>
        <d v="2025-11-28T16:09:40"/>
        <d v="2025-11-28T20:28:59"/>
        <d v="2025-11-28T21:49:54"/>
        <d v="2025-11-29T06:59:34"/>
        <d v="2025-11-29T08:11:56"/>
        <d v="2025-11-29T09:07:21"/>
        <d v="2025-11-29T09:09:00"/>
        <d v="2025-11-29T09:42:01"/>
        <d v="2025-11-29T13:51:44"/>
        <d v="2025-11-29T15:19:31"/>
        <d v="2025-11-29T15:40:01"/>
        <d v="2025-11-29T18:23:40"/>
        <d v="2025-11-29T18:57:36"/>
        <d v="2025-11-29T19:31:13"/>
        <d v="2025-11-29T23:47:17"/>
        <d v="2025-11-30T07:27:26"/>
        <d v="2025-11-30T09:23:48"/>
        <d v="2025-11-30T10:31:48"/>
        <d v="2025-11-30T11:12:49"/>
        <d v="2025-11-30T11:20:08"/>
        <d v="2025-11-30T12:17:00"/>
        <d v="2025-11-30T13:19:52"/>
        <d v="2025-11-30T15:25:29"/>
        <d v="2025-11-30T15:35:19"/>
        <d v="2025-11-30T17:08:27"/>
        <d v="2025-11-30T17:49:12"/>
        <d v="2025-11-30T18:45:31"/>
        <d v="2025-11-30T19:59:21"/>
        <d v="2025-11-30T20:15:50"/>
        <d v="2025-12-01T13:54:30"/>
        <d v="2025-12-02T07:09:34"/>
        <d v="2025-12-02T15:31:16"/>
        <d v="2025-12-02T17:26:47"/>
        <d v="2025-12-03T16:14:10"/>
        <d v="2025-12-04T09:48:20"/>
        <d v="2025-12-04T11:38:36"/>
        <d v="2025-12-04T13:31:47"/>
        <d v="2025-12-04T13:59:41"/>
        <d v="2025-12-04T16:18:17"/>
        <d v="2025-12-04T21:07:08"/>
        <d v="2025-12-05T10:35:47"/>
        <d v="2025-12-05T16:09:10"/>
        <d v="2025-12-07T07:40:05"/>
        <d v="2025-12-07T08:54:15"/>
        <d v="2025-12-07T09:40:40"/>
        <d v="2025-12-09T10:55:55"/>
        <d v="2025-12-09T13:00:46"/>
        <d v="2025-12-09T14:26:59"/>
        <d v="2025-12-10T02:01:30"/>
        <d v="2025-12-10T09:13:37"/>
        <d v="2025-12-10T11:27:06"/>
        <d v="2025-12-10T17:46:39"/>
        <d v="2025-12-10T17:47:19"/>
        <d v="2025-12-10T18:45:24"/>
        <d v="2025-12-11T10:34:12"/>
        <d v="2025-12-11T16:53:10"/>
        <d v="2025-12-12T01:41:03"/>
        <d v="2025-12-12T06:24:43"/>
        <d v="2025-12-12T10:23:42"/>
        <d v="2025-12-12T11:01:17"/>
        <d v="2025-12-12T11:21:38"/>
        <d v="2025-12-12T12:38:19"/>
        <d v="2025-12-12T12:41:05"/>
        <d v="2025-12-12T12:52:15"/>
        <d v="2025-12-12T15:43:10"/>
        <d v="2025-12-12T16:52:07"/>
        <d v="2025-12-12T21:28:28"/>
        <d v="2025-12-13T14:34:59"/>
        <d v="2025-12-14T10:01:35"/>
        <d v="2025-12-14T15:34:32"/>
        <d v="2025-12-14T18:31:40"/>
        <d v="2025-12-15T02:05:08"/>
        <d v="2025-12-15T03:46:27"/>
        <d v="2025-12-15T10:58:21"/>
        <d v="2025-12-15T12:47:32"/>
        <d v="2025-12-16T13:41:08"/>
        <d v="2025-12-16T14:57:46"/>
        <d v="2025-12-16T15:21:40"/>
        <d v="2025-12-16T16:58:29"/>
        <d v="2025-12-17T09:49:56"/>
        <d v="2025-12-17T10:51:06"/>
        <d v="2025-12-18T16:29:09"/>
        <d v="2025-12-19T13:53:26"/>
        <d v="2025-12-20T06:52:48"/>
        <d v="2025-12-20T12:24:14"/>
        <d v="2025-12-21T10:39:22"/>
        <d v="2025-12-22T11:57:47"/>
        <d v="2025-12-22T18:56:18"/>
        <d v="2025-12-22T19:10:15"/>
        <d v="2025-12-23T10:19:29"/>
        <d v="2025-12-23T11:17:04"/>
        <d v="2025-12-23T14:19:31"/>
        <d v="2025-12-23T15:23:29"/>
        <d v="2025-12-23T18:48:26"/>
        <d v="2025-12-24T10:35:53"/>
        <d v="2025-12-25T00:15:07"/>
        <d v="2025-12-25T01:09:59"/>
        <d v="2025-12-25T01:31:40"/>
        <d v="2025-12-25T01:58:34"/>
        <d v="2025-12-25T02:26:21"/>
        <d v="2025-12-25T02:27:26"/>
        <d v="2025-12-25T02:59:34"/>
        <d v="2025-12-25T06:51:32"/>
        <d v="2025-12-25T07:53:13"/>
        <d v="2025-12-25T08:00:10"/>
        <d v="2025-12-25T08:43:30"/>
        <d v="2025-12-25T09:22:27"/>
        <d v="2025-12-25T09:27:54"/>
        <d v="2025-12-25T09:34:55"/>
        <d v="2025-12-25T09:39:49"/>
        <d v="2025-12-25T10:52:50"/>
        <d v="2025-12-25T11:12:45"/>
        <d v="2025-12-25T11:16:09"/>
        <d v="2025-12-25T11:34:13"/>
        <d v="2025-12-25T11:48:43"/>
        <d v="2025-12-25T12:06:21"/>
        <d v="2025-12-25T12:26:03"/>
        <d v="2025-12-25T13:01:41"/>
        <d v="2025-12-25T13:11:25"/>
        <d v="2025-12-25T13:17:32"/>
        <d v="2025-12-25T13:35:38"/>
        <d v="2025-12-25T13:54:26"/>
        <d v="2025-12-25T14:39:53"/>
        <d v="2025-12-25T15:31:15"/>
        <d v="2025-12-25T15:34:57"/>
        <d v="2025-12-25T15:39:45"/>
        <d v="2025-12-25T16:50:01"/>
        <d v="2025-12-25T17:46:45"/>
        <d v="2025-12-25T18:52:41"/>
        <d v="2025-12-25T18:57:36"/>
        <d v="2025-12-25T19:10:03"/>
        <d v="2025-12-25T20:52:33"/>
        <d v="2025-12-25T21:25:50"/>
        <d v="2025-12-25T21:33:42"/>
        <d v="2025-12-25T21:51:03"/>
        <d v="2025-12-25T22:19:28"/>
        <d v="2025-12-25T22:50:15"/>
        <d v="2025-12-25T23:10:42"/>
        <d v="2025-12-26T02:29:17"/>
        <d v="2025-12-26T03:04:36"/>
        <d v="2025-12-26T04:21:32"/>
        <d v="2025-12-26T07:33:50"/>
        <d v="2025-12-26T08:53:47"/>
        <d v="2025-12-26T11:11:06"/>
        <d v="2025-12-26T11:59:10"/>
        <d v="2025-12-26T12:07:11"/>
        <d v="2025-12-26T15:34:43"/>
        <d v="2025-12-26T15:44:19"/>
        <d v="2025-12-26T16:36:37"/>
        <d v="2025-12-26T16:56:15"/>
        <d v="2025-12-26T17:58:23"/>
        <d v="2025-12-26T22:54:13"/>
        <d v="2025-12-27T00:14:00"/>
        <d v="2025-12-27T02:45:15"/>
        <d v="2025-12-27T08:45:29"/>
        <d v="2025-12-27T09:53:54"/>
        <d v="2025-12-27T10:06:52"/>
        <d v="2025-12-27T11:52:27"/>
        <d v="2025-12-27T12:01:10"/>
        <d v="2025-12-27T12:09:41"/>
        <d v="2025-12-27T12:45:09"/>
        <d v="2025-12-27T14:39:30"/>
        <d v="2025-12-27T15:13:10"/>
        <d v="2025-12-27T16:11:32"/>
        <d v="2025-12-27T18:05:28"/>
        <d v="2025-12-27T18:58:47"/>
        <d v="2025-12-27T21:12:43"/>
        <d v="2025-12-28T00:14:09"/>
        <d v="2025-12-28T01:15:54"/>
        <d v="2025-12-28T01:33:16"/>
        <d v="2025-12-28T04:51:41"/>
        <d v="2025-12-28T09:03:28"/>
        <d v="2025-12-28T09:06:41"/>
        <d v="2025-12-28T10:12:51"/>
        <d v="2025-12-28T10:52:33"/>
        <d v="2025-12-28T12:44:51"/>
        <d v="2025-12-28T13:29:24"/>
        <d v="2025-12-28T14:20:26"/>
        <d v="2025-12-28T15:10:24"/>
        <d v="2025-12-28T16:32:59"/>
        <d v="2025-12-28T17:16:54"/>
        <d v="2025-12-28T17:29:39"/>
        <d v="2025-12-28T21:35:14"/>
        <d v="2025-12-28T21:46:38"/>
        <d v="2025-12-28T21:58:52"/>
        <d v="2025-12-29T03:08:29"/>
        <d v="2025-12-29T05:07:30"/>
        <d v="2025-12-29T08:38:33"/>
        <d v="2025-12-29T13:08:23"/>
        <d v="2025-12-29T13:20:08"/>
        <d v="2025-12-29T13:20:14"/>
        <d v="2025-12-29T13:56:39"/>
        <d v="2025-12-29T14:27:29"/>
        <d v="2025-12-29T15:27:54"/>
        <d v="2025-12-29T15:36:09"/>
        <d v="2025-12-29T15:57:37"/>
        <d v="2025-12-29T16:27:35"/>
        <d v="2025-12-29T17:05:58"/>
        <d v="2025-12-29T18:16:15"/>
        <d v="2025-12-30T00:13:12"/>
        <d v="2025-12-30T03:01:58"/>
        <d v="2025-12-30T07:15:59"/>
        <d v="2025-12-30T10:09:52"/>
        <d v="2025-12-30T10:22:15"/>
        <d v="2025-12-30T11:39:23"/>
        <d v="2025-12-30T12:09:29"/>
        <d v="2025-12-30T12:51:24"/>
        <d v="2025-12-30T12:53:37"/>
        <d v="2025-12-30T13:30:39"/>
        <d v="2025-12-30T13:34:08"/>
        <d v="2025-12-30T13:44:38"/>
        <d v="2025-12-30T13:49:54"/>
        <d v="2025-12-30T15:50:29"/>
        <d v="2025-12-30T15:59:56"/>
        <d v="2025-12-30T16:08:49"/>
        <d v="2025-12-30T17:31:52"/>
        <d v="2025-12-31T01:02:41"/>
        <d v="2025-12-31T01:22:20"/>
        <d v="2025-12-31T03:55:06"/>
        <d v="2025-12-31T04:58:15"/>
        <d v="2025-12-31T07:57:22"/>
        <d v="2025-12-31T10:04:34"/>
        <d v="2025-12-31T10:36:01"/>
        <d v="2025-12-31T10:46:38"/>
        <d v="2025-12-31T10:57:38"/>
        <d v="2025-12-31T11:11:40"/>
        <d v="2025-12-31T13:46:06"/>
        <d v="2025-12-31T14:28:29"/>
        <d v="2025-12-31T16:15:53"/>
        <d v="2025-12-31T17:51:15"/>
        <d v="2025-12-31T21:30:39"/>
        <d v="2025-12-31T21:50:56"/>
        <d v="2025-12-31T22:25:25"/>
      </sharedItems>
      <fieldGroup par="18" base="1">
        <rangePr groupBy="days" startDate="2025-01-01T09:13:36" endDate="2025-12-31T22:25:25"/>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5"/>
        </groupItems>
      </fieldGroup>
    </cacheField>
    <cacheField name="Customer Name" numFmtId="0">
      <sharedItems/>
    </cacheField>
    <cacheField name="City" numFmtId="0">
      <sharedItems count="38">
        <s v="Wamena"/>
        <s v="Palembang"/>
        <s v="Semarang"/>
        <s v="Manado"/>
        <s v="Samarinda"/>
        <s v="Banda Aceh"/>
        <s v="Denpasar"/>
        <s v="Tanjung Selor"/>
        <s v="Kendari"/>
        <s v="Nabire"/>
        <s v="Jambi"/>
        <s v="Surabaya"/>
        <s v="Jayapura"/>
        <s v="Pekanbaru"/>
        <s v="Pontianak"/>
        <s v="Jakarta"/>
        <s v="Manokwari"/>
        <s v="Bengkulu"/>
        <s v="Bandung"/>
        <s v="Yogyakarta"/>
        <s v="Makassar"/>
        <s v="Merauke"/>
        <s v="Palangka Raya"/>
        <s v="Banjarbaru"/>
        <s v="Padang"/>
        <s v="Sofifi"/>
        <s v="Mamuju"/>
        <s v="Ambon"/>
        <s v="Mataram"/>
        <s v="Tanjungpinang"/>
        <s v="Serang"/>
        <s v="Sorong"/>
        <s v="Bandar Lampung"/>
        <s v="Gorontalo"/>
        <s v="Pangkalpinang"/>
        <s v="Medan"/>
        <s v="Kupang"/>
        <s v="Palu"/>
      </sharedItems>
    </cacheField>
    <cacheField name="Product Name" numFmtId="0">
      <sharedItems count="20">
        <s v="Jagung Manis"/>
        <s v="Sawi Hijau"/>
        <s v="Wortel"/>
        <s v="Kol/Kubis"/>
        <s v="Bawang Putih"/>
        <s v="Labu Siam"/>
        <s v="Brokoli"/>
        <s v="Buncis"/>
        <s v="Kentang"/>
        <s v="Cabai Merah"/>
        <s v="Bawang Merah"/>
        <s v="Tomat Merah"/>
        <s v="Terong Ungu"/>
        <s v="Kangkung"/>
        <s v="Cabai Rawit Hijau"/>
        <s v="Bayam"/>
        <s v="Cabai Rawit Merah"/>
        <s v="Kacang Panjang"/>
        <s v="Timun"/>
        <s v="Daun Bawang"/>
      </sharedItems>
    </cacheField>
    <cacheField name="Unit Price" numFmtId="165">
      <sharedItems containsSemiMixedTypes="0" containsString="0" containsNumber="1" containsInteger="1" minValue="9500" maxValue="115000"/>
    </cacheField>
    <cacheField name="Quantity (kg)" numFmtId="166">
      <sharedItems containsSemiMixedTypes="0" containsString="0" containsNumber="1" minValue="0.1" maxValue="4.3"/>
    </cacheField>
    <cacheField name="Discount (%)" numFmtId="1">
      <sharedItems containsSemiMixedTypes="0" containsString="0" containsNumber="1" containsInteger="1" minValue="0" maxValue="5" count="2">
        <n v="5"/>
        <n v="0"/>
      </sharedItems>
    </cacheField>
    <cacheField name="Subtotal" numFmtId="165">
      <sharedItems containsSemiMixedTypes="0" containsString="0" containsNumber="1" minValue="1500" maxValue="161000"/>
    </cacheField>
    <cacheField name="Discount Amount" numFmtId="165">
      <sharedItems containsSemiMixedTypes="0" containsString="0" containsNumber="1" minValue="0" maxValue="7475"/>
    </cacheField>
    <cacheField name="Total Sales" numFmtId="165">
      <sharedItems containsSemiMixedTypes="0" containsString="0" containsNumber="1" minValue="1500" maxValue="161000"/>
    </cacheField>
    <cacheField name="Shipping Fee" numFmtId="165">
      <sharedItems containsSemiMixedTypes="0" containsString="0" containsNumber="1" containsInteger="1" minValue="0" maxValue="97000"/>
    </cacheField>
    <cacheField name="Grand Total" numFmtId="165">
      <sharedItems containsSemiMixedTypes="0" containsString="0" containsNumber="1" minValue="3000" maxValue="235000"/>
    </cacheField>
    <cacheField name="Payment Method" numFmtId="0">
      <sharedItems count="4">
        <s v="Kartu Kredit"/>
        <s v="Transfer Bank"/>
        <s v="COD"/>
        <s v="e-Wallet"/>
      </sharedItems>
    </cacheField>
    <cacheField name="Order Status" numFmtId="0">
      <sharedItems count="5">
        <s v="Completed"/>
        <s v="Returned"/>
        <s v="Cancelled"/>
        <s v="Shipped"/>
        <s v="Pending"/>
      </sharedItems>
    </cacheField>
    <cacheField name="Platform" numFmtId="0">
      <sharedItems count="5">
        <s v="Hijau Mart"/>
        <s v="SayurKota Mart"/>
        <s v="FoodMart"/>
        <s v="Karirnex VegMart App"/>
        <s v="BelanjaSayur App"/>
      </sharedItems>
    </cacheField>
    <cacheField name="Customer Rating" numFmtId="0">
      <sharedItems containsSemiMixedTypes="0" containsString="0" containsNumber="1" containsInteger="1" minValue="1" maxValue="5"/>
    </cacheField>
    <cacheField name="Jenis Kelamin" numFmtId="0">
      <sharedItems count="2">
        <s v="Perempuan"/>
        <s v="Laki-laki"/>
      </sharedItems>
    </cacheField>
    <cacheField name="Months" numFmtId="0" databaseField="0">
      <fieldGroup base="1">
        <rangePr groupBy="months" startDate="2025-01-01T09:13:36" endDate="2025-12-31T22:25:25"/>
        <groupItems count="14">
          <s v="&lt;01/01/2025"/>
          <s v="Jan"/>
          <s v="Feb"/>
          <s v="Mar"/>
          <s v="Apr"/>
          <s v="May"/>
          <s v="Jun"/>
          <s v="Jul"/>
          <s v="Aug"/>
          <s v="Sep"/>
          <s v="Oct"/>
          <s v="Nov"/>
          <s v="Dec"/>
          <s v="&gt;31/12/2025"/>
        </groupItems>
      </fieldGroup>
    </cacheField>
  </cacheFields>
  <extLst>
    <ext xmlns:x14="http://schemas.microsoft.com/office/spreadsheetml/2009/9/main" uri="{725AE2AE-9491-48be-B2B4-4EB974FC3084}">
      <x14:pivotCacheDefinition pivotCacheId="6451803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s v="Zahra Kurniawan"/>
    <x v="0"/>
    <x v="0"/>
    <n v="10000"/>
    <n v="1.1000000000000001"/>
    <x v="0"/>
    <n v="11000"/>
    <n v="550"/>
    <n v="10450"/>
    <n v="15000"/>
    <n v="25450"/>
    <x v="0"/>
    <x v="0"/>
    <x v="0"/>
    <n v="3"/>
    <x v="0"/>
  </r>
  <r>
    <x v="1"/>
    <x v="1"/>
    <s v="Yani Pradipta"/>
    <x v="1"/>
    <x v="1"/>
    <n v="15000"/>
    <n v="0.7"/>
    <x v="0"/>
    <n v="10500"/>
    <n v="525"/>
    <n v="9975"/>
    <n v="17000"/>
    <n v="26975"/>
    <x v="1"/>
    <x v="0"/>
    <x v="1"/>
    <n v="5"/>
    <x v="0"/>
  </r>
  <r>
    <x v="2"/>
    <x v="2"/>
    <s v="Indra Syahputra"/>
    <x v="2"/>
    <x v="2"/>
    <n v="20000"/>
    <n v="0.4"/>
    <x v="0"/>
    <n v="8000"/>
    <n v="400"/>
    <n v="7600"/>
    <n v="76000"/>
    <n v="83600"/>
    <x v="2"/>
    <x v="0"/>
    <x v="2"/>
    <n v="1"/>
    <x v="1"/>
  </r>
  <r>
    <x v="2"/>
    <x v="2"/>
    <s v="Indra Syahputra"/>
    <x v="2"/>
    <x v="3"/>
    <n v="13500"/>
    <n v="0.9"/>
    <x v="0"/>
    <n v="12150"/>
    <n v="607.5"/>
    <n v="11542.5"/>
    <n v="0"/>
    <n v="11542.5"/>
    <x v="2"/>
    <x v="0"/>
    <x v="2"/>
    <n v="1"/>
    <x v="1"/>
  </r>
  <r>
    <x v="3"/>
    <x v="3"/>
    <s v="Yani Nugroho"/>
    <x v="1"/>
    <x v="3"/>
    <n v="13500"/>
    <n v="2.9"/>
    <x v="0"/>
    <n v="39150"/>
    <n v="1957.5"/>
    <n v="37192.5"/>
    <n v="17000"/>
    <n v="54192.5"/>
    <x v="1"/>
    <x v="0"/>
    <x v="1"/>
    <n v="2"/>
    <x v="0"/>
  </r>
  <r>
    <x v="4"/>
    <x v="4"/>
    <s v="Lestari Utami"/>
    <x v="3"/>
    <x v="4"/>
    <n v="40000"/>
    <n v="1.2"/>
    <x v="0"/>
    <n v="48000"/>
    <n v="2400"/>
    <n v="45600"/>
    <n v="93000"/>
    <n v="138600"/>
    <x v="2"/>
    <x v="0"/>
    <x v="3"/>
    <n v="2"/>
    <x v="0"/>
  </r>
  <r>
    <x v="5"/>
    <x v="5"/>
    <s v="Erna Santoso"/>
    <x v="4"/>
    <x v="5"/>
    <n v="10500"/>
    <n v="2.2000000000000002"/>
    <x v="0"/>
    <n v="23100.000000000004"/>
    <n v="1155.0000000000002"/>
    <n v="21945.000000000004"/>
    <n v="43000"/>
    <n v="64945"/>
    <x v="0"/>
    <x v="0"/>
    <x v="1"/>
    <n v="4"/>
    <x v="0"/>
  </r>
  <r>
    <x v="6"/>
    <x v="6"/>
    <s v="Erna Rahmawati"/>
    <x v="5"/>
    <x v="6"/>
    <n v="26000"/>
    <n v="1.2"/>
    <x v="0"/>
    <n v="31200"/>
    <n v="1560"/>
    <n v="29640"/>
    <n v="18000"/>
    <n v="47640"/>
    <x v="1"/>
    <x v="0"/>
    <x v="1"/>
    <n v="5"/>
    <x v="0"/>
  </r>
  <r>
    <x v="7"/>
    <x v="7"/>
    <s v="Erna Setiawan"/>
    <x v="6"/>
    <x v="7"/>
    <n v="14000"/>
    <n v="1.6"/>
    <x v="0"/>
    <n v="22400"/>
    <n v="1120"/>
    <n v="21280"/>
    <n v="80000"/>
    <n v="101280"/>
    <x v="2"/>
    <x v="0"/>
    <x v="2"/>
    <n v="5"/>
    <x v="0"/>
  </r>
  <r>
    <x v="8"/>
    <x v="8"/>
    <s v="Bella Santoso"/>
    <x v="7"/>
    <x v="8"/>
    <n v="17500"/>
    <n v="3.7"/>
    <x v="1"/>
    <n v="64750"/>
    <n v="0"/>
    <n v="64750"/>
    <n v="26000"/>
    <n v="90750"/>
    <x v="3"/>
    <x v="0"/>
    <x v="2"/>
    <n v="2"/>
    <x v="0"/>
  </r>
  <r>
    <x v="9"/>
    <x v="9"/>
    <s v="Joko Halim"/>
    <x v="8"/>
    <x v="0"/>
    <n v="10000"/>
    <n v="2.1"/>
    <x v="1"/>
    <n v="21000"/>
    <n v="0"/>
    <n v="21000"/>
    <n v="59000"/>
    <n v="80000"/>
    <x v="3"/>
    <x v="0"/>
    <x v="2"/>
    <n v="1"/>
    <x v="1"/>
  </r>
  <r>
    <x v="10"/>
    <x v="10"/>
    <s v="Fajar Budiman"/>
    <x v="9"/>
    <x v="9"/>
    <n v="46000"/>
    <n v="1.3"/>
    <x v="1"/>
    <n v="59800"/>
    <n v="0"/>
    <n v="59800"/>
    <n v="89000"/>
    <n v="148800"/>
    <x v="2"/>
    <x v="0"/>
    <x v="3"/>
    <n v="1"/>
    <x v="1"/>
  </r>
  <r>
    <x v="11"/>
    <x v="11"/>
    <s v="Vina Ramadhani"/>
    <x v="10"/>
    <x v="0"/>
    <n v="10000"/>
    <n v="2.5"/>
    <x v="1"/>
    <n v="25000"/>
    <n v="0"/>
    <n v="25000"/>
    <n v="87000"/>
    <n v="112000"/>
    <x v="2"/>
    <x v="1"/>
    <x v="1"/>
    <n v="4"/>
    <x v="0"/>
  </r>
  <r>
    <x v="12"/>
    <x v="12"/>
    <s v="Lestari Setiawan"/>
    <x v="7"/>
    <x v="2"/>
    <n v="20000"/>
    <n v="1.3"/>
    <x v="1"/>
    <n v="26000"/>
    <n v="0"/>
    <n v="26000"/>
    <n v="26000"/>
    <n v="52000"/>
    <x v="2"/>
    <x v="0"/>
    <x v="3"/>
    <n v="4"/>
    <x v="0"/>
  </r>
  <r>
    <x v="13"/>
    <x v="13"/>
    <s v="Aulia Iskandar"/>
    <x v="11"/>
    <x v="10"/>
    <n v="45000"/>
    <n v="0.6"/>
    <x v="1"/>
    <n v="27000"/>
    <n v="0"/>
    <n v="27000"/>
    <n v="74000"/>
    <n v="101000"/>
    <x v="1"/>
    <x v="0"/>
    <x v="4"/>
    <n v="2"/>
    <x v="0"/>
  </r>
  <r>
    <x v="14"/>
    <x v="14"/>
    <s v="Made Setiawan"/>
    <x v="6"/>
    <x v="4"/>
    <n v="40000"/>
    <n v="0.5"/>
    <x v="1"/>
    <n v="20000"/>
    <n v="0"/>
    <n v="20000"/>
    <n v="80000"/>
    <n v="100000"/>
    <x v="0"/>
    <x v="0"/>
    <x v="1"/>
    <n v="2"/>
    <x v="1"/>
  </r>
  <r>
    <x v="15"/>
    <x v="15"/>
    <s v="Qori Fauziah"/>
    <x v="11"/>
    <x v="11"/>
    <n v="15000"/>
    <n v="1.3"/>
    <x v="1"/>
    <n v="19500"/>
    <n v="0"/>
    <n v="19500"/>
    <n v="74000"/>
    <n v="93500"/>
    <x v="2"/>
    <x v="0"/>
    <x v="4"/>
    <n v="4"/>
    <x v="0"/>
  </r>
  <r>
    <x v="16"/>
    <x v="16"/>
    <s v="Lestari Setiawan"/>
    <x v="7"/>
    <x v="11"/>
    <n v="15000"/>
    <n v="0.5"/>
    <x v="1"/>
    <n v="7500"/>
    <n v="0"/>
    <n v="7500"/>
    <n v="26000"/>
    <n v="33500"/>
    <x v="1"/>
    <x v="0"/>
    <x v="2"/>
    <n v="4"/>
    <x v="0"/>
  </r>
  <r>
    <x v="17"/>
    <x v="17"/>
    <s v="Yani Saputra"/>
    <x v="12"/>
    <x v="8"/>
    <n v="17500"/>
    <n v="2.6"/>
    <x v="1"/>
    <n v="45500"/>
    <n v="0"/>
    <n v="45500"/>
    <n v="30000"/>
    <n v="75500"/>
    <x v="3"/>
    <x v="0"/>
    <x v="4"/>
    <n v="2"/>
    <x v="0"/>
  </r>
  <r>
    <x v="18"/>
    <x v="18"/>
    <s v="Qori Halim"/>
    <x v="13"/>
    <x v="3"/>
    <n v="13500"/>
    <n v="1.7"/>
    <x v="1"/>
    <n v="22950"/>
    <n v="0"/>
    <n v="22950"/>
    <n v="49000"/>
    <n v="71950"/>
    <x v="0"/>
    <x v="0"/>
    <x v="1"/>
    <n v="1"/>
    <x v="0"/>
  </r>
  <r>
    <x v="19"/>
    <x v="19"/>
    <s v="Gita Hidayat"/>
    <x v="12"/>
    <x v="4"/>
    <n v="40000"/>
    <n v="1.8"/>
    <x v="1"/>
    <n v="72000"/>
    <n v="0"/>
    <n v="72000"/>
    <n v="30000"/>
    <n v="102000"/>
    <x v="1"/>
    <x v="0"/>
    <x v="1"/>
    <n v="5"/>
    <x v="0"/>
  </r>
  <r>
    <x v="20"/>
    <x v="20"/>
    <s v="Bella Rahmawati"/>
    <x v="8"/>
    <x v="8"/>
    <n v="17500"/>
    <n v="2.6"/>
    <x v="1"/>
    <n v="45500"/>
    <n v="0"/>
    <n v="45500"/>
    <n v="59000"/>
    <n v="104500"/>
    <x v="1"/>
    <x v="1"/>
    <x v="3"/>
    <n v="3"/>
    <x v="0"/>
  </r>
  <r>
    <x v="21"/>
    <x v="21"/>
    <s v="Bella Ramadhani"/>
    <x v="14"/>
    <x v="12"/>
    <n v="9500"/>
    <n v="2.1"/>
    <x v="1"/>
    <n v="19950"/>
    <n v="0"/>
    <n v="19950"/>
    <n v="85000"/>
    <n v="104950"/>
    <x v="0"/>
    <x v="0"/>
    <x v="0"/>
    <n v="5"/>
    <x v="0"/>
  </r>
  <r>
    <x v="22"/>
    <x v="22"/>
    <s v="Hana Budiman"/>
    <x v="15"/>
    <x v="13"/>
    <n v="10000"/>
    <n v="1"/>
    <x v="1"/>
    <n v="10000"/>
    <n v="0"/>
    <n v="10000"/>
    <n v="97000"/>
    <n v="107000"/>
    <x v="3"/>
    <x v="0"/>
    <x v="2"/>
    <n v="1"/>
    <x v="0"/>
  </r>
  <r>
    <x v="23"/>
    <x v="23"/>
    <s v="Vina Budiman"/>
    <x v="4"/>
    <x v="14"/>
    <n v="55000"/>
    <n v="0.5"/>
    <x v="1"/>
    <n v="27500"/>
    <n v="0"/>
    <n v="27500"/>
    <n v="43000"/>
    <n v="70500"/>
    <x v="0"/>
    <x v="0"/>
    <x v="4"/>
    <n v="4"/>
    <x v="0"/>
  </r>
  <r>
    <x v="24"/>
    <x v="24"/>
    <s v="Vina Puspita"/>
    <x v="16"/>
    <x v="14"/>
    <n v="55000"/>
    <n v="1.1000000000000001"/>
    <x v="1"/>
    <n v="60500.000000000007"/>
    <n v="0"/>
    <n v="60500.000000000007"/>
    <n v="18000"/>
    <n v="78500"/>
    <x v="1"/>
    <x v="0"/>
    <x v="3"/>
    <n v="1"/>
    <x v="0"/>
  </r>
  <r>
    <x v="25"/>
    <x v="25"/>
    <s v="Zahra Rahmawati"/>
    <x v="17"/>
    <x v="5"/>
    <n v="10500"/>
    <n v="1.3"/>
    <x v="1"/>
    <n v="13650"/>
    <n v="0"/>
    <n v="13650"/>
    <n v="72000"/>
    <n v="85650"/>
    <x v="3"/>
    <x v="0"/>
    <x v="0"/>
    <n v="4"/>
    <x v="0"/>
  </r>
  <r>
    <x v="26"/>
    <x v="26"/>
    <s v="Lestari Wijaya"/>
    <x v="18"/>
    <x v="5"/>
    <n v="10500"/>
    <n v="1.3"/>
    <x v="1"/>
    <n v="13650"/>
    <n v="0"/>
    <n v="13650"/>
    <n v="0"/>
    <n v="13650"/>
    <x v="0"/>
    <x v="0"/>
    <x v="3"/>
    <n v="2"/>
    <x v="0"/>
  </r>
  <r>
    <x v="27"/>
    <x v="27"/>
    <s v="Vina Kurniawan"/>
    <x v="19"/>
    <x v="5"/>
    <n v="10500"/>
    <n v="1.6"/>
    <x v="1"/>
    <n v="16800"/>
    <n v="0"/>
    <n v="16800"/>
    <n v="78000"/>
    <n v="94800"/>
    <x v="1"/>
    <x v="2"/>
    <x v="0"/>
    <n v="3"/>
    <x v="0"/>
  </r>
  <r>
    <x v="28"/>
    <x v="28"/>
    <s v="Eka Ananda"/>
    <x v="20"/>
    <x v="14"/>
    <n v="55000"/>
    <n v="0.4"/>
    <x v="1"/>
    <n v="22000"/>
    <n v="0"/>
    <n v="22000"/>
    <n v="84000"/>
    <n v="106000"/>
    <x v="1"/>
    <x v="0"/>
    <x v="3"/>
    <n v="1"/>
    <x v="0"/>
  </r>
  <r>
    <x v="29"/>
    <x v="29"/>
    <s v="Nanda Iskandar"/>
    <x v="14"/>
    <x v="1"/>
    <n v="15000"/>
    <n v="0.9"/>
    <x v="1"/>
    <n v="13500"/>
    <n v="0"/>
    <n v="13500"/>
    <n v="85000"/>
    <n v="98500"/>
    <x v="2"/>
    <x v="0"/>
    <x v="0"/>
    <n v="4"/>
    <x v="1"/>
  </r>
  <r>
    <x v="30"/>
    <x v="30"/>
    <s v="Dina Budiman"/>
    <x v="21"/>
    <x v="11"/>
    <n v="15000"/>
    <n v="0.9"/>
    <x v="1"/>
    <n v="13500"/>
    <n v="0"/>
    <n v="13500"/>
    <n v="59000"/>
    <n v="72500"/>
    <x v="1"/>
    <x v="0"/>
    <x v="0"/>
    <n v="2"/>
    <x v="0"/>
  </r>
  <r>
    <x v="31"/>
    <x v="31"/>
    <s v="Sari Hidayat"/>
    <x v="2"/>
    <x v="11"/>
    <n v="15000"/>
    <n v="1.5"/>
    <x v="1"/>
    <n v="22500"/>
    <n v="0"/>
    <n v="22500"/>
    <n v="76000"/>
    <n v="98500"/>
    <x v="0"/>
    <x v="0"/>
    <x v="2"/>
    <n v="5"/>
    <x v="0"/>
  </r>
  <r>
    <x v="31"/>
    <x v="31"/>
    <s v="Sari Hidayat"/>
    <x v="2"/>
    <x v="7"/>
    <n v="14000"/>
    <n v="0.8"/>
    <x v="1"/>
    <n v="11200"/>
    <n v="0"/>
    <n v="11200"/>
    <n v="0"/>
    <n v="11200"/>
    <x v="0"/>
    <x v="0"/>
    <x v="2"/>
    <n v="5"/>
    <x v="0"/>
  </r>
  <r>
    <x v="32"/>
    <x v="32"/>
    <s v="Fitri Ananda"/>
    <x v="1"/>
    <x v="10"/>
    <n v="45000"/>
    <n v="0.9"/>
    <x v="1"/>
    <n v="40500"/>
    <n v="0"/>
    <n v="40500"/>
    <n v="17000"/>
    <n v="57500"/>
    <x v="0"/>
    <x v="0"/>
    <x v="1"/>
    <n v="1"/>
    <x v="0"/>
  </r>
  <r>
    <x v="33"/>
    <x v="33"/>
    <s v="Sari Hidayat"/>
    <x v="2"/>
    <x v="1"/>
    <n v="15000"/>
    <n v="1.2"/>
    <x v="1"/>
    <n v="18000"/>
    <n v="0"/>
    <n v="18000"/>
    <n v="76000"/>
    <n v="94000"/>
    <x v="2"/>
    <x v="1"/>
    <x v="3"/>
    <n v="4"/>
    <x v="0"/>
  </r>
  <r>
    <x v="33"/>
    <x v="33"/>
    <s v="Sari Hidayat"/>
    <x v="2"/>
    <x v="4"/>
    <n v="40000"/>
    <n v="1.1000000000000001"/>
    <x v="1"/>
    <n v="44000"/>
    <n v="0"/>
    <n v="44000"/>
    <n v="0"/>
    <n v="44000"/>
    <x v="2"/>
    <x v="1"/>
    <x v="3"/>
    <n v="4"/>
    <x v="0"/>
  </r>
  <r>
    <x v="34"/>
    <x v="34"/>
    <s v="Putri Wijaya"/>
    <x v="12"/>
    <x v="3"/>
    <n v="13500"/>
    <n v="2.1"/>
    <x v="1"/>
    <n v="28350"/>
    <n v="0"/>
    <n v="28350"/>
    <n v="30000"/>
    <n v="58350"/>
    <x v="3"/>
    <x v="1"/>
    <x v="0"/>
    <n v="2"/>
    <x v="0"/>
  </r>
  <r>
    <x v="35"/>
    <x v="35"/>
    <s v="Citra Iskandar"/>
    <x v="22"/>
    <x v="5"/>
    <n v="10500"/>
    <n v="1.4"/>
    <x v="1"/>
    <n v="14699.999999999998"/>
    <n v="0"/>
    <n v="14699.999999999998"/>
    <n v="50000"/>
    <n v="64700"/>
    <x v="0"/>
    <x v="1"/>
    <x v="1"/>
    <n v="4"/>
    <x v="0"/>
  </r>
  <r>
    <x v="36"/>
    <x v="36"/>
    <s v="Hendra Ramadhani"/>
    <x v="12"/>
    <x v="10"/>
    <n v="45000"/>
    <n v="0.8"/>
    <x v="1"/>
    <n v="36000"/>
    <n v="0"/>
    <n v="36000"/>
    <n v="30000"/>
    <n v="66000"/>
    <x v="2"/>
    <x v="0"/>
    <x v="1"/>
    <n v="5"/>
    <x v="1"/>
  </r>
  <r>
    <x v="37"/>
    <x v="37"/>
    <s v="Aulia Rahmawati"/>
    <x v="10"/>
    <x v="1"/>
    <n v="15000"/>
    <n v="1.1000000000000001"/>
    <x v="1"/>
    <n v="16500"/>
    <n v="0"/>
    <n v="16500"/>
    <n v="87000"/>
    <n v="103500"/>
    <x v="3"/>
    <x v="1"/>
    <x v="4"/>
    <n v="2"/>
    <x v="0"/>
  </r>
  <r>
    <x v="38"/>
    <x v="38"/>
    <s v="Yoga Utami"/>
    <x v="23"/>
    <x v="2"/>
    <n v="20000"/>
    <n v="1.3"/>
    <x v="1"/>
    <n v="26000"/>
    <n v="0"/>
    <n v="26000"/>
    <n v="55000"/>
    <n v="81000"/>
    <x v="1"/>
    <x v="1"/>
    <x v="2"/>
    <n v="3"/>
    <x v="1"/>
  </r>
  <r>
    <x v="39"/>
    <x v="39"/>
    <s v="Andi Setiawan"/>
    <x v="14"/>
    <x v="15"/>
    <n v="10000"/>
    <n v="1"/>
    <x v="1"/>
    <n v="10000"/>
    <n v="0"/>
    <n v="10000"/>
    <n v="85000"/>
    <n v="95000"/>
    <x v="1"/>
    <x v="0"/>
    <x v="2"/>
    <n v="2"/>
    <x v="1"/>
  </r>
  <r>
    <x v="40"/>
    <x v="40"/>
    <s v="Qori Syahputra"/>
    <x v="12"/>
    <x v="6"/>
    <n v="26000"/>
    <n v="1"/>
    <x v="1"/>
    <n v="26000"/>
    <n v="0"/>
    <n v="26000"/>
    <n v="30000"/>
    <n v="56000"/>
    <x v="0"/>
    <x v="0"/>
    <x v="4"/>
    <n v="3"/>
    <x v="0"/>
  </r>
  <r>
    <x v="41"/>
    <x v="41"/>
    <s v="Dina Halim"/>
    <x v="0"/>
    <x v="9"/>
    <n v="46000"/>
    <n v="1"/>
    <x v="1"/>
    <n v="46000"/>
    <n v="0"/>
    <n v="46000"/>
    <n v="15000"/>
    <n v="61000"/>
    <x v="2"/>
    <x v="0"/>
    <x v="2"/>
    <n v="4"/>
    <x v="0"/>
  </r>
  <r>
    <x v="42"/>
    <x v="42"/>
    <s v="Aulia Fauziah"/>
    <x v="24"/>
    <x v="2"/>
    <n v="20000"/>
    <n v="1.4"/>
    <x v="1"/>
    <n v="28000"/>
    <n v="0"/>
    <n v="28000"/>
    <n v="68000"/>
    <n v="96000"/>
    <x v="3"/>
    <x v="0"/>
    <x v="4"/>
    <n v="1"/>
    <x v="0"/>
  </r>
  <r>
    <x v="43"/>
    <x v="43"/>
    <s v="Citra Rahmawati"/>
    <x v="25"/>
    <x v="6"/>
    <n v="26000"/>
    <n v="0.7"/>
    <x v="1"/>
    <n v="18200"/>
    <n v="0"/>
    <n v="18200"/>
    <n v="50000"/>
    <n v="68200"/>
    <x v="3"/>
    <x v="0"/>
    <x v="0"/>
    <n v="4"/>
    <x v="0"/>
  </r>
  <r>
    <x v="44"/>
    <x v="44"/>
    <s v="Gita Ramadhani"/>
    <x v="22"/>
    <x v="2"/>
    <n v="20000"/>
    <n v="1.1000000000000001"/>
    <x v="1"/>
    <n v="22000"/>
    <n v="0"/>
    <n v="22000"/>
    <n v="50000"/>
    <n v="72000"/>
    <x v="0"/>
    <x v="0"/>
    <x v="3"/>
    <n v="5"/>
    <x v="0"/>
  </r>
  <r>
    <x v="45"/>
    <x v="45"/>
    <s v="Eka Halim"/>
    <x v="3"/>
    <x v="11"/>
    <n v="15000"/>
    <n v="1.2"/>
    <x v="1"/>
    <n v="18000"/>
    <n v="0"/>
    <n v="18000"/>
    <n v="93000"/>
    <n v="111000"/>
    <x v="3"/>
    <x v="2"/>
    <x v="4"/>
    <n v="4"/>
    <x v="0"/>
  </r>
  <r>
    <x v="46"/>
    <x v="46"/>
    <s v="Dewi Santoso"/>
    <x v="26"/>
    <x v="16"/>
    <n v="115000"/>
    <n v="0.7"/>
    <x v="1"/>
    <n v="80500"/>
    <n v="0"/>
    <n v="80500"/>
    <n v="46000"/>
    <n v="126500"/>
    <x v="3"/>
    <x v="0"/>
    <x v="4"/>
    <n v="4"/>
    <x v="0"/>
  </r>
  <r>
    <x v="47"/>
    <x v="47"/>
    <s v="Eka Puspita"/>
    <x v="27"/>
    <x v="3"/>
    <n v="13500"/>
    <n v="1.2"/>
    <x v="1"/>
    <n v="16200"/>
    <n v="0"/>
    <n v="16200"/>
    <n v="49000"/>
    <n v="65200"/>
    <x v="0"/>
    <x v="0"/>
    <x v="4"/>
    <n v="1"/>
    <x v="0"/>
  </r>
  <r>
    <x v="47"/>
    <x v="47"/>
    <s v="Eka Puspita"/>
    <x v="27"/>
    <x v="8"/>
    <n v="17500"/>
    <n v="1.8"/>
    <x v="1"/>
    <n v="31500"/>
    <n v="0"/>
    <n v="31500"/>
    <n v="0"/>
    <n v="31500"/>
    <x v="0"/>
    <x v="0"/>
    <x v="4"/>
    <n v="1"/>
    <x v="0"/>
  </r>
  <r>
    <x v="48"/>
    <x v="48"/>
    <s v="Dina Syahputra"/>
    <x v="28"/>
    <x v="4"/>
    <n v="40000"/>
    <n v="0.6"/>
    <x v="1"/>
    <n v="24000"/>
    <n v="0"/>
    <n v="24000"/>
    <n v="56000"/>
    <n v="80000"/>
    <x v="0"/>
    <x v="0"/>
    <x v="4"/>
    <n v="2"/>
    <x v="0"/>
  </r>
  <r>
    <x v="49"/>
    <x v="49"/>
    <s v="Bella Iskandar"/>
    <x v="8"/>
    <x v="17"/>
    <n v="12000"/>
    <n v="1.8"/>
    <x v="1"/>
    <n v="21600"/>
    <n v="0"/>
    <n v="21600"/>
    <n v="59000"/>
    <n v="80600"/>
    <x v="2"/>
    <x v="0"/>
    <x v="4"/>
    <n v="4"/>
    <x v="0"/>
  </r>
  <r>
    <x v="50"/>
    <x v="50"/>
    <s v="Ani Wijaya"/>
    <x v="29"/>
    <x v="2"/>
    <n v="20000"/>
    <n v="2.8"/>
    <x v="1"/>
    <n v="56000"/>
    <n v="0"/>
    <n v="56000"/>
    <n v="48000"/>
    <n v="104000"/>
    <x v="1"/>
    <x v="0"/>
    <x v="4"/>
    <n v="2"/>
    <x v="0"/>
  </r>
  <r>
    <x v="51"/>
    <x v="51"/>
    <s v="Lestari Budiman"/>
    <x v="14"/>
    <x v="11"/>
    <n v="15000"/>
    <n v="0.5"/>
    <x v="1"/>
    <n v="7500"/>
    <n v="0"/>
    <n v="7500"/>
    <n v="85000"/>
    <n v="92500"/>
    <x v="0"/>
    <x v="0"/>
    <x v="3"/>
    <n v="2"/>
    <x v="0"/>
  </r>
  <r>
    <x v="52"/>
    <x v="52"/>
    <s v="Qori Halim"/>
    <x v="13"/>
    <x v="9"/>
    <n v="46000"/>
    <n v="1"/>
    <x v="1"/>
    <n v="46000"/>
    <n v="0"/>
    <n v="46000"/>
    <n v="49000"/>
    <n v="95000"/>
    <x v="3"/>
    <x v="1"/>
    <x v="4"/>
    <n v="5"/>
    <x v="0"/>
  </r>
  <r>
    <x v="53"/>
    <x v="53"/>
    <s v="Fitri Wijaya"/>
    <x v="30"/>
    <x v="15"/>
    <n v="10000"/>
    <n v="0.6"/>
    <x v="1"/>
    <n v="6000"/>
    <n v="0"/>
    <n v="6000"/>
    <n v="57000"/>
    <n v="63000"/>
    <x v="1"/>
    <x v="1"/>
    <x v="0"/>
    <n v="2"/>
    <x v="0"/>
  </r>
  <r>
    <x v="54"/>
    <x v="54"/>
    <s v="Sari Puspita"/>
    <x v="15"/>
    <x v="18"/>
    <n v="11000"/>
    <n v="0.8"/>
    <x v="1"/>
    <n v="8800"/>
    <n v="0"/>
    <n v="8800"/>
    <n v="97000"/>
    <n v="105800"/>
    <x v="3"/>
    <x v="0"/>
    <x v="3"/>
    <n v="2"/>
    <x v="0"/>
  </r>
  <r>
    <x v="55"/>
    <x v="55"/>
    <s v="Hana Halim"/>
    <x v="31"/>
    <x v="16"/>
    <n v="115000"/>
    <n v="1.1000000000000001"/>
    <x v="0"/>
    <n v="126500.00000000001"/>
    <n v="6325.0000000000009"/>
    <n v="120175.00000000001"/>
    <n v="87000"/>
    <n v="207175"/>
    <x v="0"/>
    <x v="1"/>
    <x v="0"/>
    <n v="1"/>
    <x v="0"/>
  </r>
  <r>
    <x v="56"/>
    <x v="56"/>
    <s v="Dimas Utami"/>
    <x v="18"/>
    <x v="11"/>
    <n v="15000"/>
    <n v="2.2999999999999998"/>
    <x v="0"/>
    <n v="34500"/>
    <n v="1725"/>
    <n v="32775"/>
    <n v="0"/>
    <n v="32775"/>
    <x v="3"/>
    <x v="2"/>
    <x v="3"/>
    <n v="3"/>
    <x v="1"/>
  </r>
  <r>
    <x v="57"/>
    <x v="57"/>
    <s v="Fitri Maulana"/>
    <x v="22"/>
    <x v="19"/>
    <n v="15500"/>
    <n v="0.4"/>
    <x v="0"/>
    <n v="6200"/>
    <n v="310"/>
    <n v="5890"/>
    <n v="50000"/>
    <n v="55890"/>
    <x v="1"/>
    <x v="0"/>
    <x v="4"/>
    <n v="3"/>
    <x v="0"/>
  </r>
  <r>
    <x v="58"/>
    <x v="58"/>
    <s v="Ani Fauziah"/>
    <x v="15"/>
    <x v="2"/>
    <n v="20000"/>
    <n v="1.6"/>
    <x v="0"/>
    <n v="32000"/>
    <n v="1600"/>
    <n v="30400"/>
    <n v="97000"/>
    <n v="127400"/>
    <x v="1"/>
    <x v="0"/>
    <x v="4"/>
    <n v="3"/>
    <x v="0"/>
  </r>
  <r>
    <x v="59"/>
    <x v="59"/>
    <s v="Vina Maulana"/>
    <x v="0"/>
    <x v="4"/>
    <n v="40000"/>
    <n v="1.8"/>
    <x v="0"/>
    <n v="72000"/>
    <n v="3600"/>
    <n v="68400"/>
    <n v="15000"/>
    <n v="83400"/>
    <x v="1"/>
    <x v="0"/>
    <x v="0"/>
    <n v="3"/>
    <x v="0"/>
  </r>
  <r>
    <x v="60"/>
    <x v="60"/>
    <s v="Bella Maulana"/>
    <x v="13"/>
    <x v="14"/>
    <n v="55000"/>
    <n v="0.3"/>
    <x v="0"/>
    <n v="16500"/>
    <n v="825"/>
    <n v="15675"/>
    <n v="49000"/>
    <n v="64675"/>
    <x v="3"/>
    <x v="0"/>
    <x v="4"/>
    <n v="4"/>
    <x v="0"/>
  </r>
  <r>
    <x v="61"/>
    <x v="61"/>
    <s v="Vina Syahputra"/>
    <x v="13"/>
    <x v="8"/>
    <n v="17500"/>
    <n v="1"/>
    <x v="0"/>
    <n v="17500"/>
    <n v="875"/>
    <n v="16625"/>
    <n v="49000"/>
    <n v="65625"/>
    <x v="1"/>
    <x v="0"/>
    <x v="1"/>
    <n v="2"/>
    <x v="0"/>
  </r>
  <r>
    <x v="62"/>
    <x v="62"/>
    <s v="Arif Rahmawati"/>
    <x v="22"/>
    <x v="4"/>
    <n v="40000"/>
    <n v="1.2"/>
    <x v="0"/>
    <n v="48000"/>
    <n v="2400"/>
    <n v="45600"/>
    <n v="50000"/>
    <n v="95600"/>
    <x v="1"/>
    <x v="0"/>
    <x v="1"/>
    <n v="4"/>
    <x v="1"/>
  </r>
  <r>
    <x v="63"/>
    <x v="63"/>
    <s v="Kartika Nugroho"/>
    <x v="4"/>
    <x v="4"/>
    <n v="40000"/>
    <n v="1.2"/>
    <x v="0"/>
    <n v="48000"/>
    <n v="2400"/>
    <n v="45600"/>
    <n v="43000"/>
    <n v="88600"/>
    <x v="1"/>
    <x v="0"/>
    <x v="4"/>
    <n v="3"/>
    <x v="0"/>
  </r>
  <r>
    <x v="64"/>
    <x v="64"/>
    <s v="Bella Ramadhani"/>
    <x v="14"/>
    <x v="19"/>
    <n v="15500"/>
    <n v="0.9"/>
    <x v="0"/>
    <n v="13950"/>
    <n v="697.5"/>
    <n v="13252.5"/>
    <n v="85000"/>
    <n v="98252.5"/>
    <x v="0"/>
    <x v="0"/>
    <x v="1"/>
    <n v="3"/>
    <x v="0"/>
  </r>
  <r>
    <x v="65"/>
    <x v="65"/>
    <s v="Citra Kurniawan"/>
    <x v="21"/>
    <x v="17"/>
    <n v="12000"/>
    <n v="1.1000000000000001"/>
    <x v="0"/>
    <n v="13200.000000000002"/>
    <n v="660.00000000000011"/>
    <n v="12540.000000000002"/>
    <n v="59000"/>
    <n v="71540"/>
    <x v="2"/>
    <x v="0"/>
    <x v="0"/>
    <n v="4"/>
    <x v="0"/>
  </r>
  <r>
    <x v="66"/>
    <x v="66"/>
    <s v="Lestari Kusuma"/>
    <x v="22"/>
    <x v="8"/>
    <n v="17500"/>
    <n v="2.1"/>
    <x v="0"/>
    <n v="36750"/>
    <n v="1837.5"/>
    <n v="34912.5"/>
    <n v="50000"/>
    <n v="84912.5"/>
    <x v="1"/>
    <x v="0"/>
    <x v="1"/>
    <n v="4"/>
    <x v="0"/>
  </r>
  <r>
    <x v="67"/>
    <x v="67"/>
    <s v="Dina Setiawan"/>
    <x v="26"/>
    <x v="11"/>
    <n v="15000"/>
    <n v="1.2"/>
    <x v="0"/>
    <n v="18000"/>
    <n v="900"/>
    <n v="17100"/>
    <n v="46000"/>
    <n v="63100"/>
    <x v="3"/>
    <x v="0"/>
    <x v="0"/>
    <n v="4"/>
    <x v="0"/>
  </r>
  <r>
    <x v="68"/>
    <x v="68"/>
    <s v="Lestari Ramadhani"/>
    <x v="5"/>
    <x v="4"/>
    <n v="40000"/>
    <n v="1.1000000000000001"/>
    <x v="0"/>
    <n v="44000"/>
    <n v="2200"/>
    <n v="41800"/>
    <n v="18000"/>
    <n v="59800"/>
    <x v="2"/>
    <x v="0"/>
    <x v="1"/>
    <n v="2"/>
    <x v="0"/>
  </r>
  <r>
    <x v="69"/>
    <x v="69"/>
    <s v="Eka Hidayat"/>
    <x v="4"/>
    <x v="12"/>
    <n v="9500"/>
    <n v="1.5"/>
    <x v="0"/>
    <n v="14250"/>
    <n v="712.5"/>
    <n v="13537.5"/>
    <n v="43000"/>
    <n v="56537.5"/>
    <x v="2"/>
    <x v="0"/>
    <x v="3"/>
    <n v="2"/>
    <x v="0"/>
  </r>
  <r>
    <x v="70"/>
    <x v="70"/>
    <s v="Aulia Iskandar"/>
    <x v="11"/>
    <x v="4"/>
    <n v="40000"/>
    <n v="1.7"/>
    <x v="0"/>
    <n v="68000"/>
    <n v="3400"/>
    <n v="64600"/>
    <n v="74000"/>
    <n v="138600"/>
    <x v="0"/>
    <x v="0"/>
    <x v="1"/>
    <n v="1"/>
    <x v="0"/>
  </r>
  <r>
    <x v="70"/>
    <x v="70"/>
    <s v="Aulia Iskandar"/>
    <x v="11"/>
    <x v="10"/>
    <n v="45000"/>
    <n v="1.5"/>
    <x v="0"/>
    <n v="67500"/>
    <n v="3375"/>
    <n v="64125"/>
    <n v="0"/>
    <n v="64125"/>
    <x v="0"/>
    <x v="0"/>
    <x v="1"/>
    <n v="1"/>
    <x v="0"/>
  </r>
  <r>
    <x v="71"/>
    <x v="71"/>
    <s v="Tono Saputra"/>
    <x v="30"/>
    <x v="4"/>
    <n v="40000"/>
    <n v="1.1000000000000001"/>
    <x v="0"/>
    <n v="44000"/>
    <n v="2200"/>
    <n v="41800"/>
    <n v="57000"/>
    <n v="98800"/>
    <x v="0"/>
    <x v="0"/>
    <x v="3"/>
    <n v="4"/>
    <x v="1"/>
  </r>
  <r>
    <x v="72"/>
    <x v="72"/>
    <s v="Putri Kurniawan"/>
    <x v="9"/>
    <x v="11"/>
    <n v="15000"/>
    <n v="1.1000000000000001"/>
    <x v="0"/>
    <n v="16500"/>
    <n v="825"/>
    <n v="15675"/>
    <n v="89000"/>
    <n v="104675"/>
    <x v="2"/>
    <x v="1"/>
    <x v="1"/>
    <n v="4"/>
    <x v="0"/>
  </r>
  <r>
    <x v="73"/>
    <x v="73"/>
    <s v="Dina Kurniawan"/>
    <x v="31"/>
    <x v="10"/>
    <n v="45000"/>
    <n v="0.7"/>
    <x v="0"/>
    <n v="31499.999999999996"/>
    <n v="1575"/>
    <n v="29924.999999999996"/>
    <n v="87000"/>
    <n v="116925"/>
    <x v="2"/>
    <x v="2"/>
    <x v="1"/>
    <n v="2"/>
    <x v="0"/>
  </r>
  <r>
    <x v="74"/>
    <x v="74"/>
    <s v="Putri Puspita"/>
    <x v="8"/>
    <x v="3"/>
    <n v="13500"/>
    <n v="1.2"/>
    <x v="0"/>
    <n v="16200"/>
    <n v="810"/>
    <n v="15390"/>
    <n v="59000"/>
    <n v="74390"/>
    <x v="1"/>
    <x v="0"/>
    <x v="2"/>
    <n v="1"/>
    <x v="0"/>
  </r>
  <r>
    <x v="75"/>
    <x v="75"/>
    <s v="Arif Santoso"/>
    <x v="16"/>
    <x v="10"/>
    <n v="45000"/>
    <n v="1.5"/>
    <x v="0"/>
    <n v="67500"/>
    <n v="3375"/>
    <n v="64125"/>
    <n v="18000"/>
    <n v="82125"/>
    <x v="1"/>
    <x v="0"/>
    <x v="2"/>
    <n v="1"/>
    <x v="1"/>
  </r>
  <r>
    <x v="76"/>
    <x v="76"/>
    <s v="Tono Fauziah"/>
    <x v="30"/>
    <x v="4"/>
    <n v="40000"/>
    <n v="0.9"/>
    <x v="0"/>
    <n v="36000"/>
    <n v="1800"/>
    <n v="34200"/>
    <n v="57000"/>
    <n v="91200"/>
    <x v="2"/>
    <x v="0"/>
    <x v="2"/>
    <n v="4"/>
    <x v="1"/>
  </r>
  <r>
    <x v="77"/>
    <x v="77"/>
    <s v="Aulia Santoso"/>
    <x v="32"/>
    <x v="19"/>
    <n v="15500"/>
    <n v="0.7"/>
    <x v="0"/>
    <n v="10850"/>
    <n v="542.5"/>
    <n v="10307.5"/>
    <n v="28000"/>
    <n v="38307.5"/>
    <x v="1"/>
    <x v="0"/>
    <x v="4"/>
    <n v="3"/>
    <x v="0"/>
  </r>
  <r>
    <x v="78"/>
    <x v="78"/>
    <s v="Arif Iskandar"/>
    <x v="30"/>
    <x v="14"/>
    <n v="55000"/>
    <n v="0.7"/>
    <x v="1"/>
    <n v="38500"/>
    <n v="0"/>
    <n v="38500"/>
    <n v="57000"/>
    <n v="95500"/>
    <x v="2"/>
    <x v="0"/>
    <x v="0"/>
    <n v="5"/>
    <x v="1"/>
  </r>
  <r>
    <x v="79"/>
    <x v="79"/>
    <s v="Hendra Ramadhani"/>
    <x v="12"/>
    <x v="17"/>
    <n v="12000"/>
    <n v="0.9"/>
    <x v="1"/>
    <n v="10800"/>
    <n v="0"/>
    <n v="10800"/>
    <n v="30000"/>
    <n v="40800"/>
    <x v="0"/>
    <x v="2"/>
    <x v="2"/>
    <n v="5"/>
    <x v="1"/>
  </r>
  <r>
    <x v="80"/>
    <x v="80"/>
    <s v="Budi Wijaya"/>
    <x v="33"/>
    <x v="0"/>
    <n v="10000"/>
    <n v="2.2999999999999998"/>
    <x v="1"/>
    <n v="23000"/>
    <n v="0"/>
    <n v="23000"/>
    <n v="80000"/>
    <n v="103000"/>
    <x v="3"/>
    <x v="0"/>
    <x v="2"/>
    <n v="5"/>
    <x v="1"/>
  </r>
  <r>
    <x v="81"/>
    <x v="81"/>
    <s v="Erna Hidayat"/>
    <x v="32"/>
    <x v="3"/>
    <n v="13500"/>
    <n v="2.1"/>
    <x v="1"/>
    <n v="28350"/>
    <n v="0"/>
    <n v="28350"/>
    <n v="28000"/>
    <n v="56350"/>
    <x v="3"/>
    <x v="0"/>
    <x v="3"/>
    <n v="3"/>
    <x v="0"/>
  </r>
  <r>
    <x v="82"/>
    <x v="82"/>
    <s v="Arif Iskandar"/>
    <x v="30"/>
    <x v="10"/>
    <n v="45000"/>
    <n v="1.4"/>
    <x v="1"/>
    <n v="62999.999999999993"/>
    <n v="0"/>
    <n v="62999.999999999993"/>
    <n v="57000"/>
    <n v="120000"/>
    <x v="2"/>
    <x v="0"/>
    <x v="1"/>
    <n v="1"/>
    <x v="1"/>
  </r>
  <r>
    <x v="83"/>
    <x v="83"/>
    <s v="Dewi Fauziah"/>
    <x v="4"/>
    <x v="9"/>
    <n v="46000"/>
    <n v="0.4"/>
    <x v="1"/>
    <n v="18400"/>
    <n v="0"/>
    <n v="18400"/>
    <n v="43000"/>
    <n v="61400"/>
    <x v="3"/>
    <x v="0"/>
    <x v="1"/>
    <n v="4"/>
    <x v="0"/>
  </r>
  <r>
    <x v="84"/>
    <x v="84"/>
    <s v="Sari Syahputra"/>
    <x v="21"/>
    <x v="13"/>
    <n v="10000"/>
    <n v="1.1000000000000001"/>
    <x v="1"/>
    <n v="11000"/>
    <n v="0"/>
    <n v="11000"/>
    <n v="59000"/>
    <n v="70000"/>
    <x v="1"/>
    <x v="1"/>
    <x v="2"/>
    <n v="2"/>
    <x v="0"/>
  </r>
  <r>
    <x v="84"/>
    <x v="84"/>
    <s v="Sari Syahputra"/>
    <x v="21"/>
    <x v="18"/>
    <n v="11000"/>
    <n v="1.5"/>
    <x v="1"/>
    <n v="16500"/>
    <n v="0"/>
    <n v="16500"/>
    <n v="0"/>
    <n v="16500"/>
    <x v="1"/>
    <x v="1"/>
    <x v="2"/>
    <n v="2"/>
    <x v="0"/>
  </r>
  <r>
    <x v="85"/>
    <x v="85"/>
    <s v="Putri Ananda"/>
    <x v="7"/>
    <x v="19"/>
    <n v="15500"/>
    <n v="0.4"/>
    <x v="1"/>
    <n v="6200"/>
    <n v="0"/>
    <n v="6200"/>
    <n v="26000"/>
    <n v="32200"/>
    <x v="2"/>
    <x v="0"/>
    <x v="3"/>
    <n v="1"/>
    <x v="0"/>
  </r>
  <r>
    <x v="86"/>
    <x v="86"/>
    <s v="Clara Kusuma"/>
    <x v="15"/>
    <x v="0"/>
    <n v="10000"/>
    <n v="1"/>
    <x v="1"/>
    <n v="10000"/>
    <n v="0"/>
    <n v="10000"/>
    <n v="97000"/>
    <n v="107000"/>
    <x v="1"/>
    <x v="0"/>
    <x v="1"/>
    <n v="2"/>
    <x v="0"/>
  </r>
  <r>
    <x v="87"/>
    <x v="87"/>
    <s v="Clara Budiman"/>
    <x v="3"/>
    <x v="15"/>
    <n v="10000"/>
    <n v="1.1000000000000001"/>
    <x v="1"/>
    <n v="11000"/>
    <n v="0"/>
    <n v="11000"/>
    <n v="93000"/>
    <n v="104000"/>
    <x v="1"/>
    <x v="0"/>
    <x v="2"/>
    <n v="3"/>
    <x v="0"/>
  </r>
  <r>
    <x v="88"/>
    <x v="88"/>
    <s v="Arif Iskandar"/>
    <x v="30"/>
    <x v="2"/>
    <n v="20000"/>
    <n v="2"/>
    <x v="1"/>
    <n v="40000"/>
    <n v="0"/>
    <n v="40000"/>
    <n v="57000"/>
    <n v="97000"/>
    <x v="0"/>
    <x v="0"/>
    <x v="3"/>
    <n v="1"/>
    <x v="1"/>
  </r>
  <r>
    <x v="89"/>
    <x v="89"/>
    <s v="Clara Utami"/>
    <x v="34"/>
    <x v="10"/>
    <n v="45000"/>
    <n v="1.4"/>
    <x v="1"/>
    <n v="62999.999999999993"/>
    <n v="0"/>
    <n v="62999.999999999993"/>
    <n v="18000"/>
    <n v="81000"/>
    <x v="2"/>
    <x v="0"/>
    <x v="1"/>
    <n v="3"/>
    <x v="0"/>
  </r>
  <r>
    <x v="90"/>
    <x v="90"/>
    <s v="Ani Wijaya"/>
    <x v="29"/>
    <x v="13"/>
    <n v="10000"/>
    <n v="0.8"/>
    <x v="1"/>
    <n v="8000"/>
    <n v="0"/>
    <n v="8000"/>
    <n v="48000"/>
    <n v="56000"/>
    <x v="0"/>
    <x v="0"/>
    <x v="3"/>
    <n v="4"/>
    <x v="0"/>
  </r>
  <r>
    <x v="91"/>
    <x v="91"/>
    <s v="Citra Budiman"/>
    <x v="18"/>
    <x v="4"/>
    <n v="40000"/>
    <n v="0.5"/>
    <x v="1"/>
    <n v="20000"/>
    <n v="0"/>
    <n v="20000"/>
    <n v="0"/>
    <n v="20000"/>
    <x v="2"/>
    <x v="0"/>
    <x v="4"/>
    <n v="1"/>
    <x v="0"/>
  </r>
  <r>
    <x v="92"/>
    <x v="92"/>
    <s v="Vina Fauziah"/>
    <x v="21"/>
    <x v="8"/>
    <n v="17500"/>
    <n v="1.5"/>
    <x v="1"/>
    <n v="26250"/>
    <n v="0"/>
    <n v="26250"/>
    <n v="59000"/>
    <n v="85250"/>
    <x v="0"/>
    <x v="1"/>
    <x v="1"/>
    <n v="3"/>
    <x v="0"/>
  </r>
  <r>
    <x v="93"/>
    <x v="93"/>
    <s v="Galih Iskandar"/>
    <x v="27"/>
    <x v="17"/>
    <n v="12000"/>
    <n v="0.5"/>
    <x v="1"/>
    <n v="6000"/>
    <n v="0"/>
    <n v="6000"/>
    <n v="49000"/>
    <n v="55000"/>
    <x v="0"/>
    <x v="0"/>
    <x v="0"/>
    <n v="4"/>
    <x v="1"/>
  </r>
  <r>
    <x v="94"/>
    <x v="94"/>
    <s v="Bella Ananda"/>
    <x v="4"/>
    <x v="6"/>
    <n v="26000"/>
    <n v="0.8"/>
    <x v="1"/>
    <n v="20800"/>
    <n v="0"/>
    <n v="20800"/>
    <n v="43000"/>
    <n v="63800"/>
    <x v="1"/>
    <x v="0"/>
    <x v="3"/>
    <n v="2"/>
    <x v="0"/>
  </r>
  <r>
    <x v="95"/>
    <x v="95"/>
    <s v="Hana Wijaya"/>
    <x v="31"/>
    <x v="0"/>
    <n v="10000"/>
    <n v="2.4"/>
    <x v="1"/>
    <n v="24000"/>
    <n v="0"/>
    <n v="24000"/>
    <n v="87000"/>
    <n v="111000"/>
    <x v="1"/>
    <x v="0"/>
    <x v="3"/>
    <n v="5"/>
    <x v="0"/>
  </r>
  <r>
    <x v="96"/>
    <x v="96"/>
    <s v="Kartika Ananda"/>
    <x v="13"/>
    <x v="16"/>
    <n v="115000"/>
    <n v="1"/>
    <x v="1"/>
    <n v="115000"/>
    <n v="0"/>
    <n v="115000"/>
    <n v="49000"/>
    <n v="164000"/>
    <x v="2"/>
    <x v="1"/>
    <x v="0"/>
    <n v="2"/>
    <x v="0"/>
  </r>
  <r>
    <x v="97"/>
    <x v="97"/>
    <s v="Clara Ananda"/>
    <x v="18"/>
    <x v="4"/>
    <n v="40000"/>
    <n v="0.5"/>
    <x v="1"/>
    <n v="20000"/>
    <n v="0"/>
    <n v="20000"/>
    <n v="0"/>
    <n v="20000"/>
    <x v="1"/>
    <x v="0"/>
    <x v="3"/>
    <n v="4"/>
    <x v="0"/>
  </r>
  <r>
    <x v="98"/>
    <x v="98"/>
    <s v="Putri Ananda"/>
    <x v="7"/>
    <x v="19"/>
    <n v="15500"/>
    <n v="0.1"/>
    <x v="1"/>
    <n v="1550"/>
    <n v="0"/>
    <n v="1550"/>
    <n v="26000"/>
    <n v="27550"/>
    <x v="2"/>
    <x v="0"/>
    <x v="4"/>
    <n v="1"/>
    <x v="0"/>
  </r>
  <r>
    <x v="99"/>
    <x v="99"/>
    <s v="Qori Halim"/>
    <x v="13"/>
    <x v="7"/>
    <n v="14000"/>
    <n v="1.2"/>
    <x v="1"/>
    <n v="16800"/>
    <n v="0"/>
    <n v="16800"/>
    <n v="49000"/>
    <n v="65800"/>
    <x v="0"/>
    <x v="0"/>
    <x v="0"/>
    <n v="2"/>
    <x v="0"/>
  </r>
  <r>
    <x v="100"/>
    <x v="100"/>
    <s v="Zahra Setiawan"/>
    <x v="23"/>
    <x v="9"/>
    <n v="46000"/>
    <n v="0.5"/>
    <x v="1"/>
    <n v="23000"/>
    <n v="0"/>
    <n v="23000"/>
    <n v="55000"/>
    <n v="78000"/>
    <x v="1"/>
    <x v="0"/>
    <x v="1"/>
    <n v="4"/>
    <x v="0"/>
  </r>
  <r>
    <x v="101"/>
    <x v="101"/>
    <s v="Dewi Puspita"/>
    <x v="12"/>
    <x v="17"/>
    <n v="12000"/>
    <n v="0.8"/>
    <x v="1"/>
    <n v="9600"/>
    <n v="0"/>
    <n v="9600"/>
    <n v="30000"/>
    <n v="39600"/>
    <x v="3"/>
    <x v="0"/>
    <x v="2"/>
    <n v="5"/>
    <x v="0"/>
  </r>
  <r>
    <x v="102"/>
    <x v="102"/>
    <s v="Budi Hidayat"/>
    <x v="0"/>
    <x v="2"/>
    <n v="20000"/>
    <n v="2.9"/>
    <x v="1"/>
    <n v="58000"/>
    <n v="0"/>
    <n v="58000"/>
    <n v="15000"/>
    <n v="73000"/>
    <x v="1"/>
    <x v="0"/>
    <x v="1"/>
    <n v="2"/>
    <x v="1"/>
  </r>
  <r>
    <x v="103"/>
    <x v="103"/>
    <s v="Gita Utami"/>
    <x v="34"/>
    <x v="11"/>
    <n v="15000"/>
    <n v="1.3"/>
    <x v="1"/>
    <n v="19500"/>
    <n v="0"/>
    <n v="19500"/>
    <n v="18000"/>
    <n v="37500"/>
    <x v="2"/>
    <x v="0"/>
    <x v="1"/>
    <n v="1"/>
    <x v="0"/>
  </r>
  <r>
    <x v="104"/>
    <x v="104"/>
    <s v="Zahra Maulana"/>
    <x v="0"/>
    <x v="11"/>
    <n v="15000"/>
    <n v="1.6"/>
    <x v="1"/>
    <n v="24000"/>
    <n v="0"/>
    <n v="24000"/>
    <n v="15000"/>
    <n v="39000"/>
    <x v="3"/>
    <x v="0"/>
    <x v="0"/>
    <n v="3"/>
    <x v="0"/>
  </r>
  <r>
    <x v="105"/>
    <x v="105"/>
    <s v="Galih Halim"/>
    <x v="4"/>
    <x v="9"/>
    <n v="46000"/>
    <n v="0.5"/>
    <x v="1"/>
    <n v="23000"/>
    <n v="0"/>
    <n v="23000"/>
    <n v="43000"/>
    <n v="66000"/>
    <x v="0"/>
    <x v="1"/>
    <x v="3"/>
    <n v="3"/>
    <x v="1"/>
  </r>
  <r>
    <x v="106"/>
    <x v="106"/>
    <s v="Sari Puspita"/>
    <x v="15"/>
    <x v="15"/>
    <n v="10000"/>
    <n v="0.6"/>
    <x v="1"/>
    <n v="6000"/>
    <n v="0"/>
    <n v="6000"/>
    <n v="97000"/>
    <n v="103000"/>
    <x v="0"/>
    <x v="2"/>
    <x v="1"/>
    <n v="3"/>
    <x v="0"/>
  </r>
  <r>
    <x v="107"/>
    <x v="107"/>
    <s v="Tono Fauziah"/>
    <x v="30"/>
    <x v="16"/>
    <n v="115000"/>
    <n v="0.4"/>
    <x v="1"/>
    <n v="46000"/>
    <n v="0"/>
    <n v="46000"/>
    <n v="57000"/>
    <n v="103000"/>
    <x v="1"/>
    <x v="0"/>
    <x v="4"/>
    <n v="4"/>
    <x v="1"/>
  </r>
  <r>
    <x v="108"/>
    <x v="108"/>
    <s v="Bella Hidayat"/>
    <x v="35"/>
    <x v="12"/>
    <n v="9500"/>
    <n v="1.8"/>
    <x v="1"/>
    <n v="17100"/>
    <n v="0"/>
    <n v="17100"/>
    <n v="79000"/>
    <n v="96100"/>
    <x v="0"/>
    <x v="1"/>
    <x v="2"/>
    <n v="1"/>
    <x v="0"/>
  </r>
  <r>
    <x v="109"/>
    <x v="109"/>
    <s v="Arif Rahmawati"/>
    <x v="22"/>
    <x v="10"/>
    <n v="45000"/>
    <n v="1.4"/>
    <x v="1"/>
    <n v="62999.999999999993"/>
    <n v="0"/>
    <n v="62999.999999999993"/>
    <n v="50000"/>
    <n v="113000"/>
    <x v="3"/>
    <x v="0"/>
    <x v="0"/>
    <n v="4"/>
    <x v="1"/>
  </r>
  <r>
    <x v="110"/>
    <x v="110"/>
    <s v="Ani Ramadhani"/>
    <x v="25"/>
    <x v="4"/>
    <n v="40000"/>
    <n v="1.3"/>
    <x v="1"/>
    <n v="52000"/>
    <n v="0"/>
    <n v="52000"/>
    <n v="50000"/>
    <n v="102000"/>
    <x v="2"/>
    <x v="1"/>
    <x v="0"/>
    <n v="1"/>
    <x v="0"/>
  </r>
  <r>
    <x v="111"/>
    <x v="111"/>
    <s v="Clara Utami"/>
    <x v="34"/>
    <x v="13"/>
    <n v="10000"/>
    <n v="1.1000000000000001"/>
    <x v="1"/>
    <n v="11000"/>
    <n v="0"/>
    <n v="11000"/>
    <n v="18000"/>
    <n v="29000"/>
    <x v="1"/>
    <x v="1"/>
    <x v="1"/>
    <n v="4"/>
    <x v="0"/>
  </r>
  <r>
    <x v="112"/>
    <x v="112"/>
    <s v="Vina Halim"/>
    <x v="10"/>
    <x v="9"/>
    <n v="46000"/>
    <n v="0.7"/>
    <x v="1"/>
    <n v="32199.999999999996"/>
    <n v="0"/>
    <n v="32199.999999999996"/>
    <n v="87000"/>
    <n v="119200"/>
    <x v="1"/>
    <x v="0"/>
    <x v="4"/>
    <n v="1"/>
    <x v="0"/>
  </r>
  <r>
    <x v="113"/>
    <x v="113"/>
    <s v="Sari Puspita"/>
    <x v="15"/>
    <x v="10"/>
    <n v="45000"/>
    <n v="0.8"/>
    <x v="1"/>
    <n v="36000"/>
    <n v="0"/>
    <n v="36000"/>
    <n v="97000"/>
    <n v="133000"/>
    <x v="2"/>
    <x v="0"/>
    <x v="2"/>
    <n v="2"/>
    <x v="0"/>
  </r>
  <r>
    <x v="114"/>
    <x v="114"/>
    <s v="Dewi Ananda"/>
    <x v="22"/>
    <x v="1"/>
    <n v="15000"/>
    <n v="0.9"/>
    <x v="1"/>
    <n v="13500"/>
    <n v="0"/>
    <n v="13500"/>
    <n v="50000"/>
    <n v="63500"/>
    <x v="0"/>
    <x v="0"/>
    <x v="3"/>
    <n v="3"/>
    <x v="0"/>
  </r>
  <r>
    <x v="114"/>
    <x v="114"/>
    <s v="Dewi Ananda"/>
    <x v="22"/>
    <x v="18"/>
    <n v="11000"/>
    <n v="1.9"/>
    <x v="1"/>
    <n v="20900"/>
    <n v="0"/>
    <n v="20900"/>
    <n v="0"/>
    <n v="20900"/>
    <x v="0"/>
    <x v="0"/>
    <x v="3"/>
    <n v="3"/>
    <x v="0"/>
  </r>
  <r>
    <x v="115"/>
    <x v="115"/>
    <s v="Ani Maulana"/>
    <x v="9"/>
    <x v="13"/>
    <n v="10000"/>
    <n v="0.7"/>
    <x v="1"/>
    <n v="7000"/>
    <n v="0"/>
    <n v="7000"/>
    <n v="89000"/>
    <n v="96000"/>
    <x v="2"/>
    <x v="0"/>
    <x v="0"/>
    <n v="4"/>
    <x v="0"/>
  </r>
  <r>
    <x v="116"/>
    <x v="116"/>
    <s v="Dimas Budiman"/>
    <x v="15"/>
    <x v="8"/>
    <n v="17500"/>
    <n v="2.6"/>
    <x v="1"/>
    <n v="45500"/>
    <n v="0"/>
    <n v="45500"/>
    <n v="97000"/>
    <n v="142500"/>
    <x v="0"/>
    <x v="0"/>
    <x v="0"/>
    <n v="1"/>
    <x v="1"/>
  </r>
  <r>
    <x v="117"/>
    <x v="117"/>
    <s v="Citra Maulana"/>
    <x v="17"/>
    <x v="5"/>
    <n v="10500"/>
    <n v="0.9"/>
    <x v="1"/>
    <n v="9450"/>
    <n v="0"/>
    <n v="9450"/>
    <n v="72000"/>
    <n v="81450"/>
    <x v="2"/>
    <x v="0"/>
    <x v="4"/>
    <n v="3"/>
    <x v="0"/>
  </r>
  <r>
    <x v="118"/>
    <x v="118"/>
    <s v="Citra Maulana"/>
    <x v="17"/>
    <x v="8"/>
    <n v="17500"/>
    <n v="1.4"/>
    <x v="1"/>
    <n v="24500"/>
    <n v="0"/>
    <n v="24500"/>
    <n v="72000"/>
    <n v="96500"/>
    <x v="2"/>
    <x v="1"/>
    <x v="4"/>
    <n v="1"/>
    <x v="0"/>
  </r>
  <r>
    <x v="119"/>
    <x v="119"/>
    <s v="Dewi Hidayat"/>
    <x v="16"/>
    <x v="10"/>
    <n v="45000"/>
    <n v="1.1000000000000001"/>
    <x v="1"/>
    <n v="49500.000000000007"/>
    <n v="0"/>
    <n v="49500.000000000007"/>
    <n v="18000"/>
    <n v="67500"/>
    <x v="1"/>
    <x v="0"/>
    <x v="2"/>
    <n v="1"/>
    <x v="0"/>
  </r>
  <r>
    <x v="119"/>
    <x v="119"/>
    <s v="Dewi Hidayat"/>
    <x v="16"/>
    <x v="16"/>
    <n v="115000"/>
    <n v="0.4"/>
    <x v="1"/>
    <n v="46000"/>
    <n v="0"/>
    <n v="46000"/>
    <n v="0"/>
    <n v="46000"/>
    <x v="1"/>
    <x v="0"/>
    <x v="2"/>
    <n v="1"/>
    <x v="0"/>
  </r>
  <r>
    <x v="120"/>
    <x v="120"/>
    <s v="Vina Saputra"/>
    <x v="33"/>
    <x v="12"/>
    <n v="9500"/>
    <n v="1.5"/>
    <x v="1"/>
    <n v="14250"/>
    <n v="0"/>
    <n v="14250"/>
    <n v="80000"/>
    <n v="94250"/>
    <x v="3"/>
    <x v="0"/>
    <x v="0"/>
    <n v="2"/>
    <x v="0"/>
  </r>
  <r>
    <x v="121"/>
    <x v="121"/>
    <s v="Rizky Budiman"/>
    <x v="33"/>
    <x v="14"/>
    <n v="55000"/>
    <n v="0.3"/>
    <x v="1"/>
    <n v="16500"/>
    <n v="0"/>
    <n v="16500"/>
    <n v="80000"/>
    <n v="96500"/>
    <x v="2"/>
    <x v="1"/>
    <x v="0"/>
    <n v="1"/>
    <x v="1"/>
  </r>
  <r>
    <x v="122"/>
    <x v="122"/>
    <s v="Hana Wijaya"/>
    <x v="31"/>
    <x v="14"/>
    <n v="55000"/>
    <n v="0.7"/>
    <x v="1"/>
    <n v="38500"/>
    <n v="0"/>
    <n v="38500"/>
    <n v="87000"/>
    <n v="125500"/>
    <x v="2"/>
    <x v="0"/>
    <x v="3"/>
    <n v="1"/>
    <x v="0"/>
  </r>
  <r>
    <x v="123"/>
    <x v="123"/>
    <s v="Fitri Ramadhani"/>
    <x v="11"/>
    <x v="15"/>
    <n v="10000"/>
    <n v="0.3"/>
    <x v="1"/>
    <n v="3000"/>
    <n v="0"/>
    <n v="3000"/>
    <n v="74000"/>
    <n v="77000"/>
    <x v="2"/>
    <x v="0"/>
    <x v="1"/>
    <n v="1"/>
    <x v="0"/>
  </r>
  <r>
    <x v="124"/>
    <x v="124"/>
    <s v="Dewi Pradipta"/>
    <x v="14"/>
    <x v="15"/>
    <n v="10000"/>
    <n v="0.4"/>
    <x v="1"/>
    <n v="4000"/>
    <n v="0"/>
    <n v="4000"/>
    <n v="85000"/>
    <n v="89000"/>
    <x v="3"/>
    <x v="0"/>
    <x v="0"/>
    <n v="2"/>
    <x v="0"/>
  </r>
  <r>
    <x v="125"/>
    <x v="125"/>
    <s v="Sari Puspita"/>
    <x v="15"/>
    <x v="5"/>
    <n v="10500"/>
    <n v="2.9"/>
    <x v="1"/>
    <n v="30450"/>
    <n v="0"/>
    <n v="30450"/>
    <n v="97000"/>
    <n v="127450"/>
    <x v="3"/>
    <x v="0"/>
    <x v="1"/>
    <n v="3"/>
    <x v="0"/>
  </r>
  <r>
    <x v="126"/>
    <x v="126"/>
    <s v="Rizky Ramadhani"/>
    <x v="34"/>
    <x v="2"/>
    <n v="20000"/>
    <n v="1.8"/>
    <x v="1"/>
    <n v="36000"/>
    <n v="0"/>
    <n v="36000"/>
    <n v="18000"/>
    <n v="54000"/>
    <x v="3"/>
    <x v="0"/>
    <x v="3"/>
    <n v="3"/>
    <x v="1"/>
  </r>
  <r>
    <x v="127"/>
    <x v="127"/>
    <s v="Bella Iskandar"/>
    <x v="8"/>
    <x v="14"/>
    <n v="55000"/>
    <n v="1"/>
    <x v="1"/>
    <n v="55000"/>
    <n v="0"/>
    <n v="55000"/>
    <n v="59000"/>
    <n v="114000"/>
    <x v="2"/>
    <x v="2"/>
    <x v="0"/>
    <n v="3"/>
    <x v="0"/>
  </r>
  <r>
    <x v="128"/>
    <x v="128"/>
    <s v="Fitri Wijaya"/>
    <x v="30"/>
    <x v="11"/>
    <n v="15000"/>
    <n v="1"/>
    <x v="1"/>
    <n v="15000"/>
    <n v="0"/>
    <n v="15000"/>
    <n v="57000"/>
    <n v="72000"/>
    <x v="1"/>
    <x v="0"/>
    <x v="0"/>
    <n v="5"/>
    <x v="0"/>
  </r>
  <r>
    <x v="129"/>
    <x v="129"/>
    <s v="Dewi Santoso"/>
    <x v="26"/>
    <x v="8"/>
    <n v="17500"/>
    <n v="1.1000000000000001"/>
    <x v="1"/>
    <n v="19250"/>
    <n v="0"/>
    <n v="19250"/>
    <n v="46000"/>
    <n v="65250"/>
    <x v="2"/>
    <x v="0"/>
    <x v="2"/>
    <n v="1"/>
    <x v="0"/>
  </r>
  <r>
    <x v="129"/>
    <x v="129"/>
    <s v="Dewi Santoso"/>
    <x v="26"/>
    <x v="4"/>
    <n v="40000"/>
    <n v="1.6"/>
    <x v="1"/>
    <n v="64000"/>
    <n v="0"/>
    <n v="64000"/>
    <n v="0"/>
    <n v="64000"/>
    <x v="2"/>
    <x v="0"/>
    <x v="2"/>
    <n v="1"/>
    <x v="0"/>
  </r>
  <r>
    <x v="130"/>
    <x v="130"/>
    <s v="Hendra Wijaya"/>
    <x v="0"/>
    <x v="1"/>
    <n v="15000"/>
    <n v="0.7"/>
    <x v="1"/>
    <n v="10500"/>
    <n v="0"/>
    <n v="10500"/>
    <n v="15000"/>
    <n v="25500"/>
    <x v="2"/>
    <x v="0"/>
    <x v="3"/>
    <n v="5"/>
    <x v="1"/>
  </r>
  <r>
    <x v="131"/>
    <x v="131"/>
    <s v="Wahyu Pradipta"/>
    <x v="15"/>
    <x v="0"/>
    <n v="10000"/>
    <n v="1.6"/>
    <x v="1"/>
    <n v="16000"/>
    <n v="0"/>
    <n v="16000"/>
    <n v="97000"/>
    <n v="113000"/>
    <x v="2"/>
    <x v="0"/>
    <x v="1"/>
    <n v="5"/>
    <x v="1"/>
  </r>
  <r>
    <x v="132"/>
    <x v="132"/>
    <s v="Bayu Fauziah"/>
    <x v="11"/>
    <x v="7"/>
    <n v="14000"/>
    <n v="1.2"/>
    <x v="1"/>
    <n v="16800"/>
    <n v="0"/>
    <n v="16800"/>
    <n v="74000"/>
    <n v="90800"/>
    <x v="3"/>
    <x v="0"/>
    <x v="4"/>
    <n v="5"/>
    <x v="1"/>
  </r>
  <r>
    <x v="133"/>
    <x v="133"/>
    <s v="Gita Syahputra"/>
    <x v="21"/>
    <x v="11"/>
    <n v="15000"/>
    <n v="2.1"/>
    <x v="1"/>
    <n v="31500"/>
    <n v="0"/>
    <n v="31500"/>
    <n v="59000"/>
    <n v="90500"/>
    <x v="2"/>
    <x v="0"/>
    <x v="3"/>
    <n v="1"/>
    <x v="0"/>
  </r>
  <r>
    <x v="134"/>
    <x v="134"/>
    <s v="Erna Hidayat"/>
    <x v="32"/>
    <x v="3"/>
    <n v="13500"/>
    <n v="1.7"/>
    <x v="1"/>
    <n v="22950"/>
    <n v="0"/>
    <n v="22950"/>
    <n v="28000"/>
    <n v="50950"/>
    <x v="1"/>
    <x v="0"/>
    <x v="0"/>
    <n v="2"/>
    <x v="0"/>
  </r>
  <r>
    <x v="135"/>
    <x v="135"/>
    <s v="Joko Ananda"/>
    <x v="20"/>
    <x v="15"/>
    <n v="10000"/>
    <n v="0.6"/>
    <x v="1"/>
    <n v="6000"/>
    <n v="0"/>
    <n v="6000"/>
    <n v="84000"/>
    <n v="90000"/>
    <x v="3"/>
    <x v="0"/>
    <x v="1"/>
    <n v="2"/>
    <x v="1"/>
  </r>
  <r>
    <x v="136"/>
    <x v="136"/>
    <s v="Nanda Fauziah"/>
    <x v="21"/>
    <x v="18"/>
    <n v="11000"/>
    <n v="2"/>
    <x v="1"/>
    <n v="22000"/>
    <n v="0"/>
    <n v="22000"/>
    <n v="59000"/>
    <n v="81000"/>
    <x v="3"/>
    <x v="0"/>
    <x v="0"/>
    <n v="1"/>
    <x v="1"/>
  </r>
  <r>
    <x v="137"/>
    <x v="137"/>
    <s v="Gita Wijaya"/>
    <x v="31"/>
    <x v="17"/>
    <n v="12000"/>
    <n v="0.7"/>
    <x v="1"/>
    <n v="8400"/>
    <n v="0"/>
    <n v="8400"/>
    <n v="87000"/>
    <n v="95400"/>
    <x v="3"/>
    <x v="0"/>
    <x v="1"/>
    <n v="5"/>
    <x v="0"/>
  </r>
  <r>
    <x v="138"/>
    <x v="138"/>
    <s v="Fitri Rahmawati"/>
    <x v="35"/>
    <x v="9"/>
    <n v="46000"/>
    <n v="0.5"/>
    <x v="1"/>
    <n v="23000"/>
    <n v="0"/>
    <n v="23000"/>
    <n v="79000"/>
    <n v="102000"/>
    <x v="2"/>
    <x v="0"/>
    <x v="1"/>
    <n v="1"/>
    <x v="0"/>
  </r>
  <r>
    <x v="139"/>
    <x v="139"/>
    <s v="Ani Fauziah"/>
    <x v="15"/>
    <x v="2"/>
    <n v="20000"/>
    <n v="0.8"/>
    <x v="1"/>
    <n v="16000"/>
    <n v="0"/>
    <n v="16000"/>
    <n v="97000"/>
    <n v="113000"/>
    <x v="3"/>
    <x v="0"/>
    <x v="1"/>
    <n v="1"/>
    <x v="0"/>
  </r>
  <r>
    <x v="140"/>
    <x v="140"/>
    <s v="Qori Syahputra"/>
    <x v="12"/>
    <x v="10"/>
    <n v="45000"/>
    <n v="1.3"/>
    <x v="1"/>
    <n v="58500"/>
    <n v="0"/>
    <n v="58500"/>
    <n v="30000"/>
    <n v="88500"/>
    <x v="1"/>
    <x v="0"/>
    <x v="4"/>
    <n v="4"/>
    <x v="0"/>
  </r>
  <r>
    <x v="141"/>
    <x v="141"/>
    <s v="Nanda Setiawan"/>
    <x v="31"/>
    <x v="10"/>
    <n v="45000"/>
    <n v="0.6"/>
    <x v="1"/>
    <n v="27000"/>
    <n v="0"/>
    <n v="27000"/>
    <n v="87000"/>
    <n v="114000"/>
    <x v="0"/>
    <x v="0"/>
    <x v="3"/>
    <n v="4"/>
    <x v="1"/>
  </r>
  <r>
    <x v="141"/>
    <x v="141"/>
    <s v="Nanda Setiawan"/>
    <x v="31"/>
    <x v="19"/>
    <n v="15500"/>
    <n v="0.4"/>
    <x v="1"/>
    <n v="6200"/>
    <n v="0"/>
    <n v="6200"/>
    <n v="0"/>
    <n v="6200"/>
    <x v="0"/>
    <x v="0"/>
    <x v="3"/>
    <n v="4"/>
    <x v="1"/>
  </r>
  <r>
    <x v="142"/>
    <x v="142"/>
    <s v="Aulia Rahmawati"/>
    <x v="10"/>
    <x v="14"/>
    <n v="55000"/>
    <n v="1"/>
    <x v="1"/>
    <n v="55000"/>
    <n v="0"/>
    <n v="55000"/>
    <n v="87000"/>
    <n v="142000"/>
    <x v="1"/>
    <x v="1"/>
    <x v="3"/>
    <n v="3"/>
    <x v="0"/>
  </r>
  <r>
    <x v="143"/>
    <x v="143"/>
    <s v="Fitri Iskandar"/>
    <x v="8"/>
    <x v="5"/>
    <n v="10500"/>
    <n v="3.1"/>
    <x v="1"/>
    <n v="32550"/>
    <n v="0"/>
    <n v="32550"/>
    <n v="59000"/>
    <n v="91550"/>
    <x v="3"/>
    <x v="0"/>
    <x v="2"/>
    <n v="4"/>
    <x v="0"/>
  </r>
  <r>
    <x v="143"/>
    <x v="143"/>
    <s v="Fitri Iskandar"/>
    <x v="8"/>
    <x v="9"/>
    <n v="46000"/>
    <n v="0.8"/>
    <x v="1"/>
    <n v="36800"/>
    <n v="0"/>
    <n v="36800"/>
    <n v="0"/>
    <n v="36800"/>
    <x v="3"/>
    <x v="0"/>
    <x v="2"/>
    <n v="4"/>
    <x v="0"/>
  </r>
  <r>
    <x v="144"/>
    <x v="144"/>
    <s v="Gita Saputra"/>
    <x v="17"/>
    <x v="4"/>
    <n v="40000"/>
    <n v="0.8"/>
    <x v="1"/>
    <n v="32000"/>
    <n v="0"/>
    <n v="32000"/>
    <n v="72000"/>
    <n v="104000"/>
    <x v="3"/>
    <x v="1"/>
    <x v="4"/>
    <n v="2"/>
    <x v="0"/>
  </r>
  <r>
    <x v="145"/>
    <x v="145"/>
    <s v="Dina Kurniawan"/>
    <x v="31"/>
    <x v="5"/>
    <n v="10500"/>
    <n v="3.3"/>
    <x v="1"/>
    <n v="34650"/>
    <n v="0"/>
    <n v="34650"/>
    <n v="87000"/>
    <n v="121650"/>
    <x v="1"/>
    <x v="0"/>
    <x v="0"/>
    <n v="1"/>
    <x v="0"/>
  </r>
  <r>
    <x v="146"/>
    <x v="146"/>
    <s v="Putri Wijaya"/>
    <x v="12"/>
    <x v="2"/>
    <n v="20000"/>
    <n v="2.4"/>
    <x v="1"/>
    <n v="48000"/>
    <n v="0"/>
    <n v="48000"/>
    <n v="30000"/>
    <n v="78000"/>
    <x v="2"/>
    <x v="0"/>
    <x v="4"/>
    <n v="5"/>
    <x v="0"/>
  </r>
  <r>
    <x v="147"/>
    <x v="147"/>
    <s v="Vina Hidayat"/>
    <x v="9"/>
    <x v="2"/>
    <n v="20000"/>
    <n v="1.8"/>
    <x v="1"/>
    <n v="36000"/>
    <n v="0"/>
    <n v="36000"/>
    <n v="89000"/>
    <n v="125000"/>
    <x v="2"/>
    <x v="0"/>
    <x v="3"/>
    <n v="2"/>
    <x v="0"/>
  </r>
  <r>
    <x v="148"/>
    <x v="148"/>
    <s v="Bayu Maulana"/>
    <x v="9"/>
    <x v="4"/>
    <n v="40000"/>
    <n v="0.5"/>
    <x v="1"/>
    <n v="20000"/>
    <n v="0"/>
    <n v="20000"/>
    <n v="89000"/>
    <n v="109000"/>
    <x v="1"/>
    <x v="0"/>
    <x v="3"/>
    <n v="5"/>
    <x v="1"/>
  </r>
  <r>
    <x v="149"/>
    <x v="149"/>
    <s v="Ani Ananda"/>
    <x v="30"/>
    <x v="6"/>
    <n v="26000"/>
    <n v="1.1000000000000001"/>
    <x v="1"/>
    <n v="28600.000000000004"/>
    <n v="0"/>
    <n v="28600.000000000004"/>
    <n v="57000"/>
    <n v="85600"/>
    <x v="2"/>
    <x v="0"/>
    <x v="1"/>
    <n v="2"/>
    <x v="0"/>
  </r>
  <r>
    <x v="150"/>
    <x v="150"/>
    <s v="Eka Wijaya"/>
    <x v="7"/>
    <x v="4"/>
    <n v="40000"/>
    <n v="1"/>
    <x v="1"/>
    <n v="40000"/>
    <n v="0"/>
    <n v="40000"/>
    <n v="26000"/>
    <n v="66000"/>
    <x v="3"/>
    <x v="0"/>
    <x v="0"/>
    <n v="3"/>
    <x v="0"/>
  </r>
  <r>
    <x v="151"/>
    <x v="151"/>
    <s v="Putri Wijaya"/>
    <x v="12"/>
    <x v="8"/>
    <n v="17500"/>
    <n v="2.2999999999999998"/>
    <x v="1"/>
    <n v="40250"/>
    <n v="0"/>
    <n v="40250"/>
    <n v="30000"/>
    <n v="70250"/>
    <x v="3"/>
    <x v="0"/>
    <x v="2"/>
    <n v="5"/>
    <x v="0"/>
  </r>
  <r>
    <x v="152"/>
    <x v="152"/>
    <s v="Oka Santoso"/>
    <x v="16"/>
    <x v="7"/>
    <n v="14000"/>
    <n v="0.5"/>
    <x v="1"/>
    <n v="7000"/>
    <n v="0"/>
    <n v="7000"/>
    <n v="18000"/>
    <n v="25000"/>
    <x v="2"/>
    <x v="0"/>
    <x v="2"/>
    <n v="5"/>
    <x v="1"/>
  </r>
  <r>
    <x v="153"/>
    <x v="153"/>
    <s v="Rizky Ramadhani"/>
    <x v="34"/>
    <x v="18"/>
    <n v="11000"/>
    <n v="0.4"/>
    <x v="1"/>
    <n v="4400"/>
    <n v="0"/>
    <n v="4400"/>
    <n v="18000"/>
    <n v="22400"/>
    <x v="1"/>
    <x v="0"/>
    <x v="2"/>
    <n v="5"/>
    <x v="1"/>
  </r>
  <r>
    <x v="154"/>
    <x v="154"/>
    <s v="Bella Budiman"/>
    <x v="1"/>
    <x v="0"/>
    <n v="10000"/>
    <n v="3.5"/>
    <x v="1"/>
    <n v="35000"/>
    <n v="0"/>
    <n v="35000"/>
    <n v="17000"/>
    <n v="52000"/>
    <x v="0"/>
    <x v="0"/>
    <x v="2"/>
    <n v="3"/>
    <x v="0"/>
  </r>
  <r>
    <x v="155"/>
    <x v="155"/>
    <s v="Yani Pradipta"/>
    <x v="1"/>
    <x v="13"/>
    <n v="10000"/>
    <n v="1.1000000000000001"/>
    <x v="1"/>
    <n v="11000"/>
    <n v="0"/>
    <n v="11000"/>
    <n v="17000"/>
    <n v="28000"/>
    <x v="2"/>
    <x v="0"/>
    <x v="1"/>
    <n v="2"/>
    <x v="0"/>
  </r>
  <r>
    <x v="156"/>
    <x v="156"/>
    <s v="Andi Wijaya"/>
    <x v="36"/>
    <x v="2"/>
    <n v="20000"/>
    <n v="2.7"/>
    <x v="1"/>
    <n v="54000"/>
    <n v="0"/>
    <n v="54000"/>
    <n v="21000"/>
    <n v="75000"/>
    <x v="3"/>
    <x v="0"/>
    <x v="4"/>
    <n v="4"/>
    <x v="1"/>
  </r>
  <r>
    <x v="157"/>
    <x v="157"/>
    <s v="Dewi Halim"/>
    <x v="29"/>
    <x v="11"/>
    <n v="15000"/>
    <n v="2.2999999999999998"/>
    <x v="1"/>
    <n v="34500"/>
    <n v="0"/>
    <n v="34500"/>
    <n v="48000"/>
    <n v="82500"/>
    <x v="1"/>
    <x v="0"/>
    <x v="3"/>
    <n v="4"/>
    <x v="0"/>
  </r>
  <r>
    <x v="158"/>
    <x v="158"/>
    <s v="Qori Saputra"/>
    <x v="1"/>
    <x v="2"/>
    <n v="20000"/>
    <n v="1.2"/>
    <x v="1"/>
    <n v="24000"/>
    <n v="0"/>
    <n v="24000"/>
    <n v="17000"/>
    <n v="41000"/>
    <x v="2"/>
    <x v="0"/>
    <x v="3"/>
    <n v="2"/>
    <x v="0"/>
  </r>
  <r>
    <x v="159"/>
    <x v="159"/>
    <s v="Yani Santoso"/>
    <x v="14"/>
    <x v="10"/>
    <n v="45000"/>
    <n v="1.8"/>
    <x v="1"/>
    <n v="81000"/>
    <n v="0"/>
    <n v="81000"/>
    <n v="85000"/>
    <n v="166000"/>
    <x v="3"/>
    <x v="1"/>
    <x v="0"/>
    <n v="3"/>
    <x v="0"/>
  </r>
  <r>
    <x v="160"/>
    <x v="160"/>
    <s v="Aulia Utami"/>
    <x v="19"/>
    <x v="1"/>
    <n v="15000"/>
    <n v="0.1"/>
    <x v="1"/>
    <n v="1500"/>
    <n v="0"/>
    <n v="1500"/>
    <n v="78000"/>
    <n v="79500"/>
    <x v="2"/>
    <x v="0"/>
    <x v="0"/>
    <n v="5"/>
    <x v="0"/>
  </r>
  <r>
    <x v="161"/>
    <x v="161"/>
    <s v="Dewi Budiman"/>
    <x v="36"/>
    <x v="13"/>
    <n v="10000"/>
    <n v="0.2"/>
    <x v="1"/>
    <n v="2000"/>
    <n v="0"/>
    <n v="2000"/>
    <n v="21000"/>
    <n v="23000"/>
    <x v="3"/>
    <x v="2"/>
    <x v="4"/>
    <n v="5"/>
    <x v="0"/>
  </r>
  <r>
    <x v="162"/>
    <x v="162"/>
    <s v="Eko Pradipta"/>
    <x v="4"/>
    <x v="9"/>
    <n v="46000"/>
    <n v="0.8"/>
    <x v="1"/>
    <n v="36800"/>
    <n v="0"/>
    <n v="36800"/>
    <n v="43000"/>
    <n v="79800"/>
    <x v="2"/>
    <x v="0"/>
    <x v="2"/>
    <n v="3"/>
    <x v="1"/>
  </r>
  <r>
    <x v="163"/>
    <x v="163"/>
    <s v="Dina Kusuma"/>
    <x v="29"/>
    <x v="11"/>
    <n v="15000"/>
    <n v="1.1000000000000001"/>
    <x v="1"/>
    <n v="16500"/>
    <n v="0"/>
    <n v="16500"/>
    <n v="48000"/>
    <n v="64500"/>
    <x v="1"/>
    <x v="0"/>
    <x v="0"/>
    <n v="4"/>
    <x v="0"/>
  </r>
  <r>
    <x v="164"/>
    <x v="164"/>
    <s v="Fitri Puspita"/>
    <x v="19"/>
    <x v="3"/>
    <n v="13500"/>
    <n v="2.2999999999999998"/>
    <x v="1"/>
    <n v="31049.999999999996"/>
    <n v="0"/>
    <n v="31049.999999999996"/>
    <n v="78000"/>
    <n v="109050"/>
    <x v="2"/>
    <x v="0"/>
    <x v="3"/>
    <n v="5"/>
    <x v="0"/>
  </r>
  <r>
    <x v="165"/>
    <x v="165"/>
    <s v="Ani Fauziah"/>
    <x v="15"/>
    <x v="15"/>
    <n v="10000"/>
    <n v="0.6"/>
    <x v="1"/>
    <n v="6000"/>
    <n v="0"/>
    <n v="6000"/>
    <n v="97000"/>
    <n v="103000"/>
    <x v="2"/>
    <x v="1"/>
    <x v="3"/>
    <n v="1"/>
    <x v="0"/>
  </r>
  <r>
    <x v="165"/>
    <x v="165"/>
    <s v="Ani Fauziah"/>
    <x v="15"/>
    <x v="11"/>
    <n v="15000"/>
    <n v="1.5"/>
    <x v="1"/>
    <n v="22500"/>
    <n v="0"/>
    <n v="22500"/>
    <n v="0"/>
    <n v="22500"/>
    <x v="2"/>
    <x v="1"/>
    <x v="3"/>
    <n v="1"/>
    <x v="0"/>
  </r>
  <r>
    <x v="166"/>
    <x v="166"/>
    <s v="Bella Saputra"/>
    <x v="5"/>
    <x v="14"/>
    <n v="55000"/>
    <n v="1.1000000000000001"/>
    <x v="1"/>
    <n v="60500.000000000007"/>
    <n v="0"/>
    <n v="60500.000000000007"/>
    <n v="18000"/>
    <n v="78500"/>
    <x v="0"/>
    <x v="0"/>
    <x v="1"/>
    <n v="2"/>
    <x v="0"/>
  </r>
  <r>
    <x v="167"/>
    <x v="167"/>
    <s v="Made Fauziah"/>
    <x v="8"/>
    <x v="13"/>
    <n v="10000"/>
    <n v="0.3"/>
    <x v="0"/>
    <n v="3000"/>
    <n v="150"/>
    <n v="2850"/>
    <n v="59000"/>
    <n v="61850"/>
    <x v="3"/>
    <x v="0"/>
    <x v="4"/>
    <n v="4"/>
    <x v="1"/>
  </r>
  <r>
    <x v="168"/>
    <x v="168"/>
    <s v="Eka Saputra"/>
    <x v="29"/>
    <x v="19"/>
    <n v="15500"/>
    <n v="0.2"/>
    <x v="0"/>
    <n v="3100"/>
    <n v="155"/>
    <n v="2945"/>
    <n v="48000"/>
    <n v="50945"/>
    <x v="2"/>
    <x v="1"/>
    <x v="2"/>
    <n v="4"/>
    <x v="0"/>
  </r>
  <r>
    <x v="169"/>
    <x v="169"/>
    <s v="Yani Puspita"/>
    <x v="1"/>
    <x v="4"/>
    <n v="40000"/>
    <n v="0.2"/>
    <x v="0"/>
    <n v="8000"/>
    <n v="400"/>
    <n v="7600"/>
    <n v="17000"/>
    <n v="24600"/>
    <x v="3"/>
    <x v="1"/>
    <x v="1"/>
    <n v="2"/>
    <x v="0"/>
  </r>
  <r>
    <x v="170"/>
    <x v="170"/>
    <s v="Ani Halim"/>
    <x v="25"/>
    <x v="7"/>
    <n v="14000"/>
    <n v="1.2"/>
    <x v="0"/>
    <n v="16800"/>
    <n v="840"/>
    <n v="15960"/>
    <n v="50000"/>
    <n v="65960"/>
    <x v="1"/>
    <x v="0"/>
    <x v="1"/>
    <n v="2"/>
    <x v="0"/>
  </r>
  <r>
    <x v="171"/>
    <x v="171"/>
    <s v="Dimas Maulana"/>
    <x v="28"/>
    <x v="9"/>
    <n v="46000"/>
    <n v="0.4"/>
    <x v="0"/>
    <n v="18400"/>
    <n v="920"/>
    <n v="17480"/>
    <n v="56000"/>
    <n v="73480"/>
    <x v="0"/>
    <x v="2"/>
    <x v="4"/>
    <n v="5"/>
    <x v="1"/>
  </r>
  <r>
    <x v="172"/>
    <x v="172"/>
    <s v="Clara Kusuma"/>
    <x v="15"/>
    <x v="4"/>
    <n v="40000"/>
    <n v="0.5"/>
    <x v="0"/>
    <n v="20000"/>
    <n v="1000"/>
    <n v="19000"/>
    <n v="97000"/>
    <n v="116000"/>
    <x v="2"/>
    <x v="0"/>
    <x v="4"/>
    <n v="5"/>
    <x v="0"/>
  </r>
  <r>
    <x v="173"/>
    <x v="173"/>
    <s v="Qori Syahputra"/>
    <x v="12"/>
    <x v="19"/>
    <n v="15500"/>
    <n v="0.6"/>
    <x v="0"/>
    <n v="9300"/>
    <n v="465"/>
    <n v="8835"/>
    <n v="30000"/>
    <n v="38835"/>
    <x v="3"/>
    <x v="0"/>
    <x v="1"/>
    <n v="1"/>
    <x v="0"/>
  </r>
  <r>
    <x v="174"/>
    <x v="174"/>
    <s v="Qori Setiawan"/>
    <x v="10"/>
    <x v="4"/>
    <n v="40000"/>
    <n v="1.1000000000000001"/>
    <x v="0"/>
    <n v="44000"/>
    <n v="2200"/>
    <n v="41800"/>
    <n v="87000"/>
    <n v="128800"/>
    <x v="0"/>
    <x v="0"/>
    <x v="2"/>
    <n v="3"/>
    <x v="0"/>
  </r>
  <r>
    <x v="175"/>
    <x v="175"/>
    <s v="Sari Halim"/>
    <x v="23"/>
    <x v="4"/>
    <n v="40000"/>
    <n v="1.3"/>
    <x v="0"/>
    <n v="52000"/>
    <n v="2600"/>
    <n v="49400"/>
    <n v="55000"/>
    <n v="104400"/>
    <x v="0"/>
    <x v="0"/>
    <x v="4"/>
    <n v="2"/>
    <x v="0"/>
  </r>
  <r>
    <x v="176"/>
    <x v="176"/>
    <s v="Zahra Santoso"/>
    <x v="9"/>
    <x v="8"/>
    <n v="17500"/>
    <n v="1.9"/>
    <x v="1"/>
    <n v="33250"/>
    <n v="0"/>
    <n v="33250"/>
    <n v="89000"/>
    <n v="122250"/>
    <x v="1"/>
    <x v="0"/>
    <x v="1"/>
    <n v="3"/>
    <x v="0"/>
  </r>
  <r>
    <x v="177"/>
    <x v="177"/>
    <s v="Putri Puspita"/>
    <x v="8"/>
    <x v="0"/>
    <n v="10000"/>
    <n v="2.2000000000000002"/>
    <x v="1"/>
    <n v="22000"/>
    <n v="0"/>
    <n v="22000"/>
    <n v="59000"/>
    <n v="81000"/>
    <x v="1"/>
    <x v="0"/>
    <x v="2"/>
    <n v="1"/>
    <x v="0"/>
  </r>
  <r>
    <x v="177"/>
    <x v="177"/>
    <s v="Putri Puspita"/>
    <x v="8"/>
    <x v="19"/>
    <n v="15500"/>
    <n v="0.6"/>
    <x v="1"/>
    <n v="9300"/>
    <n v="0"/>
    <n v="9300"/>
    <n v="0"/>
    <n v="9300"/>
    <x v="1"/>
    <x v="0"/>
    <x v="2"/>
    <n v="1"/>
    <x v="0"/>
  </r>
  <r>
    <x v="178"/>
    <x v="178"/>
    <s v="Vina Budiman"/>
    <x v="4"/>
    <x v="7"/>
    <n v="14000"/>
    <n v="0.2"/>
    <x v="1"/>
    <n v="2800"/>
    <n v="0"/>
    <n v="2800"/>
    <n v="43000"/>
    <n v="45800"/>
    <x v="1"/>
    <x v="1"/>
    <x v="4"/>
    <n v="4"/>
    <x v="0"/>
  </r>
  <r>
    <x v="179"/>
    <x v="179"/>
    <s v="Citra Halim"/>
    <x v="21"/>
    <x v="2"/>
    <n v="20000"/>
    <n v="1.3"/>
    <x v="1"/>
    <n v="26000"/>
    <n v="0"/>
    <n v="26000"/>
    <n v="59000"/>
    <n v="85000"/>
    <x v="2"/>
    <x v="0"/>
    <x v="4"/>
    <n v="2"/>
    <x v="0"/>
  </r>
  <r>
    <x v="180"/>
    <x v="180"/>
    <s v="Hana Wijaya"/>
    <x v="31"/>
    <x v="18"/>
    <n v="11000"/>
    <n v="2.2000000000000002"/>
    <x v="1"/>
    <n v="24200.000000000004"/>
    <n v="0"/>
    <n v="24200.000000000004"/>
    <n v="87000"/>
    <n v="111200"/>
    <x v="1"/>
    <x v="0"/>
    <x v="1"/>
    <n v="2"/>
    <x v="0"/>
  </r>
  <r>
    <x v="181"/>
    <x v="181"/>
    <s v="Iwan Maulana"/>
    <x v="14"/>
    <x v="0"/>
    <n v="10000"/>
    <n v="2.2999999999999998"/>
    <x v="1"/>
    <n v="23000"/>
    <n v="0"/>
    <n v="23000"/>
    <n v="85000"/>
    <n v="108000"/>
    <x v="3"/>
    <x v="1"/>
    <x v="0"/>
    <n v="5"/>
    <x v="1"/>
  </r>
  <r>
    <x v="182"/>
    <x v="182"/>
    <s v="Citra Santoso"/>
    <x v="14"/>
    <x v="13"/>
    <n v="10000"/>
    <n v="1.4"/>
    <x v="1"/>
    <n v="14000"/>
    <n v="0"/>
    <n v="14000"/>
    <n v="85000"/>
    <n v="99000"/>
    <x v="0"/>
    <x v="0"/>
    <x v="3"/>
    <n v="3"/>
    <x v="0"/>
  </r>
  <r>
    <x v="183"/>
    <x v="183"/>
    <s v="Dimas Budiman"/>
    <x v="15"/>
    <x v="5"/>
    <n v="10500"/>
    <n v="3"/>
    <x v="1"/>
    <n v="31500"/>
    <n v="0"/>
    <n v="31500"/>
    <n v="97000"/>
    <n v="128500"/>
    <x v="3"/>
    <x v="1"/>
    <x v="3"/>
    <n v="4"/>
    <x v="1"/>
  </r>
  <r>
    <x v="184"/>
    <x v="184"/>
    <s v="Qori Syahputra"/>
    <x v="12"/>
    <x v="10"/>
    <n v="45000"/>
    <n v="1.4"/>
    <x v="1"/>
    <n v="62999.999999999993"/>
    <n v="0"/>
    <n v="62999.999999999993"/>
    <n v="30000"/>
    <n v="93000"/>
    <x v="2"/>
    <x v="0"/>
    <x v="4"/>
    <n v="5"/>
    <x v="0"/>
  </r>
  <r>
    <x v="185"/>
    <x v="185"/>
    <s v="Nanda Utami"/>
    <x v="3"/>
    <x v="16"/>
    <n v="115000"/>
    <n v="0.5"/>
    <x v="1"/>
    <n v="57500"/>
    <n v="0"/>
    <n v="57500"/>
    <n v="93000"/>
    <n v="150500"/>
    <x v="3"/>
    <x v="2"/>
    <x v="0"/>
    <n v="2"/>
    <x v="1"/>
  </r>
  <r>
    <x v="186"/>
    <x v="186"/>
    <s v="Clara Maulana"/>
    <x v="14"/>
    <x v="1"/>
    <n v="15000"/>
    <n v="0.8"/>
    <x v="1"/>
    <n v="12000"/>
    <n v="0"/>
    <n v="12000"/>
    <n v="85000"/>
    <n v="97000"/>
    <x v="0"/>
    <x v="0"/>
    <x v="2"/>
    <n v="1"/>
    <x v="0"/>
  </r>
  <r>
    <x v="187"/>
    <x v="187"/>
    <s v="Budi Saputra"/>
    <x v="28"/>
    <x v="5"/>
    <n v="10500"/>
    <n v="2"/>
    <x v="1"/>
    <n v="21000"/>
    <n v="0"/>
    <n v="21000"/>
    <n v="56000"/>
    <n v="77000"/>
    <x v="2"/>
    <x v="1"/>
    <x v="3"/>
    <n v="4"/>
    <x v="1"/>
  </r>
  <r>
    <x v="188"/>
    <x v="188"/>
    <s v="Bella Halim"/>
    <x v="2"/>
    <x v="19"/>
    <n v="15500"/>
    <n v="0.4"/>
    <x v="1"/>
    <n v="6200"/>
    <n v="0"/>
    <n v="6200"/>
    <n v="76000"/>
    <n v="82200"/>
    <x v="1"/>
    <x v="1"/>
    <x v="4"/>
    <n v="1"/>
    <x v="0"/>
  </r>
  <r>
    <x v="188"/>
    <x v="188"/>
    <s v="Bella Halim"/>
    <x v="2"/>
    <x v="11"/>
    <n v="15000"/>
    <n v="0.9"/>
    <x v="1"/>
    <n v="13500"/>
    <n v="0"/>
    <n v="13500"/>
    <n v="0"/>
    <n v="13500"/>
    <x v="1"/>
    <x v="1"/>
    <x v="4"/>
    <n v="1"/>
    <x v="0"/>
  </r>
  <r>
    <x v="189"/>
    <x v="189"/>
    <s v="Citra Budiman"/>
    <x v="18"/>
    <x v="12"/>
    <n v="9500"/>
    <n v="1.9"/>
    <x v="1"/>
    <n v="18050"/>
    <n v="0"/>
    <n v="18050"/>
    <n v="0"/>
    <n v="18050"/>
    <x v="1"/>
    <x v="1"/>
    <x v="3"/>
    <n v="2"/>
    <x v="0"/>
  </r>
  <r>
    <x v="190"/>
    <x v="190"/>
    <s v="Dina Wijaya"/>
    <x v="37"/>
    <x v="11"/>
    <n v="15000"/>
    <n v="1.7"/>
    <x v="1"/>
    <n v="25500"/>
    <n v="0"/>
    <n v="25500"/>
    <n v="67000"/>
    <n v="92500"/>
    <x v="1"/>
    <x v="1"/>
    <x v="3"/>
    <n v="4"/>
    <x v="0"/>
  </r>
  <r>
    <x v="191"/>
    <x v="191"/>
    <s v="Bella Setiawan"/>
    <x v="36"/>
    <x v="16"/>
    <n v="115000"/>
    <n v="1.3"/>
    <x v="1"/>
    <n v="149500"/>
    <n v="0"/>
    <n v="149500"/>
    <n v="21000"/>
    <n v="170500"/>
    <x v="3"/>
    <x v="0"/>
    <x v="0"/>
    <n v="3"/>
    <x v="0"/>
  </r>
  <r>
    <x v="192"/>
    <x v="192"/>
    <s v="Galih Kusuma"/>
    <x v="18"/>
    <x v="7"/>
    <n v="14000"/>
    <n v="1"/>
    <x v="1"/>
    <n v="14000"/>
    <n v="0"/>
    <n v="14000"/>
    <n v="0"/>
    <n v="14000"/>
    <x v="2"/>
    <x v="0"/>
    <x v="0"/>
    <n v="1"/>
    <x v="1"/>
  </r>
  <r>
    <x v="193"/>
    <x v="193"/>
    <s v="Umar Setiawan"/>
    <x v="17"/>
    <x v="17"/>
    <n v="12000"/>
    <n v="1.3"/>
    <x v="1"/>
    <n v="15600"/>
    <n v="0"/>
    <n v="15600"/>
    <n v="72000"/>
    <n v="87600"/>
    <x v="3"/>
    <x v="0"/>
    <x v="3"/>
    <n v="1"/>
    <x v="1"/>
  </r>
  <r>
    <x v="194"/>
    <x v="194"/>
    <s v="Sari Pradipta"/>
    <x v="5"/>
    <x v="8"/>
    <n v="17500"/>
    <n v="2.5"/>
    <x v="1"/>
    <n v="43750"/>
    <n v="0"/>
    <n v="43750"/>
    <n v="18000"/>
    <n v="61750"/>
    <x v="1"/>
    <x v="0"/>
    <x v="2"/>
    <n v="1"/>
    <x v="0"/>
  </r>
  <r>
    <x v="195"/>
    <x v="195"/>
    <s v="Made Setiawan"/>
    <x v="6"/>
    <x v="3"/>
    <n v="13500"/>
    <n v="2.5"/>
    <x v="1"/>
    <n v="33750"/>
    <n v="0"/>
    <n v="33750"/>
    <n v="80000"/>
    <n v="113750"/>
    <x v="3"/>
    <x v="0"/>
    <x v="0"/>
    <n v="3"/>
    <x v="1"/>
  </r>
  <r>
    <x v="196"/>
    <x v="196"/>
    <s v="Wahyu Fauziah"/>
    <x v="35"/>
    <x v="2"/>
    <n v="20000"/>
    <n v="2.2999999999999998"/>
    <x v="1"/>
    <n v="46000"/>
    <n v="0"/>
    <n v="46000"/>
    <n v="79000"/>
    <n v="125000"/>
    <x v="2"/>
    <x v="1"/>
    <x v="1"/>
    <n v="5"/>
    <x v="1"/>
  </r>
  <r>
    <x v="197"/>
    <x v="197"/>
    <s v="Dewi Fauziah"/>
    <x v="4"/>
    <x v="19"/>
    <n v="15500"/>
    <n v="0.2"/>
    <x v="1"/>
    <n v="3100"/>
    <n v="0"/>
    <n v="3100"/>
    <n v="43000"/>
    <n v="46100"/>
    <x v="1"/>
    <x v="0"/>
    <x v="4"/>
    <n v="2"/>
    <x v="0"/>
  </r>
  <r>
    <x v="197"/>
    <x v="197"/>
    <s v="Dewi Fauziah"/>
    <x v="4"/>
    <x v="12"/>
    <n v="9500"/>
    <n v="1.8"/>
    <x v="1"/>
    <n v="17100"/>
    <n v="0"/>
    <n v="17100"/>
    <n v="0"/>
    <n v="17100"/>
    <x v="1"/>
    <x v="0"/>
    <x v="4"/>
    <n v="2"/>
    <x v="0"/>
  </r>
  <r>
    <x v="198"/>
    <x v="198"/>
    <s v="Bella Pradipta"/>
    <x v="23"/>
    <x v="12"/>
    <n v="9500"/>
    <n v="1.3"/>
    <x v="1"/>
    <n v="12350"/>
    <n v="0"/>
    <n v="12350"/>
    <n v="55000"/>
    <n v="67350"/>
    <x v="2"/>
    <x v="0"/>
    <x v="2"/>
    <n v="1"/>
    <x v="0"/>
  </r>
  <r>
    <x v="199"/>
    <x v="199"/>
    <s v="Ani Budiman"/>
    <x v="17"/>
    <x v="2"/>
    <n v="20000"/>
    <n v="1.8"/>
    <x v="1"/>
    <n v="36000"/>
    <n v="0"/>
    <n v="36000"/>
    <n v="72000"/>
    <n v="108000"/>
    <x v="1"/>
    <x v="0"/>
    <x v="2"/>
    <n v="4"/>
    <x v="0"/>
  </r>
  <r>
    <x v="200"/>
    <x v="200"/>
    <s v="Oka Kusuma"/>
    <x v="1"/>
    <x v="15"/>
    <n v="10000"/>
    <n v="1"/>
    <x v="1"/>
    <n v="10000"/>
    <n v="0"/>
    <n v="10000"/>
    <n v="17000"/>
    <n v="27000"/>
    <x v="1"/>
    <x v="0"/>
    <x v="0"/>
    <n v="4"/>
    <x v="1"/>
  </r>
  <r>
    <x v="201"/>
    <x v="201"/>
    <s v="Yani Setiawan"/>
    <x v="2"/>
    <x v="9"/>
    <n v="46000"/>
    <n v="0.5"/>
    <x v="1"/>
    <n v="23000"/>
    <n v="0"/>
    <n v="23000"/>
    <n v="76000"/>
    <n v="99000"/>
    <x v="1"/>
    <x v="0"/>
    <x v="2"/>
    <n v="1"/>
    <x v="0"/>
  </r>
  <r>
    <x v="201"/>
    <x v="201"/>
    <s v="Yani Setiawan"/>
    <x v="2"/>
    <x v="10"/>
    <n v="45000"/>
    <n v="0.9"/>
    <x v="1"/>
    <n v="40500"/>
    <n v="0"/>
    <n v="40500"/>
    <n v="0"/>
    <n v="40500"/>
    <x v="1"/>
    <x v="0"/>
    <x v="2"/>
    <n v="1"/>
    <x v="0"/>
  </r>
  <r>
    <x v="202"/>
    <x v="202"/>
    <s v="Yani Wijaya"/>
    <x v="11"/>
    <x v="9"/>
    <n v="46000"/>
    <n v="0.2"/>
    <x v="1"/>
    <n v="9200"/>
    <n v="0"/>
    <n v="9200"/>
    <n v="74000"/>
    <n v="83200"/>
    <x v="0"/>
    <x v="0"/>
    <x v="0"/>
    <n v="3"/>
    <x v="0"/>
  </r>
  <r>
    <x v="203"/>
    <x v="203"/>
    <s v="Dewi Rahmawati"/>
    <x v="7"/>
    <x v="1"/>
    <n v="15000"/>
    <n v="0.5"/>
    <x v="1"/>
    <n v="7500"/>
    <n v="0"/>
    <n v="7500"/>
    <n v="26000"/>
    <n v="33500"/>
    <x v="1"/>
    <x v="0"/>
    <x v="3"/>
    <n v="5"/>
    <x v="0"/>
  </r>
  <r>
    <x v="204"/>
    <x v="204"/>
    <s v="Bayu Nugroho"/>
    <x v="12"/>
    <x v="8"/>
    <n v="17500"/>
    <n v="1.4"/>
    <x v="1"/>
    <n v="24500"/>
    <n v="0"/>
    <n v="24500"/>
    <n v="30000"/>
    <n v="54500"/>
    <x v="2"/>
    <x v="0"/>
    <x v="2"/>
    <n v="1"/>
    <x v="1"/>
  </r>
  <r>
    <x v="205"/>
    <x v="205"/>
    <s v="Lestari Wijaya"/>
    <x v="18"/>
    <x v="1"/>
    <n v="15000"/>
    <n v="0.6"/>
    <x v="1"/>
    <n v="9000"/>
    <n v="0"/>
    <n v="9000"/>
    <n v="0"/>
    <n v="9000"/>
    <x v="2"/>
    <x v="0"/>
    <x v="2"/>
    <n v="3"/>
    <x v="0"/>
  </r>
  <r>
    <x v="206"/>
    <x v="206"/>
    <s v="Made Santoso"/>
    <x v="35"/>
    <x v="9"/>
    <n v="46000"/>
    <n v="0.8"/>
    <x v="1"/>
    <n v="36800"/>
    <n v="0"/>
    <n v="36800"/>
    <n v="79000"/>
    <n v="115800"/>
    <x v="1"/>
    <x v="0"/>
    <x v="3"/>
    <n v="4"/>
    <x v="1"/>
  </r>
  <r>
    <x v="207"/>
    <x v="207"/>
    <s v="Qori Ramadhani"/>
    <x v="21"/>
    <x v="14"/>
    <n v="55000"/>
    <n v="0.6"/>
    <x v="1"/>
    <n v="33000"/>
    <n v="0"/>
    <n v="33000"/>
    <n v="59000"/>
    <n v="92000"/>
    <x v="0"/>
    <x v="0"/>
    <x v="4"/>
    <n v="5"/>
    <x v="0"/>
  </r>
  <r>
    <x v="208"/>
    <x v="208"/>
    <s v="Zahra Utami"/>
    <x v="25"/>
    <x v="2"/>
    <n v="20000"/>
    <n v="1.8"/>
    <x v="1"/>
    <n v="36000"/>
    <n v="0"/>
    <n v="36000"/>
    <n v="50000"/>
    <n v="86000"/>
    <x v="2"/>
    <x v="0"/>
    <x v="2"/>
    <n v="4"/>
    <x v="0"/>
  </r>
  <r>
    <x v="209"/>
    <x v="209"/>
    <s v="Sari Iskandar"/>
    <x v="17"/>
    <x v="18"/>
    <n v="11000"/>
    <n v="2.1"/>
    <x v="1"/>
    <n v="23100"/>
    <n v="0"/>
    <n v="23100"/>
    <n v="72000"/>
    <n v="95100"/>
    <x v="3"/>
    <x v="0"/>
    <x v="3"/>
    <n v="2"/>
    <x v="0"/>
  </r>
  <r>
    <x v="210"/>
    <x v="210"/>
    <s v="Qori Saputra"/>
    <x v="1"/>
    <x v="4"/>
    <n v="40000"/>
    <n v="1.4"/>
    <x v="1"/>
    <n v="56000"/>
    <n v="0"/>
    <n v="56000"/>
    <n v="17000"/>
    <n v="73000"/>
    <x v="2"/>
    <x v="0"/>
    <x v="0"/>
    <n v="4"/>
    <x v="0"/>
  </r>
  <r>
    <x v="211"/>
    <x v="211"/>
    <s v="Zahra Nugroho"/>
    <x v="19"/>
    <x v="17"/>
    <n v="12000"/>
    <n v="1.7"/>
    <x v="1"/>
    <n v="20400"/>
    <n v="0"/>
    <n v="20400"/>
    <n v="78000"/>
    <n v="98400"/>
    <x v="1"/>
    <x v="1"/>
    <x v="0"/>
    <n v="1"/>
    <x v="0"/>
  </r>
  <r>
    <x v="212"/>
    <x v="212"/>
    <s v="Erna Rahmawati"/>
    <x v="5"/>
    <x v="5"/>
    <n v="10500"/>
    <n v="1.2"/>
    <x v="1"/>
    <n v="12600"/>
    <n v="0"/>
    <n v="12600"/>
    <n v="18000"/>
    <n v="30600"/>
    <x v="0"/>
    <x v="0"/>
    <x v="4"/>
    <n v="5"/>
    <x v="0"/>
  </r>
  <r>
    <x v="213"/>
    <x v="213"/>
    <s v="Wahyu Fauziah"/>
    <x v="35"/>
    <x v="10"/>
    <n v="45000"/>
    <n v="0.5"/>
    <x v="1"/>
    <n v="22500"/>
    <n v="0"/>
    <n v="22500"/>
    <n v="79000"/>
    <n v="101500"/>
    <x v="1"/>
    <x v="0"/>
    <x v="4"/>
    <n v="5"/>
    <x v="1"/>
  </r>
  <r>
    <x v="214"/>
    <x v="214"/>
    <s v="Qori Budiman"/>
    <x v="29"/>
    <x v="17"/>
    <n v="12000"/>
    <n v="0.3"/>
    <x v="1"/>
    <n v="3600"/>
    <n v="0"/>
    <n v="3600"/>
    <n v="48000"/>
    <n v="51600"/>
    <x v="2"/>
    <x v="1"/>
    <x v="4"/>
    <n v="1"/>
    <x v="0"/>
  </r>
  <r>
    <x v="215"/>
    <x v="215"/>
    <s v="Bayu Syahputra"/>
    <x v="15"/>
    <x v="10"/>
    <n v="45000"/>
    <n v="1.3"/>
    <x v="1"/>
    <n v="58500"/>
    <n v="0"/>
    <n v="58500"/>
    <n v="97000"/>
    <n v="155500"/>
    <x v="3"/>
    <x v="0"/>
    <x v="2"/>
    <n v="5"/>
    <x v="1"/>
  </r>
  <r>
    <x v="216"/>
    <x v="216"/>
    <s v="Dewi Halim"/>
    <x v="29"/>
    <x v="12"/>
    <n v="9500"/>
    <n v="2.6"/>
    <x v="1"/>
    <n v="24700"/>
    <n v="0"/>
    <n v="24700"/>
    <n v="48000"/>
    <n v="72700"/>
    <x v="0"/>
    <x v="0"/>
    <x v="4"/>
    <n v="3"/>
    <x v="0"/>
  </r>
  <r>
    <x v="217"/>
    <x v="217"/>
    <s v="Lestari Budiman"/>
    <x v="14"/>
    <x v="4"/>
    <n v="40000"/>
    <n v="0.4"/>
    <x v="1"/>
    <n v="16000"/>
    <n v="0"/>
    <n v="16000"/>
    <n v="85000"/>
    <n v="101000"/>
    <x v="2"/>
    <x v="0"/>
    <x v="0"/>
    <n v="1"/>
    <x v="0"/>
  </r>
  <r>
    <x v="218"/>
    <x v="218"/>
    <s v="Citra Syahputra"/>
    <x v="26"/>
    <x v="8"/>
    <n v="17500"/>
    <n v="4.2"/>
    <x v="1"/>
    <n v="73500"/>
    <n v="0"/>
    <n v="73500"/>
    <n v="46000"/>
    <n v="119500"/>
    <x v="1"/>
    <x v="0"/>
    <x v="1"/>
    <n v="4"/>
    <x v="0"/>
  </r>
  <r>
    <x v="219"/>
    <x v="219"/>
    <s v="Ani Fauziah"/>
    <x v="15"/>
    <x v="19"/>
    <n v="15500"/>
    <n v="0.4"/>
    <x v="1"/>
    <n v="6200"/>
    <n v="0"/>
    <n v="6200"/>
    <n v="97000"/>
    <n v="103200"/>
    <x v="3"/>
    <x v="0"/>
    <x v="3"/>
    <n v="5"/>
    <x v="0"/>
  </r>
  <r>
    <x v="220"/>
    <x v="220"/>
    <s v="Dina Pradipta"/>
    <x v="29"/>
    <x v="15"/>
    <n v="10000"/>
    <n v="1"/>
    <x v="1"/>
    <n v="10000"/>
    <n v="0"/>
    <n v="10000"/>
    <n v="48000"/>
    <n v="58000"/>
    <x v="3"/>
    <x v="0"/>
    <x v="2"/>
    <n v="2"/>
    <x v="0"/>
  </r>
  <r>
    <x v="221"/>
    <x v="221"/>
    <s v="Ani Hidayat"/>
    <x v="4"/>
    <x v="17"/>
    <n v="12000"/>
    <n v="0.8"/>
    <x v="1"/>
    <n v="9600"/>
    <n v="0"/>
    <n v="9600"/>
    <n v="43000"/>
    <n v="52600"/>
    <x v="2"/>
    <x v="0"/>
    <x v="2"/>
    <n v="5"/>
    <x v="0"/>
  </r>
  <r>
    <x v="222"/>
    <x v="222"/>
    <s v="Vina Maulana"/>
    <x v="0"/>
    <x v="0"/>
    <n v="10000"/>
    <n v="1.7"/>
    <x v="0"/>
    <n v="17000"/>
    <n v="850"/>
    <n v="16150"/>
    <n v="15000"/>
    <n v="31150"/>
    <x v="0"/>
    <x v="0"/>
    <x v="1"/>
    <n v="5"/>
    <x v="0"/>
  </r>
  <r>
    <x v="223"/>
    <x v="223"/>
    <s v="Ani Wijaya"/>
    <x v="29"/>
    <x v="16"/>
    <n v="115000"/>
    <n v="0.5"/>
    <x v="0"/>
    <n v="57500"/>
    <n v="2875"/>
    <n v="54625"/>
    <n v="48000"/>
    <n v="102625"/>
    <x v="3"/>
    <x v="0"/>
    <x v="1"/>
    <n v="2"/>
    <x v="0"/>
  </r>
  <r>
    <x v="224"/>
    <x v="224"/>
    <s v="Oka Ramadhani"/>
    <x v="13"/>
    <x v="17"/>
    <n v="12000"/>
    <n v="0.5"/>
    <x v="0"/>
    <n v="6000"/>
    <n v="300"/>
    <n v="5700"/>
    <n v="49000"/>
    <n v="54700"/>
    <x v="3"/>
    <x v="1"/>
    <x v="4"/>
    <n v="1"/>
    <x v="1"/>
  </r>
  <r>
    <x v="225"/>
    <x v="225"/>
    <s v="Qori Budiman"/>
    <x v="29"/>
    <x v="6"/>
    <n v="26000"/>
    <n v="1"/>
    <x v="0"/>
    <n v="26000"/>
    <n v="1300"/>
    <n v="24700"/>
    <n v="48000"/>
    <n v="72700"/>
    <x v="2"/>
    <x v="0"/>
    <x v="4"/>
    <n v="1"/>
    <x v="0"/>
  </r>
  <r>
    <x v="226"/>
    <x v="226"/>
    <s v="Fajar Kurniawan"/>
    <x v="3"/>
    <x v="3"/>
    <n v="13500"/>
    <n v="2.8"/>
    <x v="0"/>
    <n v="37800"/>
    <n v="1890"/>
    <n v="35910"/>
    <n v="93000"/>
    <n v="128910"/>
    <x v="0"/>
    <x v="0"/>
    <x v="0"/>
    <n v="2"/>
    <x v="1"/>
  </r>
  <r>
    <x v="227"/>
    <x v="227"/>
    <s v="Joko Maulana"/>
    <x v="27"/>
    <x v="13"/>
    <n v="10000"/>
    <n v="0.6"/>
    <x v="0"/>
    <n v="6000"/>
    <n v="300"/>
    <n v="5700"/>
    <n v="49000"/>
    <n v="54700"/>
    <x v="0"/>
    <x v="1"/>
    <x v="0"/>
    <n v="1"/>
    <x v="1"/>
  </r>
  <r>
    <x v="228"/>
    <x v="228"/>
    <s v="Dina Rahmawati"/>
    <x v="21"/>
    <x v="18"/>
    <n v="11000"/>
    <n v="0.9"/>
    <x v="0"/>
    <n v="9900"/>
    <n v="495"/>
    <n v="9405"/>
    <n v="59000"/>
    <n v="68405"/>
    <x v="1"/>
    <x v="0"/>
    <x v="2"/>
    <n v="5"/>
    <x v="0"/>
  </r>
  <r>
    <x v="229"/>
    <x v="229"/>
    <s v="Andi Setiawan"/>
    <x v="14"/>
    <x v="9"/>
    <n v="46000"/>
    <n v="1.2"/>
    <x v="0"/>
    <n v="55200"/>
    <n v="2760"/>
    <n v="52440"/>
    <n v="85000"/>
    <n v="137440"/>
    <x v="1"/>
    <x v="0"/>
    <x v="1"/>
    <n v="1"/>
    <x v="1"/>
  </r>
  <r>
    <x v="230"/>
    <x v="230"/>
    <s v="Clara Pradipta"/>
    <x v="15"/>
    <x v="3"/>
    <n v="13500"/>
    <n v="2.1"/>
    <x v="0"/>
    <n v="28350"/>
    <n v="1417.5"/>
    <n v="26932.5"/>
    <n v="97000"/>
    <n v="123932.5"/>
    <x v="3"/>
    <x v="0"/>
    <x v="4"/>
    <n v="2"/>
    <x v="0"/>
  </r>
  <r>
    <x v="231"/>
    <x v="231"/>
    <s v="Erna Maulana"/>
    <x v="31"/>
    <x v="11"/>
    <n v="15000"/>
    <n v="0.9"/>
    <x v="0"/>
    <n v="13500"/>
    <n v="675"/>
    <n v="12825"/>
    <n v="87000"/>
    <n v="99825"/>
    <x v="2"/>
    <x v="2"/>
    <x v="0"/>
    <n v="4"/>
    <x v="0"/>
  </r>
  <r>
    <x v="232"/>
    <x v="232"/>
    <s v="Zahra Setiawan"/>
    <x v="23"/>
    <x v="18"/>
    <n v="11000"/>
    <n v="1.1000000000000001"/>
    <x v="0"/>
    <n v="12100.000000000002"/>
    <n v="605.00000000000011"/>
    <n v="11495.000000000002"/>
    <n v="55000"/>
    <n v="66495"/>
    <x v="2"/>
    <x v="0"/>
    <x v="2"/>
    <n v="3"/>
    <x v="0"/>
  </r>
  <r>
    <x v="233"/>
    <x v="233"/>
    <s v="Vina Maulana"/>
    <x v="0"/>
    <x v="6"/>
    <n v="26000"/>
    <n v="1"/>
    <x v="0"/>
    <n v="26000"/>
    <n v="1300"/>
    <n v="24700"/>
    <n v="15000"/>
    <n v="39700"/>
    <x v="3"/>
    <x v="2"/>
    <x v="4"/>
    <n v="2"/>
    <x v="0"/>
  </r>
  <r>
    <x v="234"/>
    <x v="234"/>
    <s v="Yoga Saputra"/>
    <x v="0"/>
    <x v="16"/>
    <n v="115000"/>
    <n v="1.3"/>
    <x v="0"/>
    <n v="149500"/>
    <n v="7475"/>
    <n v="142025"/>
    <n v="15000"/>
    <n v="157025"/>
    <x v="3"/>
    <x v="0"/>
    <x v="2"/>
    <n v="5"/>
    <x v="1"/>
  </r>
  <r>
    <x v="235"/>
    <x v="235"/>
    <s v="Dina Hidayat"/>
    <x v="13"/>
    <x v="7"/>
    <n v="14000"/>
    <n v="1"/>
    <x v="0"/>
    <n v="14000"/>
    <n v="700"/>
    <n v="13300"/>
    <n v="49000"/>
    <n v="62300"/>
    <x v="0"/>
    <x v="0"/>
    <x v="0"/>
    <n v="4"/>
    <x v="0"/>
  </r>
  <r>
    <x v="236"/>
    <x v="236"/>
    <s v="Yani Pradipta"/>
    <x v="1"/>
    <x v="16"/>
    <n v="115000"/>
    <n v="1"/>
    <x v="0"/>
    <n v="115000"/>
    <n v="5750"/>
    <n v="109250"/>
    <n v="17000"/>
    <n v="126250"/>
    <x v="0"/>
    <x v="0"/>
    <x v="3"/>
    <n v="2"/>
    <x v="0"/>
  </r>
  <r>
    <x v="237"/>
    <x v="237"/>
    <s v="Ani Kusuma"/>
    <x v="29"/>
    <x v="16"/>
    <n v="115000"/>
    <n v="0.4"/>
    <x v="0"/>
    <n v="46000"/>
    <n v="2300"/>
    <n v="43700"/>
    <n v="48000"/>
    <n v="91700"/>
    <x v="0"/>
    <x v="0"/>
    <x v="0"/>
    <n v="3"/>
    <x v="0"/>
  </r>
  <r>
    <x v="238"/>
    <x v="238"/>
    <s v="Clara Ramadhani"/>
    <x v="29"/>
    <x v="2"/>
    <n v="20000"/>
    <n v="1"/>
    <x v="0"/>
    <n v="20000"/>
    <n v="1000"/>
    <n v="19000"/>
    <n v="48000"/>
    <n v="67000"/>
    <x v="0"/>
    <x v="0"/>
    <x v="1"/>
    <n v="2"/>
    <x v="0"/>
  </r>
  <r>
    <x v="239"/>
    <x v="239"/>
    <s v="Qori Setiawan"/>
    <x v="10"/>
    <x v="7"/>
    <n v="14000"/>
    <n v="0.9"/>
    <x v="0"/>
    <n v="12600"/>
    <n v="630"/>
    <n v="11970"/>
    <n v="87000"/>
    <n v="98970"/>
    <x v="1"/>
    <x v="0"/>
    <x v="1"/>
    <n v="3"/>
    <x v="0"/>
  </r>
  <r>
    <x v="240"/>
    <x v="240"/>
    <s v="Eka Wijaya"/>
    <x v="7"/>
    <x v="5"/>
    <n v="10500"/>
    <n v="1.6"/>
    <x v="0"/>
    <n v="16800"/>
    <n v="840"/>
    <n v="15960"/>
    <n v="26000"/>
    <n v="41960"/>
    <x v="2"/>
    <x v="1"/>
    <x v="0"/>
    <n v="2"/>
    <x v="0"/>
  </r>
  <r>
    <x v="241"/>
    <x v="241"/>
    <s v="Qori Fauziah"/>
    <x v="11"/>
    <x v="3"/>
    <n v="13500"/>
    <n v="1.4"/>
    <x v="0"/>
    <n v="18900"/>
    <n v="945"/>
    <n v="17955"/>
    <n v="74000"/>
    <n v="91955"/>
    <x v="0"/>
    <x v="1"/>
    <x v="1"/>
    <n v="3"/>
    <x v="0"/>
  </r>
  <r>
    <x v="242"/>
    <x v="242"/>
    <s v="Aulia Ananda"/>
    <x v="14"/>
    <x v="10"/>
    <n v="45000"/>
    <n v="1.3"/>
    <x v="0"/>
    <n v="58500"/>
    <n v="2925"/>
    <n v="55575"/>
    <n v="85000"/>
    <n v="140575"/>
    <x v="0"/>
    <x v="0"/>
    <x v="2"/>
    <n v="5"/>
    <x v="0"/>
  </r>
  <r>
    <x v="243"/>
    <x v="243"/>
    <s v="Budi Hidayat"/>
    <x v="0"/>
    <x v="4"/>
    <n v="40000"/>
    <n v="0.8"/>
    <x v="0"/>
    <n v="32000"/>
    <n v="1600"/>
    <n v="30400"/>
    <n v="15000"/>
    <n v="45400"/>
    <x v="2"/>
    <x v="2"/>
    <x v="3"/>
    <n v="3"/>
    <x v="1"/>
  </r>
  <r>
    <x v="244"/>
    <x v="244"/>
    <s v="Zahra Iskandar"/>
    <x v="16"/>
    <x v="4"/>
    <n v="40000"/>
    <n v="1.2"/>
    <x v="0"/>
    <n v="48000"/>
    <n v="2400"/>
    <n v="45600"/>
    <n v="18000"/>
    <n v="63600"/>
    <x v="1"/>
    <x v="0"/>
    <x v="1"/>
    <n v="4"/>
    <x v="0"/>
  </r>
  <r>
    <x v="245"/>
    <x v="245"/>
    <s v="Fitri Setiawan"/>
    <x v="13"/>
    <x v="12"/>
    <n v="9500"/>
    <n v="1.8"/>
    <x v="0"/>
    <n v="17100"/>
    <n v="855"/>
    <n v="16245"/>
    <n v="49000"/>
    <n v="65245"/>
    <x v="1"/>
    <x v="0"/>
    <x v="2"/>
    <n v="3"/>
    <x v="0"/>
  </r>
  <r>
    <x v="246"/>
    <x v="246"/>
    <s v="Citra Fauziah"/>
    <x v="27"/>
    <x v="1"/>
    <n v="15000"/>
    <n v="0.9"/>
    <x v="0"/>
    <n v="13500"/>
    <n v="675"/>
    <n v="12825"/>
    <n v="49000"/>
    <n v="61825"/>
    <x v="1"/>
    <x v="0"/>
    <x v="0"/>
    <n v="1"/>
    <x v="0"/>
  </r>
  <r>
    <x v="247"/>
    <x v="247"/>
    <s v="Yani Setiawan"/>
    <x v="2"/>
    <x v="1"/>
    <n v="15000"/>
    <n v="0.4"/>
    <x v="0"/>
    <n v="6000"/>
    <n v="300"/>
    <n v="5700"/>
    <n v="76000"/>
    <n v="81700"/>
    <x v="2"/>
    <x v="1"/>
    <x v="3"/>
    <n v="1"/>
    <x v="0"/>
  </r>
  <r>
    <x v="248"/>
    <x v="248"/>
    <s v="Lestari Fauziah"/>
    <x v="23"/>
    <x v="3"/>
    <n v="13500"/>
    <n v="3.8"/>
    <x v="0"/>
    <n v="51300"/>
    <n v="2565"/>
    <n v="48735"/>
    <n v="55000"/>
    <n v="103735"/>
    <x v="3"/>
    <x v="0"/>
    <x v="4"/>
    <n v="2"/>
    <x v="0"/>
  </r>
  <r>
    <x v="249"/>
    <x v="249"/>
    <s v="Clara Iskandar"/>
    <x v="34"/>
    <x v="13"/>
    <n v="10000"/>
    <n v="1.3"/>
    <x v="0"/>
    <n v="13000"/>
    <n v="650"/>
    <n v="12350"/>
    <n v="18000"/>
    <n v="30350"/>
    <x v="0"/>
    <x v="0"/>
    <x v="1"/>
    <n v="2"/>
    <x v="0"/>
  </r>
  <r>
    <x v="249"/>
    <x v="249"/>
    <s v="Clara Iskandar"/>
    <x v="34"/>
    <x v="18"/>
    <n v="11000"/>
    <n v="1.5"/>
    <x v="0"/>
    <n v="16500"/>
    <n v="825"/>
    <n v="15675"/>
    <n v="0"/>
    <n v="15675"/>
    <x v="0"/>
    <x v="0"/>
    <x v="1"/>
    <n v="2"/>
    <x v="0"/>
  </r>
  <r>
    <x v="250"/>
    <x v="250"/>
    <s v="Putri Puspita"/>
    <x v="8"/>
    <x v="8"/>
    <n v="17500"/>
    <n v="3.2"/>
    <x v="0"/>
    <n v="56000"/>
    <n v="2800"/>
    <n v="53200"/>
    <n v="59000"/>
    <n v="112200"/>
    <x v="1"/>
    <x v="0"/>
    <x v="1"/>
    <n v="3"/>
    <x v="0"/>
  </r>
  <r>
    <x v="251"/>
    <x v="251"/>
    <s v="Qori Ramadhani"/>
    <x v="21"/>
    <x v="13"/>
    <n v="10000"/>
    <n v="0.5"/>
    <x v="0"/>
    <n v="5000"/>
    <n v="250"/>
    <n v="4750"/>
    <n v="59000"/>
    <n v="63750"/>
    <x v="3"/>
    <x v="0"/>
    <x v="1"/>
    <n v="3"/>
    <x v="0"/>
  </r>
  <r>
    <x v="252"/>
    <x v="252"/>
    <s v="Putri Puspita"/>
    <x v="8"/>
    <x v="1"/>
    <n v="15000"/>
    <n v="0.4"/>
    <x v="0"/>
    <n v="6000"/>
    <n v="300"/>
    <n v="5700"/>
    <n v="59000"/>
    <n v="64700"/>
    <x v="1"/>
    <x v="0"/>
    <x v="4"/>
    <n v="1"/>
    <x v="0"/>
  </r>
  <r>
    <x v="253"/>
    <x v="253"/>
    <s v="Fajar Puspita"/>
    <x v="6"/>
    <x v="11"/>
    <n v="15000"/>
    <n v="1.6"/>
    <x v="0"/>
    <n v="24000"/>
    <n v="1200"/>
    <n v="22800"/>
    <n v="80000"/>
    <n v="102800"/>
    <x v="0"/>
    <x v="0"/>
    <x v="0"/>
    <n v="3"/>
    <x v="1"/>
  </r>
  <r>
    <x v="254"/>
    <x v="254"/>
    <s v="Ani Ramadhani"/>
    <x v="25"/>
    <x v="17"/>
    <n v="12000"/>
    <n v="1.5"/>
    <x v="0"/>
    <n v="18000"/>
    <n v="900"/>
    <n v="17100"/>
    <n v="50000"/>
    <n v="67100"/>
    <x v="1"/>
    <x v="0"/>
    <x v="2"/>
    <n v="3"/>
    <x v="0"/>
  </r>
  <r>
    <x v="255"/>
    <x v="255"/>
    <s v="Aulia Iskandar"/>
    <x v="11"/>
    <x v="10"/>
    <n v="45000"/>
    <n v="1.4"/>
    <x v="0"/>
    <n v="62999.999999999993"/>
    <n v="3150"/>
    <n v="59849.999999999993"/>
    <n v="74000"/>
    <n v="133850"/>
    <x v="2"/>
    <x v="0"/>
    <x v="0"/>
    <n v="4"/>
    <x v="0"/>
  </r>
  <r>
    <x v="256"/>
    <x v="256"/>
    <s v="Yoga Utami"/>
    <x v="23"/>
    <x v="8"/>
    <n v="17500"/>
    <n v="1"/>
    <x v="0"/>
    <n v="17500"/>
    <n v="875"/>
    <n v="16625"/>
    <n v="55000"/>
    <n v="71625"/>
    <x v="3"/>
    <x v="0"/>
    <x v="0"/>
    <n v="4"/>
    <x v="1"/>
  </r>
  <r>
    <x v="257"/>
    <x v="257"/>
    <s v="Zahra Puspita"/>
    <x v="19"/>
    <x v="6"/>
    <n v="26000"/>
    <n v="1.7"/>
    <x v="1"/>
    <n v="44200"/>
    <n v="0"/>
    <n v="44200"/>
    <n v="78000"/>
    <n v="122200"/>
    <x v="3"/>
    <x v="0"/>
    <x v="2"/>
    <n v="4"/>
    <x v="0"/>
  </r>
  <r>
    <x v="258"/>
    <x v="258"/>
    <s v="Dina Ramadhani"/>
    <x v="25"/>
    <x v="13"/>
    <n v="10000"/>
    <n v="0.9"/>
    <x v="1"/>
    <n v="9000"/>
    <n v="0"/>
    <n v="9000"/>
    <n v="50000"/>
    <n v="59000"/>
    <x v="0"/>
    <x v="0"/>
    <x v="0"/>
    <n v="4"/>
    <x v="0"/>
  </r>
  <r>
    <x v="259"/>
    <x v="259"/>
    <s v="Ani Maulana"/>
    <x v="9"/>
    <x v="17"/>
    <n v="12000"/>
    <n v="0.9"/>
    <x v="1"/>
    <n v="10800"/>
    <n v="0"/>
    <n v="10800"/>
    <n v="89000"/>
    <n v="99800"/>
    <x v="1"/>
    <x v="0"/>
    <x v="4"/>
    <n v="2"/>
    <x v="0"/>
  </r>
  <r>
    <x v="260"/>
    <x v="260"/>
    <s v="Iwan Rahmawati"/>
    <x v="18"/>
    <x v="8"/>
    <n v="17500"/>
    <n v="1.8"/>
    <x v="1"/>
    <n v="31500"/>
    <n v="0"/>
    <n v="31500"/>
    <n v="0"/>
    <n v="31500"/>
    <x v="2"/>
    <x v="0"/>
    <x v="1"/>
    <n v="2"/>
    <x v="1"/>
  </r>
  <r>
    <x v="261"/>
    <x v="261"/>
    <s v="Dewi Setiawan"/>
    <x v="15"/>
    <x v="3"/>
    <n v="13500"/>
    <n v="2.7"/>
    <x v="1"/>
    <n v="36450"/>
    <n v="0"/>
    <n v="36450"/>
    <n v="97000"/>
    <n v="133450"/>
    <x v="1"/>
    <x v="2"/>
    <x v="2"/>
    <n v="1"/>
    <x v="0"/>
  </r>
  <r>
    <x v="262"/>
    <x v="262"/>
    <s v="Dimas Puspita"/>
    <x v="34"/>
    <x v="7"/>
    <n v="14000"/>
    <n v="1"/>
    <x v="1"/>
    <n v="14000"/>
    <n v="0"/>
    <n v="14000"/>
    <n v="18000"/>
    <n v="32000"/>
    <x v="0"/>
    <x v="2"/>
    <x v="0"/>
    <n v="5"/>
    <x v="1"/>
  </r>
  <r>
    <x v="263"/>
    <x v="263"/>
    <s v="Dina Nugroho"/>
    <x v="15"/>
    <x v="0"/>
    <n v="10000"/>
    <n v="1"/>
    <x v="1"/>
    <n v="10000"/>
    <n v="0"/>
    <n v="10000"/>
    <n v="97000"/>
    <n v="107000"/>
    <x v="1"/>
    <x v="0"/>
    <x v="3"/>
    <n v="3"/>
    <x v="0"/>
  </r>
  <r>
    <x v="264"/>
    <x v="264"/>
    <s v="Oka Kusuma"/>
    <x v="1"/>
    <x v="14"/>
    <n v="55000"/>
    <n v="1.1000000000000001"/>
    <x v="1"/>
    <n v="60500.000000000007"/>
    <n v="0"/>
    <n v="60500.000000000007"/>
    <n v="17000"/>
    <n v="77500"/>
    <x v="1"/>
    <x v="0"/>
    <x v="0"/>
    <n v="2"/>
    <x v="1"/>
  </r>
  <r>
    <x v="265"/>
    <x v="265"/>
    <s v="Wahyu Pradipta"/>
    <x v="15"/>
    <x v="6"/>
    <n v="26000"/>
    <n v="1.2"/>
    <x v="1"/>
    <n v="31200"/>
    <n v="0"/>
    <n v="31200"/>
    <n v="97000"/>
    <n v="128200"/>
    <x v="0"/>
    <x v="0"/>
    <x v="4"/>
    <n v="2"/>
    <x v="1"/>
  </r>
  <r>
    <x v="266"/>
    <x v="266"/>
    <s v="Zahra Budiman"/>
    <x v="27"/>
    <x v="1"/>
    <n v="15000"/>
    <n v="0.8"/>
    <x v="1"/>
    <n v="12000"/>
    <n v="0"/>
    <n v="12000"/>
    <n v="49000"/>
    <n v="61000"/>
    <x v="1"/>
    <x v="0"/>
    <x v="4"/>
    <n v="5"/>
    <x v="0"/>
  </r>
  <r>
    <x v="267"/>
    <x v="267"/>
    <s v="Ani Hidayat"/>
    <x v="4"/>
    <x v="14"/>
    <n v="55000"/>
    <n v="0.4"/>
    <x v="1"/>
    <n v="22000"/>
    <n v="0"/>
    <n v="22000"/>
    <n v="43000"/>
    <n v="65000"/>
    <x v="3"/>
    <x v="0"/>
    <x v="3"/>
    <n v="2"/>
    <x v="0"/>
  </r>
  <r>
    <x v="268"/>
    <x v="268"/>
    <s v="Iwan Rahmawati"/>
    <x v="18"/>
    <x v="2"/>
    <n v="20000"/>
    <n v="0.8"/>
    <x v="1"/>
    <n v="16000"/>
    <n v="0"/>
    <n v="16000"/>
    <n v="0"/>
    <n v="16000"/>
    <x v="0"/>
    <x v="0"/>
    <x v="0"/>
    <n v="4"/>
    <x v="1"/>
  </r>
  <r>
    <x v="268"/>
    <x v="268"/>
    <s v="Iwan Rahmawati"/>
    <x v="18"/>
    <x v="17"/>
    <n v="12000"/>
    <n v="1.1000000000000001"/>
    <x v="1"/>
    <n v="13200.000000000002"/>
    <n v="0"/>
    <n v="13200.000000000002"/>
    <n v="0"/>
    <n v="13200.000000000002"/>
    <x v="0"/>
    <x v="0"/>
    <x v="0"/>
    <n v="4"/>
    <x v="1"/>
  </r>
  <r>
    <x v="269"/>
    <x v="269"/>
    <s v="Ani Fauziah"/>
    <x v="15"/>
    <x v="8"/>
    <n v="17500"/>
    <n v="2.6"/>
    <x v="1"/>
    <n v="45500"/>
    <n v="0"/>
    <n v="45500"/>
    <n v="97000"/>
    <n v="142500"/>
    <x v="3"/>
    <x v="0"/>
    <x v="2"/>
    <n v="5"/>
    <x v="0"/>
  </r>
  <r>
    <x v="270"/>
    <x v="270"/>
    <s v="Gita Saputra"/>
    <x v="17"/>
    <x v="0"/>
    <n v="10000"/>
    <n v="2"/>
    <x v="1"/>
    <n v="20000"/>
    <n v="0"/>
    <n v="20000"/>
    <n v="72000"/>
    <n v="92000"/>
    <x v="3"/>
    <x v="0"/>
    <x v="0"/>
    <n v="5"/>
    <x v="0"/>
  </r>
  <r>
    <x v="271"/>
    <x v="271"/>
    <s v="Lestari Kusuma"/>
    <x v="22"/>
    <x v="4"/>
    <n v="40000"/>
    <n v="0.3"/>
    <x v="1"/>
    <n v="12000"/>
    <n v="0"/>
    <n v="12000"/>
    <n v="50000"/>
    <n v="62000"/>
    <x v="3"/>
    <x v="0"/>
    <x v="4"/>
    <n v="2"/>
    <x v="0"/>
  </r>
  <r>
    <x v="272"/>
    <x v="272"/>
    <s v="Yoga Utami"/>
    <x v="23"/>
    <x v="12"/>
    <n v="9500"/>
    <n v="0.5"/>
    <x v="1"/>
    <n v="4750"/>
    <n v="0"/>
    <n v="4750"/>
    <n v="55000"/>
    <n v="59750"/>
    <x v="2"/>
    <x v="0"/>
    <x v="4"/>
    <n v="1"/>
    <x v="1"/>
  </r>
  <r>
    <x v="273"/>
    <x v="273"/>
    <s v="Yani Budiman"/>
    <x v="25"/>
    <x v="12"/>
    <n v="9500"/>
    <n v="0.8"/>
    <x v="1"/>
    <n v="7600"/>
    <n v="0"/>
    <n v="7600"/>
    <n v="50000"/>
    <n v="57600"/>
    <x v="0"/>
    <x v="0"/>
    <x v="4"/>
    <n v="2"/>
    <x v="0"/>
  </r>
  <r>
    <x v="274"/>
    <x v="274"/>
    <s v="Clara Pradipta"/>
    <x v="15"/>
    <x v="6"/>
    <n v="26000"/>
    <n v="1.7"/>
    <x v="1"/>
    <n v="44200"/>
    <n v="0"/>
    <n v="44200"/>
    <n v="97000"/>
    <n v="141200"/>
    <x v="3"/>
    <x v="0"/>
    <x v="2"/>
    <n v="5"/>
    <x v="0"/>
  </r>
  <r>
    <x v="275"/>
    <x v="275"/>
    <s v="Clara Santoso"/>
    <x v="37"/>
    <x v="16"/>
    <n v="115000"/>
    <n v="1.1000000000000001"/>
    <x v="1"/>
    <n v="126500.00000000001"/>
    <n v="0"/>
    <n v="126500.00000000001"/>
    <n v="67000"/>
    <n v="193500"/>
    <x v="1"/>
    <x v="0"/>
    <x v="3"/>
    <n v="2"/>
    <x v="0"/>
  </r>
  <r>
    <x v="276"/>
    <x v="276"/>
    <s v="Hana Nugroho"/>
    <x v="11"/>
    <x v="5"/>
    <n v="10500"/>
    <n v="1.5"/>
    <x v="1"/>
    <n v="15750"/>
    <n v="0"/>
    <n v="15750"/>
    <n v="74000"/>
    <n v="89750"/>
    <x v="3"/>
    <x v="0"/>
    <x v="1"/>
    <n v="4"/>
    <x v="0"/>
  </r>
  <r>
    <x v="277"/>
    <x v="277"/>
    <s v="Lestari Ananda"/>
    <x v="2"/>
    <x v="10"/>
    <n v="45000"/>
    <n v="1.2"/>
    <x v="1"/>
    <n v="54000"/>
    <n v="0"/>
    <n v="54000"/>
    <n v="76000"/>
    <n v="130000"/>
    <x v="1"/>
    <x v="1"/>
    <x v="3"/>
    <n v="2"/>
    <x v="0"/>
  </r>
  <r>
    <x v="278"/>
    <x v="278"/>
    <s v="Yani Nugroho"/>
    <x v="1"/>
    <x v="4"/>
    <n v="40000"/>
    <n v="1.6"/>
    <x v="1"/>
    <n v="64000"/>
    <n v="0"/>
    <n v="64000"/>
    <n v="17000"/>
    <n v="81000"/>
    <x v="1"/>
    <x v="2"/>
    <x v="3"/>
    <n v="4"/>
    <x v="0"/>
  </r>
  <r>
    <x v="279"/>
    <x v="279"/>
    <s v="Clara Ramadhani"/>
    <x v="29"/>
    <x v="11"/>
    <n v="15000"/>
    <n v="1.4"/>
    <x v="1"/>
    <n v="21000"/>
    <n v="0"/>
    <n v="21000"/>
    <n v="48000"/>
    <n v="69000"/>
    <x v="2"/>
    <x v="0"/>
    <x v="2"/>
    <n v="3"/>
    <x v="0"/>
  </r>
  <r>
    <x v="279"/>
    <x v="279"/>
    <s v="Clara Ramadhani"/>
    <x v="29"/>
    <x v="3"/>
    <n v="13500"/>
    <n v="1.3"/>
    <x v="1"/>
    <n v="17550"/>
    <n v="0"/>
    <n v="17550"/>
    <n v="0"/>
    <n v="17550"/>
    <x v="2"/>
    <x v="0"/>
    <x v="2"/>
    <n v="3"/>
    <x v="0"/>
  </r>
  <r>
    <x v="280"/>
    <x v="280"/>
    <s v="Arif Fauziah"/>
    <x v="6"/>
    <x v="0"/>
    <n v="10000"/>
    <n v="3"/>
    <x v="1"/>
    <n v="30000"/>
    <n v="0"/>
    <n v="30000"/>
    <n v="80000"/>
    <n v="110000"/>
    <x v="2"/>
    <x v="0"/>
    <x v="2"/>
    <n v="1"/>
    <x v="1"/>
  </r>
  <r>
    <x v="281"/>
    <x v="281"/>
    <s v="Yani Setiawan"/>
    <x v="2"/>
    <x v="0"/>
    <n v="10000"/>
    <n v="1.4"/>
    <x v="1"/>
    <n v="14000"/>
    <n v="0"/>
    <n v="14000"/>
    <n v="76000"/>
    <n v="90000"/>
    <x v="3"/>
    <x v="0"/>
    <x v="1"/>
    <n v="2"/>
    <x v="0"/>
  </r>
  <r>
    <x v="282"/>
    <x v="282"/>
    <s v="Lestari Setiawan"/>
    <x v="7"/>
    <x v="8"/>
    <n v="17500"/>
    <n v="1.9"/>
    <x v="1"/>
    <n v="33250"/>
    <n v="0"/>
    <n v="33250"/>
    <n v="26000"/>
    <n v="59250"/>
    <x v="2"/>
    <x v="0"/>
    <x v="3"/>
    <n v="4"/>
    <x v="0"/>
  </r>
  <r>
    <x v="283"/>
    <x v="283"/>
    <s v="Ani Fauziah"/>
    <x v="15"/>
    <x v="15"/>
    <n v="10000"/>
    <n v="0.5"/>
    <x v="1"/>
    <n v="5000"/>
    <n v="0"/>
    <n v="5000"/>
    <n v="97000"/>
    <n v="102000"/>
    <x v="2"/>
    <x v="0"/>
    <x v="4"/>
    <n v="4"/>
    <x v="0"/>
  </r>
  <r>
    <x v="284"/>
    <x v="284"/>
    <s v="Dewi Setiawan"/>
    <x v="15"/>
    <x v="15"/>
    <n v="10000"/>
    <n v="0.5"/>
    <x v="1"/>
    <n v="5000"/>
    <n v="0"/>
    <n v="5000"/>
    <n v="97000"/>
    <n v="102000"/>
    <x v="3"/>
    <x v="0"/>
    <x v="4"/>
    <n v="3"/>
    <x v="0"/>
  </r>
  <r>
    <x v="284"/>
    <x v="284"/>
    <s v="Dewi Setiawan"/>
    <x v="15"/>
    <x v="18"/>
    <n v="11000"/>
    <n v="2.2000000000000002"/>
    <x v="1"/>
    <n v="24200.000000000004"/>
    <n v="0"/>
    <n v="24200.000000000004"/>
    <n v="0"/>
    <n v="24200.000000000004"/>
    <x v="3"/>
    <x v="0"/>
    <x v="4"/>
    <n v="3"/>
    <x v="0"/>
  </r>
  <r>
    <x v="285"/>
    <x v="285"/>
    <s v="Kartika Saputra"/>
    <x v="37"/>
    <x v="16"/>
    <n v="115000"/>
    <n v="0.6"/>
    <x v="1"/>
    <n v="69000"/>
    <n v="0"/>
    <n v="69000"/>
    <n v="67000"/>
    <n v="136000"/>
    <x v="1"/>
    <x v="1"/>
    <x v="0"/>
    <n v="2"/>
    <x v="0"/>
  </r>
  <r>
    <x v="286"/>
    <x v="286"/>
    <s v="Hana Pradipta"/>
    <x v="12"/>
    <x v="10"/>
    <n v="45000"/>
    <n v="1.5"/>
    <x v="1"/>
    <n v="67500"/>
    <n v="0"/>
    <n v="67500"/>
    <n v="30000"/>
    <n v="97500"/>
    <x v="0"/>
    <x v="1"/>
    <x v="4"/>
    <n v="2"/>
    <x v="0"/>
  </r>
  <r>
    <x v="287"/>
    <x v="287"/>
    <s v="Putri Ananda"/>
    <x v="7"/>
    <x v="4"/>
    <n v="40000"/>
    <n v="1.9"/>
    <x v="1"/>
    <n v="76000"/>
    <n v="0"/>
    <n v="76000"/>
    <n v="26000"/>
    <n v="102000"/>
    <x v="1"/>
    <x v="1"/>
    <x v="2"/>
    <n v="2"/>
    <x v="0"/>
  </r>
  <r>
    <x v="288"/>
    <x v="288"/>
    <s v="Bella Ramadhani"/>
    <x v="14"/>
    <x v="0"/>
    <n v="10000"/>
    <n v="1"/>
    <x v="1"/>
    <n v="10000"/>
    <n v="0"/>
    <n v="10000"/>
    <n v="85000"/>
    <n v="95000"/>
    <x v="3"/>
    <x v="0"/>
    <x v="4"/>
    <n v="4"/>
    <x v="0"/>
  </r>
  <r>
    <x v="289"/>
    <x v="289"/>
    <s v="Citra Iskandar"/>
    <x v="22"/>
    <x v="10"/>
    <n v="45000"/>
    <n v="0.8"/>
    <x v="1"/>
    <n v="36000"/>
    <n v="0"/>
    <n v="36000"/>
    <n v="50000"/>
    <n v="86000"/>
    <x v="2"/>
    <x v="0"/>
    <x v="1"/>
    <n v="5"/>
    <x v="0"/>
  </r>
  <r>
    <x v="290"/>
    <x v="290"/>
    <s v="Wahyu Santoso"/>
    <x v="34"/>
    <x v="6"/>
    <n v="26000"/>
    <n v="0.5"/>
    <x v="1"/>
    <n v="13000"/>
    <n v="0"/>
    <n v="13000"/>
    <n v="18000"/>
    <n v="31000"/>
    <x v="1"/>
    <x v="0"/>
    <x v="2"/>
    <n v="4"/>
    <x v="1"/>
  </r>
  <r>
    <x v="291"/>
    <x v="291"/>
    <s v="Hana Nugroho"/>
    <x v="11"/>
    <x v="19"/>
    <n v="15500"/>
    <n v="0.4"/>
    <x v="1"/>
    <n v="6200"/>
    <n v="0"/>
    <n v="6200"/>
    <n v="74000"/>
    <n v="80200"/>
    <x v="1"/>
    <x v="0"/>
    <x v="0"/>
    <n v="1"/>
    <x v="0"/>
  </r>
  <r>
    <x v="292"/>
    <x v="292"/>
    <s v="Aulia Santoso"/>
    <x v="32"/>
    <x v="5"/>
    <n v="10500"/>
    <n v="1.2"/>
    <x v="1"/>
    <n v="12600"/>
    <n v="0"/>
    <n v="12600"/>
    <n v="28000"/>
    <n v="40600"/>
    <x v="3"/>
    <x v="0"/>
    <x v="2"/>
    <n v="4"/>
    <x v="0"/>
  </r>
  <r>
    <x v="293"/>
    <x v="293"/>
    <s v="Erna Budiman"/>
    <x v="31"/>
    <x v="5"/>
    <n v="10500"/>
    <n v="2.5"/>
    <x v="1"/>
    <n v="26250"/>
    <n v="0"/>
    <n v="26250"/>
    <n v="87000"/>
    <n v="113250"/>
    <x v="0"/>
    <x v="0"/>
    <x v="3"/>
    <n v="4"/>
    <x v="0"/>
  </r>
  <r>
    <x v="294"/>
    <x v="294"/>
    <s v="Hana Budiman"/>
    <x v="15"/>
    <x v="0"/>
    <n v="10000"/>
    <n v="2.4"/>
    <x v="1"/>
    <n v="24000"/>
    <n v="0"/>
    <n v="24000"/>
    <n v="97000"/>
    <n v="121000"/>
    <x v="0"/>
    <x v="0"/>
    <x v="1"/>
    <n v="4"/>
    <x v="0"/>
  </r>
  <r>
    <x v="295"/>
    <x v="295"/>
    <s v="Zahra Pradipta"/>
    <x v="9"/>
    <x v="0"/>
    <n v="10000"/>
    <n v="1.3"/>
    <x v="1"/>
    <n v="13000"/>
    <n v="0"/>
    <n v="13000"/>
    <n v="89000"/>
    <n v="102000"/>
    <x v="1"/>
    <x v="0"/>
    <x v="2"/>
    <n v="3"/>
    <x v="0"/>
  </r>
  <r>
    <x v="296"/>
    <x v="296"/>
    <s v="Zahra Kusuma"/>
    <x v="7"/>
    <x v="14"/>
    <n v="55000"/>
    <n v="0.4"/>
    <x v="1"/>
    <n v="22000"/>
    <n v="0"/>
    <n v="22000"/>
    <n v="26000"/>
    <n v="48000"/>
    <x v="1"/>
    <x v="0"/>
    <x v="3"/>
    <n v="4"/>
    <x v="0"/>
  </r>
  <r>
    <x v="297"/>
    <x v="297"/>
    <s v="Sari Pradipta"/>
    <x v="5"/>
    <x v="11"/>
    <n v="15000"/>
    <n v="1.3"/>
    <x v="1"/>
    <n v="19500"/>
    <n v="0"/>
    <n v="19500"/>
    <n v="18000"/>
    <n v="37500"/>
    <x v="2"/>
    <x v="0"/>
    <x v="2"/>
    <n v="2"/>
    <x v="0"/>
  </r>
  <r>
    <x v="298"/>
    <x v="298"/>
    <s v="Erna Kusuma"/>
    <x v="18"/>
    <x v="0"/>
    <n v="10000"/>
    <n v="1"/>
    <x v="1"/>
    <n v="10000"/>
    <n v="0"/>
    <n v="10000"/>
    <n v="0"/>
    <n v="10000"/>
    <x v="0"/>
    <x v="0"/>
    <x v="3"/>
    <n v="3"/>
    <x v="0"/>
  </r>
  <r>
    <x v="299"/>
    <x v="299"/>
    <s v="Dewi Iskandar"/>
    <x v="5"/>
    <x v="15"/>
    <n v="10000"/>
    <n v="1"/>
    <x v="1"/>
    <n v="10000"/>
    <n v="0"/>
    <n v="10000"/>
    <n v="18000"/>
    <n v="28000"/>
    <x v="1"/>
    <x v="1"/>
    <x v="0"/>
    <n v="1"/>
    <x v="0"/>
  </r>
  <r>
    <x v="300"/>
    <x v="300"/>
    <s v="Ani Utami"/>
    <x v="23"/>
    <x v="8"/>
    <n v="17500"/>
    <n v="1.1000000000000001"/>
    <x v="1"/>
    <n v="19250"/>
    <n v="0"/>
    <n v="19250"/>
    <n v="55000"/>
    <n v="74250"/>
    <x v="1"/>
    <x v="0"/>
    <x v="3"/>
    <n v="2"/>
    <x v="0"/>
  </r>
  <r>
    <x v="301"/>
    <x v="301"/>
    <s v="Citra Halim"/>
    <x v="21"/>
    <x v="18"/>
    <n v="11000"/>
    <n v="1.2"/>
    <x v="1"/>
    <n v="13200"/>
    <n v="0"/>
    <n v="13200"/>
    <n v="59000"/>
    <n v="72200"/>
    <x v="3"/>
    <x v="0"/>
    <x v="3"/>
    <n v="1"/>
    <x v="0"/>
  </r>
  <r>
    <x v="302"/>
    <x v="302"/>
    <s v="Erna Santoso"/>
    <x v="4"/>
    <x v="0"/>
    <n v="10000"/>
    <n v="2.7"/>
    <x v="1"/>
    <n v="27000"/>
    <n v="0"/>
    <n v="27000"/>
    <n v="43000"/>
    <n v="70000"/>
    <x v="0"/>
    <x v="0"/>
    <x v="1"/>
    <n v="4"/>
    <x v="0"/>
  </r>
  <r>
    <x v="303"/>
    <x v="303"/>
    <s v="Aulia Kusuma"/>
    <x v="11"/>
    <x v="3"/>
    <n v="13500"/>
    <n v="2.4"/>
    <x v="1"/>
    <n v="32400"/>
    <n v="0"/>
    <n v="32400"/>
    <n v="74000"/>
    <n v="106400"/>
    <x v="3"/>
    <x v="0"/>
    <x v="4"/>
    <n v="2"/>
    <x v="0"/>
  </r>
  <r>
    <x v="304"/>
    <x v="304"/>
    <s v="Zahra Setiawan"/>
    <x v="23"/>
    <x v="4"/>
    <n v="40000"/>
    <n v="0.4"/>
    <x v="1"/>
    <n v="16000"/>
    <n v="0"/>
    <n v="16000"/>
    <n v="55000"/>
    <n v="71000"/>
    <x v="1"/>
    <x v="0"/>
    <x v="2"/>
    <n v="1"/>
    <x v="0"/>
  </r>
  <r>
    <x v="305"/>
    <x v="305"/>
    <s v="Clara Pradipta"/>
    <x v="15"/>
    <x v="18"/>
    <n v="11000"/>
    <n v="1.6"/>
    <x v="1"/>
    <n v="17600"/>
    <n v="0"/>
    <n v="17600"/>
    <n v="97000"/>
    <n v="114600"/>
    <x v="2"/>
    <x v="0"/>
    <x v="0"/>
    <n v="2"/>
    <x v="0"/>
  </r>
  <r>
    <x v="305"/>
    <x v="305"/>
    <s v="Clara Pradipta"/>
    <x v="15"/>
    <x v="15"/>
    <n v="10000"/>
    <n v="1"/>
    <x v="1"/>
    <n v="10000"/>
    <n v="0"/>
    <n v="10000"/>
    <n v="0"/>
    <n v="10000"/>
    <x v="2"/>
    <x v="0"/>
    <x v="0"/>
    <n v="2"/>
    <x v="0"/>
  </r>
  <r>
    <x v="306"/>
    <x v="306"/>
    <s v="Yani Ramadhani"/>
    <x v="36"/>
    <x v="0"/>
    <n v="10000"/>
    <n v="1.6"/>
    <x v="1"/>
    <n v="16000"/>
    <n v="0"/>
    <n v="16000"/>
    <n v="21000"/>
    <n v="37000"/>
    <x v="0"/>
    <x v="0"/>
    <x v="0"/>
    <n v="1"/>
    <x v="0"/>
  </r>
  <r>
    <x v="307"/>
    <x v="307"/>
    <s v="Dewi Wijaya"/>
    <x v="12"/>
    <x v="0"/>
    <n v="10000"/>
    <n v="2.2000000000000002"/>
    <x v="1"/>
    <n v="22000"/>
    <n v="0"/>
    <n v="22000"/>
    <n v="30000"/>
    <n v="52000"/>
    <x v="2"/>
    <x v="0"/>
    <x v="1"/>
    <n v="4"/>
    <x v="0"/>
  </r>
  <r>
    <x v="308"/>
    <x v="308"/>
    <s v="Kartika Saputra"/>
    <x v="37"/>
    <x v="16"/>
    <n v="115000"/>
    <n v="0.4"/>
    <x v="1"/>
    <n v="46000"/>
    <n v="0"/>
    <n v="46000"/>
    <n v="67000"/>
    <n v="113000"/>
    <x v="1"/>
    <x v="1"/>
    <x v="4"/>
    <n v="2"/>
    <x v="0"/>
  </r>
  <r>
    <x v="309"/>
    <x v="309"/>
    <s v="Dina Kurniawan"/>
    <x v="31"/>
    <x v="9"/>
    <n v="46000"/>
    <n v="1.7"/>
    <x v="1"/>
    <n v="78200"/>
    <n v="0"/>
    <n v="78200"/>
    <n v="87000"/>
    <n v="165200"/>
    <x v="0"/>
    <x v="0"/>
    <x v="4"/>
    <n v="1"/>
    <x v="0"/>
  </r>
  <r>
    <x v="310"/>
    <x v="310"/>
    <s v="Gita Puspita"/>
    <x v="37"/>
    <x v="9"/>
    <n v="46000"/>
    <n v="1.1000000000000001"/>
    <x v="1"/>
    <n v="50600.000000000007"/>
    <n v="0"/>
    <n v="50600.000000000007"/>
    <n v="67000"/>
    <n v="117600"/>
    <x v="3"/>
    <x v="0"/>
    <x v="2"/>
    <n v="2"/>
    <x v="0"/>
  </r>
  <r>
    <x v="311"/>
    <x v="311"/>
    <s v="Gita Ramadhani"/>
    <x v="22"/>
    <x v="14"/>
    <n v="55000"/>
    <n v="0.2"/>
    <x v="1"/>
    <n v="11000"/>
    <n v="0"/>
    <n v="11000"/>
    <n v="50000"/>
    <n v="61000"/>
    <x v="3"/>
    <x v="0"/>
    <x v="1"/>
    <n v="2"/>
    <x v="0"/>
  </r>
  <r>
    <x v="312"/>
    <x v="312"/>
    <s v="Dimas Utami"/>
    <x v="18"/>
    <x v="14"/>
    <n v="55000"/>
    <n v="0.5"/>
    <x v="1"/>
    <n v="27500"/>
    <n v="0"/>
    <n v="27500"/>
    <n v="0"/>
    <n v="27500"/>
    <x v="1"/>
    <x v="0"/>
    <x v="3"/>
    <n v="2"/>
    <x v="1"/>
  </r>
  <r>
    <x v="313"/>
    <x v="313"/>
    <s v="Erna Setiawan"/>
    <x v="6"/>
    <x v="9"/>
    <n v="46000"/>
    <n v="1.5"/>
    <x v="1"/>
    <n v="69000"/>
    <n v="0"/>
    <n v="69000"/>
    <n v="80000"/>
    <n v="149000"/>
    <x v="1"/>
    <x v="0"/>
    <x v="4"/>
    <n v="2"/>
    <x v="0"/>
  </r>
  <r>
    <x v="314"/>
    <x v="314"/>
    <s v="Lestari Ramadhani"/>
    <x v="5"/>
    <x v="19"/>
    <n v="15500"/>
    <n v="0.5"/>
    <x v="1"/>
    <n v="7750"/>
    <n v="0"/>
    <n v="7750"/>
    <n v="18000"/>
    <n v="25750"/>
    <x v="1"/>
    <x v="0"/>
    <x v="4"/>
    <n v="5"/>
    <x v="0"/>
  </r>
  <r>
    <x v="315"/>
    <x v="315"/>
    <s v="Fitri Maulana"/>
    <x v="22"/>
    <x v="11"/>
    <n v="15000"/>
    <n v="2.2999999999999998"/>
    <x v="1"/>
    <n v="34500"/>
    <n v="0"/>
    <n v="34500"/>
    <n v="50000"/>
    <n v="84500"/>
    <x v="2"/>
    <x v="1"/>
    <x v="3"/>
    <n v="5"/>
    <x v="0"/>
  </r>
  <r>
    <x v="316"/>
    <x v="316"/>
    <s v="Sari Kurniawan"/>
    <x v="35"/>
    <x v="16"/>
    <n v="115000"/>
    <n v="0.4"/>
    <x v="1"/>
    <n v="46000"/>
    <n v="0"/>
    <n v="46000"/>
    <n v="79000"/>
    <n v="125000"/>
    <x v="1"/>
    <x v="0"/>
    <x v="3"/>
    <n v="1"/>
    <x v="0"/>
  </r>
  <r>
    <x v="317"/>
    <x v="317"/>
    <s v="Dina Hidayat"/>
    <x v="13"/>
    <x v="3"/>
    <n v="13500"/>
    <n v="3.2"/>
    <x v="1"/>
    <n v="43200"/>
    <n v="0"/>
    <n v="43200"/>
    <n v="49000"/>
    <n v="92200"/>
    <x v="1"/>
    <x v="0"/>
    <x v="3"/>
    <n v="4"/>
    <x v="0"/>
  </r>
  <r>
    <x v="318"/>
    <x v="318"/>
    <s v="Aulia Ananda"/>
    <x v="14"/>
    <x v="2"/>
    <n v="20000"/>
    <n v="2.8"/>
    <x v="1"/>
    <n v="56000"/>
    <n v="0"/>
    <n v="56000"/>
    <n v="85000"/>
    <n v="141000"/>
    <x v="2"/>
    <x v="0"/>
    <x v="3"/>
    <n v="4"/>
    <x v="0"/>
  </r>
  <r>
    <x v="319"/>
    <x v="319"/>
    <s v="Qori Budiman"/>
    <x v="29"/>
    <x v="7"/>
    <n v="14000"/>
    <n v="1"/>
    <x v="1"/>
    <n v="14000"/>
    <n v="0"/>
    <n v="14000"/>
    <n v="48000"/>
    <n v="62000"/>
    <x v="1"/>
    <x v="0"/>
    <x v="0"/>
    <n v="4"/>
    <x v="0"/>
  </r>
  <r>
    <x v="320"/>
    <x v="320"/>
    <s v="Tono Syahputra"/>
    <x v="0"/>
    <x v="16"/>
    <n v="115000"/>
    <n v="0.9"/>
    <x v="1"/>
    <n v="103500"/>
    <n v="0"/>
    <n v="103500"/>
    <n v="15000"/>
    <n v="118500"/>
    <x v="2"/>
    <x v="0"/>
    <x v="3"/>
    <n v="3"/>
    <x v="1"/>
  </r>
  <r>
    <x v="321"/>
    <x v="321"/>
    <s v="Joko Halim"/>
    <x v="8"/>
    <x v="12"/>
    <n v="9500"/>
    <n v="1.3"/>
    <x v="0"/>
    <n v="12350"/>
    <n v="617.5"/>
    <n v="11732.5"/>
    <n v="59000"/>
    <n v="70732.5"/>
    <x v="2"/>
    <x v="0"/>
    <x v="0"/>
    <n v="3"/>
    <x v="1"/>
  </r>
  <r>
    <x v="322"/>
    <x v="322"/>
    <s v="Sari Syahputra"/>
    <x v="21"/>
    <x v="2"/>
    <n v="20000"/>
    <n v="1.2"/>
    <x v="0"/>
    <n v="24000"/>
    <n v="1200"/>
    <n v="22800"/>
    <n v="59000"/>
    <n v="81800"/>
    <x v="0"/>
    <x v="0"/>
    <x v="0"/>
    <n v="4"/>
    <x v="0"/>
  </r>
  <r>
    <x v="323"/>
    <x v="323"/>
    <s v="Hana Fauziah"/>
    <x v="14"/>
    <x v="17"/>
    <n v="12000"/>
    <n v="1.1000000000000001"/>
    <x v="0"/>
    <n v="13200.000000000002"/>
    <n v="660.00000000000011"/>
    <n v="12540.000000000002"/>
    <n v="85000"/>
    <n v="97540"/>
    <x v="0"/>
    <x v="0"/>
    <x v="3"/>
    <n v="5"/>
    <x v="0"/>
  </r>
  <r>
    <x v="324"/>
    <x v="324"/>
    <s v="Gita Saputra"/>
    <x v="17"/>
    <x v="4"/>
    <n v="40000"/>
    <n v="0.5"/>
    <x v="0"/>
    <n v="20000"/>
    <n v="1000"/>
    <n v="19000"/>
    <n v="72000"/>
    <n v="91000"/>
    <x v="3"/>
    <x v="1"/>
    <x v="4"/>
    <n v="2"/>
    <x v="0"/>
  </r>
  <r>
    <x v="325"/>
    <x v="325"/>
    <s v="Rizky Fauziah"/>
    <x v="31"/>
    <x v="14"/>
    <n v="55000"/>
    <n v="0.8"/>
    <x v="1"/>
    <n v="44000"/>
    <n v="0"/>
    <n v="44000"/>
    <n v="87000"/>
    <n v="131000"/>
    <x v="0"/>
    <x v="0"/>
    <x v="3"/>
    <n v="5"/>
    <x v="1"/>
  </r>
  <r>
    <x v="326"/>
    <x v="326"/>
    <s v="Zahra Iskandar"/>
    <x v="16"/>
    <x v="12"/>
    <n v="9500"/>
    <n v="1.8"/>
    <x v="1"/>
    <n v="17100"/>
    <n v="0"/>
    <n v="17100"/>
    <n v="18000"/>
    <n v="35100"/>
    <x v="3"/>
    <x v="0"/>
    <x v="3"/>
    <n v="5"/>
    <x v="0"/>
  </r>
  <r>
    <x v="327"/>
    <x v="327"/>
    <s v="Ani Kusuma"/>
    <x v="29"/>
    <x v="8"/>
    <n v="17500"/>
    <n v="1.9"/>
    <x v="1"/>
    <n v="33250"/>
    <n v="0"/>
    <n v="33250"/>
    <n v="48000"/>
    <n v="81250"/>
    <x v="1"/>
    <x v="0"/>
    <x v="0"/>
    <n v="1"/>
    <x v="0"/>
  </r>
  <r>
    <x v="328"/>
    <x v="328"/>
    <s v="Putri Halim"/>
    <x v="24"/>
    <x v="2"/>
    <n v="20000"/>
    <n v="1.6"/>
    <x v="1"/>
    <n v="32000"/>
    <n v="0"/>
    <n v="32000"/>
    <n v="68000"/>
    <n v="100000"/>
    <x v="0"/>
    <x v="0"/>
    <x v="1"/>
    <n v="2"/>
    <x v="0"/>
  </r>
  <r>
    <x v="329"/>
    <x v="329"/>
    <s v="Yani Hidayat"/>
    <x v="33"/>
    <x v="9"/>
    <n v="46000"/>
    <n v="0.6"/>
    <x v="1"/>
    <n v="27600"/>
    <n v="0"/>
    <n v="27600"/>
    <n v="80000"/>
    <n v="107600"/>
    <x v="3"/>
    <x v="0"/>
    <x v="2"/>
    <n v="2"/>
    <x v="0"/>
  </r>
  <r>
    <x v="330"/>
    <x v="330"/>
    <s v="Clara Utami"/>
    <x v="34"/>
    <x v="1"/>
    <n v="15000"/>
    <n v="0.6"/>
    <x v="1"/>
    <n v="9000"/>
    <n v="0"/>
    <n v="9000"/>
    <n v="18000"/>
    <n v="27000"/>
    <x v="1"/>
    <x v="0"/>
    <x v="0"/>
    <n v="5"/>
    <x v="0"/>
  </r>
  <r>
    <x v="330"/>
    <x v="330"/>
    <s v="Clara Utami"/>
    <x v="34"/>
    <x v="6"/>
    <n v="26000"/>
    <n v="1.7"/>
    <x v="1"/>
    <n v="44200"/>
    <n v="0"/>
    <n v="44200"/>
    <n v="0"/>
    <n v="44200"/>
    <x v="1"/>
    <x v="0"/>
    <x v="0"/>
    <n v="5"/>
    <x v="0"/>
  </r>
  <r>
    <x v="331"/>
    <x v="331"/>
    <s v="Dimas Puspita"/>
    <x v="34"/>
    <x v="0"/>
    <n v="10000"/>
    <n v="1.6"/>
    <x v="1"/>
    <n v="16000"/>
    <n v="0"/>
    <n v="16000"/>
    <n v="18000"/>
    <n v="34000"/>
    <x v="3"/>
    <x v="0"/>
    <x v="1"/>
    <n v="5"/>
    <x v="1"/>
  </r>
  <r>
    <x v="332"/>
    <x v="332"/>
    <s v="Dewi Wijaya"/>
    <x v="12"/>
    <x v="2"/>
    <n v="20000"/>
    <n v="2.2000000000000002"/>
    <x v="1"/>
    <n v="44000"/>
    <n v="0"/>
    <n v="44000"/>
    <n v="30000"/>
    <n v="74000"/>
    <x v="2"/>
    <x v="0"/>
    <x v="3"/>
    <n v="2"/>
    <x v="0"/>
  </r>
  <r>
    <x v="333"/>
    <x v="333"/>
    <s v="Yani Ananda"/>
    <x v="28"/>
    <x v="14"/>
    <n v="55000"/>
    <n v="1.3"/>
    <x v="1"/>
    <n v="71500"/>
    <n v="0"/>
    <n v="71500"/>
    <n v="56000"/>
    <n v="127500"/>
    <x v="0"/>
    <x v="0"/>
    <x v="3"/>
    <n v="1"/>
    <x v="0"/>
  </r>
  <r>
    <x v="333"/>
    <x v="333"/>
    <s v="Yani Ananda"/>
    <x v="28"/>
    <x v="6"/>
    <n v="26000"/>
    <n v="1.1000000000000001"/>
    <x v="1"/>
    <n v="28600.000000000004"/>
    <n v="0"/>
    <n v="28600.000000000004"/>
    <n v="0"/>
    <n v="28600.000000000004"/>
    <x v="0"/>
    <x v="0"/>
    <x v="3"/>
    <n v="1"/>
    <x v="0"/>
  </r>
  <r>
    <x v="334"/>
    <x v="334"/>
    <s v="Wahyu Budiman"/>
    <x v="29"/>
    <x v="4"/>
    <n v="40000"/>
    <n v="1"/>
    <x v="1"/>
    <n v="40000"/>
    <n v="0"/>
    <n v="40000"/>
    <n v="48000"/>
    <n v="88000"/>
    <x v="0"/>
    <x v="1"/>
    <x v="3"/>
    <n v="1"/>
    <x v="1"/>
  </r>
  <r>
    <x v="335"/>
    <x v="335"/>
    <s v="Galih Kusuma"/>
    <x v="18"/>
    <x v="12"/>
    <n v="9500"/>
    <n v="1.9"/>
    <x v="1"/>
    <n v="18050"/>
    <n v="0"/>
    <n v="18050"/>
    <n v="0"/>
    <n v="18050"/>
    <x v="2"/>
    <x v="0"/>
    <x v="4"/>
    <n v="5"/>
    <x v="1"/>
  </r>
  <r>
    <x v="336"/>
    <x v="336"/>
    <s v="Dina Maulana"/>
    <x v="36"/>
    <x v="4"/>
    <n v="40000"/>
    <n v="0.7"/>
    <x v="1"/>
    <n v="28000"/>
    <n v="0"/>
    <n v="28000"/>
    <n v="21000"/>
    <n v="49000"/>
    <x v="0"/>
    <x v="0"/>
    <x v="4"/>
    <n v="1"/>
    <x v="0"/>
  </r>
  <r>
    <x v="337"/>
    <x v="337"/>
    <s v="Oka Kurniawan"/>
    <x v="31"/>
    <x v="17"/>
    <n v="12000"/>
    <n v="1.5"/>
    <x v="1"/>
    <n v="18000"/>
    <n v="0"/>
    <n v="18000"/>
    <n v="87000"/>
    <n v="105000"/>
    <x v="3"/>
    <x v="0"/>
    <x v="3"/>
    <n v="2"/>
    <x v="1"/>
  </r>
  <r>
    <x v="338"/>
    <x v="338"/>
    <s v="Kartika Nugroho"/>
    <x v="4"/>
    <x v="11"/>
    <n v="15000"/>
    <n v="0.6"/>
    <x v="1"/>
    <n v="9000"/>
    <n v="0"/>
    <n v="9000"/>
    <n v="43000"/>
    <n v="52000"/>
    <x v="0"/>
    <x v="0"/>
    <x v="3"/>
    <n v="4"/>
    <x v="0"/>
  </r>
  <r>
    <x v="338"/>
    <x v="338"/>
    <s v="Kartika Nugroho"/>
    <x v="4"/>
    <x v="9"/>
    <n v="46000"/>
    <n v="1.1000000000000001"/>
    <x v="1"/>
    <n v="50600.000000000007"/>
    <n v="0"/>
    <n v="50600.000000000007"/>
    <n v="0"/>
    <n v="50600.000000000007"/>
    <x v="0"/>
    <x v="0"/>
    <x v="3"/>
    <n v="4"/>
    <x v="0"/>
  </r>
  <r>
    <x v="339"/>
    <x v="339"/>
    <s v="Fitri Puspita"/>
    <x v="19"/>
    <x v="0"/>
    <n v="10000"/>
    <n v="2.2000000000000002"/>
    <x v="1"/>
    <n v="22000"/>
    <n v="0"/>
    <n v="22000"/>
    <n v="78000"/>
    <n v="100000"/>
    <x v="1"/>
    <x v="1"/>
    <x v="1"/>
    <n v="5"/>
    <x v="0"/>
  </r>
  <r>
    <x v="340"/>
    <x v="340"/>
    <s v="Hana Halim"/>
    <x v="31"/>
    <x v="17"/>
    <n v="12000"/>
    <n v="1.1000000000000001"/>
    <x v="1"/>
    <n v="13200.000000000002"/>
    <n v="0"/>
    <n v="13200.000000000002"/>
    <n v="87000"/>
    <n v="100200"/>
    <x v="3"/>
    <x v="0"/>
    <x v="4"/>
    <n v="4"/>
    <x v="0"/>
  </r>
  <r>
    <x v="341"/>
    <x v="341"/>
    <s v="Lestari Nugroho"/>
    <x v="4"/>
    <x v="0"/>
    <n v="10000"/>
    <n v="2"/>
    <x v="1"/>
    <n v="20000"/>
    <n v="0"/>
    <n v="20000"/>
    <n v="43000"/>
    <n v="63000"/>
    <x v="0"/>
    <x v="0"/>
    <x v="2"/>
    <n v="3"/>
    <x v="0"/>
  </r>
  <r>
    <x v="341"/>
    <x v="341"/>
    <s v="Lestari Nugroho"/>
    <x v="4"/>
    <x v="4"/>
    <n v="40000"/>
    <n v="1.3"/>
    <x v="1"/>
    <n v="52000"/>
    <n v="0"/>
    <n v="52000"/>
    <n v="0"/>
    <n v="52000"/>
    <x v="0"/>
    <x v="0"/>
    <x v="2"/>
    <n v="3"/>
    <x v="0"/>
  </r>
  <r>
    <x v="342"/>
    <x v="342"/>
    <s v="Putri Ananda"/>
    <x v="7"/>
    <x v="2"/>
    <n v="20000"/>
    <n v="1.5"/>
    <x v="1"/>
    <n v="30000"/>
    <n v="0"/>
    <n v="30000"/>
    <n v="26000"/>
    <n v="56000"/>
    <x v="1"/>
    <x v="0"/>
    <x v="4"/>
    <n v="1"/>
    <x v="0"/>
  </r>
  <r>
    <x v="343"/>
    <x v="343"/>
    <s v="Clara Budiman"/>
    <x v="3"/>
    <x v="17"/>
    <n v="12000"/>
    <n v="1.3"/>
    <x v="1"/>
    <n v="15600"/>
    <n v="0"/>
    <n v="15600"/>
    <n v="93000"/>
    <n v="108600"/>
    <x v="1"/>
    <x v="1"/>
    <x v="3"/>
    <n v="1"/>
    <x v="0"/>
  </r>
  <r>
    <x v="344"/>
    <x v="344"/>
    <s v="Fitri Iskandar"/>
    <x v="8"/>
    <x v="3"/>
    <n v="13500"/>
    <n v="2.5"/>
    <x v="1"/>
    <n v="33750"/>
    <n v="0"/>
    <n v="33750"/>
    <n v="59000"/>
    <n v="92750"/>
    <x v="3"/>
    <x v="0"/>
    <x v="4"/>
    <n v="3"/>
    <x v="0"/>
  </r>
  <r>
    <x v="345"/>
    <x v="345"/>
    <s v="Sari Utami"/>
    <x v="8"/>
    <x v="9"/>
    <n v="46000"/>
    <n v="1.4"/>
    <x v="1"/>
    <n v="64399.999999999993"/>
    <n v="0"/>
    <n v="64399.999999999993"/>
    <n v="59000"/>
    <n v="123400"/>
    <x v="0"/>
    <x v="0"/>
    <x v="3"/>
    <n v="1"/>
    <x v="0"/>
  </r>
  <r>
    <x v="345"/>
    <x v="345"/>
    <s v="Sari Utami"/>
    <x v="8"/>
    <x v="2"/>
    <n v="20000"/>
    <n v="3.6"/>
    <x v="1"/>
    <n v="72000"/>
    <n v="0"/>
    <n v="72000"/>
    <n v="0"/>
    <n v="72000"/>
    <x v="0"/>
    <x v="0"/>
    <x v="3"/>
    <n v="1"/>
    <x v="0"/>
  </r>
  <r>
    <x v="346"/>
    <x v="346"/>
    <s v="Zahra Maulana"/>
    <x v="0"/>
    <x v="0"/>
    <n v="10000"/>
    <n v="3"/>
    <x v="1"/>
    <n v="30000"/>
    <n v="0"/>
    <n v="30000"/>
    <n v="15000"/>
    <n v="45000"/>
    <x v="1"/>
    <x v="0"/>
    <x v="4"/>
    <n v="3"/>
    <x v="0"/>
  </r>
  <r>
    <x v="347"/>
    <x v="347"/>
    <s v="Bella Nugroho"/>
    <x v="23"/>
    <x v="10"/>
    <n v="45000"/>
    <n v="1.2"/>
    <x v="1"/>
    <n v="54000"/>
    <n v="0"/>
    <n v="54000"/>
    <n v="55000"/>
    <n v="109000"/>
    <x v="1"/>
    <x v="0"/>
    <x v="0"/>
    <n v="3"/>
    <x v="0"/>
  </r>
  <r>
    <x v="348"/>
    <x v="348"/>
    <s v="Fitri Utami"/>
    <x v="24"/>
    <x v="0"/>
    <n v="10000"/>
    <n v="3.3"/>
    <x v="1"/>
    <n v="33000"/>
    <n v="0"/>
    <n v="33000"/>
    <n v="68000"/>
    <n v="101000"/>
    <x v="2"/>
    <x v="1"/>
    <x v="2"/>
    <n v="2"/>
    <x v="0"/>
  </r>
  <r>
    <x v="349"/>
    <x v="349"/>
    <s v="Clara Santoso"/>
    <x v="37"/>
    <x v="16"/>
    <n v="115000"/>
    <n v="0.7"/>
    <x v="1"/>
    <n v="80500"/>
    <n v="0"/>
    <n v="80500"/>
    <n v="67000"/>
    <n v="147500"/>
    <x v="1"/>
    <x v="0"/>
    <x v="4"/>
    <n v="4"/>
    <x v="0"/>
  </r>
  <r>
    <x v="349"/>
    <x v="349"/>
    <s v="Clara Santoso"/>
    <x v="37"/>
    <x v="3"/>
    <n v="13500"/>
    <n v="1.5"/>
    <x v="1"/>
    <n v="20250"/>
    <n v="0"/>
    <n v="20250"/>
    <n v="0"/>
    <n v="20250"/>
    <x v="1"/>
    <x v="0"/>
    <x v="4"/>
    <n v="4"/>
    <x v="0"/>
  </r>
  <r>
    <x v="350"/>
    <x v="350"/>
    <s v="Citra Halim"/>
    <x v="21"/>
    <x v="10"/>
    <n v="45000"/>
    <n v="0.4"/>
    <x v="1"/>
    <n v="18000"/>
    <n v="0"/>
    <n v="18000"/>
    <n v="59000"/>
    <n v="77000"/>
    <x v="1"/>
    <x v="0"/>
    <x v="0"/>
    <n v="3"/>
    <x v="0"/>
  </r>
  <r>
    <x v="351"/>
    <x v="351"/>
    <s v="Aulia Ananda"/>
    <x v="14"/>
    <x v="14"/>
    <n v="55000"/>
    <n v="0.7"/>
    <x v="1"/>
    <n v="38500"/>
    <n v="0"/>
    <n v="38500"/>
    <n v="85000"/>
    <n v="123500"/>
    <x v="0"/>
    <x v="0"/>
    <x v="1"/>
    <n v="5"/>
    <x v="0"/>
  </r>
  <r>
    <x v="352"/>
    <x v="352"/>
    <s v="Budi Saputra"/>
    <x v="28"/>
    <x v="16"/>
    <n v="115000"/>
    <n v="0.5"/>
    <x v="1"/>
    <n v="57500"/>
    <n v="0"/>
    <n v="57500"/>
    <n v="56000"/>
    <n v="113500"/>
    <x v="2"/>
    <x v="1"/>
    <x v="2"/>
    <n v="3"/>
    <x v="1"/>
  </r>
  <r>
    <x v="353"/>
    <x v="353"/>
    <s v="Nanda Fauziah"/>
    <x v="21"/>
    <x v="14"/>
    <n v="55000"/>
    <n v="1.3"/>
    <x v="1"/>
    <n v="71500"/>
    <n v="0"/>
    <n v="71500"/>
    <n v="59000"/>
    <n v="130500"/>
    <x v="0"/>
    <x v="0"/>
    <x v="0"/>
    <n v="5"/>
    <x v="1"/>
  </r>
  <r>
    <x v="354"/>
    <x v="354"/>
    <s v="Ani Halim"/>
    <x v="25"/>
    <x v="11"/>
    <n v="15000"/>
    <n v="2.2999999999999998"/>
    <x v="1"/>
    <n v="34500"/>
    <n v="0"/>
    <n v="34500"/>
    <n v="50000"/>
    <n v="84500"/>
    <x v="3"/>
    <x v="0"/>
    <x v="4"/>
    <n v="4"/>
    <x v="0"/>
  </r>
  <r>
    <x v="355"/>
    <x v="355"/>
    <s v="Erna Kusuma"/>
    <x v="18"/>
    <x v="17"/>
    <n v="12000"/>
    <n v="0.9"/>
    <x v="1"/>
    <n v="10800"/>
    <n v="0"/>
    <n v="10800"/>
    <n v="0"/>
    <n v="10800"/>
    <x v="2"/>
    <x v="0"/>
    <x v="1"/>
    <n v="4"/>
    <x v="0"/>
  </r>
  <r>
    <x v="356"/>
    <x v="356"/>
    <s v="Vina Puspita"/>
    <x v="16"/>
    <x v="15"/>
    <n v="10000"/>
    <n v="0.3"/>
    <x v="1"/>
    <n v="3000"/>
    <n v="0"/>
    <n v="3000"/>
    <n v="18000"/>
    <n v="21000"/>
    <x v="2"/>
    <x v="0"/>
    <x v="1"/>
    <n v="2"/>
    <x v="0"/>
  </r>
  <r>
    <x v="357"/>
    <x v="357"/>
    <s v="Putri Ramadhani"/>
    <x v="34"/>
    <x v="4"/>
    <n v="40000"/>
    <n v="0.7"/>
    <x v="1"/>
    <n v="28000"/>
    <n v="0"/>
    <n v="28000"/>
    <n v="18000"/>
    <n v="46000"/>
    <x v="2"/>
    <x v="0"/>
    <x v="4"/>
    <n v="5"/>
    <x v="0"/>
  </r>
  <r>
    <x v="358"/>
    <x v="358"/>
    <s v="Galih Budiman"/>
    <x v="1"/>
    <x v="17"/>
    <n v="12000"/>
    <n v="1.2"/>
    <x v="1"/>
    <n v="14400"/>
    <n v="0"/>
    <n v="14400"/>
    <n v="17000"/>
    <n v="31400"/>
    <x v="2"/>
    <x v="1"/>
    <x v="1"/>
    <n v="1"/>
    <x v="1"/>
  </r>
  <r>
    <x v="359"/>
    <x v="359"/>
    <s v="Ani Halim"/>
    <x v="25"/>
    <x v="11"/>
    <n v="15000"/>
    <n v="1"/>
    <x v="1"/>
    <n v="15000"/>
    <n v="0"/>
    <n v="15000"/>
    <n v="50000"/>
    <n v="65000"/>
    <x v="2"/>
    <x v="0"/>
    <x v="4"/>
    <n v="3"/>
    <x v="0"/>
  </r>
  <r>
    <x v="360"/>
    <x v="360"/>
    <s v="Fajar Kurniawan"/>
    <x v="3"/>
    <x v="7"/>
    <n v="14000"/>
    <n v="1.3"/>
    <x v="1"/>
    <n v="18200"/>
    <n v="0"/>
    <n v="18200"/>
    <n v="93000"/>
    <n v="111200"/>
    <x v="2"/>
    <x v="0"/>
    <x v="2"/>
    <n v="3"/>
    <x v="1"/>
  </r>
  <r>
    <x v="361"/>
    <x v="361"/>
    <s v="Bayu Syahputra"/>
    <x v="15"/>
    <x v="16"/>
    <n v="115000"/>
    <n v="0.3"/>
    <x v="1"/>
    <n v="34500"/>
    <n v="0"/>
    <n v="34500"/>
    <n v="97000"/>
    <n v="131500"/>
    <x v="3"/>
    <x v="2"/>
    <x v="4"/>
    <n v="2"/>
    <x v="1"/>
  </r>
  <r>
    <x v="362"/>
    <x v="362"/>
    <s v="Vina Ananda"/>
    <x v="12"/>
    <x v="15"/>
    <n v="10000"/>
    <n v="0.4"/>
    <x v="1"/>
    <n v="4000"/>
    <n v="0"/>
    <n v="4000"/>
    <n v="30000"/>
    <n v="34000"/>
    <x v="0"/>
    <x v="0"/>
    <x v="4"/>
    <n v="3"/>
    <x v="0"/>
  </r>
  <r>
    <x v="363"/>
    <x v="363"/>
    <s v="Indra Puspita"/>
    <x v="27"/>
    <x v="2"/>
    <n v="20000"/>
    <n v="2.6"/>
    <x v="0"/>
    <n v="52000"/>
    <n v="2600"/>
    <n v="49400"/>
    <n v="49000"/>
    <n v="98400"/>
    <x v="0"/>
    <x v="1"/>
    <x v="1"/>
    <n v="3"/>
    <x v="1"/>
  </r>
  <r>
    <x v="364"/>
    <x v="364"/>
    <s v="Putri Ramadhani"/>
    <x v="34"/>
    <x v="13"/>
    <n v="10000"/>
    <n v="1.4"/>
    <x v="0"/>
    <n v="14000"/>
    <n v="700"/>
    <n v="13300"/>
    <n v="18000"/>
    <n v="31300"/>
    <x v="3"/>
    <x v="0"/>
    <x v="0"/>
    <n v="4"/>
    <x v="0"/>
  </r>
  <r>
    <x v="365"/>
    <x v="365"/>
    <s v="Eka Pradipta"/>
    <x v="18"/>
    <x v="4"/>
    <n v="40000"/>
    <n v="1.2"/>
    <x v="0"/>
    <n v="48000"/>
    <n v="2400"/>
    <n v="45600"/>
    <n v="0"/>
    <n v="45600"/>
    <x v="1"/>
    <x v="1"/>
    <x v="0"/>
    <n v="1"/>
    <x v="0"/>
  </r>
  <r>
    <x v="365"/>
    <x v="365"/>
    <s v="Eka Pradipta"/>
    <x v="18"/>
    <x v="3"/>
    <n v="13500"/>
    <n v="0.5"/>
    <x v="0"/>
    <n v="6750"/>
    <n v="337.5"/>
    <n v="6412.5"/>
    <n v="0"/>
    <n v="6412.5"/>
    <x v="1"/>
    <x v="1"/>
    <x v="0"/>
    <n v="1"/>
    <x v="0"/>
  </r>
  <r>
    <x v="366"/>
    <x v="366"/>
    <s v="Vina Setiawan"/>
    <x v="18"/>
    <x v="12"/>
    <n v="9500"/>
    <n v="0.7"/>
    <x v="0"/>
    <n v="6650"/>
    <n v="332.5"/>
    <n v="6317.5"/>
    <n v="0"/>
    <n v="6317.5"/>
    <x v="1"/>
    <x v="0"/>
    <x v="4"/>
    <n v="5"/>
    <x v="0"/>
  </r>
  <r>
    <x v="367"/>
    <x v="367"/>
    <s v="Dimas Halim"/>
    <x v="22"/>
    <x v="10"/>
    <n v="45000"/>
    <n v="1.1000000000000001"/>
    <x v="0"/>
    <n v="49500.000000000007"/>
    <n v="2475.0000000000005"/>
    <n v="47025.000000000007"/>
    <n v="50000"/>
    <n v="97025"/>
    <x v="0"/>
    <x v="0"/>
    <x v="3"/>
    <n v="4"/>
    <x v="1"/>
  </r>
  <r>
    <x v="367"/>
    <x v="367"/>
    <s v="Dimas Halim"/>
    <x v="22"/>
    <x v="11"/>
    <n v="15000"/>
    <n v="1.3"/>
    <x v="0"/>
    <n v="19500"/>
    <n v="975"/>
    <n v="18525"/>
    <n v="0"/>
    <n v="18525"/>
    <x v="0"/>
    <x v="0"/>
    <x v="3"/>
    <n v="4"/>
    <x v="1"/>
  </r>
  <r>
    <x v="368"/>
    <x v="368"/>
    <s v="Joko Nugroho"/>
    <x v="32"/>
    <x v="7"/>
    <n v="14000"/>
    <n v="0.8"/>
    <x v="0"/>
    <n v="11200"/>
    <n v="560"/>
    <n v="10640"/>
    <n v="28000"/>
    <n v="38640"/>
    <x v="2"/>
    <x v="1"/>
    <x v="4"/>
    <n v="5"/>
    <x v="1"/>
  </r>
  <r>
    <x v="369"/>
    <x v="369"/>
    <s v="Clara Pradipta"/>
    <x v="15"/>
    <x v="4"/>
    <n v="40000"/>
    <n v="0.7"/>
    <x v="0"/>
    <n v="28000"/>
    <n v="1400"/>
    <n v="26600"/>
    <n v="97000"/>
    <n v="123600"/>
    <x v="3"/>
    <x v="0"/>
    <x v="0"/>
    <n v="4"/>
    <x v="0"/>
  </r>
  <r>
    <x v="370"/>
    <x v="370"/>
    <s v="Erna Budiman"/>
    <x v="31"/>
    <x v="2"/>
    <n v="20000"/>
    <n v="1.2"/>
    <x v="0"/>
    <n v="24000"/>
    <n v="1200"/>
    <n v="22800"/>
    <n v="87000"/>
    <n v="109800"/>
    <x v="1"/>
    <x v="0"/>
    <x v="4"/>
    <n v="2"/>
    <x v="0"/>
  </r>
  <r>
    <x v="371"/>
    <x v="371"/>
    <s v="Dewi Ramadhani"/>
    <x v="19"/>
    <x v="4"/>
    <n v="40000"/>
    <n v="0.9"/>
    <x v="0"/>
    <n v="36000"/>
    <n v="1800"/>
    <n v="34200"/>
    <n v="78000"/>
    <n v="112200"/>
    <x v="0"/>
    <x v="0"/>
    <x v="4"/>
    <n v="2"/>
    <x v="0"/>
  </r>
  <r>
    <x v="372"/>
    <x v="372"/>
    <s v="Yani Syahputra"/>
    <x v="30"/>
    <x v="3"/>
    <n v="13500"/>
    <n v="1.6"/>
    <x v="0"/>
    <n v="21600"/>
    <n v="1080"/>
    <n v="20520"/>
    <n v="57000"/>
    <n v="77520"/>
    <x v="2"/>
    <x v="0"/>
    <x v="0"/>
    <n v="4"/>
    <x v="0"/>
  </r>
  <r>
    <x v="373"/>
    <x v="373"/>
    <s v="Bella Rahmawati"/>
    <x v="8"/>
    <x v="2"/>
    <n v="20000"/>
    <n v="0.5"/>
    <x v="0"/>
    <n v="10000"/>
    <n v="500"/>
    <n v="9500"/>
    <n v="59000"/>
    <n v="68500"/>
    <x v="0"/>
    <x v="0"/>
    <x v="3"/>
    <n v="5"/>
    <x v="0"/>
  </r>
  <r>
    <x v="374"/>
    <x v="374"/>
    <s v="Erna Iskandar"/>
    <x v="17"/>
    <x v="9"/>
    <n v="46000"/>
    <n v="0.5"/>
    <x v="0"/>
    <n v="23000"/>
    <n v="1150"/>
    <n v="21850"/>
    <n v="72000"/>
    <n v="93850"/>
    <x v="3"/>
    <x v="0"/>
    <x v="0"/>
    <n v="4"/>
    <x v="0"/>
  </r>
  <r>
    <x v="375"/>
    <x v="375"/>
    <s v="Bella Rahmawati"/>
    <x v="8"/>
    <x v="11"/>
    <n v="15000"/>
    <n v="1.8"/>
    <x v="0"/>
    <n v="27000"/>
    <n v="1350"/>
    <n v="25650"/>
    <n v="59000"/>
    <n v="84650"/>
    <x v="2"/>
    <x v="0"/>
    <x v="1"/>
    <n v="3"/>
    <x v="0"/>
  </r>
  <r>
    <x v="376"/>
    <x v="376"/>
    <s v="Hana Setiawan"/>
    <x v="28"/>
    <x v="7"/>
    <n v="14000"/>
    <n v="1"/>
    <x v="0"/>
    <n v="14000"/>
    <n v="700"/>
    <n v="13300"/>
    <n v="56000"/>
    <n v="69300"/>
    <x v="0"/>
    <x v="0"/>
    <x v="0"/>
    <n v="5"/>
    <x v="0"/>
  </r>
  <r>
    <x v="377"/>
    <x v="377"/>
    <s v="Dewi Pradipta"/>
    <x v="14"/>
    <x v="11"/>
    <n v="15000"/>
    <n v="1"/>
    <x v="0"/>
    <n v="15000"/>
    <n v="750"/>
    <n v="14250"/>
    <n v="85000"/>
    <n v="99250"/>
    <x v="0"/>
    <x v="1"/>
    <x v="1"/>
    <n v="3"/>
    <x v="0"/>
  </r>
  <r>
    <x v="378"/>
    <x v="378"/>
    <s v="Dewi Nugroho"/>
    <x v="34"/>
    <x v="13"/>
    <n v="10000"/>
    <n v="0.9"/>
    <x v="0"/>
    <n v="9000"/>
    <n v="450"/>
    <n v="8550"/>
    <n v="18000"/>
    <n v="26550"/>
    <x v="1"/>
    <x v="0"/>
    <x v="3"/>
    <n v="4"/>
    <x v="0"/>
  </r>
  <r>
    <x v="378"/>
    <x v="378"/>
    <s v="Dewi Nugroho"/>
    <x v="34"/>
    <x v="2"/>
    <n v="20000"/>
    <n v="0.8"/>
    <x v="0"/>
    <n v="16000"/>
    <n v="800"/>
    <n v="15200"/>
    <n v="0"/>
    <n v="15200"/>
    <x v="1"/>
    <x v="0"/>
    <x v="3"/>
    <n v="4"/>
    <x v="0"/>
  </r>
  <r>
    <x v="379"/>
    <x v="379"/>
    <s v="Yani Kusuma"/>
    <x v="8"/>
    <x v="5"/>
    <n v="10500"/>
    <n v="2.8"/>
    <x v="0"/>
    <n v="29399.999999999996"/>
    <n v="1470"/>
    <n v="27929.999999999996"/>
    <n v="59000"/>
    <n v="86930"/>
    <x v="1"/>
    <x v="0"/>
    <x v="4"/>
    <n v="4"/>
    <x v="0"/>
  </r>
  <r>
    <x v="380"/>
    <x v="380"/>
    <s v="Bayu Nugroho"/>
    <x v="12"/>
    <x v="16"/>
    <n v="115000"/>
    <n v="0.5"/>
    <x v="1"/>
    <n v="57500"/>
    <n v="0"/>
    <n v="57500"/>
    <n v="30000"/>
    <n v="87500"/>
    <x v="2"/>
    <x v="0"/>
    <x v="4"/>
    <n v="4"/>
    <x v="1"/>
  </r>
  <r>
    <x v="381"/>
    <x v="381"/>
    <s v="Citra Halim"/>
    <x v="21"/>
    <x v="2"/>
    <n v="20000"/>
    <n v="1.3"/>
    <x v="1"/>
    <n v="26000"/>
    <n v="0"/>
    <n v="26000"/>
    <n v="59000"/>
    <n v="85000"/>
    <x v="3"/>
    <x v="2"/>
    <x v="3"/>
    <n v="5"/>
    <x v="0"/>
  </r>
  <r>
    <x v="382"/>
    <x v="382"/>
    <s v="Gita Saputra"/>
    <x v="17"/>
    <x v="10"/>
    <n v="45000"/>
    <n v="1.6"/>
    <x v="1"/>
    <n v="72000"/>
    <n v="0"/>
    <n v="72000"/>
    <n v="72000"/>
    <n v="144000"/>
    <x v="1"/>
    <x v="0"/>
    <x v="3"/>
    <n v="2"/>
    <x v="0"/>
  </r>
  <r>
    <x v="383"/>
    <x v="383"/>
    <s v="Galih Iskandar"/>
    <x v="27"/>
    <x v="2"/>
    <n v="20000"/>
    <n v="2.9"/>
    <x v="1"/>
    <n v="58000"/>
    <n v="0"/>
    <n v="58000"/>
    <n v="49000"/>
    <n v="107000"/>
    <x v="1"/>
    <x v="0"/>
    <x v="3"/>
    <n v="4"/>
    <x v="1"/>
  </r>
  <r>
    <x v="384"/>
    <x v="384"/>
    <s v="Fitri Halim"/>
    <x v="6"/>
    <x v="4"/>
    <n v="40000"/>
    <n v="1.1000000000000001"/>
    <x v="1"/>
    <n v="44000"/>
    <n v="0"/>
    <n v="44000"/>
    <n v="80000"/>
    <n v="124000"/>
    <x v="2"/>
    <x v="0"/>
    <x v="4"/>
    <n v="1"/>
    <x v="0"/>
  </r>
  <r>
    <x v="385"/>
    <x v="385"/>
    <s v="Erna Syahputra"/>
    <x v="5"/>
    <x v="17"/>
    <n v="12000"/>
    <n v="1.8"/>
    <x v="1"/>
    <n v="21600"/>
    <n v="0"/>
    <n v="21600"/>
    <n v="18000"/>
    <n v="39600"/>
    <x v="0"/>
    <x v="1"/>
    <x v="2"/>
    <n v="3"/>
    <x v="0"/>
  </r>
  <r>
    <x v="386"/>
    <x v="386"/>
    <s v="Yoga Nugroho"/>
    <x v="5"/>
    <x v="8"/>
    <n v="17500"/>
    <n v="1.8"/>
    <x v="1"/>
    <n v="31500"/>
    <n v="0"/>
    <n v="31500"/>
    <n v="18000"/>
    <n v="49500"/>
    <x v="3"/>
    <x v="0"/>
    <x v="2"/>
    <n v="4"/>
    <x v="1"/>
  </r>
  <r>
    <x v="387"/>
    <x v="387"/>
    <s v="Sari Halim"/>
    <x v="23"/>
    <x v="6"/>
    <n v="26000"/>
    <n v="1.7"/>
    <x v="1"/>
    <n v="44200"/>
    <n v="0"/>
    <n v="44200"/>
    <n v="55000"/>
    <n v="99200"/>
    <x v="0"/>
    <x v="0"/>
    <x v="4"/>
    <n v="5"/>
    <x v="0"/>
  </r>
  <r>
    <x v="388"/>
    <x v="388"/>
    <s v="Kartika Santoso"/>
    <x v="10"/>
    <x v="6"/>
    <n v="26000"/>
    <n v="2.2000000000000002"/>
    <x v="1"/>
    <n v="57200.000000000007"/>
    <n v="0"/>
    <n v="57200.000000000007"/>
    <n v="87000"/>
    <n v="144200"/>
    <x v="3"/>
    <x v="0"/>
    <x v="1"/>
    <n v="5"/>
    <x v="0"/>
  </r>
  <r>
    <x v="389"/>
    <x v="389"/>
    <s v="Yani Setiawan"/>
    <x v="2"/>
    <x v="4"/>
    <n v="40000"/>
    <n v="0.5"/>
    <x v="1"/>
    <n v="20000"/>
    <n v="0"/>
    <n v="20000"/>
    <n v="76000"/>
    <n v="96000"/>
    <x v="2"/>
    <x v="0"/>
    <x v="3"/>
    <n v="1"/>
    <x v="0"/>
  </r>
  <r>
    <x v="390"/>
    <x v="390"/>
    <s v="Ani Setiawan"/>
    <x v="26"/>
    <x v="3"/>
    <n v="13500"/>
    <n v="0.9"/>
    <x v="1"/>
    <n v="12150"/>
    <n v="0"/>
    <n v="12150"/>
    <n v="46000"/>
    <n v="58150"/>
    <x v="2"/>
    <x v="0"/>
    <x v="4"/>
    <n v="1"/>
    <x v="0"/>
  </r>
  <r>
    <x v="391"/>
    <x v="391"/>
    <s v="Lestari Setiawan"/>
    <x v="7"/>
    <x v="9"/>
    <n v="46000"/>
    <n v="1.2"/>
    <x v="1"/>
    <n v="55200"/>
    <n v="0"/>
    <n v="55200"/>
    <n v="26000"/>
    <n v="81200"/>
    <x v="2"/>
    <x v="0"/>
    <x v="2"/>
    <n v="4"/>
    <x v="0"/>
  </r>
  <r>
    <x v="392"/>
    <x v="392"/>
    <s v="Yani Hidayat"/>
    <x v="33"/>
    <x v="4"/>
    <n v="40000"/>
    <n v="1"/>
    <x v="1"/>
    <n v="40000"/>
    <n v="0"/>
    <n v="40000"/>
    <n v="80000"/>
    <n v="120000"/>
    <x v="2"/>
    <x v="2"/>
    <x v="3"/>
    <n v="4"/>
    <x v="0"/>
  </r>
  <r>
    <x v="393"/>
    <x v="393"/>
    <s v="Dina Kurniawan"/>
    <x v="31"/>
    <x v="7"/>
    <n v="14000"/>
    <n v="1.1000000000000001"/>
    <x v="1"/>
    <n v="15400.000000000002"/>
    <n v="0"/>
    <n v="15400.000000000002"/>
    <n v="87000"/>
    <n v="102400"/>
    <x v="1"/>
    <x v="0"/>
    <x v="2"/>
    <n v="5"/>
    <x v="0"/>
  </r>
  <r>
    <x v="394"/>
    <x v="394"/>
    <s v="Putri Ananda"/>
    <x v="7"/>
    <x v="10"/>
    <n v="45000"/>
    <n v="1.2"/>
    <x v="1"/>
    <n v="54000"/>
    <n v="0"/>
    <n v="54000"/>
    <n v="26000"/>
    <n v="80000"/>
    <x v="3"/>
    <x v="0"/>
    <x v="3"/>
    <n v="5"/>
    <x v="0"/>
  </r>
  <r>
    <x v="395"/>
    <x v="395"/>
    <s v="Hana Nugroho"/>
    <x v="11"/>
    <x v="5"/>
    <n v="10500"/>
    <n v="3.2"/>
    <x v="1"/>
    <n v="33600"/>
    <n v="0"/>
    <n v="33600"/>
    <n v="74000"/>
    <n v="107600"/>
    <x v="2"/>
    <x v="2"/>
    <x v="2"/>
    <n v="5"/>
    <x v="0"/>
  </r>
  <r>
    <x v="396"/>
    <x v="396"/>
    <s v="Erna Fauziah"/>
    <x v="28"/>
    <x v="4"/>
    <n v="40000"/>
    <n v="1.4"/>
    <x v="1"/>
    <n v="56000"/>
    <n v="0"/>
    <n v="56000"/>
    <n v="56000"/>
    <n v="112000"/>
    <x v="1"/>
    <x v="1"/>
    <x v="1"/>
    <n v="5"/>
    <x v="0"/>
  </r>
  <r>
    <x v="397"/>
    <x v="397"/>
    <s v="Qori Utami"/>
    <x v="30"/>
    <x v="14"/>
    <n v="55000"/>
    <n v="0.3"/>
    <x v="1"/>
    <n v="16500"/>
    <n v="0"/>
    <n v="16500"/>
    <n v="57000"/>
    <n v="73500"/>
    <x v="0"/>
    <x v="1"/>
    <x v="2"/>
    <n v="4"/>
    <x v="0"/>
  </r>
  <r>
    <x v="398"/>
    <x v="398"/>
    <s v="Dewi Pradipta"/>
    <x v="14"/>
    <x v="5"/>
    <n v="10500"/>
    <n v="1"/>
    <x v="1"/>
    <n v="10500"/>
    <n v="0"/>
    <n v="10500"/>
    <n v="85000"/>
    <n v="95500"/>
    <x v="1"/>
    <x v="0"/>
    <x v="0"/>
    <n v="4"/>
    <x v="0"/>
  </r>
  <r>
    <x v="398"/>
    <x v="398"/>
    <s v="Dewi Pradipta"/>
    <x v="14"/>
    <x v="3"/>
    <n v="13500"/>
    <n v="1.8"/>
    <x v="1"/>
    <n v="24300"/>
    <n v="0"/>
    <n v="24300"/>
    <n v="0"/>
    <n v="24300"/>
    <x v="1"/>
    <x v="0"/>
    <x v="0"/>
    <n v="4"/>
    <x v="0"/>
  </r>
  <r>
    <x v="399"/>
    <x v="399"/>
    <s v="Kartika Halim"/>
    <x v="36"/>
    <x v="3"/>
    <n v="13500"/>
    <n v="3.2"/>
    <x v="1"/>
    <n v="43200"/>
    <n v="0"/>
    <n v="43200"/>
    <n v="21000"/>
    <n v="64200"/>
    <x v="2"/>
    <x v="0"/>
    <x v="1"/>
    <n v="1"/>
    <x v="0"/>
  </r>
  <r>
    <x v="400"/>
    <x v="400"/>
    <s v="Dewi Setiawan"/>
    <x v="15"/>
    <x v="12"/>
    <n v="9500"/>
    <n v="0.8"/>
    <x v="1"/>
    <n v="7600"/>
    <n v="0"/>
    <n v="7600"/>
    <n v="97000"/>
    <n v="104600"/>
    <x v="0"/>
    <x v="0"/>
    <x v="4"/>
    <n v="5"/>
    <x v="0"/>
  </r>
  <r>
    <x v="401"/>
    <x v="401"/>
    <s v="Erna Setiawan"/>
    <x v="6"/>
    <x v="16"/>
    <n v="115000"/>
    <n v="0.3"/>
    <x v="1"/>
    <n v="34500"/>
    <n v="0"/>
    <n v="34500"/>
    <n v="80000"/>
    <n v="114500"/>
    <x v="3"/>
    <x v="0"/>
    <x v="4"/>
    <n v="4"/>
    <x v="0"/>
  </r>
  <r>
    <x v="402"/>
    <x v="402"/>
    <s v="Bella Utami"/>
    <x v="24"/>
    <x v="9"/>
    <n v="46000"/>
    <n v="1.2"/>
    <x v="1"/>
    <n v="55200"/>
    <n v="0"/>
    <n v="55200"/>
    <n v="68000"/>
    <n v="123200"/>
    <x v="3"/>
    <x v="0"/>
    <x v="4"/>
    <n v="1"/>
    <x v="0"/>
  </r>
  <r>
    <x v="403"/>
    <x v="403"/>
    <s v="Sari Hidayat"/>
    <x v="2"/>
    <x v="10"/>
    <n v="45000"/>
    <n v="1.6"/>
    <x v="1"/>
    <n v="72000"/>
    <n v="0"/>
    <n v="72000"/>
    <n v="76000"/>
    <n v="148000"/>
    <x v="3"/>
    <x v="1"/>
    <x v="2"/>
    <n v="4"/>
    <x v="0"/>
  </r>
  <r>
    <x v="404"/>
    <x v="404"/>
    <s v="Lestari Hidayat"/>
    <x v="11"/>
    <x v="11"/>
    <n v="15000"/>
    <n v="2.9"/>
    <x v="1"/>
    <n v="43500"/>
    <n v="0"/>
    <n v="43500"/>
    <n v="74000"/>
    <n v="117500"/>
    <x v="3"/>
    <x v="0"/>
    <x v="4"/>
    <n v="4"/>
    <x v="0"/>
  </r>
  <r>
    <x v="405"/>
    <x v="405"/>
    <s v="Dewi Rahmawati"/>
    <x v="7"/>
    <x v="9"/>
    <n v="46000"/>
    <n v="1.4"/>
    <x v="1"/>
    <n v="64399.999999999993"/>
    <n v="0"/>
    <n v="64399.999999999993"/>
    <n v="26000"/>
    <n v="90400"/>
    <x v="1"/>
    <x v="0"/>
    <x v="3"/>
    <n v="1"/>
    <x v="0"/>
  </r>
  <r>
    <x v="406"/>
    <x v="406"/>
    <s v="Andi Utami"/>
    <x v="32"/>
    <x v="19"/>
    <n v="15500"/>
    <n v="0.2"/>
    <x v="1"/>
    <n v="3100"/>
    <n v="0"/>
    <n v="3100"/>
    <n v="28000"/>
    <n v="31100"/>
    <x v="3"/>
    <x v="0"/>
    <x v="4"/>
    <n v="3"/>
    <x v="1"/>
  </r>
  <r>
    <x v="406"/>
    <x v="406"/>
    <s v="Andi Utami"/>
    <x v="32"/>
    <x v="13"/>
    <n v="10000"/>
    <n v="0.4"/>
    <x v="1"/>
    <n v="4000"/>
    <n v="0"/>
    <n v="4000"/>
    <n v="0"/>
    <n v="4000"/>
    <x v="3"/>
    <x v="0"/>
    <x v="4"/>
    <n v="3"/>
    <x v="1"/>
  </r>
  <r>
    <x v="407"/>
    <x v="407"/>
    <s v="Galih Kusuma"/>
    <x v="18"/>
    <x v="15"/>
    <n v="10000"/>
    <n v="0.5"/>
    <x v="1"/>
    <n v="5000"/>
    <n v="0"/>
    <n v="5000"/>
    <n v="0"/>
    <n v="5000"/>
    <x v="2"/>
    <x v="0"/>
    <x v="3"/>
    <n v="4"/>
    <x v="1"/>
  </r>
  <r>
    <x v="408"/>
    <x v="408"/>
    <s v="Hana Nugroho"/>
    <x v="11"/>
    <x v="12"/>
    <n v="9500"/>
    <n v="2.2999999999999998"/>
    <x v="1"/>
    <n v="21850"/>
    <n v="0"/>
    <n v="21850"/>
    <n v="74000"/>
    <n v="95850"/>
    <x v="1"/>
    <x v="0"/>
    <x v="3"/>
    <n v="2"/>
    <x v="0"/>
  </r>
  <r>
    <x v="409"/>
    <x v="409"/>
    <s v="Erna Wijaya"/>
    <x v="32"/>
    <x v="16"/>
    <n v="115000"/>
    <n v="0.7"/>
    <x v="1"/>
    <n v="80500"/>
    <n v="0"/>
    <n v="80500"/>
    <n v="28000"/>
    <n v="108500"/>
    <x v="3"/>
    <x v="2"/>
    <x v="1"/>
    <n v="5"/>
    <x v="0"/>
  </r>
  <r>
    <x v="410"/>
    <x v="410"/>
    <s v="Joko Nugroho"/>
    <x v="32"/>
    <x v="1"/>
    <n v="15000"/>
    <n v="1.3"/>
    <x v="1"/>
    <n v="19500"/>
    <n v="0"/>
    <n v="19500"/>
    <n v="28000"/>
    <n v="47500"/>
    <x v="0"/>
    <x v="0"/>
    <x v="0"/>
    <n v="1"/>
    <x v="1"/>
  </r>
  <r>
    <x v="411"/>
    <x v="411"/>
    <s v="Indra Syahputra"/>
    <x v="2"/>
    <x v="11"/>
    <n v="15000"/>
    <n v="2"/>
    <x v="1"/>
    <n v="30000"/>
    <n v="0"/>
    <n v="30000"/>
    <n v="76000"/>
    <n v="106000"/>
    <x v="1"/>
    <x v="0"/>
    <x v="1"/>
    <n v="5"/>
    <x v="1"/>
  </r>
  <r>
    <x v="412"/>
    <x v="412"/>
    <s v="Ani Hidayat"/>
    <x v="4"/>
    <x v="5"/>
    <n v="10500"/>
    <n v="0.5"/>
    <x v="1"/>
    <n v="5250"/>
    <n v="0"/>
    <n v="5250"/>
    <n v="43000"/>
    <n v="48250"/>
    <x v="3"/>
    <x v="0"/>
    <x v="2"/>
    <n v="3"/>
    <x v="0"/>
  </r>
  <r>
    <x v="413"/>
    <x v="413"/>
    <s v="Yani Utami"/>
    <x v="10"/>
    <x v="11"/>
    <n v="15000"/>
    <n v="1"/>
    <x v="1"/>
    <n v="15000"/>
    <n v="0"/>
    <n v="15000"/>
    <n v="87000"/>
    <n v="102000"/>
    <x v="0"/>
    <x v="0"/>
    <x v="3"/>
    <n v="1"/>
    <x v="0"/>
  </r>
  <r>
    <x v="414"/>
    <x v="414"/>
    <s v="Yani Ramadhani"/>
    <x v="36"/>
    <x v="0"/>
    <n v="10000"/>
    <n v="2.9"/>
    <x v="1"/>
    <n v="29000"/>
    <n v="0"/>
    <n v="29000"/>
    <n v="21000"/>
    <n v="50000"/>
    <x v="3"/>
    <x v="0"/>
    <x v="4"/>
    <n v="5"/>
    <x v="0"/>
  </r>
  <r>
    <x v="415"/>
    <x v="415"/>
    <s v="Oka Santoso"/>
    <x v="16"/>
    <x v="7"/>
    <n v="14000"/>
    <n v="0.6"/>
    <x v="1"/>
    <n v="8400"/>
    <n v="0"/>
    <n v="8400"/>
    <n v="18000"/>
    <n v="26400"/>
    <x v="2"/>
    <x v="2"/>
    <x v="4"/>
    <n v="4"/>
    <x v="1"/>
  </r>
  <r>
    <x v="416"/>
    <x v="416"/>
    <s v="Sari Kurniawan"/>
    <x v="35"/>
    <x v="1"/>
    <n v="15000"/>
    <n v="0.7"/>
    <x v="1"/>
    <n v="10500"/>
    <n v="0"/>
    <n v="10500"/>
    <n v="79000"/>
    <n v="89500"/>
    <x v="2"/>
    <x v="1"/>
    <x v="3"/>
    <n v="5"/>
    <x v="0"/>
  </r>
  <r>
    <x v="417"/>
    <x v="417"/>
    <s v="Yani Saputra"/>
    <x v="12"/>
    <x v="3"/>
    <n v="13500"/>
    <n v="2.1"/>
    <x v="1"/>
    <n v="28350"/>
    <n v="0"/>
    <n v="28350"/>
    <n v="30000"/>
    <n v="58350"/>
    <x v="2"/>
    <x v="1"/>
    <x v="0"/>
    <n v="2"/>
    <x v="0"/>
  </r>
  <r>
    <x v="418"/>
    <x v="418"/>
    <s v="Sari Halim"/>
    <x v="23"/>
    <x v="13"/>
    <n v="10000"/>
    <n v="0.6"/>
    <x v="1"/>
    <n v="6000"/>
    <n v="0"/>
    <n v="6000"/>
    <n v="55000"/>
    <n v="61000"/>
    <x v="2"/>
    <x v="0"/>
    <x v="2"/>
    <n v="2"/>
    <x v="0"/>
  </r>
  <r>
    <x v="419"/>
    <x v="419"/>
    <s v="Gita Saputra"/>
    <x v="17"/>
    <x v="17"/>
    <n v="12000"/>
    <n v="1.6"/>
    <x v="1"/>
    <n v="19200"/>
    <n v="0"/>
    <n v="19200"/>
    <n v="72000"/>
    <n v="91200"/>
    <x v="0"/>
    <x v="1"/>
    <x v="3"/>
    <n v="5"/>
    <x v="0"/>
  </r>
  <r>
    <x v="420"/>
    <x v="420"/>
    <s v="Yani Budiman"/>
    <x v="25"/>
    <x v="13"/>
    <n v="10000"/>
    <n v="0.9"/>
    <x v="1"/>
    <n v="9000"/>
    <n v="0"/>
    <n v="9000"/>
    <n v="50000"/>
    <n v="59000"/>
    <x v="0"/>
    <x v="0"/>
    <x v="0"/>
    <n v="5"/>
    <x v="0"/>
  </r>
  <r>
    <x v="421"/>
    <x v="421"/>
    <s v="Fitri Budiman"/>
    <x v="16"/>
    <x v="19"/>
    <n v="15500"/>
    <n v="0.3"/>
    <x v="1"/>
    <n v="4650"/>
    <n v="0"/>
    <n v="4650"/>
    <n v="18000"/>
    <n v="22650"/>
    <x v="1"/>
    <x v="0"/>
    <x v="0"/>
    <n v="1"/>
    <x v="0"/>
  </r>
  <r>
    <x v="422"/>
    <x v="422"/>
    <s v="Lestari Santoso"/>
    <x v="34"/>
    <x v="19"/>
    <n v="15500"/>
    <n v="0.4"/>
    <x v="1"/>
    <n v="6200"/>
    <n v="0"/>
    <n v="6200"/>
    <n v="18000"/>
    <n v="24200"/>
    <x v="0"/>
    <x v="0"/>
    <x v="4"/>
    <n v="3"/>
    <x v="0"/>
  </r>
  <r>
    <x v="423"/>
    <x v="423"/>
    <s v="Putri Saputra"/>
    <x v="14"/>
    <x v="1"/>
    <n v="15000"/>
    <n v="0.6"/>
    <x v="1"/>
    <n v="9000"/>
    <n v="0"/>
    <n v="9000"/>
    <n v="85000"/>
    <n v="94000"/>
    <x v="3"/>
    <x v="0"/>
    <x v="1"/>
    <n v="2"/>
    <x v="0"/>
  </r>
  <r>
    <x v="424"/>
    <x v="424"/>
    <s v="Clara Ananda"/>
    <x v="18"/>
    <x v="5"/>
    <n v="10500"/>
    <n v="3.4"/>
    <x v="1"/>
    <n v="35700"/>
    <n v="0"/>
    <n v="35700"/>
    <n v="0"/>
    <n v="35700"/>
    <x v="2"/>
    <x v="0"/>
    <x v="3"/>
    <n v="2"/>
    <x v="0"/>
  </r>
  <r>
    <x v="425"/>
    <x v="425"/>
    <s v="Erna Fauziah"/>
    <x v="28"/>
    <x v="8"/>
    <n v="17500"/>
    <n v="2.9"/>
    <x v="1"/>
    <n v="50750"/>
    <n v="0"/>
    <n v="50750"/>
    <n v="56000"/>
    <n v="106750"/>
    <x v="3"/>
    <x v="0"/>
    <x v="4"/>
    <n v="4"/>
    <x v="0"/>
  </r>
  <r>
    <x v="426"/>
    <x v="426"/>
    <s v="Clara Setiawan"/>
    <x v="16"/>
    <x v="0"/>
    <n v="10000"/>
    <n v="2.4"/>
    <x v="1"/>
    <n v="24000"/>
    <n v="0"/>
    <n v="24000"/>
    <n v="18000"/>
    <n v="42000"/>
    <x v="3"/>
    <x v="0"/>
    <x v="3"/>
    <n v="2"/>
    <x v="0"/>
  </r>
  <r>
    <x v="427"/>
    <x v="427"/>
    <s v="Kartika Fauziah"/>
    <x v="28"/>
    <x v="2"/>
    <n v="20000"/>
    <n v="3"/>
    <x v="1"/>
    <n v="60000"/>
    <n v="0"/>
    <n v="60000"/>
    <n v="56000"/>
    <n v="116000"/>
    <x v="2"/>
    <x v="0"/>
    <x v="0"/>
    <n v="1"/>
    <x v="0"/>
  </r>
  <r>
    <x v="428"/>
    <x v="428"/>
    <s v="Hana Saputra"/>
    <x v="17"/>
    <x v="8"/>
    <n v="17500"/>
    <n v="1.3"/>
    <x v="1"/>
    <n v="22750"/>
    <n v="0"/>
    <n v="22750"/>
    <n v="72000"/>
    <n v="94750"/>
    <x v="2"/>
    <x v="1"/>
    <x v="3"/>
    <n v="1"/>
    <x v="0"/>
  </r>
  <r>
    <x v="429"/>
    <x v="429"/>
    <s v="Aulia Budiman"/>
    <x v="15"/>
    <x v="4"/>
    <n v="40000"/>
    <n v="0.4"/>
    <x v="1"/>
    <n v="16000"/>
    <n v="0"/>
    <n v="16000"/>
    <n v="97000"/>
    <n v="113000"/>
    <x v="0"/>
    <x v="0"/>
    <x v="4"/>
    <n v="5"/>
    <x v="0"/>
  </r>
  <r>
    <x v="430"/>
    <x v="430"/>
    <s v="Zahra Santoso"/>
    <x v="9"/>
    <x v="17"/>
    <n v="12000"/>
    <n v="1.2"/>
    <x v="1"/>
    <n v="14400"/>
    <n v="0"/>
    <n v="14400"/>
    <n v="89000"/>
    <n v="103400"/>
    <x v="3"/>
    <x v="2"/>
    <x v="0"/>
    <n v="2"/>
    <x v="0"/>
  </r>
  <r>
    <x v="431"/>
    <x v="431"/>
    <s v="Rizky Budiman"/>
    <x v="33"/>
    <x v="19"/>
    <n v="15500"/>
    <n v="0.5"/>
    <x v="1"/>
    <n v="7750"/>
    <n v="0"/>
    <n v="7750"/>
    <n v="80000"/>
    <n v="87750"/>
    <x v="0"/>
    <x v="1"/>
    <x v="3"/>
    <n v="5"/>
    <x v="1"/>
  </r>
  <r>
    <x v="432"/>
    <x v="432"/>
    <s v="Zahra Rahmawati"/>
    <x v="17"/>
    <x v="2"/>
    <n v="20000"/>
    <n v="2.8"/>
    <x v="1"/>
    <n v="56000"/>
    <n v="0"/>
    <n v="56000"/>
    <n v="72000"/>
    <n v="128000"/>
    <x v="1"/>
    <x v="0"/>
    <x v="1"/>
    <n v="3"/>
    <x v="0"/>
  </r>
  <r>
    <x v="433"/>
    <x v="433"/>
    <s v="Lestari Wijaya"/>
    <x v="18"/>
    <x v="13"/>
    <n v="10000"/>
    <n v="1.3"/>
    <x v="1"/>
    <n v="13000"/>
    <n v="0"/>
    <n v="13000"/>
    <n v="0"/>
    <n v="13000"/>
    <x v="2"/>
    <x v="0"/>
    <x v="3"/>
    <n v="4"/>
    <x v="0"/>
  </r>
  <r>
    <x v="434"/>
    <x v="434"/>
    <s v="Putri Kurniawan"/>
    <x v="9"/>
    <x v="11"/>
    <n v="15000"/>
    <n v="1"/>
    <x v="1"/>
    <n v="15000"/>
    <n v="0"/>
    <n v="15000"/>
    <n v="89000"/>
    <n v="104000"/>
    <x v="2"/>
    <x v="0"/>
    <x v="3"/>
    <n v="2"/>
    <x v="0"/>
  </r>
  <r>
    <x v="435"/>
    <x v="435"/>
    <s v="Bayu Maulana"/>
    <x v="9"/>
    <x v="8"/>
    <n v="17500"/>
    <n v="2.7"/>
    <x v="1"/>
    <n v="47250"/>
    <n v="0"/>
    <n v="47250"/>
    <n v="89000"/>
    <n v="136250"/>
    <x v="0"/>
    <x v="0"/>
    <x v="2"/>
    <n v="2"/>
    <x v="1"/>
  </r>
  <r>
    <x v="436"/>
    <x v="436"/>
    <s v="Indra Halim"/>
    <x v="7"/>
    <x v="1"/>
    <n v="15000"/>
    <n v="0.6"/>
    <x v="1"/>
    <n v="9000"/>
    <n v="0"/>
    <n v="9000"/>
    <n v="26000"/>
    <n v="35000"/>
    <x v="1"/>
    <x v="0"/>
    <x v="3"/>
    <n v="4"/>
    <x v="1"/>
  </r>
  <r>
    <x v="437"/>
    <x v="437"/>
    <s v="Zahra Ananda"/>
    <x v="18"/>
    <x v="16"/>
    <n v="115000"/>
    <n v="1.3"/>
    <x v="1"/>
    <n v="149500"/>
    <n v="0"/>
    <n v="149500"/>
    <n v="0"/>
    <n v="149500"/>
    <x v="0"/>
    <x v="0"/>
    <x v="4"/>
    <n v="4"/>
    <x v="0"/>
  </r>
  <r>
    <x v="438"/>
    <x v="438"/>
    <s v="Zahra Santoso"/>
    <x v="9"/>
    <x v="17"/>
    <n v="12000"/>
    <n v="1.1000000000000001"/>
    <x v="1"/>
    <n v="13200.000000000002"/>
    <n v="0"/>
    <n v="13200.000000000002"/>
    <n v="89000"/>
    <n v="102200"/>
    <x v="3"/>
    <x v="0"/>
    <x v="3"/>
    <n v="5"/>
    <x v="0"/>
  </r>
  <r>
    <x v="439"/>
    <x v="439"/>
    <s v="Wahyu Fauziah"/>
    <x v="35"/>
    <x v="9"/>
    <n v="46000"/>
    <n v="1.1000000000000001"/>
    <x v="1"/>
    <n v="50600.000000000007"/>
    <n v="0"/>
    <n v="50600.000000000007"/>
    <n v="79000"/>
    <n v="129600"/>
    <x v="3"/>
    <x v="0"/>
    <x v="4"/>
    <n v="1"/>
    <x v="1"/>
  </r>
  <r>
    <x v="440"/>
    <x v="440"/>
    <s v="Zahra Budiman"/>
    <x v="27"/>
    <x v="19"/>
    <n v="15500"/>
    <n v="0.8"/>
    <x v="1"/>
    <n v="12400"/>
    <n v="0"/>
    <n v="12400"/>
    <n v="49000"/>
    <n v="61400"/>
    <x v="0"/>
    <x v="0"/>
    <x v="1"/>
    <n v="4"/>
    <x v="0"/>
  </r>
  <r>
    <x v="441"/>
    <x v="441"/>
    <s v="Zahra Kurniawan"/>
    <x v="0"/>
    <x v="6"/>
    <n v="26000"/>
    <n v="1.4"/>
    <x v="1"/>
    <n v="36400"/>
    <n v="0"/>
    <n v="36400"/>
    <n v="15000"/>
    <n v="51400"/>
    <x v="2"/>
    <x v="0"/>
    <x v="2"/>
    <n v="4"/>
    <x v="0"/>
  </r>
  <r>
    <x v="441"/>
    <x v="441"/>
    <s v="Zahra Kurniawan"/>
    <x v="0"/>
    <x v="10"/>
    <n v="45000"/>
    <n v="1.1000000000000001"/>
    <x v="1"/>
    <n v="49500.000000000007"/>
    <n v="0"/>
    <n v="49500.000000000007"/>
    <n v="0"/>
    <n v="49500.000000000007"/>
    <x v="2"/>
    <x v="0"/>
    <x v="2"/>
    <n v="4"/>
    <x v="0"/>
  </r>
  <r>
    <x v="442"/>
    <x v="442"/>
    <s v="Kartika Hidayat"/>
    <x v="20"/>
    <x v="3"/>
    <n v="13500"/>
    <n v="3.6"/>
    <x v="1"/>
    <n v="48600"/>
    <n v="0"/>
    <n v="48600"/>
    <n v="84000"/>
    <n v="132600"/>
    <x v="0"/>
    <x v="0"/>
    <x v="3"/>
    <n v="4"/>
    <x v="0"/>
  </r>
  <r>
    <x v="443"/>
    <x v="443"/>
    <s v="Eka Rahmawati"/>
    <x v="4"/>
    <x v="5"/>
    <n v="10500"/>
    <n v="2.2999999999999998"/>
    <x v="1"/>
    <n v="24149.999999999996"/>
    <n v="0"/>
    <n v="24149.999999999996"/>
    <n v="43000"/>
    <n v="67150"/>
    <x v="1"/>
    <x v="2"/>
    <x v="4"/>
    <n v="5"/>
    <x v="0"/>
  </r>
  <r>
    <x v="444"/>
    <x v="444"/>
    <s v="Bella Hidayat"/>
    <x v="35"/>
    <x v="2"/>
    <n v="20000"/>
    <n v="1.8"/>
    <x v="1"/>
    <n v="36000"/>
    <n v="0"/>
    <n v="36000"/>
    <n v="79000"/>
    <n v="115000"/>
    <x v="1"/>
    <x v="0"/>
    <x v="1"/>
    <n v="5"/>
    <x v="0"/>
  </r>
  <r>
    <x v="445"/>
    <x v="445"/>
    <s v="Yani Ananda"/>
    <x v="28"/>
    <x v="0"/>
    <n v="10000"/>
    <n v="2.4"/>
    <x v="1"/>
    <n v="24000"/>
    <n v="0"/>
    <n v="24000"/>
    <n v="56000"/>
    <n v="80000"/>
    <x v="3"/>
    <x v="0"/>
    <x v="2"/>
    <n v="5"/>
    <x v="0"/>
  </r>
  <r>
    <x v="446"/>
    <x v="446"/>
    <s v="Erna Kurniawan"/>
    <x v="7"/>
    <x v="18"/>
    <n v="11000"/>
    <n v="0.7"/>
    <x v="1"/>
    <n v="7699.9999999999991"/>
    <n v="0"/>
    <n v="7699.9999999999991"/>
    <n v="26000"/>
    <n v="33700"/>
    <x v="1"/>
    <x v="0"/>
    <x v="4"/>
    <n v="1"/>
    <x v="0"/>
  </r>
  <r>
    <x v="447"/>
    <x v="447"/>
    <s v="Qori Saputra"/>
    <x v="1"/>
    <x v="4"/>
    <n v="40000"/>
    <n v="0.6"/>
    <x v="1"/>
    <n v="24000"/>
    <n v="0"/>
    <n v="24000"/>
    <n v="17000"/>
    <n v="41000"/>
    <x v="3"/>
    <x v="0"/>
    <x v="4"/>
    <n v="5"/>
    <x v="0"/>
  </r>
  <r>
    <x v="448"/>
    <x v="448"/>
    <s v="Dewi Puspita"/>
    <x v="12"/>
    <x v="15"/>
    <n v="10000"/>
    <n v="0.5"/>
    <x v="1"/>
    <n v="5000"/>
    <n v="0"/>
    <n v="5000"/>
    <n v="30000"/>
    <n v="35000"/>
    <x v="1"/>
    <x v="0"/>
    <x v="1"/>
    <n v="3"/>
    <x v="0"/>
  </r>
  <r>
    <x v="449"/>
    <x v="449"/>
    <s v="Eka Maulana"/>
    <x v="2"/>
    <x v="0"/>
    <n v="10000"/>
    <n v="1.8"/>
    <x v="1"/>
    <n v="18000"/>
    <n v="0"/>
    <n v="18000"/>
    <n v="76000"/>
    <n v="94000"/>
    <x v="0"/>
    <x v="0"/>
    <x v="1"/>
    <n v="3"/>
    <x v="0"/>
  </r>
  <r>
    <x v="450"/>
    <x v="450"/>
    <s v="Citra Maulana"/>
    <x v="17"/>
    <x v="3"/>
    <n v="13500"/>
    <n v="1.6"/>
    <x v="1"/>
    <n v="21600"/>
    <n v="0"/>
    <n v="21600"/>
    <n v="72000"/>
    <n v="93600"/>
    <x v="0"/>
    <x v="0"/>
    <x v="0"/>
    <n v="5"/>
    <x v="0"/>
  </r>
  <r>
    <x v="451"/>
    <x v="451"/>
    <s v="Vina Syahputra"/>
    <x v="13"/>
    <x v="6"/>
    <n v="26000"/>
    <n v="1"/>
    <x v="1"/>
    <n v="26000"/>
    <n v="0"/>
    <n v="26000"/>
    <n v="49000"/>
    <n v="75000"/>
    <x v="1"/>
    <x v="0"/>
    <x v="2"/>
    <n v="1"/>
    <x v="0"/>
  </r>
  <r>
    <x v="452"/>
    <x v="452"/>
    <s v="Citra Rahmawati"/>
    <x v="25"/>
    <x v="4"/>
    <n v="40000"/>
    <n v="0.7"/>
    <x v="1"/>
    <n v="28000"/>
    <n v="0"/>
    <n v="28000"/>
    <n v="50000"/>
    <n v="78000"/>
    <x v="1"/>
    <x v="0"/>
    <x v="4"/>
    <n v="2"/>
    <x v="0"/>
  </r>
  <r>
    <x v="453"/>
    <x v="453"/>
    <s v="Zahra Budiman"/>
    <x v="27"/>
    <x v="11"/>
    <n v="15000"/>
    <n v="1"/>
    <x v="1"/>
    <n v="15000"/>
    <n v="0"/>
    <n v="15000"/>
    <n v="49000"/>
    <n v="64000"/>
    <x v="1"/>
    <x v="0"/>
    <x v="2"/>
    <n v="2"/>
    <x v="0"/>
  </r>
  <r>
    <x v="454"/>
    <x v="454"/>
    <s v="Aulia Utami"/>
    <x v="19"/>
    <x v="1"/>
    <n v="15000"/>
    <n v="0.9"/>
    <x v="1"/>
    <n v="13500"/>
    <n v="0"/>
    <n v="13500"/>
    <n v="78000"/>
    <n v="91500"/>
    <x v="3"/>
    <x v="0"/>
    <x v="1"/>
    <n v="2"/>
    <x v="0"/>
  </r>
  <r>
    <x v="455"/>
    <x v="455"/>
    <s v="Hana Syahputra"/>
    <x v="20"/>
    <x v="17"/>
    <n v="12000"/>
    <n v="1.1000000000000001"/>
    <x v="1"/>
    <n v="13200.000000000002"/>
    <n v="0"/>
    <n v="13200.000000000002"/>
    <n v="84000"/>
    <n v="97200"/>
    <x v="0"/>
    <x v="0"/>
    <x v="2"/>
    <n v="5"/>
    <x v="0"/>
  </r>
  <r>
    <x v="456"/>
    <x v="456"/>
    <s v="Citra Hidayat"/>
    <x v="21"/>
    <x v="14"/>
    <n v="55000"/>
    <n v="0.4"/>
    <x v="1"/>
    <n v="22000"/>
    <n v="0"/>
    <n v="22000"/>
    <n v="59000"/>
    <n v="81000"/>
    <x v="3"/>
    <x v="0"/>
    <x v="0"/>
    <n v="1"/>
    <x v="0"/>
  </r>
  <r>
    <x v="457"/>
    <x v="457"/>
    <s v="Eka Ananda"/>
    <x v="20"/>
    <x v="7"/>
    <n v="14000"/>
    <n v="0.8"/>
    <x v="1"/>
    <n v="11200"/>
    <n v="0"/>
    <n v="11200"/>
    <n v="84000"/>
    <n v="95200"/>
    <x v="1"/>
    <x v="0"/>
    <x v="4"/>
    <n v="4"/>
    <x v="0"/>
  </r>
  <r>
    <x v="458"/>
    <x v="458"/>
    <s v="Dewi Pradipta"/>
    <x v="14"/>
    <x v="1"/>
    <n v="15000"/>
    <n v="0.3"/>
    <x v="1"/>
    <n v="4500"/>
    <n v="0"/>
    <n v="4500"/>
    <n v="85000"/>
    <n v="89500"/>
    <x v="2"/>
    <x v="0"/>
    <x v="3"/>
    <n v="1"/>
    <x v="0"/>
  </r>
  <r>
    <x v="458"/>
    <x v="458"/>
    <s v="Dewi Pradipta"/>
    <x v="14"/>
    <x v="0"/>
    <n v="10000"/>
    <n v="1.1000000000000001"/>
    <x v="1"/>
    <n v="11000"/>
    <n v="0"/>
    <n v="11000"/>
    <n v="0"/>
    <n v="11000"/>
    <x v="2"/>
    <x v="0"/>
    <x v="3"/>
    <n v="1"/>
    <x v="0"/>
  </r>
  <r>
    <x v="459"/>
    <x v="459"/>
    <s v="Iwan Rahmawati"/>
    <x v="18"/>
    <x v="0"/>
    <n v="10000"/>
    <n v="1.8"/>
    <x v="1"/>
    <n v="18000"/>
    <n v="0"/>
    <n v="18000"/>
    <n v="0"/>
    <n v="18000"/>
    <x v="2"/>
    <x v="0"/>
    <x v="3"/>
    <n v="1"/>
    <x v="1"/>
  </r>
  <r>
    <x v="460"/>
    <x v="460"/>
    <s v="Yani Santoso"/>
    <x v="14"/>
    <x v="2"/>
    <n v="20000"/>
    <n v="2"/>
    <x v="1"/>
    <n v="40000"/>
    <n v="0"/>
    <n v="40000"/>
    <n v="85000"/>
    <n v="125000"/>
    <x v="3"/>
    <x v="1"/>
    <x v="2"/>
    <n v="5"/>
    <x v="0"/>
  </r>
  <r>
    <x v="461"/>
    <x v="461"/>
    <s v="Qori Santoso"/>
    <x v="0"/>
    <x v="17"/>
    <n v="12000"/>
    <n v="1"/>
    <x v="1"/>
    <n v="12000"/>
    <n v="0"/>
    <n v="12000"/>
    <n v="15000"/>
    <n v="27000"/>
    <x v="3"/>
    <x v="0"/>
    <x v="4"/>
    <n v="1"/>
    <x v="0"/>
  </r>
  <r>
    <x v="462"/>
    <x v="462"/>
    <s v="Aulia Iskandar"/>
    <x v="11"/>
    <x v="10"/>
    <n v="45000"/>
    <n v="0.9"/>
    <x v="1"/>
    <n v="40500"/>
    <n v="0"/>
    <n v="40500"/>
    <n v="74000"/>
    <n v="114500"/>
    <x v="0"/>
    <x v="1"/>
    <x v="4"/>
    <n v="5"/>
    <x v="0"/>
  </r>
  <r>
    <x v="462"/>
    <x v="462"/>
    <s v="Aulia Iskandar"/>
    <x v="11"/>
    <x v="14"/>
    <n v="55000"/>
    <n v="0.6"/>
    <x v="1"/>
    <n v="33000"/>
    <n v="0"/>
    <n v="33000"/>
    <n v="0"/>
    <n v="33000"/>
    <x v="0"/>
    <x v="1"/>
    <x v="4"/>
    <n v="5"/>
    <x v="0"/>
  </r>
  <r>
    <x v="463"/>
    <x v="463"/>
    <s v="Indra Halim"/>
    <x v="7"/>
    <x v="9"/>
    <n v="46000"/>
    <n v="1"/>
    <x v="1"/>
    <n v="46000"/>
    <n v="0"/>
    <n v="46000"/>
    <n v="26000"/>
    <n v="72000"/>
    <x v="0"/>
    <x v="1"/>
    <x v="0"/>
    <n v="4"/>
    <x v="1"/>
  </r>
  <r>
    <x v="464"/>
    <x v="464"/>
    <s v="Qori Utami"/>
    <x v="30"/>
    <x v="12"/>
    <n v="9500"/>
    <n v="1.9"/>
    <x v="1"/>
    <n v="18050"/>
    <n v="0"/>
    <n v="18050"/>
    <n v="57000"/>
    <n v="75050"/>
    <x v="3"/>
    <x v="0"/>
    <x v="3"/>
    <n v="1"/>
    <x v="0"/>
  </r>
  <r>
    <x v="465"/>
    <x v="465"/>
    <s v="Putri Setiawan"/>
    <x v="21"/>
    <x v="15"/>
    <n v="10000"/>
    <n v="1.1000000000000001"/>
    <x v="1"/>
    <n v="11000"/>
    <n v="0"/>
    <n v="11000"/>
    <n v="59000"/>
    <n v="70000"/>
    <x v="3"/>
    <x v="0"/>
    <x v="0"/>
    <n v="4"/>
    <x v="0"/>
  </r>
  <r>
    <x v="466"/>
    <x v="466"/>
    <s v="Indra Setiawan"/>
    <x v="28"/>
    <x v="7"/>
    <n v="14000"/>
    <n v="1.5"/>
    <x v="1"/>
    <n v="21000"/>
    <n v="0"/>
    <n v="21000"/>
    <n v="56000"/>
    <n v="77000"/>
    <x v="2"/>
    <x v="0"/>
    <x v="1"/>
    <n v="5"/>
    <x v="1"/>
  </r>
  <r>
    <x v="467"/>
    <x v="467"/>
    <s v="Iwan Budiman"/>
    <x v="2"/>
    <x v="16"/>
    <n v="115000"/>
    <n v="0.6"/>
    <x v="1"/>
    <n v="69000"/>
    <n v="0"/>
    <n v="69000"/>
    <n v="76000"/>
    <n v="145000"/>
    <x v="0"/>
    <x v="1"/>
    <x v="2"/>
    <n v="2"/>
    <x v="1"/>
  </r>
  <r>
    <x v="468"/>
    <x v="468"/>
    <s v="Dimas Halim"/>
    <x v="22"/>
    <x v="1"/>
    <n v="15000"/>
    <n v="0.6"/>
    <x v="1"/>
    <n v="9000"/>
    <n v="0"/>
    <n v="9000"/>
    <n v="50000"/>
    <n v="59000"/>
    <x v="0"/>
    <x v="0"/>
    <x v="0"/>
    <n v="2"/>
    <x v="1"/>
  </r>
  <r>
    <x v="469"/>
    <x v="469"/>
    <s v="Gita Utami"/>
    <x v="34"/>
    <x v="4"/>
    <n v="40000"/>
    <n v="0.3"/>
    <x v="1"/>
    <n v="12000"/>
    <n v="0"/>
    <n v="12000"/>
    <n v="18000"/>
    <n v="30000"/>
    <x v="3"/>
    <x v="1"/>
    <x v="3"/>
    <n v="3"/>
    <x v="0"/>
  </r>
  <r>
    <x v="470"/>
    <x v="470"/>
    <s v="Arif Fauziah"/>
    <x v="6"/>
    <x v="15"/>
    <n v="10000"/>
    <n v="1.1000000000000001"/>
    <x v="1"/>
    <n v="11000"/>
    <n v="0"/>
    <n v="11000"/>
    <n v="80000"/>
    <n v="91000"/>
    <x v="2"/>
    <x v="0"/>
    <x v="2"/>
    <n v="5"/>
    <x v="1"/>
  </r>
  <r>
    <x v="471"/>
    <x v="471"/>
    <s v="Dina Nugroho"/>
    <x v="15"/>
    <x v="11"/>
    <n v="15000"/>
    <n v="1.3"/>
    <x v="0"/>
    <n v="19500"/>
    <n v="975"/>
    <n v="18525"/>
    <n v="97000"/>
    <n v="115525"/>
    <x v="0"/>
    <x v="2"/>
    <x v="3"/>
    <n v="3"/>
    <x v="0"/>
  </r>
  <r>
    <x v="472"/>
    <x v="472"/>
    <s v="Citra Iskandar"/>
    <x v="22"/>
    <x v="10"/>
    <n v="45000"/>
    <n v="0.3"/>
    <x v="0"/>
    <n v="13500"/>
    <n v="675"/>
    <n v="12825"/>
    <n v="50000"/>
    <n v="62825"/>
    <x v="2"/>
    <x v="1"/>
    <x v="4"/>
    <n v="5"/>
    <x v="0"/>
  </r>
  <r>
    <x v="473"/>
    <x v="473"/>
    <s v="Aulia Rahmawati"/>
    <x v="10"/>
    <x v="12"/>
    <n v="9500"/>
    <n v="1.4"/>
    <x v="0"/>
    <n v="13300"/>
    <n v="665"/>
    <n v="12635"/>
    <n v="87000"/>
    <n v="99635"/>
    <x v="1"/>
    <x v="0"/>
    <x v="1"/>
    <n v="3"/>
    <x v="0"/>
  </r>
  <r>
    <x v="474"/>
    <x v="474"/>
    <s v="Dewi Utami"/>
    <x v="18"/>
    <x v="3"/>
    <n v="13500"/>
    <n v="1"/>
    <x v="1"/>
    <n v="13500"/>
    <n v="0"/>
    <n v="13500"/>
    <n v="0"/>
    <n v="13500"/>
    <x v="3"/>
    <x v="0"/>
    <x v="2"/>
    <n v="1"/>
    <x v="0"/>
  </r>
  <r>
    <x v="475"/>
    <x v="475"/>
    <s v="Eka Syahputra"/>
    <x v="15"/>
    <x v="0"/>
    <n v="10000"/>
    <n v="1.9"/>
    <x v="1"/>
    <n v="19000"/>
    <n v="0"/>
    <n v="19000"/>
    <n v="97000"/>
    <n v="116000"/>
    <x v="2"/>
    <x v="0"/>
    <x v="1"/>
    <n v="2"/>
    <x v="0"/>
  </r>
  <r>
    <x v="476"/>
    <x v="476"/>
    <s v="Yani Santoso"/>
    <x v="14"/>
    <x v="4"/>
    <n v="40000"/>
    <n v="0.8"/>
    <x v="1"/>
    <n v="32000"/>
    <n v="0"/>
    <n v="32000"/>
    <n v="85000"/>
    <n v="117000"/>
    <x v="3"/>
    <x v="0"/>
    <x v="0"/>
    <n v="2"/>
    <x v="0"/>
  </r>
  <r>
    <x v="477"/>
    <x v="477"/>
    <s v="Dina Hidayat"/>
    <x v="13"/>
    <x v="10"/>
    <n v="45000"/>
    <n v="0.4"/>
    <x v="1"/>
    <n v="18000"/>
    <n v="0"/>
    <n v="18000"/>
    <n v="49000"/>
    <n v="67000"/>
    <x v="0"/>
    <x v="1"/>
    <x v="1"/>
    <n v="4"/>
    <x v="0"/>
  </r>
  <r>
    <x v="478"/>
    <x v="478"/>
    <s v="Citra Kurniawan"/>
    <x v="21"/>
    <x v="1"/>
    <n v="15000"/>
    <n v="0.9"/>
    <x v="1"/>
    <n v="13500"/>
    <n v="0"/>
    <n v="13500"/>
    <n v="59000"/>
    <n v="72500"/>
    <x v="3"/>
    <x v="0"/>
    <x v="2"/>
    <n v="1"/>
    <x v="0"/>
  </r>
  <r>
    <x v="479"/>
    <x v="479"/>
    <s v="Tono Ananda"/>
    <x v="8"/>
    <x v="15"/>
    <n v="10000"/>
    <n v="1.2"/>
    <x v="1"/>
    <n v="12000"/>
    <n v="0"/>
    <n v="12000"/>
    <n v="59000"/>
    <n v="71000"/>
    <x v="3"/>
    <x v="0"/>
    <x v="2"/>
    <n v="5"/>
    <x v="1"/>
  </r>
  <r>
    <x v="480"/>
    <x v="480"/>
    <s v="Gita Iskandar"/>
    <x v="23"/>
    <x v="4"/>
    <n v="40000"/>
    <n v="0.8"/>
    <x v="1"/>
    <n v="32000"/>
    <n v="0"/>
    <n v="32000"/>
    <n v="55000"/>
    <n v="87000"/>
    <x v="0"/>
    <x v="0"/>
    <x v="2"/>
    <n v="5"/>
    <x v="0"/>
  </r>
  <r>
    <x v="481"/>
    <x v="481"/>
    <s v="Hendra Ramadhani"/>
    <x v="12"/>
    <x v="1"/>
    <n v="15000"/>
    <n v="1.4"/>
    <x v="1"/>
    <n v="21000"/>
    <n v="0"/>
    <n v="21000"/>
    <n v="30000"/>
    <n v="51000"/>
    <x v="1"/>
    <x v="0"/>
    <x v="1"/>
    <n v="3"/>
    <x v="1"/>
  </r>
  <r>
    <x v="482"/>
    <x v="482"/>
    <s v="Sari Saputra"/>
    <x v="33"/>
    <x v="8"/>
    <n v="17500"/>
    <n v="2.2999999999999998"/>
    <x v="1"/>
    <n v="40250"/>
    <n v="0"/>
    <n v="40250"/>
    <n v="80000"/>
    <n v="120250"/>
    <x v="0"/>
    <x v="1"/>
    <x v="2"/>
    <n v="2"/>
    <x v="0"/>
  </r>
  <r>
    <x v="483"/>
    <x v="483"/>
    <s v="Erna Santoso"/>
    <x v="4"/>
    <x v="12"/>
    <n v="9500"/>
    <n v="1.8"/>
    <x v="1"/>
    <n v="17100"/>
    <n v="0"/>
    <n v="17100"/>
    <n v="43000"/>
    <n v="60100"/>
    <x v="3"/>
    <x v="0"/>
    <x v="4"/>
    <n v="4"/>
    <x v="0"/>
  </r>
  <r>
    <x v="484"/>
    <x v="484"/>
    <s v="Bella Nugroho"/>
    <x v="23"/>
    <x v="8"/>
    <n v="17500"/>
    <n v="1.2"/>
    <x v="1"/>
    <n v="21000"/>
    <n v="0"/>
    <n v="21000"/>
    <n v="55000"/>
    <n v="76000"/>
    <x v="2"/>
    <x v="0"/>
    <x v="4"/>
    <n v="5"/>
    <x v="0"/>
  </r>
  <r>
    <x v="485"/>
    <x v="485"/>
    <s v="Budi Fauziah"/>
    <x v="3"/>
    <x v="1"/>
    <n v="15000"/>
    <n v="1"/>
    <x v="1"/>
    <n v="15000"/>
    <n v="0"/>
    <n v="15000"/>
    <n v="93000"/>
    <n v="108000"/>
    <x v="3"/>
    <x v="0"/>
    <x v="1"/>
    <n v="1"/>
    <x v="1"/>
  </r>
  <r>
    <x v="485"/>
    <x v="485"/>
    <s v="Budi Fauziah"/>
    <x v="3"/>
    <x v="17"/>
    <n v="12000"/>
    <n v="0.8"/>
    <x v="1"/>
    <n v="9600"/>
    <n v="0"/>
    <n v="9600"/>
    <n v="0"/>
    <n v="9600"/>
    <x v="3"/>
    <x v="0"/>
    <x v="1"/>
    <n v="1"/>
    <x v="1"/>
  </r>
  <r>
    <x v="486"/>
    <x v="486"/>
    <s v="Aulia Utami"/>
    <x v="19"/>
    <x v="1"/>
    <n v="15000"/>
    <n v="0.4"/>
    <x v="1"/>
    <n v="6000"/>
    <n v="0"/>
    <n v="6000"/>
    <n v="78000"/>
    <n v="84000"/>
    <x v="2"/>
    <x v="0"/>
    <x v="2"/>
    <n v="4"/>
    <x v="0"/>
  </r>
  <r>
    <x v="487"/>
    <x v="487"/>
    <s v="Dewi Ananda"/>
    <x v="22"/>
    <x v="6"/>
    <n v="26000"/>
    <n v="0.6"/>
    <x v="1"/>
    <n v="15600"/>
    <n v="0"/>
    <n v="15600"/>
    <n v="50000"/>
    <n v="65600"/>
    <x v="2"/>
    <x v="0"/>
    <x v="2"/>
    <n v="2"/>
    <x v="0"/>
  </r>
  <r>
    <x v="488"/>
    <x v="488"/>
    <s v="Citra Maulana"/>
    <x v="17"/>
    <x v="10"/>
    <n v="45000"/>
    <n v="0.6"/>
    <x v="1"/>
    <n v="27000"/>
    <n v="0"/>
    <n v="27000"/>
    <n v="72000"/>
    <n v="99000"/>
    <x v="0"/>
    <x v="0"/>
    <x v="2"/>
    <n v="2"/>
    <x v="0"/>
  </r>
  <r>
    <x v="489"/>
    <x v="489"/>
    <s v="Ani Ramadhani"/>
    <x v="25"/>
    <x v="17"/>
    <n v="12000"/>
    <n v="0.9"/>
    <x v="1"/>
    <n v="10800"/>
    <n v="0"/>
    <n v="10800"/>
    <n v="50000"/>
    <n v="60800"/>
    <x v="1"/>
    <x v="0"/>
    <x v="3"/>
    <n v="5"/>
    <x v="0"/>
  </r>
  <r>
    <x v="490"/>
    <x v="490"/>
    <s v="Zahra Santoso"/>
    <x v="9"/>
    <x v="5"/>
    <n v="10500"/>
    <n v="1.8"/>
    <x v="1"/>
    <n v="18900"/>
    <n v="0"/>
    <n v="18900"/>
    <n v="89000"/>
    <n v="107900"/>
    <x v="0"/>
    <x v="0"/>
    <x v="1"/>
    <n v="2"/>
    <x v="0"/>
  </r>
  <r>
    <x v="491"/>
    <x v="491"/>
    <s v="Wahyu Hidayat"/>
    <x v="0"/>
    <x v="10"/>
    <n v="45000"/>
    <n v="0.7"/>
    <x v="1"/>
    <n v="31499.999999999996"/>
    <n v="0"/>
    <n v="31499.999999999996"/>
    <n v="15000"/>
    <n v="46500"/>
    <x v="3"/>
    <x v="0"/>
    <x v="0"/>
    <n v="5"/>
    <x v="1"/>
  </r>
  <r>
    <x v="492"/>
    <x v="492"/>
    <s v="Erna Maulana"/>
    <x v="31"/>
    <x v="3"/>
    <n v="13500"/>
    <n v="1.6"/>
    <x v="1"/>
    <n v="21600"/>
    <n v="0"/>
    <n v="21600"/>
    <n v="87000"/>
    <n v="108600"/>
    <x v="0"/>
    <x v="0"/>
    <x v="2"/>
    <n v="3"/>
    <x v="0"/>
  </r>
  <r>
    <x v="493"/>
    <x v="493"/>
    <s v="Fitri Halim"/>
    <x v="6"/>
    <x v="17"/>
    <n v="12000"/>
    <n v="0.7"/>
    <x v="1"/>
    <n v="8400"/>
    <n v="0"/>
    <n v="8400"/>
    <n v="80000"/>
    <n v="88400"/>
    <x v="1"/>
    <x v="0"/>
    <x v="0"/>
    <n v="4"/>
    <x v="0"/>
  </r>
  <r>
    <x v="494"/>
    <x v="494"/>
    <s v="Eka Syahputra"/>
    <x v="15"/>
    <x v="3"/>
    <n v="13500"/>
    <n v="1.3"/>
    <x v="1"/>
    <n v="17550"/>
    <n v="0"/>
    <n v="17550"/>
    <n v="97000"/>
    <n v="114550"/>
    <x v="3"/>
    <x v="0"/>
    <x v="4"/>
    <n v="3"/>
    <x v="0"/>
  </r>
  <r>
    <x v="495"/>
    <x v="495"/>
    <s v="Clara Iskandar"/>
    <x v="34"/>
    <x v="18"/>
    <n v="11000"/>
    <n v="2"/>
    <x v="1"/>
    <n v="22000"/>
    <n v="0"/>
    <n v="22000"/>
    <n v="18000"/>
    <n v="40000"/>
    <x v="0"/>
    <x v="1"/>
    <x v="3"/>
    <n v="4"/>
    <x v="0"/>
  </r>
  <r>
    <x v="496"/>
    <x v="496"/>
    <s v="Bella Utami"/>
    <x v="24"/>
    <x v="9"/>
    <n v="46000"/>
    <n v="0.4"/>
    <x v="1"/>
    <n v="18400"/>
    <n v="0"/>
    <n v="18400"/>
    <n v="68000"/>
    <n v="86400"/>
    <x v="3"/>
    <x v="2"/>
    <x v="3"/>
    <n v="5"/>
    <x v="0"/>
  </r>
  <r>
    <x v="497"/>
    <x v="497"/>
    <s v="Sari Pradipta"/>
    <x v="5"/>
    <x v="4"/>
    <n v="40000"/>
    <n v="1.1000000000000001"/>
    <x v="1"/>
    <n v="44000"/>
    <n v="0"/>
    <n v="44000"/>
    <n v="18000"/>
    <n v="62000"/>
    <x v="0"/>
    <x v="0"/>
    <x v="1"/>
    <n v="1"/>
    <x v="0"/>
  </r>
  <r>
    <x v="498"/>
    <x v="498"/>
    <s v="Putri Syahputra"/>
    <x v="26"/>
    <x v="5"/>
    <n v="10500"/>
    <n v="1.7"/>
    <x v="1"/>
    <n v="17850"/>
    <n v="0"/>
    <n v="17850"/>
    <n v="46000"/>
    <n v="63850"/>
    <x v="0"/>
    <x v="0"/>
    <x v="3"/>
    <n v="2"/>
    <x v="0"/>
  </r>
  <r>
    <x v="499"/>
    <x v="499"/>
    <s v="Fitri Saputra"/>
    <x v="15"/>
    <x v="15"/>
    <n v="10000"/>
    <n v="0.3"/>
    <x v="1"/>
    <n v="3000"/>
    <n v="0"/>
    <n v="3000"/>
    <n v="97000"/>
    <n v="100000"/>
    <x v="3"/>
    <x v="1"/>
    <x v="0"/>
    <n v="2"/>
    <x v="0"/>
  </r>
  <r>
    <x v="500"/>
    <x v="500"/>
    <s v="Ani Fauziah"/>
    <x v="15"/>
    <x v="3"/>
    <n v="13500"/>
    <n v="1.1000000000000001"/>
    <x v="1"/>
    <n v="14850.000000000002"/>
    <n v="0"/>
    <n v="14850.000000000002"/>
    <n v="97000"/>
    <n v="111850"/>
    <x v="2"/>
    <x v="0"/>
    <x v="1"/>
    <n v="3"/>
    <x v="0"/>
  </r>
  <r>
    <x v="501"/>
    <x v="501"/>
    <s v="Aulia Rahmawati"/>
    <x v="10"/>
    <x v="5"/>
    <n v="10500"/>
    <n v="1.8"/>
    <x v="1"/>
    <n v="18900"/>
    <n v="0"/>
    <n v="18900"/>
    <n v="87000"/>
    <n v="105900"/>
    <x v="0"/>
    <x v="0"/>
    <x v="1"/>
    <n v="4"/>
    <x v="0"/>
  </r>
  <r>
    <x v="502"/>
    <x v="502"/>
    <s v="Bella Budiman"/>
    <x v="1"/>
    <x v="0"/>
    <n v="10000"/>
    <n v="1.6"/>
    <x v="1"/>
    <n v="16000"/>
    <n v="0"/>
    <n v="16000"/>
    <n v="17000"/>
    <n v="33000"/>
    <x v="0"/>
    <x v="0"/>
    <x v="4"/>
    <n v="2"/>
    <x v="0"/>
  </r>
  <r>
    <x v="503"/>
    <x v="503"/>
    <s v="Kartika Ananda"/>
    <x v="13"/>
    <x v="4"/>
    <n v="40000"/>
    <n v="0.5"/>
    <x v="1"/>
    <n v="20000"/>
    <n v="0"/>
    <n v="20000"/>
    <n v="49000"/>
    <n v="69000"/>
    <x v="2"/>
    <x v="0"/>
    <x v="1"/>
    <n v="3"/>
    <x v="0"/>
  </r>
  <r>
    <x v="503"/>
    <x v="503"/>
    <s v="Kartika Ananda"/>
    <x v="13"/>
    <x v="1"/>
    <n v="15000"/>
    <n v="0.5"/>
    <x v="1"/>
    <n v="7500"/>
    <n v="0"/>
    <n v="7500"/>
    <n v="0"/>
    <n v="7500"/>
    <x v="2"/>
    <x v="0"/>
    <x v="1"/>
    <n v="3"/>
    <x v="0"/>
  </r>
  <r>
    <x v="504"/>
    <x v="504"/>
    <s v="Galih Puspita"/>
    <x v="3"/>
    <x v="7"/>
    <n v="14000"/>
    <n v="0.9"/>
    <x v="0"/>
    <n v="12600"/>
    <n v="630"/>
    <n v="11970"/>
    <n v="93000"/>
    <n v="104970"/>
    <x v="3"/>
    <x v="0"/>
    <x v="1"/>
    <n v="1"/>
    <x v="1"/>
  </r>
  <r>
    <x v="504"/>
    <x v="504"/>
    <s v="Galih Puspita"/>
    <x v="3"/>
    <x v="13"/>
    <n v="10000"/>
    <n v="1.1000000000000001"/>
    <x v="0"/>
    <n v="11000"/>
    <n v="550"/>
    <n v="10450"/>
    <n v="0"/>
    <n v="10450"/>
    <x v="3"/>
    <x v="0"/>
    <x v="1"/>
    <n v="1"/>
    <x v="1"/>
  </r>
  <r>
    <x v="505"/>
    <x v="505"/>
    <s v="Clara Utami"/>
    <x v="34"/>
    <x v="10"/>
    <n v="45000"/>
    <n v="2.2000000000000002"/>
    <x v="0"/>
    <n v="99000.000000000015"/>
    <n v="4950.0000000000009"/>
    <n v="94050.000000000015"/>
    <n v="18000"/>
    <n v="112050.00000000001"/>
    <x v="3"/>
    <x v="0"/>
    <x v="1"/>
    <n v="2"/>
    <x v="0"/>
  </r>
  <r>
    <x v="506"/>
    <x v="506"/>
    <s v="Yani Puspita"/>
    <x v="1"/>
    <x v="18"/>
    <n v="11000"/>
    <n v="1.8"/>
    <x v="0"/>
    <n v="19800"/>
    <n v="990"/>
    <n v="18810"/>
    <n v="17000"/>
    <n v="35810"/>
    <x v="0"/>
    <x v="0"/>
    <x v="0"/>
    <n v="5"/>
    <x v="0"/>
  </r>
  <r>
    <x v="507"/>
    <x v="507"/>
    <s v="Ani Hidayat"/>
    <x v="4"/>
    <x v="4"/>
    <n v="40000"/>
    <n v="1.4"/>
    <x v="0"/>
    <n v="56000"/>
    <n v="2800"/>
    <n v="53200"/>
    <n v="43000"/>
    <n v="96200"/>
    <x v="1"/>
    <x v="2"/>
    <x v="3"/>
    <n v="2"/>
    <x v="0"/>
  </r>
  <r>
    <x v="508"/>
    <x v="508"/>
    <s v="Nanda Iskandar"/>
    <x v="14"/>
    <x v="16"/>
    <n v="115000"/>
    <n v="0.9"/>
    <x v="0"/>
    <n v="103500"/>
    <n v="5175"/>
    <n v="98325"/>
    <n v="85000"/>
    <n v="183325"/>
    <x v="0"/>
    <x v="0"/>
    <x v="2"/>
    <n v="5"/>
    <x v="1"/>
  </r>
  <r>
    <x v="509"/>
    <x v="509"/>
    <s v="Kartika Fauziah"/>
    <x v="28"/>
    <x v="1"/>
    <n v="15000"/>
    <n v="0.7"/>
    <x v="0"/>
    <n v="10500"/>
    <n v="525"/>
    <n v="9975"/>
    <n v="56000"/>
    <n v="65975"/>
    <x v="1"/>
    <x v="0"/>
    <x v="4"/>
    <n v="3"/>
    <x v="0"/>
  </r>
  <r>
    <x v="510"/>
    <x v="510"/>
    <s v="Eka Halim"/>
    <x v="3"/>
    <x v="12"/>
    <n v="9500"/>
    <n v="2.2999999999999998"/>
    <x v="0"/>
    <n v="21850"/>
    <n v="1092.5"/>
    <n v="20757.5"/>
    <n v="93000"/>
    <n v="113757.5"/>
    <x v="2"/>
    <x v="0"/>
    <x v="3"/>
    <n v="1"/>
    <x v="0"/>
  </r>
  <r>
    <x v="511"/>
    <x v="511"/>
    <s v="Made Kusuma"/>
    <x v="20"/>
    <x v="2"/>
    <n v="20000"/>
    <n v="1.3"/>
    <x v="0"/>
    <n v="26000"/>
    <n v="1300"/>
    <n v="24700"/>
    <n v="84000"/>
    <n v="108700"/>
    <x v="2"/>
    <x v="0"/>
    <x v="3"/>
    <n v="1"/>
    <x v="1"/>
  </r>
  <r>
    <x v="512"/>
    <x v="512"/>
    <s v="Yani Saputra"/>
    <x v="12"/>
    <x v="12"/>
    <n v="9500"/>
    <n v="1"/>
    <x v="0"/>
    <n v="9500"/>
    <n v="475"/>
    <n v="9025"/>
    <n v="30000"/>
    <n v="39025"/>
    <x v="3"/>
    <x v="0"/>
    <x v="4"/>
    <n v="3"/>
    <x v="0"/>
  </r>
  <r>
    <x v="513"/>
    <x v="513"/>
    <s v="Hendra Wijaya"/>
    <x v="0"/>
    <x v="19"/>
    <n v="15500"/>
    <n v="0.3"/>
    <x v="0"/>
    <n v="4650"/>
    <n v="232.5"/>
    <n v="4417.5"/>
    <n v="15000"/>
    <n v="19417.5"/>
    <x v="0"/>
    <x v="0"/>
    <x v="4"/>
    <n v="1"/>
    <x v="1"/>
  </r>
  <r>
    <x v="514"/>
    <x v="514"/>
    <s v="Bella Rahmawati"/>
    <x v="8"/>
    <x v="18"/>
    <n v="11000"/>
    <n v="0.7"/>
    <x v="0"/>
    <n v="7699.9999999999991"/>
    <n v="385"/>
    <n v="7314.9999999999991"/>
    <n v="59000"/>
    <n v="66315"/>
    <x v="0"/>
    <x v="1"/>
    <x v="1"/>
    <n v="4"/>
    <x v="0"/>
  </r>
  <r>
    <x v="515"/>
    <x v="515"/>
    <s v="Dimas Puspita"/>
    <x v="34"/>
    <x v="19"/>
    <n v="15500"/>
    <n v="0.3"/>
    <x v="0"/>
    <n v="4650"/>
    <n v="232.5"/>
    <n v="4417.5"/>
    <n v="18000"/>
    <n v="22417.5"/>
    <x v="1"/>
    <x v="2"/>
    <x v="3"/>
    <n v="2"/>
    <x v="1"/>
  </r>
  <r>
    <x v="516"/>
    <x v="516"/>
    <s v="Ani Ramadhani"/>
    <x v="25"/>
    <x v="5"/>
    <n v="10500"/>
    <n v="2.9"/>
    <x v="0"/>
    <n v="30450"/>
    <n v="1522.5"/>
    <n v="28927.5"/>
    <n v="50000"/>
    <n v="78927.5"/>
    <x v="0"/>
    <x v="0"/>
    <x v="3"/>
    <n v="5"/>
    <x v="0"/>
  </r>
  <r>
    <x v="517"/>
    <x v="517"/>
    <s v="Sari Budiman"/>
    <x v="31"/>
    <x v="4"/>
    <n v="40000"/>
    <n v="0.3"/>
    <x v="0"/>
    <n v="12000"/>
    <n v="600"/>
    <n v="11400"/>
    <n v="87000"/>
    <n v="98400"/>
    <x v="1"/>
    <x v="0"/>
    <x v="4"/>
    <n v="2"/>
    <x v="0"/>
  </r>
  <r>
    <x v="518"/>
    <x v="518"/>
    <s v="Qori Hidayat"/>
    <x v="1"/>
    <x v="17"/>
    <n v="12000"/>
    <n v="0.8"/>
    <x v="0"/>
    <n v="9600"/>
    <n v="480"/>
    <n v="9120"/>
    <n v="17000"/>
    <n v="26120"/>
    <x v="1"/>
    <x v="1"/>
    <x v="4"/>
    <n v="2"/>
    <x v="0"/>
  </r>
  <r>
    <x v="519"/>
    <x v="519"/>
    <s v="Erna Wijaya"/>
    <x v="32"/>
    <x v="15"/>
    <n v="10000"/>
    <n v="0.2"/>
    <x v="0"/>
    <n v="2000"/>
    <n v="100"/>
    <n v="1900"/>
    <n v="28000"/>
    <n v="29900"/>
    <x v="2"/>
    <x v="0"/>
    <x v="1"/>
    <n v="1"/>
    <x v="0"/>
  </r>
  <r>
    <x v="520"/>
    <x v="520"/>
    <s v="Yani Santoso"/>
    <x v="14"/>
    <x v="19"/>
    <n v="15500"/>
    <n v="0.4"/>
    <x v="0"/>
    <n v="6200"/>
    <n v="310"/>
    <n v="5890"/>
    <n v="85000"/>
    <n v="90890"/>
    <x v="3"/>
    <x v="1"/>
    <x v="1"/>
    <n v="4"/>
    <x v="0"/>
  </r>
  <r>
    <x v="521"/>
    <x v="521"/>
    <s v="Yoga Wijaya"/>
    <x v="35"/>
    <x v="4"/>
    <n v="40000"/>
    <n v="1.3"/>
    <x v="0"/>
    <n v="52000"/>
    <n v="2600"/>
    <n v="49400"/>
    <n v="79000"/>
    <n v="128400"/>
    <x v="1"/>
    <x v="1"/>
    <x v="2"/>
    <n v="4"/>
    <x v="1"/>
  </r>
  <r>
    <x v="522"/>
    <x v="522"/>
    <s v="Galih Iskandar"/>
    <x v="27"/>
    <x v="6"/>
    <n v="26000"/>
    <n v="1.1000000000000001"/>
    <x v="0"/>
    <n v="28600.000000000004"/>
    <n v="1430.0000000000002"/>
    <n v="27170.000000000004"/>
    <n v="49000"/>
    <n v="76170"/>
    <x v="1"/>
    <x v="0"/>
    <x v="0"/>
    <n v="4"/>
    <x v="1"/>
  </r>
  <r>
    <x v="523"/>
    <x v="523"/>
    <s v="Vina Hidayat"/>
    <x v="9"/>
    <x v="13"/>
    <n v="10000"/>
    <n v="0.9"/>
    <x v="0"/>
    <n v="9000"/>
    <n v="450"/>
    <n v="8550"/>
    <n v="89000"/>
    <n v="97550"/>
    <x v="1"/>
    <x v="0"/>
    <x v="0"/>
    <n v="1"/>
    <x v="0"/>
  </r>
  <r>
    <x v="524"/>
    <x v="524"/>
    <s v="Nanda Utami"/>
    <x v="3"/>
    <x v="4"/>
    <n v="40000"/>
    <n v="1.3"/>
    <x v="0"/>
    <n v="52000"/>
    <n v="2600"/>
    <n v="49400"/>
    <n v="93000"/>
    <n v="142400"/>
    <x v="0"/>
    <x v="0"/>
    <x v="3"/>
    <n v="1"/>
    <x v="1"/>
  </r>
  <r>
    <x v="525"/>
    <x v="525"/>
    <s v="Clara Iskandar"/>
    <x v="34"/>
    <x v="4"/>
    <n v="40000"/>
    <n v="0.5"/>
    <x v="0"/>
    <n v="20000"/>
    <n v="1000"/>
    <n v="19000"/>
    <n v="18000"/>
    <n v="37000"/>
    <x v="2"/>
    <x v="0"/>
    <x v="0"/>
    <n v="3"/>
    <x v="0"/>
  </r>
  <r>
    <x v="526"/>
    <x v="526"/>
    <s v="Dewi Ramadhani"/>
    <x v="19"/>
    <x v="15"/>
    <n v="10000"/>
    <n v="0.5"/>
    <x v="0"/>
    <n v="5000"/>
    <n v="250"/>
    <n v="4750"/>
    <n v="78000"/>
    <n v="82750"/>
    <x v="1"/>
    <x v="0"/>
    <x v="1"/>
    <n v="5"/>
    <x v="0"/>
  </r>
  <r>
    <x v="527"/>
    <x v="527"/>
    <s v="Qori Fauziah"/>
    <x v="11"/>
    <x v="11"/>
    <n v="15000"/>
    <n v="2.2999999999999998"/>
    <x v="0"/>
    <n v="34500"/>
    <n v="1725"/>
    <n v="32775"/>
    <n v="74000"/>
    <n v="106775"/>
    <x v="2"/>
    <x v="1"/>
    <x v="3"/>
    <n v="5"/>
    <x v="0"/>
  </r>
  <r>
    <x v="528"/>
    <x v="528"/>
    <s v="Eka Maulana"/>
    <x v="2"/>
    <x v="4"/>
    <n v="40000"/>
    <n v="1.6"/>
    <x v="0"/>
    <n v="64000"/>
    <n v="3200"/>
    <n v="60800"/>
    <n v="76000"/>
    <n v="136800"/>
    <x v="1"/>
    <x v="0"/>
    <x v="2"/>
    <n v="1"/>
    <x v="0"/>
  </r>
  <r>
    <x v="528"/>
    <x v="528"/>
    <s v="Eka Maulana"/>
    <x v="2"/>
    <x v="11"/>
    <n v="15000"/>
    <n v="1.7"/>
    <x v="0"/>
    <n v="25500"/>
    <n v="1275"/>
    <n v="24225"/>
    <n v="0"/>
    <n v="24225"/>
    <x v="1"/>
    <x v="0"/>
    <x v="2"/>
    <n v="1"/>
    <x v="0"/>
  </r>
  <r>
    <x v="529"/>
    <x v="529"/>
    <s v="Gita Puspita"/>
    <x v="37"/>
    <x v="9"/>
    <n v="46000"/>
    <n v="0.3"/>
    <x v="0"/>
    <n v="13800"/>
    <n v="690"/>
    <n v="13110"/>
    <n v="67000"/>
    <n v="80110"/>
    <x v="2"/>
    <x v="0"/>
    <x v="4"/>
    <n v="4"/>
    <x v="0"/>
  </r>
  <r>
    <x v="530"/>
    <x v="530"/>
    <s v="Dewi Budiman"/>
    <x v="36"/>
    <x v="8"/>
    <n v="17500"/>
    <n v="1.4"/>
    <x v="0"/>
    <n v="24500"/>
    <n v="1225"/>
    <n v="23275"/>
    <n v="21000"/>
    <n v="44275"/>
    <x v="2"/>
    <x v="0"/>
    <x v="3"/>
    <n v="5"/>
    <x v="0"/>
  </r>
  <r>
    <x v="531"/>
    <x v="531"/>
    <s v="Hana Wijaya"/>
    <x v="31"/>
    <x v="8"/>
    <n v="17500"/>
    <n v="3.5"/>
    <x v="0"/>
    <n v="61250"/>
    <n v="3062.5"/>
    <n v="58187.5"/>
    <n v="87000"/>
    <n v="145187.5"/>
    <x v="2"/>
    <x v="0"/>
    <x v="2"/>
    <n v="4"/>
    <x v="0"/>
  </r>
  <r>
    <x v="532"/>
    <x v="532"/>
    <s v="Gita Kusuma"/>
    <x v="13"/>
    <x v="1"/>
    <n v="15000"/>
    <n v="0.9"/>
    <x v="0"/>
    <n v="13500"/>
    <n v="675"/>
    <n v="12825"/>
    <n v="49000"/>
    <n v="61825"/>
    <x v="0"/>
    <x v="0"/>
    <x v="0"/>
    <n v="4"/>
    <x v="0"/>
  </r>
  <r>
    <x v="533"/>
    <x v="533"/>
    <s v="Aulia Syahputra"/>
    <x v="35"/>
    <x v="16"/>
    <n v="115000"/>
    <n v="0.7"/>
    <x v="1"/>
    <n v="80500"/>
    <n v="0"/>
    <n v="80500"/>
    <n v="79000"/>
    <n v="159500"/>
    <x v="3"/>
    <x v="0"/>
    <x v="1"/>
    <n v="2"/>
    <x v="0"/>
  </r>
  <r>
    <x v="534"/>
    <x v="534"/>
    <s v="Vina Maulana"/>
    <x v="0"/>
    <x v="5"/>
    <n v="10500"/>
    <n v="1.8"/>
    <x v="1"/>
    <n v="18900"/>
    <n v="0"/>
    <n v="18900"/>
    <n v="15000"/>
    <n v="33900"/>
    <x v="3"/>
    <x v="0"/>
    <x v="4"/>
    <n v="4"/>
    <x v="0"/>
  </r>
  <r>
    <x v="535"/>
    <x v="535"/>
    <s v="Fitri Ramadhani"/>
    <x v="11"/>
    <x v="2"/>
    <n v="20000"/>
    <n v="2.8"/>
    <x v="1"/>
    <n v="56000"/>
    <n v="0"/>
    <n v="56000"/>
    <n v="74000"/>
    <n v="130000"/>
    <x v="2"/>
    <x v="0"/>
    <x v="3"/>
    <n v="3"/>
    <x v="0"/>
  </r>
  <r>
    <x v="536"/>
    <x v="536"/>
    <s v="Tono Kurniawan"/>
    <x v="2"/>
    <x v="12"/>
    <n v="9500"/>
    <n v="2.2000000000000002"/>
    <x v="1"/>
    <n v="20900"/>
    <n v="0"/>
    <n v="20900"/>
    <n v="76000"/>
    <n v="96900"/>
    <x v="1"/>
    <x v="1"/>
    <x v="2"/>
    <n v="3"/>
    <x v="1"/>
  </r>
  <r>
    <x v="537"/>
    <x v="537"/>
    <s v="Hendra Syahputra"/>
    <x v="0"/>
    <x v="18"/>
    <n v="11000"/>
    <n v="0.7"/>
    <x v="1"/>
    <n v="7699.9999999999991"/>
    <n v="0"/>
    <n v="7699.9999999999991"/>
    <n v="15000"/>
    <n v="22700"/>
    <x v="2"/>
    <x v="0"/>
    <x v="1"/>
    <n v="1"/>
    <x v="1"/>
  </r>
  <r>
    <x v="538"/>
    <x v="538"/>
    <s v="Indra Halim"/>
    <x v="7"/>
    <x v="7"/>
    <n v="14000"/>
    <n v="1"/>
    <x v="1"/>
    <n v="14000"/>
    <n v="0"/>
    <n v="14000"/>
    <n v="26000"/>
    <n v="40000"/>
    <x v="1"/>
    <x v="0"/>
    <x v="1"/>
    <n v="5"/>
    <x v="1"/>
  </r>
  <r>
    <x v="539"/>
    <x v="539"/>
    <s v="Wahyu Hidayat"/>
    <x v="0"/>
    <x v="11"/>
    <n v="15000"/>
    <n v="1.1000000000000001"/>
    <x v="1"/>
    <n v="16500"/>
    <n v="0"/>
    <n v="16500"/>
    <n v="15000"/>
    <n v="31500"/>
    <x v="3"/>
    <x v="0"/>
    <x v="3"/>
    <n v="3"/>
    <x v="1"/>
  </r>
  <r>
    <x v="540"/>
    <x v="540"/>
    <s v="Zahra Setiawan"/>
    <x v="23"/>
    <x v="5"/>
    <n v="10500"/>
    <n v="2.2000000000000002"/>
    <x v="1"/>
    <n v="23100.000000000004"/>
    <n v="0"/>
    <n v="23100.000000000004"/>
    <n v="55000"/>
    <n v="78100"/>
    <x v="0"/>
    <x v="1"/>
    <x v="2"/>
    <n v="2"/>
    <x v="0"/>
  </r>
  <r>
    <x v="541"/>
    <x v="541"/>
    <s v="Yani Ananda"/>
    <x v="28"/>
    <x v="8"/>
    <n v="17500"/>
    <n v="0.8"/>
    <x v="1"/>
    <n v="14000"/>
    <n v="0"/>
    <n v="14000"/>
    <n v="56000"/>
    <n v="70000"/>
    <x v="3"/>
    <x v="0"/>
    <x v="0"/>
    <n v="1"/>
    <x v="0"/>
  </r>
  <r>
    <x v="542"/>
    <x v="542"/>
    <s v="Kartika Saputra"/>
    <x v="37"/>
    <x v="0"/>
    <n v="10000"/>
    <n v="3.1"/>
    <x v="1"/>
    <n v="31000"/>
    <n v="0"/>
    <n v="31000"/>
    <n v="67000"/>
    <n v="98000"/>
    <x v="0"/>
    <x v="0"/>
    <x v="1"/>
    <n v="3"/>
    <x v="0"/>
  </r>
  <r>
    <x v="542"/>
    <x v="542"/>
    <s v="Kartika Saputra"/>
    <x v="37"/>
    <x v="4"/>
    <n v="40000"/>
    <n v="1.7"/>
    <x v="1"/>
    <n v="68000"/>
    <n v="0"/>
    <n v="68000"/>
    <n v="0"/>
    <n v="68000"/>
    <x v="0"/>
    <x v="0"/>
    <x v="1"/>
    <n v="3"/>
    <x v="0"/>
  </r>
  <r>
    <x v="543"/>
    <x v="543"/>
    <s v="Zahra Utami"/>
    <x v="25"/>
    <x v="7"/>
    <n v="14000"/>
    <n v="0.9"/>
    <x v="1"/>
    <n v="12600"/>
    <n v="0"/>
    <n v="12600"/>
    <n v="50000"/>
    <n v="62600"/>
    <x v="2"/>
    <x v="0"/>
    <x v="3"/>
    <n v="2"/>
    <x v="0"/>
  </r>
  <r>
    <x v="544"/>
    <x v="544"/>
    <s v="Eka Saputra"/>
    <x v="29"/>
    <x v="19"/>
    <n v="15500"/>
    <n v="0.2"/>
    <x v="1"/>
    <n v="3100"/>
    <n v="0"/>
    <n v="3100"/>
    <n v="48000"/>
    <n v="51100"/>
    <x v="0"/>
    <x v="1"/>
    <x v="4"/>
    <n v="2"/>
    <x v="0"/>
  </r>
  <r>
    <x v="545"/>
    <x v="545"/>
    <s v="Wahyu Pradipta"/>
    <x v="15"/>
    <x v="14"/>
    <n v="55000"/>
    <n v="1"/>
    <x v="1"/>
    <n v="55000"/>
    <n v="0"/>
    <n v="55000"/>
    <n v="97000"/>
    <n v="152000"/>
    <x v="3"/>
    <x v="1"/>
    <x v="2"/>
    <n v="4"/>
    <x v="1"/>
  </r>
  <r>
    <x v="546"/>
    <x v="546"/>
    <s v="Fajar Puspita"/>
    <x v="6"/>
    <x v="10"/>
    <n v="45000"/>
    <n v="1.4"/>
    <x v="1"/>
    <n v="62999.999999999993"/>
    <n v="0"/>
    <n v="62999.999999999993"/>
    <n v="80000"/>
    <n v="143000"/>
    <x v="3"/>
    <x v="0"/>
    <x v="4"/>
    <n v="5"/>
    <x v="1"/>
  </r>
  <r>
    <x v="547"/>
    <x v="547"/>
    <s v="Putri Halim"/>
    <x v="24"/>
    <x v="15"/>
    <n v="10000"/>
    <n v="0.6"/>
    <x v="1"/>
    <n v="6000"/>
    <n v="0"/>
    <n v="6000"/>
    <n v="68000"/>
    <n v="74000"/>
    <x v="2"/>
    <x v="0"/>
    <x v="1"/>
    <n v="4"/>
    <x v="0"/>
  </r>
  <r>
    <x v="547"/>
    <x v="547"/>
    <s v="Putri Halim"/>
    <x v="24"/>
    <x v="17"/>
    <n v="12000"/>
    <n v="0.6"/>
    <x v="1"/>
    <n v="7200"/>
    <n v="0"/>
    <n v="7200"/>
    <n v="0"/>
    <n v="7200"/>
    <x v="2"/>
    <x v="0"/>
    <x v="1"/>
    <n v="4"/>
    <x v="0"/>
  </r>
  <r>
    <x v="548"/>
    <x v="548"/>
    <s v="Yani Puspita"/>
    <x v="1"/>
    <x v="3"/>
    <n v="13500"/>
    <n v="2.8"/>
    <x v="1"/>
    <n v="37800"/>
    <n v="0"/>
    <n v="37800"/>
    <n v="17000"/>
    <n v="54800"/>
    <x v="2"/>
    <x v="0"/>
    <x v="2"/>
    <n v="3"/>
    <x v="0"/>
  </r>
  <r>
    <x v="549"/>
    <x v="549"/>
    <s v="Sari Kurniawan"/>
    <x v="35"/>
    <x v="6"/>
    <n v="26000"/>
    <n v="1.5"/>
    <x v="1"/>
    <n v="39000"/>
    <n v="0"/>
    <n v="39000"/>
    <n v="79000"/>
    <n v="118000"/>
    <x v="3"/>
    <x v="0"/>
    <x v="1"/>
    <n v="2"/>
    <x v="0"/>
  </r>
  <r>
    <x v="550"/>
    <x v="550"/>
    <s v="Fitri Halim"/>
    <x v="6"/>
    <x v="1"/>
    <n v="15000"/>
    <n v="0.6"/>
    <x v="1"/>
    <n v="9000"/>
    <n v="0"/>
    <n v="9000"/>
    <n v="80000"/>
    <n v="89000"/>
    <x v="2"/>
    <x v="0"/>
    <x v="3"/>
    <n v="2"/>
    <x v="0"/>
  </r>
  <r>
    <x v="551"/>
    <x v="551"/>
    <s v="Yani Wijaya"/>
    <x v="11"/>
    <x v="4"/>
    <n v="40000"/>
    <n v="0.6"/>
    <x v="1"/>
    <n v="24000"/>
    <n v="0"/>
    <n v="24000"/>
    <n v="74000"/>
    <n v="98000"/>
    <x v="2"/>
    <x v="0"/>
    <x v="0"/>
    <n v="1"/>
    <x v="0"/>
  </r>
  <r>
    <x v="551"/>
    <x v="551"/>
    <s v="Yani Wijaya"/>
    <x v="11"/>
    <x v="5"/>
    <n v="10500"/>
    <n v="1.4"/>
    <x v="1"/>
    <n v="14699.999999999998"/>
    <n v="0"/>
    <n v="14699.999999999998"/>
    <n v="0"/>
    <n v="14699.999999999998"/>
    <x v="2"/>
    <x v="0"/>
    <x v="0"/>
    <n v="1"/>
    <x v="0"/>
  </r>
  <r>
    <x v="552"/>
    <x v="552"/>
    <s v="Qori Utami"/>
    <x v="30"/>
    <x v="3"/>
    <n v="13500"/>
    <n v="3.8"/>
    <x v="1"/>
    <n v="51300"/>
    <n v="0"/>
    <n v="51300"/>
    <n v="57000"/>
    <n v="108300"/>
    <x v="0"/>
    <x v="0"/>
    <x v="4"/>
    <n v="1"/>
    <x v="0"/>
  </r>
  <r>
    <x v="553"/>
    <x v="553"/>
    <s v="Dewi Ananda"/>
    <x v="22"/>
    <x v="18"/>
    <n v="11000"/>
    <n v="1.5"/>
    <x v="1"/>
    <n v="16500"/>
    <n v="0"/>
    <n v="16500"/>
    <n v="50000"/>
    <n v="66500"/>
    <x v="3"/>
    <x v="0"/>
    <x v="3"/>
    <n v="1"/>
    <x v="0"/>
  </r>
  <r>
    <x v="554"/>
    <x v="554"/>
    <s v="Citra Budiman"/>
    <x v="18"/>
    <x v="12"/>
    <n v="9500"/>
    <n v="1.8"/>
    <x v="1"/>
    <n v="17100"/>
    <n v="0"/>
    <n v="17100"/>
    <n v="0"/>
    <n v="17100"/>
    <x v="2"/>
    <x v="0"/>
    <x v="0"/>
    <n v="1"/>
    <x v="0"/>
  </r>
  <r>
    <x v="555"/>
    <x v="555"/>
    <s v="Clara Iskandar"/>
    <x v="34"/>
    <x v="4"/>
    <n v="40000"/>
    <n v="1.1000000000000001"/>
    <x v="1"/>
    <n v="44000"/>
    <n v="0"/>
    <n v="44000"/>
    <n v="18000"/>
    <n v="62000"/>
    <x v="0"/>
    <x v="0"/>
    <x v="0"/>
    <n v="3"/>
    <x v="0"/>
  </r>
  <r>
    <x v="556"/>
    <x v="556"/>
    <s v="Erna Hidayat"/>
    <x v="32"/>
    <x v="19"/>
    <n v="15500"/>
    <n v="0.2"/>
    <x v="1"/>
    <n v="3100"/>
    <n v="0"/>
    <n v="3100"/>
    <n v="28000"/>
    <n v="31100"/>
    <x v="3"/>
    <x v="1"/>
    <x v="2"/>
    <n v="5"/>
    <x v="0"/>
  </r>
  <r>
    <x v="557"/>
    <x v="557"/>
    <s v="Hendra Wijaya"/>
    <x v="0"/>
    <x v="0"/>
    <n v="10000"/>
    <n v="2"/>
    <x v="1"/>
    <n v="20000"/>
    <n v="0"/>
    <n v="20000"/>
    <n v="15000"/>
    <n v="35000"/>
    <x v="1"/>
    <x v="0"/>
    <x v="4"/>
    <n v="4"/>
    <x v="1"/>
  </r>
  <r>
    <x v="558"/>
    <x v="558"/>
    <s v="Gita Wijaya"/>
    <x v="31"/>
    <x v="9"/>
    <n v="46000"/>
    <n v="1"/>
    <x v="1"/>
    <n v="46000"/>
    <n v="0"/>
    <n v="46000"/>
    <n v="87000"/>
    <n v="133000"/>
    <x v="0"/>
    <x v="1"/>
    <x v="0"/>
    <n v="5"/>
    <x v="0"/>
  </r>
  <r>
    <x v="558"/>
    <x v="558"/>
    <s v="Gita Wijaya"/>
    <x v="31"/>
    <x v="16"/>
    <n v="115000"/>
    <n v="0.2"/>
    <x v="1"/>
    <n v="23000"/>
    <n v="0"/>
    <n v="23000"/>
    <n v="0"/>
    <n v="23000"/>
    <x v="0"/>
    <x v="1"/>
    <x v="0"/>
    <n v="5"/>
    <x v="0"/>
  </r>
  <r>
    <x v="559"/>
    <x v="559"/>
    <s v="Citra Maulana"/>
    <x v="17"/>
    <x v="16"/>
    <n v="115000"/>
    <n v="1"/>
    <x v="1"/>
    <n v="115000"/>
    <n v="0"/>
    <n v="115000"/>
    <n v="72000"/>
    <n v="187000"/>
    <x v="2"/>
    <x v="0"/>
    <x v="2"/>
    <n v="4"/>
    <x v="0"/>
  </r>
  <r>
    <x v="560"/>
    <x v="560"/>
    <s v="Dimas Utami"/>
    <x v="18"/>
    <x v="8"/>
    <n v="17500"/>
    <n v="1.4"/>
    <x v="1"/>
    <n v="24500"/>
    <n v="0"/>
    <n v="24500"/>
    <n v="0"/>
    <n v="24500"/>
    <x v="0"/>
    <x v="0"/>
    <x v="3"/>
    <n v="1"/>
    <x v="1"/>
  </r>
  <r>
    <x v="561"/>
    <x v="561"/>
    <s v="Tono Syahputra"/>
    <x v="0"/>
    <x v="13"/>
    <n v="10000"/>
    <n v="0.5"/>
    <x v="1"/>
    <n v="5000"/>
    <n v="0"/>
    <n v="5000"/>
    <n v="15000"/>
    <n v="20000"/>
    <x v="0"/>
    <x v="0"/>
    <x v="0"/>
    <n v="4"/>
    <x v="1"/>
  </r>
  <r>
    <x v="562"/>
    <x v="562"/>
    <s v="Putri Syahputra"/>
    <x v="26"/>
    <x v="4"/>
    <n v="40000"/>
    <n v="0.5"/>
    <x v="1"/>
    <n v="20000"/>
    <n v="0"/>
    <n v="20000"/>
    <n v="46000"/>
    <n v="66000"/>
    <x v="1"/>
    <x v="0"/>
    <x v="1"/>
    <n v="2"/>
    <x v="0"/>
  </r>
  <r>
    <x v="563"/>
    <x v="563"/>
    <s v="Qori Fauziah"/>
    <x v="11"/>
    <x v="6"/>
    <n v="26000"/>
    <n v="1.5"/>
    <x v="1"/>
    <n v="39000"/>
    <n v="0"/>
    <n v="39000"/>
    <n v="74000"/>
    <n v="113000"/>
    <x v="2"/>
    <x v="0"/>
    <x v="4"/>
    <n v="5"/>
    <x v="0"/>
  </r>
  <r>
    <x v="564"/>
    <x v="564"/>
    <s v="Yani Utami"/>
    <x v="10"/>
    <x v="13"/>
    <n v="10000"/>
    <n v="1.3"/>
    <x v="1"/>
    <n v="13000"/>
    <n v="0"/>
    <n v="13000"/>
    <n v="87000"/>
    <n v="100000"/>
    <x v="0"/>
    <x v="0"/>
    <x v="3"/>
    <n v="2"/>
    <x v="0"/>
  </r>
  <r>
    <x v="565"/>
    <x v="565"/>
    <s v="Bella Halim"/>
    <x v="2"/>
    <x v="3"/>
    <n v="13500"/>
    <n v="1.1000000000000001"/>
    <x v="1"/>
    <n v="14850.000000000002"/>
    <n v="0"/>
    <n v="14850.000000000002"/>
    <n v="76000"/>
    <n v="90850"/>
    <x v="0"/>
    <x v="0"/>
    <x v="4"/>
    <n v="3"/>
    <x v="0"/>
  </r>
  <r>
    <x v="566"/>
    <x v="566"/>
    <s v="Citra Kusuma"/>
    <x v="3"/>
    <x v="6"/>
    <n v="26000"/>
    <n v="1.5"/>
    <x v="1"/>
    <n v="39000"/>
    <n v="0"/>
    <n v="39000"/>
    <n v="93000"/>
    <n v="132000"/>
    <x v="0"/>
    <x v="0"/>
    <x v="0"/>
    <n v="2"/>
    <x v="0"/>
  </r>
  <r>
    <x v="566"/>
    <x v="566"/>
    <s v="Citra Kusuma"/>
    <x v="3"/>
    <x v="7"/>
    <n v="14000"/>
    <n v="1.3"/>
    <x v="1"/>
    <n v="18200"/>
    <n v="0"/>
    <n v="18200"/>
    <n v="0"/>
    <n v="18200"/>
    <x v="0"/>
    <x v="0"/>
    <x v="0"/>
    <n v="2"/>
    <x v="0"/>
  </r>
  <r>
    <x v="567"/>
    <x v="567"/>
    <s v="Bella Santoso"/>
    <x v="7"/>
    <x v="9"/>
    <n v="46000"/>
    <n v="0.6"/>
    <x v="1"/>
    <n v="27600"/>
    <n v="0"/>
    <n v="27600"/>
    <n v="26000"/>
    <n v="53600"/>
    <x v="1"/>
    <x v="0"/>
    <x v="2"/>
    <n v="1"/>
    <x v="0"/>
  </r>
  <r>
    <x v="568"/>
    <x v="568"/>
    <s v="Sari Puspita"/>
    <x v="15"/>
    <x v="13"/>
    <n v="10000"/>
    <n v="0.4"/>
    <x v="1"/>
    <n v="4000"/>
    <n v="0"/>
    <n v="4000"/>
    <n v="97000"/>
    <n v="101000"/>
    <x v="3"/>
    <x v="0"/>
    <x v="3"/>
    <n v="5"/>
    <x v="0"/>
  </r>
  <r>
    <x v="569"/>
    <x v="569"/>
    <s v="Tono Ananda"/>
    <x v="8"/>
    <x v="9"/>
    <n v="46000"/>
    <n v="1.1000000000000001"/>
    <x v="1"/>
    <n v="50600.000000000007"/>
    <n v="0"/>
    <n v="50600.000000000007"/>
    <n v="59000"/>
    <n v="109600"/>
    <x v="1"/>
    <x v="0"/>
    <x v="2"/>
    <n v="1"/>
    <x v="1"/>
  </r>
  <r>
    <x v="570"/>
    <x v="570"/>
    <s v="Aulia Puspita"/>
    <x v="29"/>
    <x v="6"/>
    <n v="26000"/>
    <n v="0.4"/>
    <x v="1"/>
    <n v="10400"/>
    <n v="0"/>
    <n v="10400"/>
    <n v="48000"/>
    <n v="58400"/>
    <x v="0"/>
    <x v="0"/>
    <x v="3"/>
    <n v="2"/>
    <x v="0"/>
  </r>
  <r>
    <x v="571"/>
    <x v="571"/>
    <s v="Gita Saputra"/>
    <x v="17"/>
    <x v="9"/>
    <n v="46000"/>
    <n v="0.8"/>
    <x v="1"/>
    <n v="36800"/>
    <n v="0"/>
    <n v="36800"/>
    <n v="72000"/>
    <n v="108800"/>
    <x v="2"/>
    <x v="0"/>
    <x v="1"/>
    <n v="3"/>
    <x v="0"/>
  </r>
  <r>
    <x v="572"/>
    <x v="572"/>
    <s v="Ani Ramadhani"/>
    <x v="25"/>
    <x v="19"/>
    <n v="15500"/>
    <n v="0.1"/>
    <x v="1"/>
    <n v="1550"/>
    <n v="0"/>
    <n v="1550"/>
    <n v="50000"/>
    <n v="51550"/>
    <x v="0"/>
    <x v="0"/>
    <x v="1"/>
    <n v="3"/>
    <x v="0"/>
  </r>
  <r>
    <x v="573"/>
    <x v="573"/>
    <s v="Yani Ramadhani"/>
    <x v="36"/>
    <x v="11"/>
    <n v="15000"/>
    <n v="0.4"/>
    <x v="1"/>
    <n v="6000"/>
    <n v="0"/>
    <n v="6000"/>
    <n v="21000"/>
    <n v="27000"/>
    <x v="3"/>
    <x v="2"/>
    <x v="4"/>
    <n v="4"/>
    <x v="0"/>
  </r>
  <r>
    <x v="574"/>
    <x v="574"/>
    <s v="Vina Budiman"/>
    <x v="4"/>
    <x v="0"/>
    <n v="10000"/>
    <n v="1.7"/>
    <x v="1"/>
    <n v="17000"/>
    <n v="0"/>
    <n v="17000"/>
    <n v="43000"/>
    <n v="60000"/>
    <x v="2"/>
    <x v="1"/>
    <x v="3"/>
    <n v="1"/>
    <x v="0"/>
  </r>
  <r>
    <x v="574"/>
    <x v="574"/>
    <s v="Vina Budiman"/>
    <x v="4"/>
    <x v="2"/>
    <n v="20000"/>
    <n v="1.4"/>
    <x v="1"/>
    <n v="28000"/>
    <n v="0"/>
    <n v="28000"/>
    <n v="0"/>
    <n v="28000"/>
    <x v="2"/>
    <x v="1"/>
    <x v="3"/>
    <n v="1"/>
    <x v="0"/>
  </r>
  <r>
    <x v="575"/>
    <x v="575"/>
    <s v="Clara Pradipta"/>
    <x v="15"/>
    <x v="16"/>
    <n v="115000"/>
    <n v="0.4"/>
    <x v="1"/>
    <n v="46000"/>
    <n v="0"/>
    <n v="46000"/>
    <n v="97000"/>
    <n v="143000"/>
    <x v="1"/>
    <x v="0"/>
    <x v="0"/>
    <n v="3"/>
    <x v="0"/>
  </r>
  <r>
    <x v="576"/>
    <x v="576"/>
    <s v="Ani Fauziah"/>
    <x v="15"/>
    <x v="8"/>
    <n v="17500"/>
    <n v="3.2"/>
    <x v="1"/>
    <n v="56000"/>
    <n v="0"/>
    <n v="56000"/>
    <n v="97000"/>
    <n v="153000"/>
    <x v="1"/>
    <x v="0"/>
    <x v="1"/>
    <n v="4"/>
    <x v="0"/>
  </r>
  <r>
    <x v="577"/>
    <x v="577"/>
    <s v="Hana Nugroho"/>
    <x v="11"/>
    <x v="15"/>
    <n v="10000"/>
    <n v="0.3"/>
    <x v="1"/>
    <n v="3000"/>
    <n v="0"/>
    <n v="3000"/>
    <n v="74000"/>
    <n v="77000"/>
    <x v="3"/>
    <x v="0"/>
    <x v="1"/>
    <n v="1"/>
    <x v="0"/>
  </r>
  <r>
    <x v="578"/>
    <x v="578"/>
    <s v="Ani Fauziah"/>
    <x v="15"/>
    <x v="8"/>
    <n v="17500"/>
    <n v="2.5"/>
    <x v="1"/>
    <n v="43750"/>
    <n v="0"/>
    <n v="43750"/>
    <n v="97000"/>
    <n v="140750"/>
    <x v="2"/>
    <x v="0"/>
    <x v="1"/>
    <n v="5"/>
    <x v="0"/>
  </r>
  <r>
    <x v="579"/>
    <x v="579"/>
    <s v="Dewi Maulana"/>
    <x v="28"/>
    <x v="2"/>
    <n v="20000"/>
    <n v="1.8"/>
    <x v="1"/>
    <n v="36000"/>
    <n v="0"/>
    <n v="36000"/>
    <n v="56000"/>
    <n v="92000"/>
    <x v="1"/>
    <x v="0"/>
    <x v="4"/>
    <n v="3"/>
    <x v="0"/>
  </r>
  <r>
    <x v="580"/>
    <x v="580"/>
    <s v="Yani Wijaya"/>
    <x v="11"/>
    <x v="19"/>
    <n v="15500"/>
    <n v="0.4"/>
    <x v="1"/>
    <n v="6200"/>
    <n v="0"/>
    <n v="6200"/>
    <n v="74000"/>
    <n v="80200"/>
    <x v="3"/>
    <x v="0"/>
    <x v="4"/>
    <n v="1"/>
    <x v="0"/>
  </r>
  <r>
    <x v="580"/>
    <x v="580"/>
    <s v="Yani Wijaya"/>
    <x v="11"/>
    <x v="6"/>
    <n v="26000"/>
    <n v="1.5"/>
    <x v="1"/>
    <n v="39000"/>
    <n v="0"/>
    <n v="39000"/>
    <n v="0"/>
    <n v="39000"/>
    <x v="3"/>
    <x v="0"/>
    <x v="4"/>
    <n v="1"/>
    <x v="0"/>
  </r>
  <r>
    <x v="581"/>
    <x v="581"/>
    <s v="Sari Syahputra"/>
    <x v="21"/>
    <x v="11"/>
    <n v="15000"/>
    <n v="0.6"/>
    <x v="1"/>
    <n v="9000"/>
    <n v="0"/>
    <n v="9000"/>
    <n v="59000"/>
    <n v="68000"/>
    <x v="0"/>
    <x v="1"/>
    <x v="3"/>
    <n v="4"/>
    <x v="0"/>
  </r>
  <r>
    <x v="582"/>
    <x v="582"/>
    <s v="Zahra Kusuma"/>
    <x v="7"/>
    <x v="11"/>
    <n v="15000"/>
    <n v="1.8"/>
    <x v="1"/>
    <n v="27000"/>
    <n v="0"/>
    <n v="27000"/>
    <n v="26000"/>
    <n v="53000"/>
    <x v="2"/>
    <x v="1"/>
    <x v="0"/>
    <n v="3"/>
    <x v="0"/>
  </r>
  <r>
    <x v="583"/>
    <x v="583"/>
    <s v="Dewi Hidayat"/>
    <x v="16"/>
    <x v="14"/>
    <n v="55000"/>
    <n v="1.1000000000000001"/>
    <x v="1"/>
    <n v="60500.000000000007"/>
    <n v="0"/>
    <n v="60500.000000000007"/>
    <n v="18000"/>
    <n v="78500"/>
    <x v="3"/>
    <x v="0"/>
    <x v="2"/>
    <n v="1"/>
    <x v="0"/>
  </r>
  <r>
    <x v="583"/>
    <x v="583"/>
    <s v="Dewi Hidayat"/>
    <x v="16"/>
    <x v="16"/>
    <n v="115000"/>
    <n v="0.8"/>
    <x v="1"/>
    <n v="92000"/>
    <n v="0"/>
    <n v="92000"/>
    <n v="0"/>
    <n v="92000"/>
    <x v="3"/>
    <x v="0"/>
    <x v="2"/>
    <n v="1"/>
    <x v="0"/>
  </r>
  <r>
    <x v="584"/>
    <x v="584"/>
    <s v="Zahra Ananda"/>
    <x v="18"/>
    <x v="7"/>
    <n v="14000"/>
    <n v="0.3"/>
    <x v="1"/>
    <n v="4200"/>
    <n v="0"/>
    <n v="4200"/>
    <n v="0"/>
    <n v="4200"/>
    <x v="1"/>
    <x v="0"/>
    <x v="0"/>
    <n v="3"/>
    <x v="0"/>
  </r>
  <r>
    <x v="585"/>
    <x v="585"/>
    <s v="Putri Iskandar"/>
    <x v="29"/>
    <x v="10"/>
    <n v="45000"/>
    <n v="1"/>
    <x v="1"/>
    <n v="45000"/>
    <n v="0"/>
    <n v="45000"/>
    <n v="48000"/>
    <n v="93000"/>
    <x v="1"/>
    <x v="0"/>
    <x v="1"/>
    <n v="3"/>
    <x v="0"/>
  </r>
  <r>
    <x v="586"/>
    <x v="586"/>
    <s v="Bella Maulana"/>
    <x v="13"/>
    <x v="14"/>
    <n v="55000"/>
    <n v="1"/>
    <x v="1"/>
    <n v="55000"/>
    <n v="0"/>
    <n v="55000"/>
    <n v="49000"/>
    <n v="104000"/>
    <x v="3"/>
    <x v="1"/>
    <x v="4"/>
    <n v="1"/>
    <x v="0"/>
  </r>
  <r>
    <x v="587"/>
    <x v="587"/>
    <s v="Sari Wijaya"/>
    <x v="4"/>
    <x v="12"/>
    <n v="9500"/>
    <n v="1.6"/>
    <x v="1"/>
    <n v="15200"/>
    <n v="0"/>
    <n v="15200"/>
    <n v="43000"/>
    <n v="58200"/>
    <x v="2"/>
    <x v="0"/>
    <x v="3"/>
    <n v="2"/>
    <x v="0"/>
  </r>
  <r>
    <x v="588"/>
    <x v="588"/>
    <s v="Wahyu Santoso"/>
    <x v="34"/>
    <x v="9"/>
    <n v="46000"/>
    <n v="1.2"/>
    <x v="1"/>
    <n v="55200"/>
    <n v="0"/>
    <n v="55200"/>
    <n v="18000"/>
    <n v="73200"/>
    <x v="2"/>
    <x v="2"/>
    <x v="4"/>
    <n v="4"/>
    <x v="1"/>
  </r>
  <r>
    <x v="589"/>
    <x v="589"/>
    <s v="Dewi Hidayat"/>
    <x v="16"/>
    <x v="15"/>
    <n v="10000"/>
    <n v="1.3"/>
    <x v="1"/>
    <n v="13000"/>
    <n v="0"/>
    <n v="13000"/>
    <n v="18000"/>
    <n v="31000"/>
    <x v="1"/>
    <x v="2"/>
    <x v="2"/>
    <n v="2"/>
    <x v="0"/>
  </r>
  <r>
    <x v="590"/>
    <x v="590"/>
    <s v="Tono Hidayat"/>
    <x v="34"/>
    <x v="3"/>
    <n v="13500"/>
    <n v="1.8"/>
    <x v="1"/>
    <n v="24300"/>
    <n v="0"/>
    <n v="24300"/>
    <n v="18000"/>
    <n v="42300"/>
    <x v="2"/>
    <x v="1"/>
    <x v="3"/>
    <n v="2"/>
    <x v="1"/>
  </r>
  <r>
    <x v="591"/>
    <x v="591"/>
    <s v="Lestari Syahputra"/>
    <x v="5"/>
    <x v="11"/>
    <n v="15000"/>
    <n v="1.5"/>
    <x v="1"/>
    <n v="22500"/>
    <n v="0"/>
    <n v="22500"/>
    <n v="18000"/>
    <n v="40500"/>
    <x v="0"/>
    <x v="1"/>
    <x v="3"/>
    <n v="5"/>
    <x v="0"/>
  </r>
  <r>
    <x v="592"/>
    <x v="592"/>
    <s v="Joko Maulana"/>
    <x v="27"/>
    <x v="13"/>
    <n v="10000"/>
    <n v="1.2"/>
    <x v="1"/>
    <n v="12000"/>
    <n v="0"/>
    <n v="12000"/>
    <n v="49000"/>
    <n v="61000"/>
    <x v="3"/>
    <x v="0"/>
    <x v="1"/>
    <n v="3"/>
    <x v="1"/>
  </r>
  <r>
    <x v="593"/>
    <x v="593"/>
    <s v="Kartika Nugroho"/>
    <x v="4"/>
    <x v="11"/>
    <n v="15000"/>
    <n v="0.9"/>
    <x v="1"/>
    <n v="13500"/>
    <n v="0"/>
    <n v="13500"/>
    <n v="43000"/>
    <n v="56500"/>
    <x v="1"/>
    <x v="1"/>
    <x v="3"/>
    <n v="3"/>
    <x v="0"/>
  </r>
  <r>
    <x v="594"/>
    <x v="594"/>
    <s v="Ani Budiman"/>
    <x v="17"/>
    <x v="8"/>
    <n v="17500"/>
    <n v="2.8"/>
    <x v="1"/>
    <n v="49000"/>
    <n v="0"/>
    <n v="49000"/>
    <n v="72000"/>
    <n v="121000"/>
    <x v="3"/>
    <x v="2"/>
    <x v="1"/>
    <n v="5"/>
    <x v="0"/>
  </r>
  <r>
    <x v="595"/>
    <x v="595"/>
    <s v="Yani Rahmawati"/>
    <x v="27"/>
    <x v="17"/>
    <n v="12000"/>
    <n v="0.7"/>
    <x v="1"/>
    <n v="8400"/>
    <n v="0"/>
    <n v="8400"/>
    <n v="49000"/>
    <n v="57400"/>
    <x v="0"/>
    <x v="0"/>
    <x v="4"/>
    <n v="1"/>
    <x v="0"/>
  </r>
  <r>
    <x v="595"/>
    <x v="595"/>
    <s v="Yani Rahmawati"/>
    <x v="27"/>
    <x v="7"/>
    <n v="14000"/>
    <n v="0.7"/>
    <x v="1"/>
    <n v="9800"/>
    <n v="0"/>
    <n v="9800"/>
    <n v="0"/>
    <n v="9800"/>
    <x v="0"/>
    <x v="0"/>
    <x v="4"/>
    <n v="1"/>
    <x v="0"/>
  </r>
  <r>
    <x v="596"/>
    <x v="596"/>
    <s v="Tono Hidayat"/>
    <x v="34"/>
    <x v="8"/>
    <n v="17500"/>
    <n v="2.4"/>
    <x v="1"/>
    <n v="42000"/>
    <n v="0"/>
    <n v="42000"/>
    <n v="18000"/>
    <n v="60000"/>
    <x v="0"/>
    <x v="2"/>
    <x v="0"/>
    <n v="4"/>
    <x v="1"/>
  </r>
  <r>
    <x v="597"/>
    <x v="597"/>
    <s v="Clara Ananda"/>
    <x v="18"/>
    <x v="1"/>
    <n v="15000"/>
    <n v="0.4"/>
    <x v="1"/>
    <n v="6000"/>
    <n v="0"/>
    <n v="6000"/>
    <n v="0"/>
    <n v="6000"/>
    <x v="2"/>
    <x v="0"/>
    <x v="3"/>
    <n v="5"/>
    <x v="0"/>
  </r>
  <r>
    <x v="598"/>
    <x v="598"/>
    <s v="Dimas Puspita"/>
    <x v="34"/>
    <x v="0"/>
    <n v="10000"/>
    <n v="2.6"/>
    <x v="1"/>
    <n v="26000"/>
    <n v="0"/>
    <n v="26000"/>
    <n v="18000"/>
    <n v="44000"/>
    <x v="0"/>
    <x v="0"/>
    <x v="3"/>
    <n v="3"/>
    <x v="1"/>
  </r>
  <r>
    <x v="599"/>
    <x v="599"/>
    <s v="Joko Ananda"/>
    <x v="20"/>
    <x v="17"/>
    <n v="12000"/>
    <n v="0.6"/>
    <x v="1"/>
    <n v="7200"/>
    <n v="0"/>
    <n v="7200"/>
    <n v="84000"/>
    <n v="91200"/>
    <x v="3"/>
    <x v="0"/>
    <x v="3"/>
    <n v="3"/>
    <x v="1"/>
  </r>
  <r>
    <x v="600"/>
    <x v="600"/>
    <s v="Erna Fauziah"/>
    <x v="28"/>
    <x v="2"/>
    <n v="20000"/>
    <n v="2.1"/>
    <x v="1"/>
    <n v="42000"/>
    <n v="0"/>
    <n v="42000"/>
    <n v="56000"/>
    <n v="98000"/>
    <x v="0"/>
    <x v="0"/>
    <x v="3"/>
    <n v="3"/>
    <x v="0"/>
  </r>
  <r>
    <x v="601"/>
    <x v="601"/>
    <s v="Iwan Budiman"/>
    <x v="2"/>
    <x v="0"/>
    <n v="10000"/>
    <n v="2.7"/>
    <x v="1"/>
    <n v="27000"/>
    <n v="0"/>
    <n v="27000"/>
    <n v="76000"/>
    <n v="103000"/>
    <x v="3"/>
    <x v="2"/>
    <x v="0"/>
    <n v="5"/>
    <x v="1"/>
  </r>
  <r>
    <x v="602"/>
    <x v="602"/>
    <s v="Bella Santoso"/>
    <x v="7"/>
    <x v="8"/>
    <n v="17500"/>
    <n v="3.3"/>
    <x v="1"/>
    <n v="57750"/>
    <n v="0"/>
    <n v="57750"/>
    <n v="26000"/>
    <n v="83750"/>
    <x v="0"/>
    <x v="0"/>
    <x v="2"/>
    <n v="2"/>
    <x v="0"/>
  </r>
  <r>
    <x v="603"/>
    <x v="603"/>
    <s v="Aulia Iskandar"/>
    <x v="11"/>
    <x v="6"/>
    <n v="26000"/>
    <n v="1.2"/>
    <x v="1"/>
    <n v="31200"/>
    <n v="0"/>
    <n v="31200"/>
    <n v="74000"/>
    <n v="105200"/>
    <x v="2"/>
    <x v="0"/>
    <x v="4"/>
    <n v="4"/>
    <x v="0"/>
  </r>
  <r>
    <x v="604"/>
    <x v="604"/>
    <s v="Fitri Iskandar"/>
    <x v="8"/>
    <x v="7"/>
    <n v="14000"/>
    <n v="0.7"/>
    <x v="1"/>
    <n v="9800"/>
    <n v="0"/>
    <n v="9800"/>
    <n v="59000"/>
    <n v="68800"/>
    <x v="2"/>
    <x v="0"/>
    <x v="4"/>
    <n v="2"/>
    <x v="0"/>
  </r>
  <r>
    <x v="605"/>
    <x v="605"/>
    <s v="Lestari Wijaya"/>
    <x v="18"/>
    <x v="19"/>
    <n v="15500"/>
    <n v="0.7"/>
    <x v="1"/>
    <n v="10850"/>
    <n v="0"/>
    <n v="10850"/>
    <n v="0"/>
    <n v="10850"/>
    <x v="3"/>
    <x v="0"/>
    <x v="3"/>
    <n v="3"/>
    <x v="0"/>
  </r>
  <r>
    <x v="606"/>
    <x v="606"/>
    <s v="Umar Setiawan"/>
    <x v="17"/>
    <x v="9"/>
    <n v="46000"/>
    <n v="0.7"/>
    <x v="1"/>
    <n v="32199.999999999996"/>
    <n v="0"/>
    <n v="32199.999999999996"/>
    <n v="72000"/>
    <n v="104200"/>
    <x v="1"/>
    <x v="0"/>
    <x v="0"/>
    <n v="2"/>
    <x v="1"/>
  </r>
  <r>
    <x v="607"/>
    <x v="607"/>
    <s v="Hana Puspita"/>
    <x v="34"/>
    <x v="11"/>
    <n v="15000"/>
    <n v="1"/>
    <x v="1"/>
    <n v="15000"/>
    <n v="0"/>
    <n v="15000"/>
    <n v="18000"/>
    <n v="33000"/>
    <x v="0"/>
    <x v="0"/>
    <x v="4"/>
    <n v="1"/>
    <x v="0"/>
  </r>
  <r>
    <x v="608"/>
    <x v="608"/>
    <s v="Aulia Pradipta"/>
    <x v="19"/>
    <x v="3"/>
    <n v="13500"/>
    <n v="2.1"/>
    <x v="1"/>
    <n v="28350"/>
    <n v="0"/>
    <n v="28350"/>
    <n v="78000"/>
    <n v="106350"/>
    <x v="2"/>
    <x v="0"/>
    <x v="0"/>
    <n v="5"/>
    <x v="0"/>
  </r>
  <r>
    <x v="609"/>
    <x v="609"/>
    <s v="Fitri Setiawan"/>
    <x v="13"/>
    <x v="12"/>
    <n v="9500"/>
    <n v="2"/>
    <x v="1"/>
    <n v="19000"/>
    <n v="0"/>
    <n v="19000"/>
    <n v="49000"/>
    <n v="68000"/>
    <x v="2"/>
    <x v="0"/>
    <x v="3"/>
    <n v="3"/>
    <x v="0"/>
  </r>
  <r>
    <x v="610"/>
    <x v="610"/>
    <s v="Yani Wijaya"/>
    <x v="11"/>
    <x v="7"/>
    <n v="14000"/>
    <n v="0.7"/>
    <x v="1"/>
    <n v="9800"/>
    <n v="0"/>
    <n v="9800"/>
    <n v="74000"/>
    <n v="83800"/>
    <x v="0"/>
    <x v="0"/>
    <x v="2"/>
    <n v="2"/>
    <x v="0"/>
  </r>
  <r>
    <x v="611"/>
    <x v="611"/>
    <s v="Dina Kusuma"/>
    <x v="29"/>
    <x v="5"/>
    <n v="10500"/>
    <n v="3"/>
    <x v="1"/>
    <n v="31500"/>
    <n v="0"/>
    <n v="31500"/>
    <n v="48000"/>
    <n v="79500"/>
    <x v="0"/>
    <x v="0"/>
    <x v="1"/>
    <n v="4"/>
    <x v="0"/>
  </r>
  <r>
    <x v="612"/>
    <x v="612"/>
    <s v="Lestari Utami"/>
    <x v="3"/>
    <x v="10"/>
    <n v="45000"/>
    <n v="0.8"/>
    <x v="1"/>
    <n v="36000"/>
    <n v="0"/>
    <n v="36000"/>
    <n v="93000"/>
    <n v="129000"/>
    <x v="1"/>
    <x v="0"/>
    <x v="1"/>
    <n v="4"/>
    <x v="0"/>
  </r>
  <r>
    <x v="613"/>
    <x v="613"/>
    <s v="Ani Fauziah"/>
    <x v="15"/>
    <x v="8"/>
    <n v="17500"/>
    <n v="3"/>
    <x v="1"/>
    <n v="52500"/>
    <n v="0"/>
    <n v="52500"/>
    <n v="97000"/>
    <n v="149500"/>
    <x v="1"/>
    <x v="0"/>
    <x v="1"/>
    <n v="5"/>
    <x v="0"/>
  </r>
  <r>
    <x v="613"/>
    <x v="613"/>
    <s v="Ani Fauziah"/>
    <x v="15"/>
    <x v="4"/>
    <n v="40000"/>
    <n v="0.4"/>
    <x v="1"/>
    <n v="16000"/>
    <n v="0"/>
    <n v="16000"/>
    <n v="0"/>
    <n v="16000"/>
    <x v="1"/>
    <x v="0"/>
    <x v="1"/>
    <n v="5"/>
    <x v="0"/>
  </r>
  <r>
    <x v="614"/>
    <x v="614"/>
    <s v="Eko Iskandar"/>
    <x v="28"/>
    <x v="11"/>
    <n v="15000"/>
    <n v="0.6"/>
    <x v="1"/>
    <n v="9000"/>
    <n v="0"/>
    <n v="9000"/>
    <n v="56000"/>
    <n v="65000"/>
    <x v="1"/>
    <x v="0"/>
    <x v="3"/>
    <n v="5"/>
    <x v="1"/>
  </r>
  <r>
    <x v="615"/>
    <x v="615"/>
    <s v="Wahyu Fauziah"/>
    <x v="35"/>
    <x v="9"/>
    <n v="46000"/>
    <n v="0.8"/>
    <x v="1"/>
    <n v="36800"/>
    <n v="0"/>
    <n v="36800"/>
    <n v="79000"/>
    <n v="115800"/>
    <x v="3"/>
    <x v="1"/>
    <x v="4"/>
    <n v="3"/>
    <x v="1"/>
  </r>
  <r>
    <x v="616"/>
    <x v="616"/>
    <s v="Hana Setiawan"/>
    <x v="28"/>
    <x v="16"/>
    <n v="115000"/>
    <n v="1.2"/>
    <x v="1"/>
    <n v="138000"/>
    <n v="0"/>
    <n v="138000"/>
    <n v="56000"/>
    <n v="194000"/>
    <x v="3"/>
    <x v="0"/>
    <x v="4"/>
    <n v="4"/>
    <x v="0"/>
  </r>
  <r>
    <x v="617"/>
    <x v="617"/>
    <s v="Dewi Pradipta"/>
    <x v="14"/>
    <x v="10"/>
    <n v="45000"/>
    <n v="0.5"/>
    <x v="1"/>
    <n v="22500"/>
    <n v="0"/>
    <n v="22500"/>
    <n v="85000"/>
    <n v="107500"/>
    <x v="0"/>
    <x v="0"/>
    <x v="1"/>
    <n v="2"/>
    <x v="0"/>
  </r>
  <r>
    <x v="618"/>
    <x v="618"/>
    <s v="Fajar Kurniawan"/>
    <x v="3"/>
    <x v="12"/>
    <n v="9500"/>
    <n v="1.6"/>
    <x v="1"/>
    <n v="15200"/>
    <n v="0"/>
    <n v="15200"/>
    <n v="93000"/>
    <n v="108200"/>
    <x v="2"/>
    <x v="2"/>
    <x v="0"/>
    <n v="3"/>
    <x v="1"/>
  </r>
  <r>
    <x v="619"/>
    <x v="619"/>
    <s v="Fitri Halim"/>
    <x v="6"/>
    <x v="9"/>
    <n v="46000"/>
    <n v="0.8"/>
    <x v="1"/>
    <n v="36800"/>
    <n v="0"/>
    <n v="36800"/>
    <n v="80000"/>
    <n v="116800"/>
    <x v="0"/>
    <x v="0"/>
    <x v="3"/>
    <n v="2"/>
    <x v="0"/>
  </r>
  <r>
    <x v="620"/>
    <x v="620"/>
    <s v="Zahra Santoso"/>
    <x v="9"/>
    <x v="19"/>
    <n v="15500"/>
    <n v="0.2"/>
    <x v="1"/>
    <n v="3100"/>
    <n v="0"/>
    <n v="3100"/>
    <n v="89000"/>
    <n v="92100"/>
    <x v="0"/>
    <x v="0"/>
    <x v="1"/>
    <n v="5"/>
    <x v="0"/>
  </r>
  <r>
    <x v="621"/>
    <x v="621"/>
    <s v="Aulia Syahputra"/>
    <x v="35"/>
    <x v="12"/>
    <n v="9500"/>
    <n v="1.4"/>
    <x v="1"/>
    <n v="13300"/>
    <n v="0"/>
    <n v="13300"/>
    <n v="79000"/>
    <n v="92300"/>
    <x v="3"/>
    <x v="0"/>
    <x v="1"/>
    <n v="2"/>
    <x v="0"/>
  </r>
  <r>
    <x v="622"/>
    <x v="622"/>
    <s v="Oka Kurniawan"/>
    <x v="31"/>
    <x v="8"/>
    <n v="17500"/>
    <n v="0.9"/>
    <x v="0"/>
    <n v="15750"/>
    <n v="787.5"/>
    <n v="14962.5"/>
    <n v="87000"/>
    <n v="101962.5"/>
    <x v="2"/>
    <x v="0"/>
    <x v="1"/>
    <n v="4"/>
    <x v="1"/>
  </r>
  <r>
    <x v="623"/>
    <x v="623"/>
    <s v="Lestari Pradipta"/>
    <x v="28"/>
    <x v="4"/>
    <n v="40000"/>
    <n v="0.8"/>
    <x v="0"/>
    <n v="32000"/>
    <n v="1600"/>
    <n v="30400"/>
    <n v="56000"/>
    <n v="86400"/>
    <x v="0"/>
    <x v="0"/>
    <x v="0"/>
    <n v="2"/>
    <x v="0"/>
  </r>
  <r>
    <x v="624"/>
    <x v="624"/>
    <s v="Indra Setiawan"/>
    <x v="28"/>
    <x v="19"/>
    <n v="15500"/>
    <n v="0.4"/>
    <x v="0"/>
    <n v="6200"/>
    <n v="310"/>
    <n v="5890"/>
    <n v="56000"/>
    <n v="61890"/>
    <x v="1"/>
    <x v="1"/>
    <x v="4"/>
    <n v="4"/>
    <x v="1"/>
  </r>
  <r>
    <x v="625"/>
    <x v="625"/>
    <s v="Dina Puspita"/>
    <x v="18"/>
    <x v="11"/>
    <n v="15000"/>
    <n v="1.6"/>
    <x v="1"/>
    <n v="24000"/>
    <n v="0"/>
    <n v="24000"/>
    <n v="0"/>
    <n v="24000"/>
    <x v="1"/>
    <x v="0"/>
    <x v="0"/>
    <n v="5"/>
    <x v="0"/>
  </r>
  <r>
    <x v="626"/>
    <x v="626"/>
    <s v="Bella Utami"/>
    <x v="24"/>
    <x v="12"/>
    <n v="9500"/>
    <n v="2.8"/>
    <x v="1"/>
    <n v="26600"/>
    <n v="0"/>
    <n v="26600"/>
    <n v="68000"/>
    <n v="94600"/>
    <x v="2"/>
    <x v="0"/>
    <x v="0"/>
    <n v="5"/>
    <x v="0"/>
  </r>
  <r>
    <x v="627"/>
    <x v="627"/>
    <s v="Dina Wijaya"/>
    <x v="37"/>
    <x v="1"/>
    <n v="15000"/>
    <n v="0.9"/>
    <x v="1"/>
    <n v="13500"/>
    <n v="0"/>
    <n v="13500"/>
    <n v="67000"/>
    <n v="80500"/>
    <x v="0"/>
    <x v="1"/>
    <x v="4"/>
    <n v="2"/>
    <x v="0"/>
  </r>
  <r>
    <x v="628"/>
    <x v="628"/>
    <s v="Sari Pradipta"/>
    <x v="5"/>
    <x v="10"/>
    <n v="45000"/>
    <n v="0.8"/>
    <x v="1"/>
    <n v="36000"/>
    <n v="0"/>
    <n v="36000"/>
    <n v="18000"/>
    <n v="54000"/>
    <x v="1"/>
    <x v="0"/>
    <x v="0"/>
    <n v="5"/>
    <x v="0"/>
  </r>
  <r>
    <x v="629"/>
    <x v="629"/>
    <s v="Aulia Utami"/>
    <x v="19"/>
    <x v="9"/>
    <n v="46000"/>
    <n v="1.4"/>
    <x v="1"/>
    <n v="64399.999999999993"/>
    <n v="0"/>
    <n v="64399.999999999993"/>
    <n v="78000"/>
    <n v="142400"/>
    <x v="0"/>
    <x v="0"/>
    <x v="3"/>
    <n v="2"/>
    <x v="0"/>
  </r>
  <r>
    <x v="630"/>
    <x v="630"/>
    <s v="Vina Kurniawan"/>
    <x v="19"/>
    <x v="4"/>
    <n v="40000"/>
    <n v="1.2"/>
    <x v="1"/>
    <n v="48000"/>
    <n v="0"/>
    <n v="48000"/>
    <n v="78000"/>
    <n v="126000"/>
    <x v="3"/>
    <x v="0"/>
    <x v="0"/>
    <n v="5"/>
    <x v="0"/>
  </r>
  <r>
    <x v="631"/>
    <x v="631"/>
    <s v="Yani Syahputra"/>
    <x v="30"/>
    <x v="10"/>
    <n v="45000"/>
    <n v="1.9"/>
    <x v="1"/>
    <n v="85500"/>
    <n v="0"/>
    <n v="85500"/>
    <n v="57000"/>
    <n v="142500"/>
    <x v="1"/>
    <x v="0"/>
    <x v="4"/>
    <n v="4"/>
    <x v="0"/>
  </r>
  <r>
    <x v="632"/>
    <x v="632"/>
    <s v="Lestari Puspita"/>
    <x v="19"/>
    <x v="11"/>
    <n v="15000"/>
    <n v="1.2"/>
    <x v="1"/>
    <n v="18000"/>
    <n v="0"/>
    <n v="18000"/>
    <n v="78000"/>
    <n v="96000"/>
    <x v="2"/>
    <x v="0"/>
    <x v="0"/>
    <n v="3"/>
    <x v="0"/>
  </r>
  <r>
    <x v="633"/>
    <x v="633"/>
    <s v="Aulia Saputra"/>
    <x v="8"/>
    <x v="2"/>
    <n v="20000"/>
    <n v="2.5"/>
    <x v="1"/>
    <n v="50000"/>
    <n v="0"/>
    <n v="50000"/>
    <n v="59000"/>
    <n v="109000"/>
    <x v="1"/>
    <x v="0"/>
    <x v="0"/>
    <n v="4"/>
    <x v="0"/>
  </r>
  <r>
    <x v="633"/>
    <x v="633"/>
    <s v="Aulia Saputra"/>
    <x v="8"/>
    <x v="5"/>
    <n v="10500"/>
    <n v="2"/>
    <x v="1"/>
    <n v="21000"/>
    <n v="0"/>
    <n v="21000"/>
    <n v="0"/>
    <n v="21000"/>
    <x v="1"/>
    <x v="0"/>
    <x v="0"/>
    <n v="4"/>
    <x v="0"/>
  </r>
  <r>
    <x v="634"/>
    <x v="634"/>
    <s v="Bella Utami"/>
    <x v="24"/>
    <x v="3"/>
    <n v="13500"/>
    <n v="3.1"/>
    <x v="1"/>
    <n v="41850"/>
    <n v="0"/>
    <n v="41850"/>
    <n v="68000"/>
    <n v="109850"/>
    <x v="3"/>
    <x v="0"/>
    <x v="4"/>
    <n v="3"/>
    <x v="0"/>
  </r>
  <r>
    <x v="635"/>
    <x v="635"/>
    <s v="Qori Maulana"/>
    <x v="5"/>
    <x v="2"/>
    <n v="20000"/>
    <n v="2.1"/>
    <x v="1"/>
    <n v="42000"/>
    <n v="0"/>
    <n v="42000"/>
    <n v="18000"/>
    <n v="60000"/>
    <x v="1"/>
    <x v="0"/>
    <x v="3"/>
    <n v="3"/>
    <x v="0"/>
  </r>
  <r>
    <x v="636"/>
    <x v="636"/>
    <s v="Qori Pradipta"/>
    <x v="7"/>
    <x v="9"/>
    <n v="46000"/>
    <n v="1"/>
    <x v="1"/>
    <n v="46000"/>
    <n v="0"/>
    <n v="46000"/>
    <n v="26000"/>
    <n v="72000"/>
    <x v="1"/>
    <x v="0"/>
    <x v="1"/>
    <n v="1"/>
    <x v="0"/>
  </r>
  <r>
    <x v="637"/>
    <x v="637"/>
    <s v="Erna Setiawan"/>
    <x v="6"/>
    <x v="7"/>
    <n v="14000"/>
    <n v="0.9"/>
    <x v="1"/>
    <n v="12600"/>
    <n v="0"/>
    <n v="12600"/>
    <n v="80000"/>
    <n v="92600"/>
    <x v="1"/>
    <x v="0"/>
    <x v="2"/>
    <n v="4"/>
    <x v="0"/>
  </r>
  <r>
    <x v="638"/>
    <x v="638"/>
    <s v="Qori Hidayat"/>
    <x v="1"/>
    <x v="13"/>
    <n v="10000"/>
    <n v="0.8"/>
    <x v="1"/>
    <n v="8000"/>
    <n v="0"/>
    <n v="8000"/>
    <n v="17000"/>
    <n v="25000"/>
    <x v="3"/>
    <x v="0"/>
    <x v="3"/>
    <n v="4"/>
    <x v="0"/>
  </r>
  <r>
    <x v="639"/>
    <x v="639"/>
    <s v="Clara Iskandar"/>
    <x v="34"/>
    <x v="10"/>
    <n v="45000"/>
    <n v="1.1000000000000001"/>
    <x v="1"/>
    <n v="49500.000000000007"/>
    <n v="0"/>
    <n v="49500.000000000007"/>
    <n v="18000"/>
    <n v="67500"/>
    <x v="1"/>
    <x v="0"/>
    <x v="1"/>
    <n v="3"/>
    <x v="0"/>
  </r>
  <r>
    <x v="639"/>
    <x v="639"/>
    <s v="Clara Iskandar"/>
    <x v="34"/>
    <x v="11"/>
    <n v="15000"/>
    <n v="1.1000000000000001"/>
    <x v="1"/>
    <n v="16500"/>
    <n v="0"/>
    <n v="16500"/>
    <n v="0"/>
    <n v="16500"/>
    <x v="1"/>
    <x v="0"/>
    <x v="1"/>
    <n v="3"/>
    <x v="0"/>
  </r>
  <r>
    <x v="640"/>
    <x v="640"/>
    <s v="Dewi Utami"/>
    <x v="18"/>
    <x v="13"/>
    <n v="10000"/>
    <n v="0.4"/>
    <x v="1"/>
    <n v="4000"/>
    <n v="0"/>
    <n v="4000"/>
    <n v="0"/>
    <n v="4000"/>
    <x v="1"/>
    <x v="1"/>
    <x v="2"/>
    <n v="4"/>
    <x v="0"/>
  </r>
  <r>
    <x v="641"/>
    <x v="641"/>
    <s v="Yani Wijaya"/>
    <x v="11"/>
    <x v="6"/>
    <n v="26000"/>
    <n v="1"/>
    <x v="1"/>
    <n v="26000"/>
    <n v="0"/>
    <n v="26000"/>
    <n v="74000"/>
    <n v="100000"/>
    <x v="0"/>
    <x v="0"/>
    <x v="2"/>
    <n v="1"/>
    <x v="0"/>
  </r>
  <r>
    <x v="642"/>
    <x v="642"/>
    <s v="Putri Hidayat"/>
    <x v="24"/>
    <x v="0"/>
    <n v="10000"/>
    <n v="2.2000000000000002"/>
    <x v="1"/>
    <n v="22000"/>
    <n v="0"/>
    <n v="22000"/>
    <n v="68000"/>
    <n v="90000"/>
    <x v="1"/>
    <x v="0"/>
    <x v="3"/>
    <n v="4"/>
    <x v="0"/>
  </r>
  <r>
    <x v="643"/>
    <x v="643"/>
    <s v="Erna Maulana"/>
    <x v="31"/>
    <x v="17"/>
    <n v="12000"/>
    <n v="1"/>
    <x v="1"/>
    <n v="12000"/>
    <n v="0"/>
    <n v="12000"/>
    <n v="87000"/>
    <n v="99000"/>
    <x v="2"/>
    <x v="0"/>
    <x v="0"/>
    <n v="5"/>
    <x v="0"/>
  </r>
  <r>
    <x v="644"/>
    <x v="644"/>
    <s v="Zahra Halim"/>
    <x v="12"/>
    <x v="8"/>
    <n v="17500"/>
    <n v="3.2"/>
    <x v="1"/>
    <n v="56000"/>
    <n v="0"/>
    <n v="56000"/>
    <n v="30000"/>
    <n v="86000"/>
    <x v="0"/>
    <x v="0"/>
    <x v="2"/>
    <n v="5"/>
    <x v="0"/>
  </r>
  <r>
    <x v="645"/>
    <x v="645"/>
    <s v="Hana Nugroho"/>
    <x v="11"/>
    <x v="9"/>
    <n v="46000"/>
    <n v="0.2"/>
    <x v="1"/>
    <n v="9200"/>
    <n v="0"/>
    <n v="9200"/>
    <n v="74000"/>
    <n v="83200"/>
    <x v="0"/>
    <x v="0"/>
    <x v="2"/>
    <n v="2"/>
    <x v="0"/>
  </r>
  <r>
    <x v="646"/>
    <x v="646"/>
    <s v="Eka Iskandar"/>
    <x v="11"/>
    <x v="4"/>
    <n v="40000"/>
    <n v="0.4"/>
    <x v="1"/>
    <n v="16000"/>
    <n v="0"/>
    <n v="16000"/>
    <n v="74000"/>
    <n v="90000"/>
    <x v="2"/>
    <x v="1"/>
    <x v="2"/>
    <n v="1"/>
    <x v="0"/>
  </r>
  <r>
    <x v="647"/>
    <x v="647"/>
    <s v="Hana Kusuma"/>
    <x v="6"/>
    <x v="3"/>
    <n v="13500"/>
    <n v="2.2999999999999998"/>
    <x v="1"/>
    <n v="31049.999999999996"/>
    <n v="0"/>
    <n v="31049.999999999996"/>
    <n v="80000"/>
    <n v="111050"/>
    <x v="2"/>
    <x v="0"/>
    <x v="2"/>
    <n v="5"/>
    <x v="0"/>
  </r>
  <r>
    <x v="648"/>
    <x v="648"/>
    <s v="Erna Setiawan"/>
    <x v="6"/>
    <x v="11"/>
    <n v="15000"/>
    <n v="1.2"/>
    <x v="1"/>
    <n v="18000"/>
    <n v="0"/>
    <n v="18000"/>
    <n v="80000"/>
    <n v="98000"/>
    <x v="2"/>
    <x v="0"/>
    <x v="4"/>
    <n v="4"/>
    <x v="0"/>
  </r>
  <r>
    <x v="649"/>
    <x v="649"/>
    <s v="Rizky Fauziah"/>
    <x v="31"/>
    <x v="10"/>
    <n v="45000"/>
    <n v="0.6"/>
    <x v="1"/>
    <n v="27000"/>
    <n v="0"/>
    <n v="27000"/>
    <n v="87000"/>
    <n v="114000"/>
    <x v="2"/>
    <x v="1"/>
    <x v="2"/>
    <n v="2"/>
    <x v="1"/>
  </r>
  <r>
    <x v="650"/>
    <x v="650"/>
    <s v="Clara Kusuma"/>
    <x v="15"/>
    <x v="11"/>
    <n v="15000"/>
    <n v="0.7"/>
    <x v="1"/>
    <n v="10500"/>
    <n v="0"/>
    <n v="10500"/>
    <n v="97000"/>
    <n v="107500"/>
    <x v="2"/>
    <x v="1"/>
    <x v="4"/>
    <n v="4"/>
    <x v="0"/>
  </r>
  <r>
    <x v="651"/>
    <x v="651"/>
    <s v="Clara Ramadhani"/>
    <x v="29"/>
    <x v="18"/>
    <n v="11000"/>
    <n v="2.2000000000000002"/>
    <x v="1"/>
    <n v="24200.000000000004"/>
    <n v="0"/>
    <n v="24200.000000000004"/>
    <n v="48000"/>
    <n v="72200"/>
    <x v="1"/>
    <x v="0"/>
    <x v="2"/>
    <n v="5"/>
    <x v="0"/>
  </r>
  <r>
    <x v="652"/>
    <x v="652"/>
    <s v="Bayu Ananda"/>
    <x v="3"/>
    <x v="11"/>
    <n v="15000"/>
    <n v="1.9"/>
    <x v="1"/>
    <n v="28500"/>
    <n v="0"/>
    <n v="28500"/>
    <n v="93000"/>
    <n v="121500"/>
    <x v="0"/>
    <x v="0"/>
    <x v="0"/>
    <n v="1"/>
    <x v="1"/>
  </r>
  <r>
    <x v="653"/>
    <x v="653"/>
    <s v="Hana Ramadhani"/>
    <x v="13"/>
    <x v="14"/>
    <n v="55000"/>
    <n v="0.7"/>
    <x v="1"/>
    <n v="38500"/>
    <n v="0"/>
    <n v="38500"/>
    <n v="49000"/>
    <n v="87500"/>
    <x v="0"/>
    <x v="0"/>
    <x v="2"/>
    <n v="1"/>
    <x v="0"/>
  </r>
  <r>
    <x v="654"/>
    <x v="654"/>
    <s v="Lestari Ramadhani"/>
    <x v="5"/>
    <x v="17"/>
    <n v="12000"/>
    <n v="1.4"/>
    <x v="1"/>
    <n v="16800"/>
    <n v="0"/>
    <n v="16800"/>
    <n v="18000"/>
    <n v="34800"/>
    <x v="3"/>
    <x v="0"/>
    <x v="0"/>
    <n v="1"/>
    <x v="0"/>
  </r>
  <r>
    <x v="655"/>
    <x v="655"/>
    <s v="Dewi Syahputra"/>
    <x v="16"/>
    <x v="5"/>
    <n v="10500"/>
    <n v="3.8"/>
    <x v="1"/>
    <n v="39900"/>
    <n v="0"/>
    <n v="39900"/>
    <n v="18000"/>
    <n v="57900"/>
    <x v="2"/>
    <x v="1"/>
    <x v="4"/>
    <n v="3"/>
    <x v="0"/>
  </r>
  <r>
    <x v="656"/>
    <x v="656"/>
    <s v="Lestari Syahputra"/>
    <x v="5"/>
    <x v="0"/>
    <n v="10000"/>
    <n v="1"/>
    <x v="1"/>
    <n v="10000"/>
    <n v="0"/>
    <n v="10000"/>
    <n v="18000"/>
    <n v="28000"/>
    <x v="1"/>
    <x v="0"/>
    <x v="0"/>
    <n v="3"/>
    <x v="0"/>
  </r>
  <r>
    <x v="657"/>
    <x v="657"/>
    <s v="Fitri Kurniawan"/>
    <x v="30"/>
    <x v="12"/>
    <n v="9500"/>
    <n v="1.4"/>
    <x v="0"/>
    <n v="13300"/>
    <n v="665"/>
    <n v="12635"/>
    <n v="57000"/>
    <n v="69635"/>
    <x v="1"/>
    <x v="1"/>
    <x v="1"/>
    <n v="1"/>
    <x v="0"/>
  </r>
  <r>
    <x v="658"/>
    <x v="658"/>
    <s v="Lestari Ananda"/>
    <x v="2"/>
    <x v="2"/>
    <n v="20000"/>
    <n v="1.5"/>
    <x v="0"/>
    <n v="30000"/>
    <n v="1500"/>
    <n v="28500"/>
    <n v="76000"/>
    <n v="104500"/>
    <x v="3"/>
    <x v="0"/>
    <x v="0"/>
    <n v="5"/>
    <x v="0"/>
  </r>
  <r>
    <x v="659"/>
    <x v="659"/>
    <s v="Clara Santoso"/>
    <x v="37"/>
    <x v="18"/>
    <n v="11000"/>
    <n v="2.8"/>
    <x v="0"/>
    <n v="30799.999999999996"/>
    <n v="1540"/>
    <n v="29259.999999999996"/>
    <n v="67000"/>
    <n v="96260"/>
    <x v="2"/>
    <x v="0"/>
    <x v="1"/>
    <n v="3"/>
    <x v="0"/>
  </r>
  <r>
    <x v="660"/>
    <x v="660"/>
    <s v="Zahra Saputra"/>
    <x v="1"/>
    <x v="4"/>
    <n v="40000"/>
    <n v="0.7"/>
    <x v="0"/>
    <n v="28000"/>
    <n v="1400"/>
    <n v="26600"/>
    <n v="17000"/>
    <n v="43600"/>
    <x v="1"/>
    <x v="0"/>
    <x v="1"/>
    <n v="1"/>
    <x v="0"/>
  </r>
  <r>
    <x v="661"/>
    <x v="661"/>
    <s v="Erna Kurniawan"/>
    <x v="7"/>
    <x v="5"/>
    <n v="10500"/>
    <n v="2.7"/>
    <x v="0"/>
    <n v="28350.000000000004"/>
    <n v="1417.5000000000002"/>
    <n v="26932.500000000004"/>
    <n v="26000"/>
    <n v="52932.5"/>
    <x v="2"/>
    <x v="0"/>
    <x v="1"/>
    <n v="5"/>
    <x v="0"/>
  </r>
  <r>
    <x v="662"/>
    <x v="662"/>
    <s v="Putri Wijaya"/>
    <x v="12"/>
    <x v="5"/>
    <n v="10500"/>
    <n v="2.9"/>
    <x v="0"/>
    <n v="30450"/>
    <n v="1522.5"/>
    <n v="28927.5"/>
    <n v="30000"/>
    <n v="58927.5"/>
    <x v="3"/>
    <x v="0"/>
    <x v="2"/>
    <n v="1"/>
    <x v="0"/>
  </r>
  <r>
    <x v="663"/>
    <x v="663"/>
    <s v="Lestari Puspita"/>
    <x v="19"/>
    <x v="15"/>
    <n v="10000"/>
    <n v="1"/>
    <x v="0"/>
    <n v="10000"/>
    <n v="500"/>
    <n v="9500"/>
    <n v="78000"/>
    <n v="87500"/>
    <x v="3"/>
    <x v="0"/>
    <x v="1"/>
    <n v="3"/>
    <x v="0"/>
  </r>
  <r>
    <x v="664"/>
    <x v="664"/>
    <s v="Ani Ananda"/>
    <x v="30"/>
    <x v="4"/>
    <n v="40000"/>
    <n v="1.9"/>
    <x v="0"/>
    <n v="76000"/>
    <n v="3800"/>
    <n v="72200"/>
    <n v="57000"/>
    <n v="129200"/>
    <x v="3"/>
    <x v="0"/>
    <x v="1"/>
    <n v="4"/>
    <x v="0"/>
  </r>
  <r>
    <x v="665"/>
    <x v="665"/>
    <s v="Tono Fauziah"/>
    <x v="30"/>
    <x v="4"/>
    <n v="40000"/>
    <n v="0.6"/>
    <x v="0"/>
    <n v="24000"/>
    <n v="1200"/>
    <n v="22800"/>
    <n v="57000"/>
    <n v="79800"/>
    <x v="0"/>
    <x v="0"/>
    <x v="3"/>
    <n v="3"/>
    <x v="1"/>
  </r>
  <r>
    <x v="666"/>
    <x v="666"/>
    <s v="Erna Setiawan"/>
    <x v="6"/>
    <x v="14"/>
    <n v="55000"/>
    <n v="0.8"/>
    <x v="0"/>
    <n v="44000"/>
    <n v="2200"/>
    <n v="41800"/>
    <n v="80000"/>
    <n v="121800"/>
    <x v="1"/>
    <x v="0"/>
    <x v="1"/>
    <n v="3"/>
    <x v="0"/>
  </r>
  <r>
    <x v="667"/>
    <x v="667"/>
    <s v="Kartika Saputra"/>
    <x v="37"/>
    <x v="9"/>
    <n v="46000"/>
    <n v="0.6"/>
    <x v="0"/>
    <n v="27600"/>
    <n v="1380"/>
    <n v="26220"/>
    <n v="67000"/>
    <n v="93220"/>
    <x v="0"/>
    <x v="0"/>
    <x v="1"/>
    <n v="4"/>
    <x v="0"/>
  </r>
  <r>
    <x v="668"/>
    <x v="668"/>
    <s v="Hana Halim"/>
    <x v="31"/>
    <x v="9"/>
    <n v="46000"/>
    <n v="1"/>
    <x v="0"/>
    <n v="46000"/>
    <n v="2300"/>
    <n v="43700"/>
    <n v="87000"/>
    <n v="130700"/>
    <x v="1"/>
    <x v="0"/>
    <x v="0"/>
    <n v="5"/>
    <x v="0"/>
  </r>
  <r>
    <x v="669"/>
    <x v="669"/>
    <s v="Clara Hidayat"/>
    <x v="26"/>
    <x v="8"/>
    <n v="17500"/>
    <n v="3.4"/>
    <x v="0"/>
    <n v="59500"/>
    <n v="2975"/>
    <n v="56525"/>
    <n v="46000"/>
    <n v="102525"/>
    <x v="0"/>
    <x v="0"/>
    <x v="3"/>
    <n v="2"/>
    <x v="0"/>
  </r>
  <r>
    <x v="670"/>
    <x v="670"/>
    <s v="Aulia Puspita"/>
    <x v="29"/>
    <x v="2"/>
    <n v="20000"/>
    <n v="3"/>
    <x v="0"/>
    <n v="60000"/>
    <n v="3000"/>
    <n v="57000"/>
    <n v="48000"/>
    <n v="105000"/>
    <x v="2"/>
    <x v="0"/>
    <x v="0"/>
    <n v="5"/>
    <x v="0"/>
  </r>
  <r>
    <x v="671"/>
    <x v="671"/>
    <s v="Qori Setiawan"/>
    <x v="10"/>
    <x v="0"/>
    <n v="10000"/>
    <n v="2"/>
    <x v="0"/>
    <n v="20000"/>
    <n v="1000"/>
    <n v="19000"/>
    <n v="87000"/>
    <n v="106000"/>
    <x v="0"/>
    <x v="0"/>
    <x v="4"/>
    <n v="3"/>
    <x v="0"/>
  </r>
  <r>
    <x v="672"/>
    <x v="672"/>
    <s v="Aulia Wijaya"/>
    <x v="22"/>
    <x v="8"/>
    <n v="17500"/>
    <n v="1.7"/>
    <x v="1"/>
    <n v="29750"/>
    <n v="0"/>
    <n v="29750"/>
    <n v="50000"/>
    <n v="79750"/>
    <x v="1"/>
    <x v="0"/>
    <x v="4"/>
    <n v="5"/>
    <x v="0"/>
  </r>
  <r>
    <x v="673"/>
    <x v="673"/>
    <s v="Yani Utami"/>
    <x v="10"/>
    <x v="6"/>
    <n v="26000"/>
    <n v="1.1000000000000001"/>
    <x v="1"/>
    <n v="28600.000000000004"/>
    <n v="0"/>
    <n v="28600.000000000004"/>
    <n v="87000"/>
    <n v="115600"/>
    <x v="3"/>
    <x v="0"/>
    <x v="4"/>
    <n v="4"/>
    <x v="0"/>
  </r>
  <r>
    <x v="674"/>
    <x v="674"/>
    <s v="Zahra Santoso"/>
    <x v="9"/>
    <x v="19"/>
    <n v="15500"/>
    <n v="0.4"/>
    <x v="1"/>
    <n v="6200"/>
    <n v="0"/>
    <n v="6200"/>
    <n v="89000"/>
    <n v="95200"/>
    <x v="0"/>
    <x v="1"/>
    <x v="2"/>
    <n v="5"/>
    <x v="0"/>
  </r>
  <r>
    <x v="675"/>
    <x v="675"/>
    <s v="Fajar Fauziah"/>
    <x v="24"/>
    <x v="11"/>
    <n v="15000"/>
    <n v="2.2999999999999998"/>
    <x v="1"/>
    <n v="34500"/>
    <n v="0"/>
    <n v="34500"/>
    <n v="68000"/>
    <n v="102500"/>
    <x v="0"/>
    <x v="0"/>
    <x v="1"/>
    <n v="4"/>
    <x v="1"/>
  </r>
  <r>
    <x v="676"/>
    <x v="676"/>
    <s v="Zahra Pradipta"/>
    <x v="9"/>
    <x v="9"/>
    <n v="46000"/>
    <n v="1.2"/>
    <x v="1"/>
    <n v="55200"/>
    <n v="0"/>
    <n v="55200"/>
    <n v="89000"/>
    <n v="144200"/>
    <x v="1"/>
    <x v="0"/>
    <x v="1"/>
    <n v="4"/>
    <x v="0"/>
  </r>
  <r>
    <x v="677"/>
    <x v="677"/>
    <s v="Yani Nugroho"/>
    <x v="1"/>
    <x v="12"/>
    <n v="9500"/>
    <n v="0.8"/>
    <x v="1"/>
    <n v="7600"/>
    <n v="0"/>
    <n v="7600"/>
    <n v="17000"/>
    <n v="24600"/>
    <x v="1"/>
    <x v="0"/>
    <x v="0"/>
    <n v="4"/>
    <x v="0"/>
  </r>
  <r>
    <x v="678"/>
    <x v="678"/>
    <s v="Fitri Kurniawan"/>
    <x v="30"/>
    <x v="12"/>
    <n v="9500"/>
    <n v="0.4"/>
    <x v="1"/>
    <n v="3800"/>
    <n v="0"/>
    <n v="3800"/>
    <n v="57000"/>
    <n v="60800"/>
    <x v="2"/>
    <x v="0"/>
    <x v="2"/>
    <n v="2"/>
    <x v="0"/>
  </r>
  <r>
    <x v="679"/>
    <x v="679"/>
    <s v="Putri Syahputra"/>
    <x v="26"/>
    <x v="0"/>
    <n v="10000"/>
    <n v="0.9"/>
    <x v="1"/>
    <n v="9000"/>
    <n v="0"/>
    <n v="9000"/>
    <n v="46000"/>
    <n v="55000"/>
    <x v="3"/>
    <x v="0"/>
    <x v="1"/>
    <n v="1"/>
    <x v="0"/>
  </r>
  <r>
    <x v="680"/>
    <x v="680"/>
    <s v="Dina Kusuma"/>
    <x v="29"/>
    <x v="0"/>
    <n v="10000"/>
    <n v="1.6"/>
    <x v="1"/>
    <n v="16000"/>
    <n v="0"/>
    <n v="16000"/>
    <n v="48000"/>
    <n v="64000"/>
    <x v="2"/>
    <x v="0"/>
    <x v="0"/>
    <n v="4"/>
    <x v="0"/>
  </r>
  <r>
    <x v="681"/>
    <x v="681"/>
    <s v="Indra Ananda"/>
    <x v="20"/>
    <x v="10"/>
    <n v="45000"/>
    <n v="1.6"/>
    <x v="1"/>
    <n v="72000"/>
    <n v="0"/>
    <n v="72000"/>
    <n v="84000"/>
    <n v="156000"/>
    <x v="0"/>
    <x v="0"/>
    <x v="4"/>
    <n v="2"/>
    <x v="1"/>
  </r>
  <r>
    <x v="682"/>
    <x v="682"/>
    <s v="Joko Ananda"/>
    <x v="20"/>
    <x v="10"/>
    <n v="45000"/>
    <n v="0.6"/>
    <x v="1"/>
    <n v="27000"/>
    <n v="0"/>
    <n v="27000"/>
    <n v="84000"/>
    <n v="111000"/>
    <x v="1"/>
    <x v="0"/>
    <x v="2"/>
    <n v="4"/>
    <x v="1"/>
  </r>
  <r>
    <x v="683"/>
    <x v="683"/>
    <s v="Zahra Kusuma"/>
    <x v="7"/>
    <x v="12"/>
    <n v="9500"/>
    <n v="1.2"/>
    <x v="1"/>
    <n v="11400"/>
    <n v="0"/>
    <n v="11400"/>
    <n v="26000"/>
    <n v="37400"/>
    <x v="1"/>
    <x v="0"/>
    <x v="2"/>
    <n v="1"/>
    <x v="0"/>
  </r>
  <r>
    <x v="683"/>
    <x v="683"/>
    <s v="Zahra Kusuma"/>
    <x v="7"/>
    <x v="4"/>
    <n v="40000"/>
    <n v="0.7"/>
    <x v="1"/>
    <n v="28000"/>
    <n v="0"/>
    <n v="28000"/>
    <n v="0"/>
    <n v="28000"/>
    <x v="1"/>
    <x v="0"/>
    <x v="2"/>
    <n v="1"/>
    <x v="0"/>
  </r>
  <r>
    <x v="684"/>
    <x v="684"/>
    <s v="Erna Rahmawati"/>
    <x v="5"/>
    <x v="3"/>
    <n v="13500"/>
    <n v="2.5"/>
    <x v="1"/>
    <n v="33750"/>
    <n v="0"/>
    <n v="33750"/>
    <n v="18000"/>
    <n v="51750"/>
    <x v="1"/>
    <x v="0"/>
    <x v="4"/>
    <n v="4"/>
    <x v="0"/>
  </r>
  <r>
    <x v="685"/>
    <x v="685"/>
    <s v="Rizky Fauziah"/>
    <x v="31"/>
    <x v="16"/>
    <n v="115000"/>
    <n v="0.3"/>
    <x v="1"/>
    <n v="34500"/>
    <n v="0"/>
    <n v="34500"/>
    <n v="87000"/>
    <n v="121500"/>
    <x v="0"/>
    <x v="0"/>
    <x v="3"/>
    <n v="3"/>
    <x v="1"/>
  </r>
  <r>
    <x v="686"/>
    <x v="686"/>
    <s v="Ani Hidayat"/>
    <x v="4"/>
    <x v="1"/>
    <n v="15000"/>
    <n v="0.3"/>
    <x v="1"/>
    <n v="4500"/>
    <n v="0"/>
    <n v="4500"/>
    <n v="43000"/>
    <n v="47500"/>
    <x v="2"/>
    <x v="0"/>
    <x v="3"/>
    <n v="4"/>
    <x v="0"/>
  </r>
  <r>
    <x v="687"/>
    <x v="687"/>
    <s v="Yani Ananda"/>
    <x v="28"/>
    <x v="8"/>
    <n v="17500"/>
    <n v="2.1"/>
    <x v="1"/>
    <n v="36750"/>
    <n v="0"/>
    <n v="36750"/>
    <n v="56000"/>
    <n v="92750"/>
    <x v="1"/>
    <x v="0"/>
    <x v="2"/>
    <n v="1"/>
    <x v="0"/>
  </r>
  <r>
    <x v="688"/>
    <x v="688"/>
    <s v="Hana Maulana"/>
    <x v="9"/>
    <x v="10"/>
    <n v="45000"/>
    <n v="0.7"/>
    <x v="1"/>
    <n v="31499.999999999996"/>
    <n v="0"/>
    <n v="31499.999999999996"/>
    <n v="89000"/>
    <n v="120500"/>
    <x v="3"/>
    <x v="2"/>
    <x v="1"/>
    <n v="1"/>
    <x v="0"/>
  </r>
  <r>
    <x v="689"/>
    <x v="689"/>
    <s v="Dimas Budiman"/>
    <x v="15"/>
    <x v="11"/>
    <n v="15000"/>
    <n v="1.3"/>
    <x v="1"/>
    <n v="19500"/>
    <n v="0"/>
    <n v="19500"/>
    <n v="97000"/>
    <n v="116500"/>
    <x v="2"/>
    <x v="0"/>
    <x v="0"/>
    <n v="3"/>
    <x v="1"/>
  </r>
  <r>
    <x v="690"/>
    <x v="690"/>
    <s v="Bella Nugroho"/>
    <x v="23"/>
    <x v="17"/>
    <n v="12000"/>
    <n v="0.4"/>
    <x v="1"/>
    <n v="4800"/>
    <n v="0"/>
    <n v="4800"/>
    <n v="55000"/>
    <n v="59800"/>
    <x v="3"/>
    <x v="0"/>
    <x v="2"/>
    <n v="3"/>
    <x v="0"/>
  </r>
  <r>
    <x v="691"/>
    <x v="691"/>
    <s v="Eka Ananda"/>
    <x v="20"/>
    <x v="18"/>
    <n v="11000"/>
    <n v="1.3"/>
    <x v="1"/>
    <n v="14300"/>
    <n v="0"/>
    <n v="14300"/>
    <n v="84000"/>
    <n v="98300"/>
    <x v="2"/>
    <x v="0"/>
    <x v="2"/>
    <n v="2"/>
    <x v="0"/>
  </r>
  <r>
    <x v="692"/>
    <x v="692"/>
    <s v="Budi Puspita"/>
    <x v="23"/>
    <x v="10"/>
    <n v="45000"/>
    <n v="0.6"/>
    <x v="1"/>
    <n v="27000"/>
    <n v="0"/>
    <n v="27000"/>
    <n v="55000"/>
    <n v="82000"/>
    <x v="2"/>
    <x v="0"/>
    <x v="1"/>
    <n v="2"/>
    <x v="1"/>
  </r>
  <r>
    <x v="693"/>
    <x v="693"/>
    <s v="Citra Syahputra"/>
    <x v="26"/>
    <x v="10"/>
    <n v="45000"/>
    <n v="0.7"/>
    <x v="1"/>
    <n v="31499.999999999996"/>
    <n v="0"/>
    <n v="31499.999999999996"/>
    <n v="46000"/>
    <n v="77500"/>
    <x v="0"/>
    <x v="2"/>
    <x v="1"/>
    <n v="2"/>
    <x v="0"/>
  </r>
  <r>
    <x v="694"/>
    <x v="694"/>
    <s v="Qori Utami"/>
    <x v="30"/>
    <x v="17"/>
    <n v="12000"/>
    <n v="0.7"/>
    <x v="1"/>
    <n v="8400"/>
    <n v="0"/>
    <n v="8400"/>
    <n v="57000"/>
    <n v="65400"/>
    <x v="0"/>
    <x v="0"/>
    <x v="1"/>
    <n v="3"/>
    <x v="0"/>
  </r>
  <r>
    <x v="695"/>
    <x v="695"/>
    <s v="Bayu Nugroho"/>
    <x v="12"/>
    <x v="3"/>
    <n v="13500"/>
    <n v="3.7"/>
    <x v="1"/>
    <n v="49950"/>
    <n v="0"/>
    <n v="49950"/>
    <n v="30000"/>
    <n v="79950"/>
    <x v="1"/>
    <x v="0"/>
    <x v="3"/>
    <n v="3"/>
    <x v="1"/>
  </r>
  <r>
    <x v="696"/>
    <x v="696"/>
    <s v="Hana Nugroho"/>
    <x v="11"/>
    <x v="8"/>
    <n v="17500"/>
    <n v="1.4"/>
    <x v="1"/>
    <n v="24500"/>
    <n v="0"/>
    <n v="24500"/>
    <n v="74000"/>
    <n v="98500"/>
    <x v="1"/>
    <x v="0"/>
    <x v="3"/>
    <n v="2"/>
    <x v="0"/>
  </r>
  <r>
    <x v="697"/>
    <x v="697"/>
    <s v="Fitri Kusuma"/>
    <x v="20"/>
    <x v="10"/>
    <n v="45000"/>
    <n v="1.6"/>
    <x v="1"/>
    <n v="72000"/>
    <n v="0"/>
    <n v="72000"/>
    <n v="84000"/>
    <n v="156000"/>
    <x v="3"/>
    <x v="1"/>
    <x v="4"/>
    <n v="1"/>
    <x v="0"/>
  </r>
  <r>
    <x v="698"/>
    <x v="698"/>
    <s v="Ani Fauziah"/>
    <x v="15"/>
    <x v="18"/>
    <n v="11000"/>
    <n v="1.3"/>
    <x v="1"/>
    <n v="14300"/>
    <n v="0"/>
    <n v="14300"/>
    <n v="97000"/>
    <n v="111300"/>
    <x v="1"/>
    <x v="0"/>
    <x v="2"/>
    <n v="3"/>
    <x v="0"/>
  </r>
  <r>
    <x v="699"/>
    <x v="699"/>
    <s v="Fitri Nugroho"/>
    <x v="27"/>
    <x v="17"/>
    <n v="12000"/>
    <n v="1"/>
    <x v="1"/>
    <n v="12000"/>
    <n v="0"/>
    <n v="12000"/>
    <n v="49000"/>
    <n v="61000"/>
    <x v="3"/>
    <x v="0"/>
    <x v="0"/>
    <n v="4"/>
    <x v="0"/>
  </r>
  <r>
    <x v="700"/>
    <x v="700"/>
    <s v="Aulia Ramadhani"/>
    <x v="2"/>
    <x v="14"/>
    <n v="55000"/>
    <n v="1.3"/>
    <x v="1"/>
    <n v="71500"/>
    <n v="0"/>
    <n v="71500"/>
    <n v="76000"/>
    <n v="147500"/>
    <x v="2"/>
    <x v="1"/>
    <x v="3"/>
    <n v="4"/>
    <x v="0"/>
  </r>
  <r>
    <x v="700"/>
    <x v="700"/>
    <s v="Aulia Ramadhani"/>
    <x v="2"/>
    <x v="7"/>
    <n v="14000"/>
    <n v="0.6"/>
    <x v="1"/>
    <n v="8400"/>
    <n v="0"/>
    <n v="8400"/>
    <n v="0"/>
    <n v="8400"/>
    <x v="2"/>
    <x v="1"/>
    <x v="3"/>
    <n v="4"/>
    <x v="0"/>
  </r>
  <r>
    <x v="701"/>
    <x v="701"/>
    <s v="Dewi Halim"/>
    <x v="29"/>
    <x v="4"/>
    <n v="40000"/>
    <n v="1"/>
    <x v="1"/>
    <n v="40000"/>
    <n v="0"/>
    <n v="40000"/>
    <n v="48000"/>
    <n v="88000"/>
    <x v="3"/>
    <x v="0"/>
    <x v="0"/>
    <n v="4"/>
    <x v="0"/>
  </r>
  <r>
    <x v="702"/>
    <x v="702"/>
    <s v="Hana Utami"/>
    <x v="26"/>
    <x v="8"/>
    <n v="17500"/>
    <n v="2.8"/>
    <x v="1"/>
    <n v="49000"/>
    <n v="0"/>
    <n v="49000"/>
    <n v="46000"/>
    <n v="95000"/>
    <x v="0"/>
    <x v="0"/>
    <x v="3"/>
    <n v="1"/>
    <x v="0"/>
  </r>
  <r>
    <x v="703"/>
    <x v="703"/>
    <s v="Budi Hidayat"/>
    <x v="0"/>
    <x v="1"/>
    <n v="15000"/>
    <n v="0.5"/>
    <x v="1"/>
    <n v="7500"/>
    <n v="0"/>
    <n v="7500"/>
    <n v="15000"/>
    <n v="22500"/>
    <x v="1"/>
    <x v="0"/>
    <x v="1"/>
    <n v="3"/>
    <x v="1"/>
  </r>
  <r>
    <x v="704"/>
    <x v="704"/>
    <s v="Vina Iskandar"/>
    <x v="16"/>
    <x v="17"/>
    <n v="12000"/>
    <n v="0.5"/>
    <x v="1"/>
    <n v="6000"/>
    <n v="0"/>
    <n v="6000"/>
    <n v="18000"/>
    <n v="24000"/>
    <x v="0"/>
    <x v="0"/>
    <x v="3"/>
    <n v="4"/>
    <x v="0"/>
  </r>
  <r>
    <x v="705"/>
    <x v="705"/>
    <s v="Yani Maulana"/>
    <x v="19"/>
    <x v="9"/>
    <n v="46000"/>
    <n v="0.9"/>
    <x v="1"/>
    <n v="41400"/>
    <n v="0"/>
    <n v="41400"/>
    <n v="78000"/>
    <n v="119400"/>
    <x v="2"/>
    <x v="0"/>
    <x v="4"/>
    <n v="2"/>
    <x v="0"/>
  </r>
  <r>
    <x v="706"/>
    <x v="706"/>
    <s v="Yani Wijaya"/>
    <x v="11"/>
    <x v="5"/>
    <n v="10500"/>
    <n v="1.3"/>
    <x v="1"/>
    <n v="13650"/>
    <n v="0"/>
    <n v="13650"/>
    <n v="74000"/>
    <n v="87650"/>
    <x v="3"/>
    <x v="0"/>
    <x v="0"/>
    <n v="1"/>
    <x v="0"/>
  </r>
  <r>
    <x v="707"/>
    <x v="707"/>
    <s v="Gita Ananda"/>
    <x v="11"/>
    <x v="13"/>
    <n v="10000"/>
    <n v="0.3"/>
    <x v="1"/>
    <n v="3000"/>
    <n v="0"/>
    <n v="3000"/>
    <n v="74000"/>
    <n v="77000"/>
    <x v="2"/>
    <x v="0"/>
    <x v="3"/>
    <n v="5"/>
    <x v="0"/>
  </r>
  <r>
    <x v="708"/>
    <x v="708"/>
    <s v="Umar Setiawan"/>
    <x v="17"/>
    <x v="10"/>
    <n v="45000"/>
    <n v="1.2"/>
    <x v="1"/>
    <n v="54000"/>
    <n v="0"/>
    <n v="54000"/>
    <n v="72000"/>
    <n v="126000"/>
    <x v="1"/>
    <x v="0"/>
    <x v="2"/>
    <n v="3"/>
    <x v="1"/>
  </r>
  <r>
    <x v="709"/>
    <x v="709"/>
    <s v="Clara Halim"/>
    <x v="31"/>
    <x v="10"/>
    <n v="45000"/>
    <n v="1.3"/>
    <x v="1"/>
    <n v="58500"/>
    <n v="0"/>
    <n v="58500"/>
    <n v="87000"/>
    <n v="145500"/>
    <x v="3"/>
    <x v="0"/>
    <x v="3"/>
    <n v="1"/>
    <x v="0"/>
  </r>
  <r>
    <x v="710"/>
    <x v="710"/>
    <s v="Zahra Kusuma"/>
    <x v="7"/>
    <x v="6"/>
    <n v="26000"/>
    <n v="0.6"/>
    <x v="1"/>
    <n v="15600"/>
    <n v="0"/>
    <n v="15600"/>
    <n v="26000"/>
    <n v="41600"/>
    <x v="1"/>
    <x v="2"/>
    <x v="1"/>
    <n v="1"/>
    <x v="0"/>
  </r>
  <r>
    <x v="710"/>
    <x v="710"/>
    <s v="Zahra Kusuma"/>
    <x v="7"/>
    <x v="11"/>
    <n v="15000"/>
    <n v="0.7"/>
    <x v="1"/>
    <n v="10500"/>
    <n v="0"/>
    <n v="10500"/>
    <n v="0"/>
    <n v="10500"/>
    <x v="1"/>
    <x v="2"/>
    <x v="1"/>
    <n v="1"/>
    <x v="0"/>
  </r>
  <r>
    <x v="711"/>
    <x v="711"/>
    <s v="Andi Syahputra"/>
    <x v="5"/>
    <x v="4"/>
    <n v="40000"/>
    <n v="1.6"/>
    <x v="1"/>
    <n v="64000"/>
    <n v="0"/>
    <n v="64000"/>
    <n v="18000"/>
    <n v="82000"/>
    <x v="2"/>
    <x v="0"/>
    <x v="3"/>
    <n v="3"/>
    <x v="1"/>
  </r>
  <r>
    <x v="712"/>
    <x v="712"/>
    <s v="Citra Syahputra"/>
    <x v="26"/>
    <x v="10"/>
    <n v="45000"/>
    <n v="0.2"/>
    <x v="1"/>
    <n v="9000"/>
    <n v="0"/>
    <n v="9000"/>
    <n v="46000"/>
    <n v="55000"/>
    <x v="3"/>
    <x v="0"/>
    <x v="2"/>
    <n v="2"/>
    <x v="0"/>
  </r>
  <r>
    <x v="713"/>
    <x v="713"/>
    <s v="Rizky Budiman"/>
    <x v="33"/>
    <x v="8"/>
    <n v="17500"/>
    <n v="1.9"/>
    <x v="1"/>
    <n v="33250"/>
    <n v="0"/>
    <n v="33250"/>
    <n v="80000"/>
    <n v="113250"/>
    <x v="1"/>
    <x v="0"/>
    <x v="1"/>
    <n v="3"/>
    <x v="1"/>
  </r>
  <r>
    <x v="714"/>
    <x v="714"/>
    <s v="Kartika Fauziah"/>
    <x v="28"/>
    <x v="2"/>
    <n v="20000"/>
    <n v="2.6"/>
    <x v="1"/>
    <n v="52000"/>
    <n v="0"/>
    <n v="52000"/>
    <n v="56000"/>
    <n v="108000"/>
    <x v="0"/>
    <x v="0"/>
    <x v="1"/>
    <n v="5"/>
    <x v="0"/>
  </r>
  <r>
    <x v="715"/>
    <x v="715"/>
    <s v="Gita Iskandar"/>
    <x v="23"/>
    <x v="13"/>
    <n v="10000"/>
    <n v="0.7"/>
    <x v="1"/>
    <n v="7000"/>
    <n v="0"/>
    <n v="7000"/>
    <n v="55000"/>
    <n v="62000"/>
    <x v="2"/>
    <x v="0"/>
    <x v="4"/>
    <n v="1"/>
    <x v="0"/>
  </r>
  <r>
    <x v="716"/>
    <x v="716"/>
    <s v="Wahyu Fauziah"/>
    <x v="35"/>
    <x v="5"/>
    <n v="10500"/>
    <n v="2.2999999999999998"/>
    <x v="1"/>
    <n v="24149.999999999996"/>
    <n v="0"/>
    <n v="24149.999999999996"/>
    <n v="79000"/>
    <n v="103150"/>
    <x v="0"/>
    <x v="1"/>
    <x v="3"/>
    <n v="3"/>
    <x v="1"/>
  </r>
  <r>
    <x v="717"/>
    <x v="717"/>
    <s v="Fitri Hidayat"/>
    <x v="17"/>
    <x v="19"/>
    <n v="15500"/>
    <n v="0.2"/>
    <x v="1"/>
    <n v="3100"/>
    <n v="0"/>
    <n v="3100"/>
    <n v="72000"/>
    <n v="75100"/>
    <x v="2"/>
    <x v="0"/>
    <x v="0"/>
    <n v="3"/>
    <x v="0"/>
  </r>
  <r>
    <x v="718"/>
    <x v="718"/>
    <s v="Zahra Utami"/>
    <x v="25"/>
    <x v="13"/>
    <n v="10000"/>
    <n v="0.4"/>
    <x v="1"/>
    <n v="4000"/>
    <n v="0"/>
    <n v="4000"/>
    <n v="50000"/>
    <n v="54000"/>
    <x v="1"/>
    <x v="0"/>
    <x v="3"/>
    <n v="1"/>
    <x v="0"/>
  </r>
  <r>
    <x v="719"/>
    <x v="719"/>
    <s v="Ani Utami"/>
    <x v="23"/>
    <x v="1"/>
    <n v="15000"/>
    <n v="1.1000000000000001"/>
    <x v="1"/>
    <n v="16500"/>
    <n v="0"/>
    <n v="16500"/>
    <n v="55000"/>
    <n v="71500"/>
    <x v="1"/>
    <x v="1"/>
    <x v="0"/>
    <n v="1"/>
    <x v="0"/>
  </r>
  <r>
    <x v="720"/>
    <x v="720"/>
    <s v="Sari Puspita"/>
    <x v="15"/>
    <x v="10"/>
    <n v="45000"/>
    <n v="1.1000000000000001"/>
    <x v="1"/>
    <n v="49500.000000000007"/>
    <n v="0"/>
    <n v="49500.000000000007"/>
    <n v="97000"/>
    <n v="146500"/>
    <x v="0"/>
    <x v="0"/>
    <x v="4"/>
    <n v="3"/>
    <x v="0"/>
  </r>
  <r>
    <x v="721"/>
    <x v="721"/>
    <s v="Sari Wijaya"/>
    <x v="4"/>
    <x v="15"/>
    <n v="10000"/>
    <n v="0.9"/>
    <x v="1"/>
    <n v="9000"/>
    <n v="0"/>
    <n v="9000"/>
    <n v="43000"/>
    <n v="52000"/>
    <x v="0"/>
    <x v="0"/>
    <x v="0"/>
    <n v="4"/>
    <x v="0"/>
  </r>
  <r>
    <x v="722"/>
    <x v="722"/>
    <s v="Hana Budiman"/>
    <x v="15"/>
    <x v="8"/>
    <n v="17500"/>
    <n v="1.9"/>
    <x v="1"/>
    <n v="33250"/>
    <n v="0"/>
    <n v="33250"/>
    <n v="97000"/>
    <n v="130250"/>
    <x v="1"/>
    <x v="0"/>
    <x v="0"/>
    <n v="1"/>
    <x v="0"/>
  </r>
  <r>
    <x v="723"/>
    <x v="723"/>
    <s v="Dina Halim"/>
    <x v="0"/>
    <x v="9"/>
    <n v="46000"/>
    <n v="0.5"/>
    <x v="1"/>
    <n v="23000"/>
    <n v="0"/>
    <n v="23000"/>
    <n v="15000"/>
    <n v="38000"/>
    <x v="2"/>
    <x v="0"/>
    <x v="0"/>
    <n v="4"/>
    <x v="0"/>
  </r>
  <r>
    <x v="724"/>
    <x v="724"/>
    <s v="Aulia Santoso"/>
    <x v="32"/>
    <x v="5"/>
    <n v="10500"/>
    <n v="2.2000000000000002"/>
    <x v="1"/>
    <n v="23100.000000000004"/>
    <n v="0"/>
    <n v="23100.000000000004"/>
    <n v="28000"/>
    <n v="51100"/>
    <x v="1"/>
    <x v="0"/>
    <x v="3"/>
    <n v="1"/>
    <x v="0"/>
  </r>
  <r>
    <x v="725"/>
    <x v="725"/>
    <s v="Qori Hidayat"/>
    <x v="1"/>
    <x v="13"/>
    <n v="10000"/>
    <n v="0.7"/>
    <x v="1"/>
    <n v="7000"/>
    <n v="0"/>
    <n v="7000"/>
    <n v="17000"/>
    <n v="24000"/>
    <x v="0"/>
    <x v="0"/>
    <x v="2"/>
    <n v="3"/>
    <x v="0"/>
  </r>
  <r>
    <x v="726"/>
    <x v="726"/>
    <s v="Eka Ananda"/>
    <x v="20"/>
    <x v="1"/>
    <n v="15000"/>
    <n v="0.2"/>
    <x v="1"/>
    <n v="3000"/>
    <n v="0"/>
    <n v="3000"/>
    <n v="84000"/>
    <n v="87000"/>
    <x v="0"/>
    <x v="1"/>
    <x v="1"/>
    <n v="5"/>
    <x v="0"/>
  </r>
  <r>
    <x v="727"/>
    <x v="727"/>
    <s v="Kartika Saputra"/>
    <x v="37"/>
    <x v="11"/>
    <n v="15000"/>
    <n v="0.6"/>
    <x v="1"/>
    <n v="9000"/>
    <n v="0"/>
    <n v="9000"/>
    <n v="67000"/>
    <n v="76000"/>
    <x v="0"/>
    <x v="0"/>
    <x v="4"/>
    <n v="1"/>
    <x v="0"/>
  </r>
  <r>
    <x v="728"/>
    <x v="728"/>
    <s v="Eka Pradipta"/>
    <x v="18"/>
    <x v="4"/>
    <n v="40000"/>
    <n v="1"/>
    <x v="1"/>
    <n v="40000"/>
    <n v="0"/>
    <n v="40000"/>
    <n v="0"/>
    <n v="40000"/>
    <x v="0"/>
    <x v="0"/>
    <x v="4"/>
    <n v="1"/>
    <x v="0"/>
  </r>
  <r>
    <x v="729"/>
    <x v="729"/>
    <s v="Budi Wijaya"/>
    <x v="33"/>
    <x v="12"/>
    <n v="9500"/>
    <n v="2.7"/>
    <x v="1"/>
    <n v="25650"/>
    <n v="0"/>
    <n v="25650"/>
    <n v="80000"/>
    <n v="105650"/>
    <x v="1"/>
    <x v="0"/>
    <x v="2"/>
    <n v="3"/>
    <x v="1"/>
  </r>
  <r>
    <x v="730"/>
    <x v="730"/>
    <s v="Fitri Santoso"/>
    <x v="13"/>
    <x v="13"/>
    <n v="10000"/>
    <n v="0.9"/>
    <x v="1"/>
    <n v="9000"/>
    <n v="0"/>
    <n v="9000"/>
    <n v="49000"/>
    <n v="58000"/>
    <x v="3"/>
    <x v="1"/>
    <x v="4"/>
    <n v="3"/>
    <x v="0"/>
  </r>
  <r>
    <x v="731"/>
    <x v="731"/>
    <s v="Iwan Budiman"/>
    <x v="2"/>
    <x v="11"/>
    <n v="15000"/>
    <n v="0.9"/>
    <x v="1"/>
    <n v="13500"/>
    <n v="0"/>
    <n v="13500"/>
    <n v="76000"/>
    <n v="89500"/>
    <x v="1"/>
    <x v="0"/>
    <x v="3"/>
    <n v="2"/>
    <x v="1"/>
  </r>
  <r>
    <x v="732"/>
    <x v="732"/>
    <s v="Dewi Syahputra"/>
    <x v="16"/>
    <x v="4"/>
    <n v="40000"/>
    <n v="1.1000000000000001"/>
    <x v="1"/>
    <n v="44000"/>
    <n v="0"/>
    <n v="44000"/>
    <n v="18000"/>
    <n v="62000"/>
    <x v="3"/>
    <x v="2"/>
    <x v="2"/>
    <n v="3"/>
    <x v="0"/>
  </r>
  <r>
    <x v="733"/>
    <x v="733"/>
    <s v="Dina Maulana"/>
    <x v="36"/>
    <x v="6"/>
    <n v="26000"/>
    <n v="1.1000000000000001"/>
    <x v="1"/>
    <n v="28600.000000000004"/>
    <n v="0"/>
    <n v="28600.000000000004"/>
    <n v="21000"/>
    <n v="49600"/>
    <x v="3"/>
    <x v="0"/>
    <x v="0"/>
    <n v="5"/>
    <x v="0"/>
  </r>
  <r>
    <x v="734"/>
    <x v="734"/>
    <s v="Citra Maulana"/>
    <x v="17"/>
    <x v="18"/>
    <n v="11000"/>
    <n v="1.3"/>
    <x v="1"/>
    <n v="14300"/>
    <n v="0"/>
    <n v="14300"/>
    <n v="72000"/>
    <n v="86300"/>
    <x v="3"/>
    <x v="0"/>
    <x v="3"/>
    <n v="3"/>
    <x v="0"/>
  </r>
  <r>
    <x v="735"/>
    <x v="735"/>
    <s v="Putri Hidayat"/>
    <x v="24"/>
    <x v="11"/>
    <n v="15000"/>
    <n v="2"/>
    <x v="1"/>
    <n v="30000"/>
    <n v="0"/>
    <n v="30000"/>
    <n v="68000"/>
    <n v="98000"/>
    <x v="3"/>
    <x v="0"/>
    <x v="4"/>
    <n v="4"/>
    <x v="0"/>
  </r>
  <r>
    <x v="736"/>
    <x v="736"/>
    <s v="Citra Halim"/>
    <x v="21"/>
    <x v="13"/>
    <n v="10000"/>
    <n v="0.4"/>
    <x v="1"/>
    <n v="4000"/>
    <n v="0"/>
    <n v="4000"/>
    <n v="59000"/>
    <n v="63000"/>
    <x v="3"/>
    <x v="0"/>
    <x v="2"/>
    <n v="4"/>
    <x v="0"/>
  </r>
  <r>
    <x v="737"/>
    <x v="737"/>
    <s v="Zahra Budiman"/>
    <x v="27"/>
    <x v="0"/>
    <n v="10000"/>
    <n v="1.5"/>
    <x v="1"/>
    <n v="15000"/>
    <n v="0"/>
    <n v="15000"/>
    <n v="49000"/>
    <n v="64000"/>
    <x v="2"/>
    <x v="1"/>
    <x v="0"/>
    <n v="3"/>
    <x v="0"/>
  </r>
  <r>
    <x v="738"/>
    <x v="738"/>
    <s v="Zahra Kusuma"/>
    <x v="7"/>
    <x v="4"/>
    <n v="40000"/>
    <n v="1.2"/>
    <x v="1"/>
    <n v="48000"/>
    <n v="0"/>
    <n v="48000"/>
    <n v="26000"/>
    <n v="74000"/>
    <x v="2"/>
    <x v="0"/>
    <x v="1"/>
    <n v="3"/>
    <x v="0"/>
  </r>
  <r>
    <x v="739"/>
    <x v="739"/>
    <s v="Yani Hidayat"/>
    <x v="33"/>
    <x v="11"/>
    <n v="15000"/>
    <n v="2.2999999999999998"/>
    <x v="1"/>
    <n v="34500"/>
    <n v="0"/>
    <n v="34500"/>
    <n v="80000"/>
    <n v="114500"/>
    <x v="1"/>
    <x v="0"/>
    <x v="3"/>
    <n v="1"/>
    <x v="0"/>
  </r>
  <r>
    <x v="740"/>
    <x v="740"/>
    <s v="Fitri Iskandar"/>
    <x v="8"/>
    <x v="0"/>
    <n v="10000"/>
    <n v="1.7"/>
    <x v="1"/>
    <n v="17000"/>
    <n v="0"/>
    <n v="17000"/>
    <n v="59000"/>
    <n v="76000"/>
    <x v="2"/>
    <x v="0"/>
    <x v="0"/>
    <n v="5"/>
    <x v="0"/>
  </r>
  <r>
    <x v="741"/>
    <x v="741"/>
    <s v="Bella Setiawan"/>
    <x v="36"/>
    <x v="18"/>
    <n v="11000"/>
    <n v="1"/>
    <x v="1"/>
    <n v="11000"/>
    <n v="0"/>
    <n v="11000"/>
    <n v="21000"/>
    <n v="32000"/>
    <x v="2"/>
    <x v="0"/>
    <x v="4"/>
    <n v="2"/>
    <x v="0"/>
  </r>
  <r>
    <x v="742"/>
    <x v="742"/>
    <s v="Sari Ramadhani"/>
    <x v="26"/>
    <x v="0"/>
    <n v="10000"/>
    <n v="1.8"/>
    <x v="1"/>
    <n v="18000"/>
    <n v="0"/>
    <n v="18000"/>
    <n v="46000"/>
    <n v="64000"/>
    <x v="2"/>
    <x v="0"/>
    <x v="4"/>
    <n v="2"/>
    <x v="0"/>
  </r>
  <r>
    <x v="743"/>
    <x v="743"/>
    <s v="Dina Kurniawan"/>
    <x v="31"/>
    <x v="2"/>
    <n v="20000"/>
    <n v="0.9"/>
    <x v="1"/>
    <n v="18000"/>
    <n v="0"/>
    <n v="18000"/>
    <n v="87000"/>
    <n v="105000"/>
    <x v="0"/>
    <x v="2"/>
    <x v="0"/>
    <n v="1"/>
    <x v="0"/>
  </r>
  <r>
    <x v="744"/>
    <x v="744"/>
    <s v="Qori Utami"/>
    <x v="30"/>
    <x v="0"/>
    <n v="10000"/>
    <n v="1.7"/>
    <x v="1"/>
    <n v="17000"/>
    <n v="0"/>
    <n v="17000"/>
    <n v="57000"/>
    <n v="74000"/>
    <x v="0"/>
    <x v="0"/>
    <x v="0"/>
    <n v="5"/>
    <x v="0"/>
  </r>
  <r>
    <x v="745"/>
    <x v="745"/>
    <s v="Eka Rahmawati"/>
    <x v="4"/>
    <x v="10"/>
    <n v="45000"/>
    <n v="1.8"/>
    <x v="1"/>
    <n v="81000"/>
    <n v="0"/>
    <n v="81000"/>
    <n v="43000"/>
    <n v="124000"/>
    <x v="1"/>
    <x v="1"/>
    <x v="4"/>
    <n v="4"/>
    <x v="0"/>
  </r>
  <r>
    <x v="746"/>
    <x v="746"/>
    <s v="Eka Hidayat"/>
    <x v="4"/>
    <x v="6"/>
    <n v="26000"/>
    <n v="1.6"/>
    <x v="1"/>
    <n v="41600"/>
    <n v="0"/>
    <n v="41600"/>
    <n v="43000"/>
    <n v="84600"/>
    <x v="0"/>
    <x v="2"/>
    <x v="4"/>
    <n v="2"/>
    <x v="0"/>
  </r>
  <r>
    <x v="746"/>
    <x v="746"/>
    <s v="Eka Hidayat"/>
    <x v="4"/>
    <x v="9"/>
    <n v="46000"/>
    <n v="0.3"/>
    <x v="1"/>
    <n v="13800"/>
    <n v="0"/>
    <n v="13800"/>
    <n v="0"/>
    <n v="13800"/>
    <x v="0"/>
    <x v="2"/>
    <x v="4"/>
    <n v="2"/>
    <x v="0"/>
  </r>
  <r>
    <x v="747"/>
    <x v="747"/>
    <s v="Gita Santoso"/>
    <x v="26"/>
    <x v="10"/>
    <n v="45000"/>
    <n v="0.5"/>
    <x v="1"/>
    <n v="22500"/>
    <n v="0"/>
    <n v="22500"/>
    <n v="46000"/>
    <n v="68500"/>
    <x v="1"/>
    <x v="0"/>
    <x v="0"/>
    <n v="2"/>
    <x v="0"/>
  </r>
  <r>
    <x v="748"/>
    <x v="748"/>
    <s v="Kartika Nugroho"/>
    <x v="4"/>
    <x v="8"/>
    <n v="17500"/>
    <n v="1.7"/>
    <x v="1"/>
    <n v="29750"/>
    <n v="0"/>
    <n v="29750"/>
    <n v="43000"/>
    <n v="72750"/>
    <x v="0"/>
    <x v="1"/>
    <x v="1"/>
    <n v="3"/>
    <x v="0"/>
  </r>
  <r>
    <x v="749"/>
    <x v="749"/>
    <s v="Fajar Fauziah"/>
    <x v="24"/>
    <x v="9"/>
    <n v="46000"/>
    <n v="0.4"/>
    <x v="1"/>
    <n v="18400"/>
    <n v="0"/>
    <n v="18400"/>
    <n v="68000"/>
    <n v="86400"/>
    <x v="2"/>
    <x v="0"/>
    <x v="3"/>
    <n v="5"/>
    <x v="1"/>
  </r>
  <r>
    <x v="750"/>
    <x v="750"/>
    <s v="Sari Hidayat"/>
    <x v="2"/>
    <x v="17"/>
    <n v="12000"/>
    <n v="0.9"/>
    <x v="1"/>
    <n v="10800"/>
    <n v="0"/>
    <n v="10800"/>
    <n v="76000"/>
    <n v="86800"/>
    <x v="0"/>
    <x v="0"/>
    <x v="1"/>
    <n v="2"/>
    <x v="0"/>
  </r>
  <r>
    <x v="751"/>
    <x v="751"/>
    <s v="Fitri Halim"/>
    <x v="6"/>
    <x v="12"/>
    <n v="9500"/>
    <n v="1.2"/>
    <x v="1"/>
    <n v="11400"/>
    <n v="0"/>
    <n v="11400"/>
    <n v="80000"/>
    <n v="91400"/>
    <x v="0"/>
    <x v="0"/>
    <x v="0"/>
    <n v="1"/>
    <x v="0"/>
  </r>
  <r>
    <x v="752"/>
    <x v="752"/>
    <s v="Eka Halim"/>
    <x v="3"/>
    <x v="15"/>
    <n v="10000"/>
    <n v="1"/>
    <x v="1"/>
    <n v="10000"/>
    <n v="0"/>
    <n v="10000"/>
    <n v="93000"/>
    <n v="103000"/>
    <x v="0"/>
    <x v="2"/>
    <x v="3"/>
    <n v="2"/>
    <x v="0"/>
  </r>
  <r>
    <x v="753"/>
    <x v="753"/>
    <s v="Sari Iskandar"/>
    <x v="17"/>
    <x v="7"/>
    <n v="14000"/>
    <n v="1.4"/>
    <x v="1"/>
    <n v="19600"/>
    <n v="0"/>
    <n v="19600"/>
    <n v="72000"/>
    <n v="91600"/>
    <x v="2"/>
    <x v="0"/>
    <x v="2"/>
    <n v="2"/>
    <x v="0"/>
  </r>
  <r>
    <x v="754"/>
    <x v="754"/>
    <s v="Kartika Halim"/>
    <x v="36"/>
    <x v="13"/>
    <n v="10000"/>
    <n v="0.6"/>
    <x v="1"/>
    <n v="6000"/>
    <n v="0"/>
    <n v="6000"/>
    <n v="21000"/>
    <n v="27000"/>
    <x v="2"/>
    <x v="0"/>
    <x v="1"/>
    <n v="4"/>
    <x v="0"/>
  </r>
  <r>
    <x v="755"/>
    <x v="755"/>
    <s v="Dina Ramadhani"/>
    <x v="25"/>
    <x v="4"/>
    <n v="40000"/>
    <n v="0.4"/>
    <x v="1"/>
    <n v="16000"/>
    <n v="0"/>
    <n v="16000"/>
    <n v="50000"/>
    <n v="66000"/>
    <x v="2"/>
    <x v="0"/>
    <x v="0"/>
    <n v="3"/>
    <x v="0"/>
  </r>
  <r>
    <x v="756"/>
    <x v="756"/>
    <s v="Ani Halim"/>
    <x v="25"/>
    <x v="14"/>
    <n v="55000"/>
    <n v="0.6"/>
    <x v="1"/>
    <n v="33000"/>
    <n v="0"/>
    <n v="33000"/>
    <n v="50000"/>
    <n v="83000"/>
    <x v="1"/>
    <x v="0"/>
    <x v="1"/>
    <n v="2"/>
    <x v="0"/>
  </r>
  <r>
    <x v="757"/>
    <x v="757"/>
    <s v="Kartika Saputra"/>
    <x v="37"/>
    <x v="11"/>
    <n v="15000"/>
    <n v="1.9"/>
    <x v="1"/>
    <n v="28500"/>
    <n v="0"/>
    <n v="28500"/>
    <n v="67000"/>
    <n v="95500"/>
    <x v="1"/>
    <x v="0"/>
    <x v="0"/>
    <n v="5"/>
    <x v="0"/>
  </r>
  <r>
    <x v="758"/>
    <x v="758"/>
    <s v="Zahra Kurniawan"/>
    <x v="0"/>
    <x v="10"/>
    <n v="45000"/>
    <n v="0.6"/>
    <x v="1"/>
    <n v="27000"/>
    <n v="0"/>
    <n v="27000"/>
    <n v="15000"/>
    <n v="42000"/>
    <x v="2"/>
    <x v="0"/>
    <x v="1"/>
    <n v="3"/>
    <x v="0"/>
  </r>
  <r>
    <x v="759"/>
    <x v="759"/>
    <s v="Clara Setiawan"/>
    <x v="16"/>
    <x v="11"/>
    <n v="15000"/>
    <n v="0.3"/>
    <x v="1"/>
    <n v="4500"/>
    <n v="0"/>
    <n v="4500"/>
    <n v="18000"/>
    <n v="22500"/>
    <x v="0"/>
    <x v="2"/>
    <x v="0"/>
    <n v="2"/>
    <x v="0"/>
  </r>
  <r>
    <x v="760"/>
    <x v="760"/>
    <s v="Vina Kurniawan"/>
    <x v="19"/>
    <x v="13"/>
    <n v="10000"/>
    <n v="0.8"/>
    <x v="1"/>
    <n v="8000"/>
    <n v="0"/>
    <n v="8000"/>
    <n v="78000"/>
    <n v="86000"/>
    <x v="2"/>
    <x v="0"/>
    <x v="0"/>
    <n v="2"/>
    <x v="0"/>
  </r>
  <r>
    <x v="761"/>
    <x v="761"/>
    <s v="Erna Kusuma"/>
    <x v="18"/>
    <x v="15"/>
    <n v="10000"/>
    <n v="0.9"/>
    <x v="1"/>
    <n v="9000"/>
    <n v="0"/>
    <n v="9000"/>
    <n v="0"/>
    <n v="9000"/>
    <x v="2"/>
    <x v="0"/>
    <x v="0"/>
    <n v="1"/>
    <x v="0"/>
  </r>
  <r>
    <x v="762"/>
    <x v="762"/>
    <s v="Ani Ramadhani"/>
    <x v="25"/>
    <x v="10"/>
    <n v="45000"/>
    <n v="1.2"/>
    <x v="1"/>
    <n v="54000"/>
    <n v="0"/>
    <n v="54000"/>
    <n v="50000"/>
    <n v="104000"/>
    <x v="1"/>
    <x v="1"/>
    <x v="0"/>
    <n v="1"/>
    <x v="0"/>
  </r>
  <r>
    <x v="763"/>
    <x v="763"/>
    <s v="Tono Fauziah"/>
    <x v="30"/>
    <x v="8"/>
    <n v="17500"/>
    <n v="2"/>
    <x v="1"/>
    <n v="35000"/>
    <n v="0"/>
    <n v="35000"/>
    <n v="57000"/>
    <n v="92000"/>
    <x v="3"/>
    <x v="2"/>
    <x v="4"/>
    <n v="4"/>
    <x v="1"/>
  </r>
  <r>
    <x v="764"/>
    <x v="764"/>
    <s v="Hana Ramadhani"/>
    <x v="13"/>
    <x v="18"/>
    <n v="11000"/>
    <n v="1.2"/>
    <x v="1"/>
    <n v="13200"/>
    <n v="0"/>
    <n v="13200"/>
    <n v="49000"/>
    <n v="62200"/>
    <x v="0"/>
    <x v="1"/>
    <x v="3"/>
    <n v="1"/>
    <x v="0"/>
  </r>
  <r>
    <x v="765"/>
    <x v="765"/>
    <s v="Made Fauziah"/>
    <x v="8"/>
    <x v="17"/>
    <n v="12000"/>
    <n v="1.5"/>
    <x v="1"/>
    <n v="18000"/>
    <n v="0"/>
    <n v="18000"/>
    <n v="59000"/>
    <n v="77000"/>
    <x v="2"/>
    <x v="1"/>
    <x v="4"/>
    <n v="1"/>
    <x v="1"/>
  </r>
  <r>
    <x v="766"/>
    <x v="766"/>
    <s v="Kartika Pradipta"/>
    <x v="36"/>
    <x v="2"/>
    <n v="20000"/>
    <n v="1.3"/>
    <x v="1"/>
    <n v="26000"/>
    <n v="0"/>
    <n v="26000"/>
    <n v="21000"/>
    <n v="47000"/>
    <x v="0"/>
    <x v="1"/>
    <x v="2"/>
    <n v="5"/>
    <x v="0"/>
  </r>
  <r>
    <x v="767"/>
    <x v="767"/>
    <s v="Sari Hidayat"/>
    <x v="2"/>
    <x v="9"/>
    <n v="46000"/>
    <n v="0.9"/>
    <x v="0"/>
    <n v="41400"/>
    <n v="2070"/>
    <n v="39330"/>
    <n v="76000"/>
    <n v="115330"/>
    <x v="0"/>
    <x v="0"/>
    <x v="4"/>
    <n v="5"/>
    <x v="0"/>
  </r>
  <r>
    <x v="768"/>
    <x v="768"/>
    <s v="Erna Santoso"/>
    <x v="4"/>
    <x v="10"/>
    <n v="45000"/>
    <n v="0.5"/>
    <x v="0"/>
    <n v="22500"/>
    <n v="1125"/>
    <n v="21375"/>
    <n v="43000"/>
    <n v="64375"/>
    <x v="0"/>
    <x v="0"/>
    <x v="3"/>
    <n v="3"/>
    <x v="0"/>
  </r>
  <r>
    <x v="769"/>
    <x v="769"/>
    <s v="Gita Kusuma"/>
    <x v="13"/>
    <x v="1"/>
    <n v="15000"/>
    <n v="0.2"/>
    <x v="0"/>
    <n v="3000"/>
    <n v="150"/>
    <n v="2850"/>
    <n v="49000"/>
    <n v="51850"/>
    <x v="2"/>
    <x v="1"/>
    <x v="4"/>
    <n v="3"/>
    <x v="0"/>
  </r>
  <r>
    <x v="770"/>
    <x v="770"/>
    <s v="Clara Utami"/>
    <x v="34"/>
    <x v="9"/>
    <n v="46000"/>
    <n v="0.9"/>
    <x v="0"/>
    <n v="41400"/>
    <n v="2070"/>
    <n v="39330"/>
    <n v="18000"/>
    <n v="57330"/>
    <x v="1"/>
    <x v="0"/>
    <x v="3"/>
    <n v="5"/>
    <x v="0"/>
  </r>
  <r>
    <x v="770"/>
    <x v="770"/>
    <s v="Clara Utami"/>
    <x v="34"/>
    <x v="7"/>
    <n v="14000"/>
    <n v="1.1000000000000001"/>
    <x v="0"/>
    <n v="15400.000000000002"/>
    <n v="770.00000000000011"/>
    <n v="14630.000000000002"/>
    <n v="0"/>
    <n v="14630.000000000002"/>
    <x v="1"/>
    <x v="0"/>
    <x v="3"/>
    <n v="5"/>
    <x v="0"/>
  </r>
  <r>
    <x v="771"/>
    <x v="771"/>
    <s v="Qori Santoso"/>
    <x v="0"/>
    <x v="13"/>
    <n v="10000"/>
    <n v="1.2"/>
    <x v="1"/>
    <n v="12000"/>
    <n v="0"/>
    <n v="12000"/>
    <n v="15000"/>
    <n v="27000"/>
    <x v="3"/>
    <x v="0"/>
    <x v="0"/>
    <n v="5"/>
    <x v="0"/>
  </r>
  <r>
    <x v="772"/>
    <x v="772"/>
    <s v="Gita Utami"/>
    <x v="34"/>
    <x v="8"/>
    <n v="17500"/>
    <n v="1.3"/>
    <x v="1"/>
    <n v="22750"/>
    <n v="0"/>
    <n v="22750"/>
    <n v="18000"/>
    <n v="40750"/>
    <x v="2"/>
    <x v="0"/>
    <x v="2"/>
    <n v="5"/>
    <x v="0"/>
  </r>
  <r>
    <x v="773"/>
    <x v="773"/>
    <s v="Fitri Setiawan"/>
    <x v="13"/>
    <x v="16"/>
    <n v="115000"/>
    <n v="1"/>
    <x v="1"/>
    <n v="115000"/>
    <n v="0"/>
    <n v="115000"/>
    <n v="49000"/>
    <n v="164000"/>
    <x v="2"/>
    <x v="0"/>
    <x v="3"/>
    <n v="5"/>
    <x v="0"/>
  </r>
  <r>
    <x v="774"/>
    <x v="774"/>
    <s v="Kartika Santoso"/>
    <x v="10"/>
    <x v="2"/>
    <n v="20000"/>
    <n v="1.5"/>
    <x v="1"/>
    <n v="30000"/>
    <n v="0"/>
    <n v="30000"/>
    <n v="87000"/>
    <n v="117000"/>
    <x v="1"/>
    <x v="0"/>
    <x v="0"/>
    <n v="3"/>
    <x v="0"/>
  </r>
  <r>
    <x v="775"/>
    <x v="775"/>
    <s v="Yani Hidayat"/>
    <x v="33"/>
    <x v="13"/>
    <n v="10000"/>
    <n v="0.8"/>
    <x v="1"/>
    <n v="8000"/>
    <n v="0"/>
    <n v="8000"/>
    <n v="80000"/>
    <n v="88000"/>
    <x v="3"/>
    <x v="0"/>
    <x v="0"/>
    <n v="4"/>
    <x v="0"/>
  </r>
  <r>
    <x v="776"/>
    <x v="776"/>
    <s v="Erna Ananda"/>
    <x v="16"/>
    <x v="2"/>
    <n v="20000"/>
    <n v="3.2"/>
    <x v="1"/>
    <n v="64000"/>
    <n v="0"/>
    <n v="64000"/>
    <n v="18000"/>
    <n v="82000"/>
    <x v="1"/>
    <x v="1"/>
    <x v="3"/>
    <n v="3"/>
    <x v="0"/>
  </r>
  <r>
    <x v="777"/>
    <x v="777"/>
    <s v="Andi Wijaya"/>
    <x v="36"/>
    <x v="5"/>
    <n v="10500"/>
    <n v="2.2000000000000002"/>
    <x v="1"/>
    <n v="23100.000000000004"/>
    <n v="0"/>
    <n v="23100.000000000004"/>
    <n v="21000"/>
    <n v="44100"/>
    <x v="3"/>
    <x v="0"/>
    <x v="0"/>
    <n v="3"/>
    <x v="1"/>
  </r>
  <r>
    <x v="778"/>
    <x v="778"/>
    <s v="Hana Fauziah"/>
    <x v="14"/>
    <x v="11"/>
    <n v="15000"/>
    <n v="0.9"/>
    <x v="1"/>
    <n v="13500"/>
    <n v="0"/>
    <n v="13500"/>
    <n v="85000"/>
    <n v="98500"/>
    <x v="0"/>
    <x v="0"/>
    <x v="4"/>
    <n v="1"/>
    <x v="0"/>
  </r>
  <r>
    <x v="779"/>
    <x v="779"/>
    <s v="Dewi Wijaya"/>
    <x v="12"/>
    <x v="4"/>
    <n v="40000"/>
    <n v="1.5"/>
    <x v="1"/>
    <n v="60000"/>
    <n v="0"/>
    <n v="60000"/>
    <n v="30000"/>
    <n v="90000"/>
    <x v="1"/>
    <x v="1"/>
    <x v="0"/>
    <n v="1"/>
    <x v="0"/>
  </r>
  <r>
    <x v="780"/>
    <x v="780"/>
    <s v="Zahra Santoso"/>
    <x v="9"/>
    <x v="2"/>
    <n v="20000"/>
    <n v="1.2"/>
    <x v="1"/>
    <n v="24000"/>
    <n v="0"/>
    <n v="24000"/>
    <n v="89000"/>
    <n v="113000"/>
    <x v="2"/>
    <x v="0"/>
    <x v="0"/>
    <n v="4"/>
    <x v="0"/>
  </r>
  <r>
    <x v="781"/>
    <x v="781"/>
    <s v="Iwan Maulana"/>
    <x v="14"/>
    <x v="8"/>
    <n v="17500"/>
    <n v="1.2"/>
    <x v="1"/>
    <n v="21000"/>
    <n v="0"/>
    <n v="21000"/>
    <n v="85000"/>
    <n v="106000"/>
    <x v="3"/>
    <x v="2"/>
    <x v="4"/>
    <n v="5"/>
    <x v="1"/>
  </r>
  <r>
    <x v="782"/>
    <x v="782"/>
    <s v="Qori Setiawan"/>
    <x v="10"/>
    <x v="9"/>
    <n v="46000"/>
    <n v="1.1000000000000001"/>
    <x v="1"/>
    <n v="50600.000000000007"/>
    <n v="0"/>
    <n v="50600.000000000007"/>
    <n v="87000"/>
    <n v="137600"/>
    <x v="1"/>
    <x v="0"/>
    <x v="0"/>
    <n v="5"/>
    <x v="0"/>
  </r>
  <r>
    <x v="783"/>
    <x v="783"/>
    <s v="Hana Puspita"/>
    <x v="34"/>
    <x v="12"/>
    <n v="9500"/>
    <n v="1.8"/>
    <x v="1"/>
    <n v="17100"/>
    <n v="0"/>
    <n v="17100"/>
    <n v="18000"/>
    <n v="35100"/>
    <x v="3"/>
    <x v="0"/>
    <x v="3"/>
    <n v="2"/>
    <x v="0"/>
  </r>
  <r>
    <x v="784"/>
    <x v="784"/>
    <s v="Bella Hidayat"/>
    <x v="35"/>
    <x v="3"/>
    <n v="13500"/>
    <n v="2.2999999999999998"/>
    <x v="1"/>
    <n v="31049.999999999996"/>
    <n v="0"/>
    <n v="31049.999999999996"/>
    <n v="79000"/>
    <n v="110050"/>
    <x v="1"/>
    <x v="0"/>
    <x v="2"/>
    <n v="2"/>
    <x v="0"/>
  </r>
  <r>
    <x v="785"/>
    <x v="785"/>
    <s v="Yani Hidayat"/>
    <x v="33"/>
    <x v="7"/>
    <n v="14000"/>
    <n v="0.9"/>
    <x v="1"/>
    <n v="12600"/>
    <n v="0"/>
    <n v="12600"/>
    <n v="80000"/>
    <n v="92600"/>
    <x v="3"/>
    <x v="1"/>
    <x v="4"/>
    <n v="5"/>
    <x v="0"/>
  </r>
  <r>
    <x v="786"/>
    <x v="786"/>
    <s v="Putri Kurniawan"/>
    <x v="9"/>
    <x v="8"/>
    <n v="17500"/>
    <n v="1.8"/>
    <x v="1"/>
    <n v="31500"/>
    <n v="0"/>
    <n v="31500"/>
    <n v="89000"/>
    <n v="120500"/>
    <x v="1"/>
    <x v="1"/>
    <x v="0"/>
    <n v="4"/>
    <x v="0"/>
  </r>
  <r>
    <x v="787"/>
    <x v="787"/>
    <s v="Yoga Nugroho"/>
    <x v="5"/>
    <x v="4"/>
    <n v="40000"/>
    <n v="1.3"/>
    <x v="1"/>
    <n v="52000"/>
    <n v="0"/>
    <n v="52000"/>
    <n v="18000"/>
    <n v="70000"/>
    <x v="0"/>
    <x v="0"/>
    <x v="1"/>
    <n v="4"/>
    <x v="1"/>
  </r>
  <r>
    <x v="788"/>
    <x v="788"/>
    <s v="Dina Kusuma"/>
    <x v="29"/>
    <x v="17"/>
    <n v="12000"/>
    <n v="0.8"/>
    <x v="1"/>
    <n v="9600"/>
    <n v="0"/>
    <n v="9600"/>
    <n v="48000"/>
    <n v="57600"/>
    <x v="2"/>
    <x v="0"/>
    <x v="1"/>
    <n v="2"/>
    <x v="0"/>
  </r>
  <r>
    <x v="789"/>
    <x v="789"/>
    <s v="Eka Saputra"/>
    <x v="29"/>
    <x v="12"/>
    <n v="9500"/>
    <n v="0.8"/>
    <x v="1"/>
    <n v="7600"/>
    <n v="0"/>
    <n v="7600"/>
    <n v="48000"/>
    <n v="55600"/>
    <x v="0"/>
    <x v="0"/>
    <x v="3"/>
    <n v="4"/>
    <x v="0"/>
  </r>
  <r>
    <x v="790"/>
    <x v="790"/>
    <s v="Ani Kusuma"/>
    <x v="29"/>
    <x v="0"/>
    <n v="10000"/>
    <n v="1.4"/>
    <x v="1"/>
    <n v="14000"/>
    <n v="0"/>
    <n v="14000"/>
    <n v="48000"/>
    <n v="62000"/>
    <x v="2"/>
    <x v="0"/>
    <x v="0"/>
    <n v="1"/>
    <x v="0"/>
  </r>
  <r>
    <x v="791"/>
    <x v="791"/>
    <s v="Aulia Wijaya"/>
    <x v="22"/>
    <x v="2"/>
    <n v="20000"/>
    <n v="1.1000000000000001"/>
    <x v="1"/>
    <n v="22000"/>
    <n v="0"/>
    <n v="22000"/>
    <n v="50000"/>
    <n v="72000"/>
    <x v="0"/>
    <x v="0"/>
    <x v="2"/>
    <n v="2"/>
    <x v="0"/>
  </r>
  <r>
    <x v="792"/>
    <x v="792"/>
    <s v="Hana Fauziah"/>
    <x v="14"/>
    <x v="1"/>
    <n v="15000"/>
    <n v="0.8"/>
    <x v="1"/>
    <n v="12000"/>
    <n v="0"/>
    <n v="12000"/>
    <n v="85000"/>
    <n v="97000"/>
    <x v="3"/>
    <x v="0"/>
    <x v="1"/>
    <n v="4"/>
    <x v="0"/>
  </r>
  <r>
    <x v="793"/>
    <x v="793"/>
    <s v="Gita Nugroho"/>
    <x v="2"/>
    <x v="10"/>
    <n v="45000"/>
    <n v="1.6"/>
    <x v="1"/>
    <n v="72000"/>
    <n v="0"/>
    <n v="72000"/>
    <n v="76000"/>
    <n v="148000"/>
    <x v="0"/>
    <x v="0"/>
    <x v="4"/>
    <n v="4"/>
    <x v="0"/>
  </r>
  <r>
    <x v="794"/>
    <x v="794"/>
    <s v="Putri Ramadhani"/>
    <x v="34"/>
    <x v="8"/>
    <n v="17500"/>
    <n v="2.2999999999999998"/>
    <x v="1"/>
    <n v="40250"/>
    <n v="0"/>
    <n v="40250"/>
    <n v="18000"/>
    <n v="58250"/>
    <x v="1"/>
    <x v="0"/>
    <x v="2"/>
    <n v="4"/>
    <x v="0"/>
  </r>
  <r>
    <x v="795"/>
    <x v="795"/>
    <s v="Eka Pradipta"/>
    <x v="18"/>
    <x v="8"/>
    <n v="17500"/>
    <n v="2.6"/>
    <x v="1"/>
    <n v="45500"/>
    <n v="0"/>
    <n v="45500"/>
    <n v="0"/>
    <n v="45500"/>
    <x v="3"/>
    <x v="0"/>
    <x v="2"/>
    <n v="3"/>
    <x v="0"/>
  </r>
  <r>
    <x v="796"/>
    <x v="796"/>
    <s v="Vina Maulana"/>
    <x v="0"/>
    <x v="16"/>
    <n v="115000"/>
    <n v="0.9"/>
    <x v="0"/>
    <n v="103500"/>
    <n v="5175"/>
    <n v="98325"/>
    <n v="15000"/>
    <n v="113325"/>
    <x v="1"/>
    <x v="2"/>
    <x v="2"/>
    <n v="2"/>
    <x v="0"/>
  </r>
  <r>
    <x v="797"/>
    <x v="797"/>
    <s v="Aulia Santoso"/>
    <x v="32"/>
    <x v="2"/>
    <n v="20000"/>
    <n v="2.5"/>
    <x v="0"/>
    <n v="50000"/>
    <n v="2500"/>
    <n v="47500"/>
    <n v="28000"/>
    <n v="75500"/>
    <x v="3"/>
    <x v="0"/>
    <x v="2"/>
    <n v="4"/>
    <x v="0"/>
  </r>
  <r>
    <x v="798"/>
    <x v="798"/>
    <s v="Putri Saputra"/>
    <x v="14"/>
    <x v="4"/>
    <n v="40000"/>
    <n v="0.4"/>
    <x v="0"/>
    <n v="16000"/>
    <n v="800"/>
    <n v="15200"/>
    <n v="85000"/>
    <n v="100200"/>
    <x v="0"/>
    <x v="0"/>
    <x v="4"/>
    <n v="5"/>
    <x v="0"/>
  </r>
  <r>
    <x v="799"/>
    <x v="799"/>
    <s v="Dewi Santoso"/>
    <x v="26"/>
    <x v="16"/>
    <n v="115000"/>
    <n v="0.7"/>
    <x v="0"/>
    <n v="80500"/>
    <n v="4025"/>
    <n v="76475"/>
    <n v="46000"/>
    <n v="122475"/>
    <x v="0"/>
    <x v="1"/>
    <x v="1"/>
    <n v="3"/>
    <x v="0"/>
  </r>
  <r>
    <x v="800"/>
    <x v="800"/>
    <s v="Zahra Budiman"/>
    <x v="27"/>
    <x v="4"/>
    <n v="40000"/>
    <n v="0.4"/>
    <x v="0"/>
    <n v="16000"/>
    <n v="800"/>
    <n v="15200"/>
    <n v="49000"/>
    <n v="64200"/>
    <x v="3"/>
    <x v="0"/>
    <x v="3"/>
    <n v="1"/>
    <x v="0"/>
  </r>
  <r>
    <x v="801"/>
    <x v="801"/>
    <s v="Zahra Wijaya"/>
    <x v="12"/>
    <x v="3"/>
    <n v="13500"/>
    <n v="1.9"/>
    <x v="0"/>
    <n v="25650"/>
    <n v="1282.5"/>
    <n v="24367.5"/>
    <n v="30000"/>
    <n v="54367.5"/>
    <x v="0"/>
    <x v="0"/>
    <x v="1"/>
    <n v="1"/>
    <x v="0"/>
  </r>
  <r>
    <x v="802"/>
    <x v="802"/>
    <s v="Eka Maulana"/>
    <x v="2"/>
    <x v="16"/>
    <n v="115000"/>
    <n v="0.5"/>
    <x v="0"/>
    <n v="57500"/>
    <n v="2875"/>
    <n v="54625"/>
    <n v="76000"/>
    <n v="130625"/>
    <x v="0"/>
    <x v="1"/>
    <x v="3"/>
    <n v="4"/>
    <x v="0"/>
  </r>
  <r>
    <x v="803"/>
    <x v="803"/>
    <s v="Yani Puspita"/>
    <x v="1"/>
    <x v="10"/>
    <n v="45000"/>
    <n v="0.6"/>
    <x v="0"/>
    <n v="27000"/>
    <n v="1350"/>
    <n v="25650"/>
    <n v="17000"/>
    <n v="42650"/>
    <x v="2"/>
    <x v="0"/>
    <x v="0"/>
    <n v="4"/>
    <x v="0"/>
  </r>
  <r>
    <x v="804"/>
    <x v="804"/>
    <s v="Citra Saputra"/>
    <x v="11"/>
    <x v="12"/>
    <n v="9500"/>
    <n v="1.1000000000000001"/>
    <x v="0"/>
    <n v="10450"/>
    <n v="522.5"/>
    <n v="9927.5"/>
    <n v="74000"/>
    <n v="83927.5"/>
    <x v="2"/>
    <x v="0"/>
    <x v="2"/>
    <n v="4"/>
    <x v="0"/>
  </r>
  <r>
    <x v="804"/>
    <x v="804"/>
    <s v="Citra Saputra"/>
    <x v="11"/>
    <x v="2"/>
    <n v="20000"/>
    <n v="1.5"/>
    <x v="0"/>
    <n v="30000"/>
    <n v="1500"/>
    <n v="28500"/>
    <n v="0"/>
    <n v="28500"/>
    <x v="2"/>
    <x v="0"/>
    <x v="2"/>
    <n v="4"/>
    <x v="0"/>
  </r>
  <r>
    <x v="805"/>
    <x v="805"/>
    <s v="Yani Budiman"/>
    <x v="25"/>
    <x v="15"/>
    <n v="10000"/>
    <n v="1.2"/>
    <x v="0"/>
    <n v="12000"/>
    <n v="600"/>
    <n v="11400"/>
    <n v="50000"/>
    <n v="61400"/>
    <x v="2"/>
    <x v="0"/>
    <x v="1"/>
    <n v="4"/>
    <x v="0"/>
  </r>
  <r>
    <x v="806"/>
    <x v="806"/>
    <s v="Lestari Pradipta"/>
    <x v="28"/>
    <x v="18"/>
    <n v="11000"/>
    <n v="0.7"/>
    <x v="0"/>
    <n v="7699.9999999999991"/>
    <n v="385"/>
    <n v="7314.9999999999991"/>
    <n v="56000"/>
    <n v="63315"/>
    <x v="1"/>
    <x v="0"/>
    <x v="4"/>
    <n v="1"/>
    <x v="0"/>
  </r>
  <r>
    <x v="807"/>
    <x v="807"/>
    <s v="Fitri Setiawan"/>
    <x v="13"/>
    <x v="18"/>
    <n v="11000"/>
    <n v="0.7"/>
    <x v="0"/>
    <n v="7699.9999999999991"/>
    <n v="385"/>
    <n v="7314.9999999999991"/>
    <n v="49000"/>
    <n v="56315"/>
    <x v="1"/>
    <x v="0"/>
    <x v="2"/>
    <n v="1"/>
    <x v="0"/>
  </r>
  <r>
    <x v="808"/>
    <x v="808"/>
    <s v="Fitri Hidayat"/>
    <x v="17"/>
    <x v="9"/>
    <n v="46000"/>
    <n v="1"/>
    <x v="0"/>
    <n v="46000"/>
    <n v="2300"/>
    <n v="43700"/>
    <n v="72000"/>
    <n v="115700"/>
    <x v="2"/>
    <x v="1"/>
    <x v="0"/>
    <n v="3"/>
    <x v="0"/>
  </r>
  <r>
    <x v="809"/>
    <x v="809"/>
    <s v="Kartika Saputra"/>
    <x v="37"/>
    <x v="8"/>
    <n v="17500"/>
    <n v="2.1"/>
    <x v="0"/>
    <n v="36750"/>
    <n v="1837.5"/>
    <n v="34912.5"/>
    <n v="67000"/>
    <n v="101912.5"/>
    <x v="2"/>
    <x v="0"/>
    <x v="2"/>
    <n v="4"/>
    <x v="0"/>
  </r>
  <r>
    <x v="810"/>
    <x v="810"/>
    <s v="Lestari Puspita"/>
    <x v="19"/>
    <x v="10"/>
    <n v="45000"/>
    <n v="1.7"/>
    <x v="0"/>
    <n v="76500"/>
    <n v="3825"/>
    <n v="72675"/>
    <n v="78000"/>
    <n v="150675"/>
    <x v="0"/>
    <x v="0"/>
    <x v="0"/>
    <n v="5"/>
    <x v="0"/>
  </r>
  <r>
    <x v="811"/>
    <x v="811"/>
    <s v="Erna Setiawan"/>
    <x v="6"/>
    <x v="14"/>
    <n v="55000"/>
    <n v="0.5"/>
    <x v="0"/>
    <n v="27500"/>
    <n v="1375"/>
    <n v="26125"/>
    <n v="80000"/>
    <n v="106125"/>
    <x v="0"/>
    <x v="0"/>
    <x v="0"/>
    <n v="2"/>
    <x v="0"/>
  </r>
  <r>
    <x v="812"/>
    <x v="812"/>
    <s v="Eka Ramadhani"/>
    <x v="31"/>
    <x v="16"/>
    <n v="115000"/>
    <n v="0.2"/>
    <x v="0"/>
    <n v="23000"/>
    <n v="1150"/>
    <n v="21850"/>
    <n v="87000"/>
    <n v="108850"/>
    <x v="2"/>
    <x v="0"/>
    <x v="1"/>
    <n v="4"/>
    <x v="0"/>
  </r>
  <r>
    <x v="813"/>
    <x v="813"/>
    <s v="Yani Maulana"/>
    <x v="19"/>
    <x v="19"/>
    <n v="15500"/>
    <n v="0.6"/>
    <x v="0"/>
    <n v="9300"/>
    <n v="465"/>
    <n v="8835"/>
    <n v="78000"/>
    <n v="86835"/>
    <x v="0"/>
    <x v="0"/>
    <x v="0"/>
    <n v="5"/>
    <x v="0"/>
  </r>
  <r>
    <x v="814"/>
    <x v="814"/>
    <s v="Ani Budiman"/>
    <x v="17"/>
    <x v="15"/>
    <n v="10000"/>
    <n v="0.2"/>
    <x v="0"/>
    <n v="2000"/>
    <n v="100"/>
    <n v="1900"/>
    <n v="72000"/>
    <n v="73900"/>
    <x v="1"/>
    <x v="0"/>
    <x v="0"/>
    <n v="1"/>
    <x v="0"/>
  </r>
  <r>
    <x v="815"/>
    <x v="815"/>
    <s v="Erna Iskandar"/>
    <x v="17"/>
    <x v="0"/>
    <n v="10000"/>
    <n v="3.8"/>
    <x v="0"/>
    <n v="38000"/>
    <n v="1900"/>
    <n v="36100"/>
    <n v="72000"/>
    <n v="108100"/>
    <x v="3"/>
    <x v="2"/>
    <x v="0"/>
    <n v="4"/>
    <x v="0"/>
  </r>
  <r>
    <x v="816"/>
    <x v="816"/>
    <s v="Bella Rahmawati"/>
    <x v="8"/>
    <x v="17"/>
    <n v="12000"/>
    <n v="0.6"/>
    <x v="0"/>
    <n v="7200"/>
    <n v="360"/>
    <n v="6840"/>
    <n v="59000"/>
    <n v="65840"/>
    <x v="1"/>
    <x v="0"/>
    <x v="0"/>
    <n v="1"/>
    <x v="0"/>
  </r>
  <r>
    <x v="817"/>
    <x v="817"/>
    <s v="Putri Halim"/>
    <x v="24"/>
    <x v="10"/>
    <n v="45000"/>
    <n v="1"/>
    <x v="0"/>
    <n v="45000"/>
    <n v="2250"/>
    <n v="42750"/>
    <n v="68000"/>
    <n v="110750"/>
    <x v="0"/>
    <x v="0"/>
    <x v="2"/>
    <n v="1"/>
    <x v="0"/>
  </r>
  <r>
    <x v="818"/>
    <x v="818"/>
    <s v="Bella Ramadhani"/>
    <x v="14"/>
    <x v="8"/>
    <n v="17500"/>
    <n v="1"/>
    <x v="0"/>
    <n v="17500"/>
    <n v="875"/>
    <n v="16625"/>
    <n v="85000"/>
    <n v="101625"/>
    <x v="3"/>
    <x v="0"/>
    <x v="4"/>
    <n v="2"/>
    <x v="0"/>
  </r>
  <r>
    <x v="819"/>
    <x v="819"/>
    <s v="Sari Wijaya"/>
    <x v="4"/>
    <x v="5"/>
    <n v="10500"/>
    <n v="1.7"/>
    <x v="0"/>
    <n v="17850"/>
    <n v="892.5"/>
    <n v="16957.5"/>
    <n v="43000"/>
    <n v="59957.5"/>
    <x v="0"/>
    <x v="0"/>
    <x v="0"/>
    <n v="1"/>
    <x v="0"/>
  </r>
  <r>
    <x v="820"/>
    <x v="820"/>
    <s v="Arif Maulana"/>
    <x v="15"/>
    <x v="4"/>
    <n v="40000"/>
    <n v="0.3"/>
    <x v="0"/>
    <n v="12000"/>
    <n v="600"/>
    <n v="11400"/>
    <n v="97000"/>
    <n v="108400"/>
    <x v="2"/>
    <x v="0"/>
    <x v="0"/>
    <n v="4"/>
    <x v="1"/>
  </r>
  <r>
    <x v="821"/>
    <x v="821"/>
    <s v="Aulia Fauziah"/>
    <x v="24"/>
    <x v="14"/>
    <n v="55000"/>
    <n v="1.1000000000000001"/>
    <x v="1"/>
    <n v="60500.000000000007"/>
    <n v="0"/>
    <n v="60500.000000000007"/>
    <n v="68000"/>
    <n v="128500"/>
    <x v="0"/>
    <x v="0"/>
    <x v="1"/>
    <n v="2"/>
    <x v="0"/>
  </r>
  <r>
    <x v="822"/>
    <x v="822"/>
    <s v="Citra Santoso"/>
    <x v="14"/>
    <x v="8"/>
    <n v="17500"/>
    <n v="0.7"/>
    <x v="1"/>
    <n v="12250"/>
    <n v="0"/>
    <n v="12250"/>
    <n v="85000"/>
    <n v="97250"/>
    <x v="0"/>
    <x v="1"/>
    <x v="3"/>
    <n v="3"/>
    <x v="0"/>
  </r>
  <r>
    <x v="823"/>
    <x v="823"/>
    <s v="Eka Kurniawan"/>
    <x v="37"/>
    <x v="16"/>
    <n v="115000"/>
    <n v="0.7"/>
    <x v="1"/>
    <n v="80500"/>
    <n v="0"/>
    <n v="80500"/>
    <n v="67000"/>
    <n v="147500"/>
    <x v="0"/>
    <x v="0"/>
    <x v="0"/>
    <n v="3"/>
    <x v="0"/>
  </r>
  <r>
    <x v="824"/>
    <x v="824"/>
    <s v="Citra Rahmawati"/>
    <x v="25"/>
    <x v="11"/>
    <n v="15000"/>
    <n v="1.5"/>
    <x v="1"/>
    <n v="22500"/>
    <n v="0"/>
    <n v="22500"/>
    <n v="50000"/>
    <n v="72500"/>
    <x v="2"/>
    <x v="0"/>
    <x v="1"/>
    <n v="5"/>
    <x v="0"/>
  </r>
  <r>
    <x v="825"/>
    <x v="825"/>
    <s v="Indra Ananda"/>
    <x v="20"/>
    <x v="18"/>
    <n v="11000"/>
    <n v="1.9"/>
    <x v="1"/>
    <n v="20900"/>
    <n v="0"/>
    <n v="20900"/>
    <n v="84000"/>
    <n v="104900"/>
    <x v="0"/>
    <x v="0"/>
    <x v="0"/>
    <n v="4"/>
    <x v="1"/>
  </r>
  <r>
    <x v="826"/>
    <x v="826"/>
    <s v="Citra Hidayat"/>
    <x v="21"/>
    <x v="6"/>
    <n v="26000"/>
    <n v="0.8"/>
    <x v="1"/>
    <n v="20800"/>
    <n v="0"/>
    <n v="20800"/>
    <n v="59000"/>
    <n v="79800"/>
    <x v="2"/>
    <x v="0"/>
    <x v="2"/>
    <n v="4"/>
    <x v="0"/>
  </r>
  <r>
    <x v="827"/>
    <x v="827"/>
    <s v="Eka Iskandar"/>
    <x v="11"/>
    <x v="13"/>
    <n v="10000"/>
    <n v="0.4"/>
    <x v="1"/>
    <n v="4000"/>
    <n v="0"/>
    <n v="4000"/>
    <n v="74000"/>
    <n v="78000"/>
    <x v="3"/>
    <x v="0"/>
    <x v="0"/>
    <n v="2"/>
    <x v="0"/>
  </r>
  <r>
    <x v="828"/>
    <x v="828"/>
    <s v="Indra Ananda"/>
    <x v="20"/>
    <x v="14"/>
    <n v="55000"/>
    <n v="0.3"/>
    <x v="1"/>
    <n v="16500"/>
    <n v="0"/>
    <n v="16500"/>
    <n v="84000"/>
    <n v="100500"/>
    <x v="2"/>
    <x v="0"/>
    <x v="2"/>
    <n v="4"/>
    <x v="1"/>
  </r>
  <r>
    <x v="829"/>
    <x v="829"/>
    <s v="Citra Utami"/>
    <x v="29"/>
    <x v="10"/>
    <n v="45000"/>
    <n v="1.2"/>
    <x v="1"/>
    <n v="54000"/>
    <n v="0"/>
    <n v="54000"/>
    <n v="48000"/>
    <n v="102000"/>
    <x v="1"/>
    <x v="0"/>
    <x v="2"/>
    <n v="3"/>
    <x v="0"/>
  </r>
  <r>
    <x v="830"/>
    <x v="830"/>
    <s v="Dewi Budiman"/>
    <x v="36"/>
    <x v="7"/>
    <n v="14000"/>
    <n v="0.5"/>
    <x v="1"/>
    <n v="7000"/>
    <n v="0"/>
    <n v="7000"/>
    <n v="21000"/>
    <n v="28000"/>
    <x v="1"/>
    <x v="0"/>
    <x v="1"/>
    <n v="3"/>
    <x v="0"/>
  </r>
  <r>
    <x v="831"/>
    <x v="831"/>
    <s v="Clara Utami"/>
    <x v="34"/>
    <x v="12"/>
    <n v="9500"/>
    <n v="1.3"/>
    <x v="1"/>
    <n v="12350"/>
    <n v="0"/>
    <n v="12350"/>
    <n v="18000"/>
    <n v="30350"/>
    <x v="1"/>
    <x v="0"/>
    <x v="1"/>
    <n v="4"/>
    <x v="0"/>
  </r>
  <r>
    <x v="832"/>
    <x v="832"/>
    <s v="Gita Hidayat"/>
    <x v="12"/>
    <x v="18"/>
    <n v="11000"/>
    <n v="2"/>
    <x v="1"/>
    <n v="22000"/>
    <n v="0"/>
    <n v="22000"/>
    <n v="30000"/>
    <n v="52000"/>
    <x v="3"/>
    <x v="0"/>
    <x v="0"/>
    <n v="5"/>
    <x v="0"/>
  </r>
  <r>
    <x v="833"/>
    <x v="833"/>
    <s v="Aulia Puspita"/>
    <x v="29"/>
    <x v="4"/>
    <n v="40000"/>
    <n v="0.4"/>
    <x v="1"/>
    <n v="16000"/>
    <n v="0"/>
    <n v="16000"/>
    <n v="48000"/>
    <n v="64000"/>
    <x v="3"/>
    <x v="1"/>
    <x v="3"/>
    <n v="1"/>
    <x v="0"/>
  </r>
  <r>
    <x v="834"/>
    <x v="834"/>
    <s v="Galih Iskandar"/>
    <x v="27"/>
    <x v="0"/>
    <n v="10000"/>
    <n v="1.4"/>
    <x v="1"/>
    <n v="14000"/>
    <n v="0"/>
    <n v="14000"/>
    <n v="49000"/>
    <n v="63000"/>
    <x v="2"/>
    <x v="0"/>
    <x v="0"/>
    <n v="3"/>
    <x v="1"/>
  </r>
  <r>
    <x v="835"/>
    <x v="835"/>
    <s v="Fitri Maulana"/>
    <x v="22"/>
    <x v="1"/>
    <n v="15000"/>
    <n v="0.3"/>
    <x v="1"/>
    <n v="4500"/>
    <n v="0"/>
    <n v="4500"/>
    <n v="50000"/>
    <n v="54500"/>
    <x v="3"/>
    <x v="0"/>
    <x v="2"/>
    <n v="3"/>
    <x v="0"/>
  </r>
  <r>
    <x v="836"/>
    <x v="836"/>
    <s v="Erna Utami"/>
    <x v="10"/>
    <x v="7"/>
    <n v="14000"/>
    <n v="0.5"/>
    <x v="1"/>
    <n v="7000"/>
    <n v="0"/>
    <n v="7000"/>
    <n v="87000"/>
    <n v="94000"/>
    <x v="1"/>
    <x v="1"/>
    <x v="4"/>
    <n v="1"/>
    <x v="0"/>
  </r>
  <r>
    <x v="837"/>
    <x v="837"/>
    <s v="Ani Budiman"/>
    <x v="17"/>
    <x v="16"/>
    <n v="115000"/>
    <n v="1.2"/>
    <x v="1"/>
    <n v="138000"/>
    <n v="0"/>
    <n v="138000"/>
    <n v="72000"/>
    <n v="210000"/>
    <x v="1"/>
    <x v="0"/>
    <x v="0"/>
    <n v="4"/>
    <x v="0"/>
  </r>
  <r>
    <x v="838"/>
    <x v="838"/>
    <s v="Fajar Fauziah"/>
    <x v="24"/>
    <x v="0"/>
    <n v="10000"/>
    <n v="0.7"/>
    <x v="1"/>
    <n v="7000"/>
    <n v="0"/>
    <n v="7000"/>
    <n v="68000"/>
    <n v="75000"/>
    <x v="2"/>
    <x v="0"/>
    <x v="0"/>
    <n v="4"/>
    <x v="1"/>
  </r>
  <r>
    <x v="839"/>
    <x v="839"/>
    <s v="Ani Halim"/>
    <x v="25"/>
    <x v="9"/>
    <n v="46000"/>
    <n v="0.6"/>
    <x v="1"/>
    <n v="27600"/>
    <n v="0"/>
    <n v="27600"/>
    <n v="50000"/>
    <n v="77600"/>
    <x v="1"/>
    <x v="0"/>
    <x v="1"/>
    <n v="2"/>
    <x v="0"/>
  </r>
  <r>
    <x v="840"/>
    <x v="840"/>
    <s v="Zahra Ananda"/>
    <x v="18"/>
    <x v="3"/>
    <n v="13500"/>
    <n v="1.4"/>
    <x v="1"/>
    <n v="18900"/>
    <n v="0"/>
    <n v="18900"/>
    <n v="0"/>
    <n v="18900"/>
    <x v="3"/>
    <x v="0"/>
    <x v="4"/>
    <n v="1"/>
    <x v="0"/>
  </r>
  <r>
    <x v="841"/>
    <x v="841"/>
    <s v="Ani Hidayat"/>
    <x v="4"/>
    <x v="18"/>
    <n v="11000"/>
    <n v="1.9"/>
    <x v="1"/>
    <n v="20900"/>
    <n v="0"/>
    <n v="20900"/>
    <n v="43000"/>
    <n v="63900"/>
    <x v="2"/>
    <x v="0"/>
    <x v="3"/>
    <n v="5"/>
    <x v="0"/>
  </r>
  <r>
    <x v="841"/>
    <x v="841"/>
    <s v="Ani Hidayat"/>
    <x v="4"/>
    <x v="1"/>
    <n v="15000"/>
    <n v="0.6"/>
    <x v="1"/>
    <n v="9000"/>
    <n v="0"/>
    <n v="9000"/>
    <n v="0"/>
    <n v="9000"/>
    <x v="2"/>
    <x v="0"/>
    <x v="3"/>
    <n v="5"/>
    <x v="0"/>
  </r>
  <r>
    <x v="842"/>
    <x v="842"/>
    <s v="Qori Ananda"/>
    <x v="25"/>
    <x v="17"/>
    <n v="12000"/>
    <n v="0.9"/>
    <x v="1"/>
    <n v="10800"/>
    <n v="0"/>
    <n v="10800"/>
    <n v="50000"/>
    <n v="60800"/>
    <x v="1"/>
    <x v="0"/>
    <x v="4"/>
    <n v="4"/>
    <x v="0"/>
  </r>
  <r>
    <x v="843"/>
    <x v="843"/>
    <s v="Nanda Setiawan"/>
    <x v="31"/>
    <x v="5"/>
    <n v="10500"/>
    <n v="1.9"/>
    <x v="1"/>
    <n v="19950"/>
    <n v="0"/>
    <n v="19950"/>
    <n v="87000"/>
    <n v="106950"/>
    <x v="1"/>
    <x v="2"/>
    <x v="1"/>
    <n v="2"/>
    <x v="1"/>
  </r>
  <r>
    <x v="844"/>
    <x v="844"/>
    <s v="Zahra Budiman"/>
    <x v="27"/>
    <x v="18"/>
    <n v="11000"/>
    <n v="1"/>
    <x v="1"/>
    <n v="11000"/>
    <n v="0"/>
    <n v="11000"/>
    <n v="49000"/>
    <n v="60000"/>
    <x v="0"/>
    <x v="0"/>
    <x v="4"/>
    <n v="3"/>
    <x v="0"/>
  </r>
  <r>
    <x v="845"/>
    <x v="845"/>
    <s v="Bella Hidayat"/>
    <x v="35"/>
    <x v="8"/>
    <n v="17500"/>
    <n v="1.9"/>
    <x v="1"/>
    <n v="33250"/>
    <n v="0"/>
    <n v="33250"/>
    <n v="79000"/>
    <n v="112250"/>
    <x v="1"/>
    <x v="0"/>
    <x v="2"/>
    <n v="3"/>
    <x v="0"/>
  </r>
  <r>
    <x v="846"/>
    <x v="846"/>
    <s v="Dewi Wijaya"/>
    <x v="12"/>
    <x v="11"/>
    <n v="15000"/>
    <n v="0.9"/>
    <x v="1"/>
    <n v="13500"/>
    <n v="0"/>
    <n v="13500"/>
    <n v="30000"/>
    <n v="43500"/>
    <x v="2"/>
    <x v="0"/>
    <x v="1"/>
    <n v="1"/>
    <x v="0"/>
  </r>
  <r>
    <x v="847"/>
    <x v="847"/>
    <s v="Arif Fauziah"/>
    <x v="6"/>
    <x v="3"/>
    <n v="13500"/>
    <n v="1"/>
    <x v="1"/>
    <n v="13500"/>
    <n v="0"/>
    <n v="13500"/>
    <n v="80000"/>
    <n v="93500"/>
    <x v="2"/>
    <x v="0"/>
    <x v="2"/>
    <n v="1"/>
    <x v="1"/>
  </r>
  <r>
    <x v="848"/>
    <x v="848"/>
    <s v="Yani Kusuma"/>
    <x v="8"/>
    <x v="9"/>
    <n v="46000"/>
    <n v="1.1000000000000001"/>
    <x v="1"/>
    <n v="50600.000000000007"/>
    <n v="0"/>
    <n v="50600.000000000007"/>
    <n v="59000"/>
    <n v="109600"/>
    <x v="3"/>
    <x v="0"/>
    <x v="3"/>
    <n v="3"/>
    <x v="0"/>
  </r>
  <r>
    <x v="849"/>
    <x v="849"/>
    <s v="Bella Fauziah"/>
    <x v="3"/>
    <x v="10"/>
    <n v="45000"/>
    <n v="0.4"/>
    <x v="1"/>
    <n v="18000"/>
    <n v="0"/>
    <n v="18000"/>
    <n v="93000"/>
    <n v="111000"/>
    <x v="2"/>
    <x v="0"/>
    <x v="2"/>
    <n v="2"/>
    <x v="0"/>
  </r>
  <r>
    <x v="850"/>
    <x v="850"/>
    <s v="Qori Fauziah"/>
    <x v="11"/>
    <x v="10"/>
    <n v="45000"/>
    <n v="0.4"/>
    <x v="1"/>
    <n v="18000"/>
    <n v="0"/>
    <n v="18000"/>
    <n v="74000"/>
    <n v="92000"/>
    <x v="0"/>
    <x v="1"/>
    <x v="2"/>
    <n v="2"/>
    <x v="0"/>
  </r>
  <r>
    <x v="851"/>
    <x v="851"/>
    <s v="Sari Puspita"/>
    <x v="15"/>
    <x v="1"/>
    <n v="15000"/>
    <n v="0.8"/>
    <x v="1"/>
    <n v="12000"/>
    <n v="0"/>
    <n v="12000"/>
    <n v="97000"/>
    <n v="109000"/>
    <x v="2"/>
    <x v="2"/>
    <x v="0"/>
    <n v="5"/>
    <x v="0"/>
  </r>
  <r>
    <x v="851"/>
    <x v="851"/>
    <s v="Sari Puspita"/>
    <x v="15"/>
    <x v="10"/>
    <n v="45000"/>
    <n v="1.4"/>
    <x v="1"/>
    <n v="62999.999999999993"/>
    <n v="0"/>
    <n v="62999.999999999993"/>
    <n v="0"/>
    <n v="62999.999999999993"/>
    <x v="2"/>
    <x v="2"/>
    <x v="0"/>
    <n v="5"/>
    <x v="0"/>
  </r>
  <r>
    <x v="852"/>
    <x v="852"/>
    <s v="Clara Pradipta"/>
    <x v="15"/>
    <x v="17"/>
    <n v="12000"/>
    <n v="0.7"/>
    <x v="1"/>
    <n v="8400"/>
    <n v="0"/>
    <n v="8400"/>
    <n v="97000"/>
    <n v="105400"/>
    <x v="1"/>
    <x v="0"/>
    <x v="0"/>
    <n v="2"/>
    <x v="0"/>
  </r>
  <r>
    <x v="853"/>
    <x v="853"/>
    <s v="Sari Puspita"/>
    <x v="15"/>
    <x v="14"/>
    <n v="55000"/>
    <n v="1"/>
    <x v="1"/>
    <n v="55000"/>
    <n v="0"/>
    <n v="55000"/>
    <n v="97000"/>
    <n v="152000"/>
    <x v="0"/>
    <x v="1"/>
    <x v="0"/>
    <n v="2"/>
    <x v="0"/>
  </r>
  <r>
    <x v="853"/>
    <x v="853"/>
    <s v="Sari Puspita"/>
    <x v="15"/>
    <x v="1"/>
    <n v="15000"/>
    <n v="1.1000000000000001"/>
    <x v="1"/>
    <n v="16500"/>
    <n v="0"/>
    <n v="16500"/>
    <n v="0"/>
    <n v="16500"/>
    <x v="0"/>
    <x v="1"/>
    <x v="0"/>
    <n v="2"/>
    <x v="0"/>
  </r>
  <r>
    <x v="854"/>
    <x v="854"/>
    <s v="Rizky Fauziah"/>
    <x v="31"/>
    <x v="1"/>
    <n v="15000"/>
    <n v="0.4"/>
    <x v="1"/>
    <n v="6000"/>
    <n v="0"/>
    <n v="6000"/>
    <n v="87000"/>
    <n v="93000"/>
    <x v="0"/>
    <x v="2"/>
    <x v="4"/>
    <n v="3"/>
    <x v="1"/>
  </r>
  <r>
    <x v="855"/>
    <x v="855"/>
    <s v="Aulia Maulana"/>
    <x v="34"/>
    <x v="18"/>
    <n v="11000"/>
    <n v="0.7"/>
    <x v="1"/>
    <n v="7699.9999999999991"/>
    <n v="0"/>
    <n v="7699.9999999999991"/>
    <n v="18000"/>
    <n v="25700"/>
    <x v="3"/>
    <x v="0"/>
    <x v="1"/>
    <n v="3"/>
    <x v="0"/>
  </r>
  <r>
    <x v="856"/>
    <x v="856"/>
    <s v="Dina Halim"/>
    <x v="0"/>
    <x v="9"/>
    <n v="46000"/>
    <n v="0.6"/>
    <x v="1"/>
    <n v="27600"/>
    <n v="0"/>
    <n v="27600"/>
    <n v="15000"/>
    <n v="42600"/>
    <x v="0"/>
    <x v="0"/>
    <x v="4"/>
    <n v="1"/>
    <x v="0"/>
  </r>
  <r>
    <x v="857"/>
    <x v="857"/>
    <s v="Gita Ramadhani"/>
    <x v="22"/>
    <x v="14"/>
    <n v="55000"/>
    <n v="0.2"/>
    <x v="1"/>
    <n v="11000"/>
    <n v="0"/>
    <n v="11000"/>
    <n v="50000"/>
    <n v="61000"/>
    <x v="0"/>
    <x v="0"/>
    <x v="2"/>
    <n v="1"/>
    <x v="0"/>
  </r>
  <r>
    <x v="858"/>
    <x v="858"/>
    <s v="Sari Puspita"/>
    <x v="15"/>
    <x v="13"/>
    <n v="10000"/>
    <n v="1.2"/>
    <x v="1"/>
    <n v="12000"/>
    <n v="0"/>
    <n v="12000"/>
    <n v="97000"/>
    <n v="109000"/>
    <x v="0"/>
    <x v="0"/>
    <x v="4"/>
    <n v="5"/>
    <x v="0"/>
  </r>
  <r>
    <x v="859"/>
    <x v="859"/>
    <s v="Dimas Utami"/>
    <x v="18"/>
    <x v="15"/>
    <n v="10000"/>
    <n v="0.7"/>
    <x v="1"/>
    <n v="7000"/>
    <n v="0"/>
    <n v="7000"/>
    <n v="0"/>
    <n v="7000"/>
    <x v="0"/>
    <x v="0"/>
    <x v="0"/>
    <n v="2"/>
    <x v="1"/>
  </r>
  <r>
    <x v="860"/>
    <x v="860"/>
    <s v="Putri Halim"/>
    <x v="24"/>
    <x v="12"/>
    <n v="9500"/>
    <n v="1"/>
    <x v="1"/>
    <n v="9500"/>
    <n v="0"/>
    <n v="9500"/>
    <n v="68000"/>
    <n v="77500"/>
    <x v="3"/>
    <x v="0"/>
    <x v="1"/>
    <n v="2"/>
    <x v="0"/>
  </r>
  <r>
    <x v="861"/>
    <x v="861"/>
    <s v="Wahyu Fauziah"/>
    <x v="35"/>
    <x v="17"/>
    <n v="12000"/>
    <n v="1.1000000000000001"/>
    <x v="1"/>
    <n v="13200.000000000002"/>
    <n v="0"/>
    <n v="13200.000000000002"/>
    <n v="79000"/>
    <n v="92200"/>
    <x v="0"/>
    <x v="0"/>
    <x v="1"/>
    <n v="4"/>
    <x v="1"/>
  </r>
  <r>
    <x v="862"/>
    <x v="862"/>
    <s v="Dina Rahmawati"/>
    <x v="21"/>
    <x v="13"/>
    <n v="10000"/>
    <n v="0.8"/>
    <x v="1"/>
    <n v="8000"/>
    <n v="0"/>
    <n v="8000"/>
    <n v="59000"/>
    <n v="67000"/>
    <x v="0"/>
    <x v="0"/>
    <x v="4"/>
    <n v="2"/>
    <x v="0"/>
  </r>
  <r>
    <x v="863"/>
    <x v="863"/>
    <s v="Eka Syahputra"/>
    <x v="15"/>
    <x v="0"/>
    <n v="10000"/>
    <n v="1.5"/>
    <x v="1"/>
    <n v="15000"/>
    <n v="0"/>
    <n v="15000"/>
    <n v="97000"/>
    <n v="112000"/>
    <x v="1"/>
    <x v="0"/>
    <x v="3"/>
    <n v="2"/>
    <x v="0"/>
  </r>
  <r>
    <x v="864"/>
    <x v="864"/>
    <s v="Zahra Kurniawan"/>
    <x v="0"/>
    <x v="11"/>
    <n v="15000"/>
    <n v="1"/>
    <x v="1"/>
    <n v="15000"/>
    <n v="0"/>
    <n v="15000"/>
    <n v="15000"/>
    <n v="30000"/>
    <x v="3"/>
    <x v="0"/>
    <x v="3"/>
    <n v="5"/>
    <x v="0"/>
  </r>
  <r>
    <x v="865"/>
    <x v="865"/>
    <s v="Erna Halim"/>
    <x v="4"/>
    <x v="5"/>
    <n v="10500"/>
    <n v="2.8"/>
    <x v="1"/>
    <n v="29399.999999999996"/>
    <n v="0"/>
    <n v="29399.999999999996"/>
    <n v="43000"/>
    <n v="72400"/>
    <x v="2"/>
    <x v="0"/>
    <x v="1"/>
    <n v="2"/>
    <x v="0"/>
  </r>
  <r>
    <x v="866"/>
    <x v="866"/>
    <s v="Kartika Kusuma"/>
    <x v="14"/>
    <x v="5"/>
    <n v="10500"/>
    <n v="1.6"/>
    <x v="1"/>
    <n v="16800"/>
    <n v="0"/>
    <n v="16800"/>
    <n v="85000"/>
    <n v="101800"/>
    <x v="2"/>
    <x v="1"/>
    <x v="0"/>
    <n v="2"/>
    <x v="0"/>
  </r>
  <r>
    <x v="867"/>
    <x v="867"/>
    <s v="Aulia Saputra"/>
    <x v="8"/>
    <x v="10"/>
    <n v="45000"/>
    <n v="1.6"/>
    <x v="1"/>
    <n v="72000"/>
    <n v="0"/>
    <n v="72000"/>
    <n v="59000"/>
    <n v="131000"/>
    <x v="1"/>
    <x v="0"/>
    <x v="0"/>
    <n v="1"/>
    <x v="0"/>
  </r>
  <r>
    <x v="868"/>
    <x v="868"/>
    <s v="Aulia Santoso"/>
    <x v="32"/>
    <x v="6"/>
    <n v="26000"/>
    <n v="1.2"/>
    <x v="1"/>
    <n v="31200"/>
    <n v="0"/>
    <n v="31200"/>
    <n v="28000"/>
    <n v="59200"/>
    <x v="1"/>
    <x v="0"/>
    <x v="1"/>
    <n v="4"/>
    <x v="0"/>
  </r>
  <r>
    <x v="869"/>
    <x v="869"/>
    <s v="Indra Rahmawati"/>
    <x v="16"/>
    <x v="17"/>
    <n v="12000"/>
    <n v="0.6"/>
    <x v="1"/>
    <n v="7200"/>
    <n v="0"/>
    <n v="7200"/>
    <n v="18000"/>
    <n v="25200"/>
    <x v="2"/>
    <x v="1"/>
    <x v="4"/>
    <n v="2"/>
    <x v="1"/>
  </r>
  <r>
    <x v="870"/>
    <x v="870"/>
    <s v="Vina Hidayat"/>
    <x v="9"/>
    <x v="4"/>
    <n v="40000"/>
    <n v="0.6"/>
    <x v="1"/>
    <n v="24000"/>
    <n v="0"/>
    <n v="24000"/>
    <n v="89000"/>
    <n v="113000"/>
    <x v="2"/>
    <x v="0"/>
    <x v="1"/>
    <n v="1"/>
    <x v="0"/>
  </r>
  <r>
    <x v="871"/>
    <x v="871"/>
    <s v="Aulia Puspita"/>
    <x v="29"/>
    <x v="16"/>
    <n v="115000"/>
    <n v="1.2"/>
    <x v="1"/>
    <n v="138000"/>
    <n v="0"/>
    <n v="138000"/>
    <n v="48000"/>
    <n v="186000"/>
    <x v="1"/>
    <x v="0"/>
    <x v="4"/>
    <n v="1"/>
    <x v="0"/>
  </r>
  <r>
    <x v="871"/>
    <x v="871"/>
    <s v="Aulia Puspita"/>
    <x v="29"/>
    <x v="6"/>
    <n v="26000"/>
    <n v="0.9"/>
    <x v="1"/>
    <n v="23400"/>
    <n v="0"/>
    <n v="23400"/>
    <n v="0"/>
    <n v="23400"/>
    <x v="1"/>
    <x v="0"/>
    <x v="4"/>
    <n v="1"/>
    <x v="0"/>
  </r>
  <r>
    <x v="872"/>
    <x v="872"/>
    <s v="Citra Ananda"/>
    <x v="16"/>
    <x v="14"/>
    <n v="55000"/>
    <n v="0.2"/>
    <x v="1"/>
    <n v="11000"/>
    <n v="0"/>
    <n v="11000"/>
    <n v="18000"/>
    <n v="29000"/>
    <x v="3"/>
    <x v="0"/>
    <x v="3"/>
    <n v="4"/>
    <x v="0"/>
  </r>
  <r>
    <x v="873"/>
    <x v="873"/>
    <s v="Dewi Saputra"/>
    <x v="10"/>
    <x v="9"/>
    <n v="46000"/>
    <n v="1.2"/>
    <x v="1"/>
    <n v="55200"/>
    <n v="0"/>
    <n v="55200"/>
    <n v="87000"/>
    <n v="142200"/>
    <x v="2"/>
    <x v="0"/>
    <x v="0"/>
    <n v="5"/>
    <x v="0"/>
  </r>
  <r>
    <x v="874"/>
    <x v="874"/>
    <s v="Yoga Utami"/>
    <x v="23"/>
    <x v="5"/>
    <n v="10500"/>
    <n v="2.2000000000000002"/>
    <x v="1"/>
    <n v="23100.000000000004"/>
    <n v="0"/>
    <n v="23100.000000000004"/>
    <n v="55000"/>
    <n v="78100"/>
    <x v="0"/>
    <x v="0"/>
    <x v="2"/>
    <n v="2"/>
    <x v="1"/>
  </r>
  <r>
    <x v="875"/>
    <x v="875"/>
    <s v="Dewi Santoso"/>
    <x v="26"/>
    <x v="16"/>
    <n v="115000"/>
    <n v="0.9"/>
    <x v="1"/>
    <n v="103500"/>
    <n v="0"/>
    <n v="103500"/>
    <n v="46000"/>
    <n v="149500"/>
    <x v="0"/>
    <x v="0"/>
    <x v="0"/>
    <n v="5"/>
    <x v="0"/>
  </r>
  <r>
    <x v="876"/>
    <x v="876"/>
    <s v="Vina Ananda"/>
    <x v="12"/>
    <x v="11"/>
    <n v="15000"/>
    <n v="1"/>
    <x v="1"/>
    <n v="15000"/>
    <n v="0"/>
    <n v="15000"/>
    <n v="30000"/>
    <n v="45000"/>
    <x v="0"/>
    <x v="0"/>
    <x v="0"/>
    <n v="3"/>
    <x v="0"/>
  </r>
  <r>
    <x v="877"/>
    <x v="877"/>
    <s v="Eka Hidayat"/>
    <x v="4"/>
    <x v="3"/>
    <n v="13500"/>
    <n v="2.6"/>
    <x v="1"/>
    <n v="35100"/>
    <n v="0"/>
    <n v="35100"/>
    <n v="43000"/>
    <n v="78100"/>
    <x v="2"/>
    <x v="0"/>
    <x v="0"/>
    <n v="2"/>
    <x v="0"/>
  </r>
  <r>
    <x v="878"/>
    <x v="878"/>
    <s v="Yani Ananda"/>
    <x v="28"/>
    <x v="4"/>
    <n v="40000"/>
    <n v="0.7"/>
    <x v="1"/>
    <n v="28000"/>
    <n v="0"/>
    <n v="28000"/>
    <n v="56000"/>
    <n v="84000"/>
    <x v="3"/>
    <x v="0"/>
    <x v="1"/>
    <n v="1"/>
    <x v="0"/>
  </r>
  <r>
    <x v="879"/>
    <x v="879"/>
    <s v="Fitri Nugroho"/>
    <x v="27"/>
    <x v="3"/>
    <n v="13500"/>
    <n v="2.4"/>
    <x v="1"/>
    <n v="32400"/>
    <n v="0"/>
    <n v="32400"/>
    <n v="49000"/>
    <n v="81400"/>
    <x v="1"/>
    <x v="0"/>
    <x v="3"/>
    <n v="3"/>
    <x v="0"/>
  </r>
  <r>
    <x v="880"/>
    <x v="880"/>
    <s v="Putri Ananda"/>
    <x v="7"/>
    <x v="18"/>
    <n v="11000"/>
    <n v="1.9"/>
    <x v="1"/>
    <n v="20900"/>
    <n v="0"/>
    <n v="20900"/>
    <n v="26000"/>
    <n v="46900"/>
    <x v="1"/>
    <x v="2"/>
    <x v="0"/>
    <n v="4"/>
    <x v="0"/>
  </r>
  <r>
    <x v="881"/>
    <x v="881"/>
    <s v="Hana Nugroho"/>
    <x v="11"/>
    <x v="3"/>
    <n v="13500"/>
    <n v="2.5"/>
    <x v="1"/>
    <n v="33750"/>
    <n v="0"/>
    <n v="33750"/>
    <n v="74000"/>
    <n v="107750"/>
    <x v="0"/>
    <x v="0"/>
    <x v="4"/>
    <n v="4"/>
    <x v="0"/>
  </r>
  <r>
    <x v="882"/>
    <x v="882"/>
    <s v="Yani Budiman"/>
    <x v="25"/>
    <x v="9"/>
    <n v="46000"/>
    <n v="0.8"/>
    <x v="1"/>
    <n v="36800"/>
    <n v="0"/>
    <n v="36800"/>
    <n v="50000"/>
    <n v="86800"/>
    <x v="3"/>
    <x v="0"/>
    <x v="0"/>
    <n v="2"/>
    <x v="0"/>
  </r>
  <r>
    <x v="882"/>
    <x v="882"/>
    <s v="Yani Budiman"/>
    <x v="25"/>
    <x v="16"/>
    <n v="115000"/>
    <n v="0.3"/>
    <x v="1"/>
    <n v="34500"/>
    <n v="0"/>
    <n v="34500"/>
    <n v="0"/>
    <n v="34500"/>
    <x v="3"/>
    <x v="0"/>
    <x v="0"/>
    <n v="2"/>
    <x v="0"/>
  </r>
  <r>
    <x v="883"/>
    <x v="883"/>
    <s v="Sari Halim"/>
    <x v="23"/>
    <x v="13"/>
    <n v="10000"/>
    <n v="1"/>
    <x v="1"/>
    <n v="10000"/>
    <n v="0"/>
    <n v="10000"/>
    <n v="55000"/>
    <n v="65000"/>
    <x v="1"/>
    <x v="0"/>
    <x v="1"/>
    <n v="3"/>
    <x v="0"/>
  </r>
  <r>
    <x v="884"/>
    <x v="884"/>
    <s v="Ani Setiawan"/>
    <x v="26"/>
    <x v="11"/>
    <n v="15000"/>
    <n v="2"/>
    <x v="1"/>
    <n v="30000"/>
    <n v="0"/>
    <n v="30000"/>
    <n v="46000"/>
    <n v="76000"/>
    <x v="2"/>
    <x v="2"/>
    <x v="3"/>
    <n v="5"/>
    <x v="0"/>
  </r>
  <r>
    <x v="885"/>
    <x v="885"/>
    <s v="Nanda Halim"/>
    <x v="13"/>
    <x v="15"/>
    <n v="10000"/>
    <n v="1"/>
    <x v="1"/>
    <n v="10000"/>
    <n v="0"/>
    <n v="10000"/>
    <n v="49000"/>
    <n v="59000"/>
    <x v="3"/>
    <x v="0"/>
    <x v="4"/>
    <n v="2"/>
    <x v="1"/>
  </r>
  <r>
    <x v="886"/>
    <x v="886"/>
    <s v="Dina Ramadhani"/>
    <x v="25"/>
    <x v="10"/>
    <n v="45000"/>
    <n v="0.7"/>
    <x v="1"/>
    <n v="31499.999999999996"/>
    <n v="0"/>
    <n v="31499.999999999996"/>
    <n v="50000"/>
    <n v="81500"/>
    <x v="1"/>
    <x v="1"/>
    <x v="4"/>
    <n v="5"/>
    <x v="0"/>
  </r>
  <r>
    <x v="887"/>
    <x v="887"/>
    <s v="Aulia Wijaya"/>
    <x v="22"/>
    <x v="13"/>
    <n v="10000"/>
    <n v="0.8"/>
    <x v="1"/>
    <n v="8000"/>
    <n v="0"/>
    <n v="8000"/>
    <n v="50000"/>
    <n v="58000"/>
    <x v="0"/>
    <x v="0"/>
    <x v="4"/>
    <n v="5"/>
    <x v="0"/>
  </r>
  <r>
    <x v="888"/>
    <x v="888"/>
    <s v="Zahra Iskandar"/>
    <x v="16"/>
    <x v="13"/>
    <n v="10000"/>
    <n v="0.4"/>
    <x v="1"/>
    <n v="4000"/>
    <n v="0"/>
    <n v="4000"/>
    <n v="18000"/>
    <n v="22000"/>
    <x v="1"/>
    <x v="0"/>
    <x v="4"/>
    <n v="3"/>
    <x v="0"/>
  </r>
  <r>
    <x v="889"/>
    <x v="889"/>
    <s v="Galih Saputra"/>
    <x v="15"/>
    <x v="12"/>
    <n v="9500"/>
    <n v="1.5"/>
    <x v="1"/>
    <n v="14250"/>
    <n v="0"/>
    <n v="14250"/>
    <n v="97000"/>
    <n v="111250"/>
    <x v="1"/>
    <x v="2"/>
    <x v="0"/>
    <n v="5"/>
    <x v="1"/>
  </r>
  <r>
    <x v="890"/>
    <x v="890"/>
    <s v="Yoga Saputra"/>
    <x v="0"/>
    <x v="6"/>
    <n v="26000"/>
    <n v="1.5"/>
    <x v="1"/>
    <n v="39000"/>
    <n v="0"/>
    <n v="39000"/>
    <n v="15000"/>
    <n v="54000"/>
    <x v="0"/>
    <x v="0"/>
    <x v="2"/>
    <n v="3"/>
    <x v="1"/>
  </r>
  <r>
    <x v="891"/>
    <x v="891"/>
    <s v="Dewi Setiawan"/>
    <x v="15"/>
    <x v="16"/>
    <n v="115000"/>
    <n v="0.4"/>
    <x v="1"/>
    <n v="46000"/>
    <n v="0"/>
    <n v="46000"/>
    <n v="97000"/>
    <n v="143000"/>
    <x v="0"/>
    <x v="0"/>
    <x v="4"/>
    <n v="4"/>
    <x v="0"/>
  </r>
  <r>
    <x v="892"/>
    <x v="892"/>
    <s v="Dina Maulana"/>
    <x v="36"/>
    <x v="9"/>
    <n v="46000"/>
    <n v="0.8"/>
    <x v="1"/>
    <n v="36800"/>
    <n v="0"/>
    <n v="36800"/>
    <n v="21000"/>
    <n v="57800"/>
    <x v="0"/>
    <x v="0"/>
    <x v="4"/>
    <n v="2"/>
    <x v="0"/>
  </r>
  <r>
    <x v="893"/>
    <x v="893"/>
    <s v="Indra Setiawan"/>
    <x v="28"/>
    <x v="2"/>
    <n v="20000"/>
    <n v="1.9"/>
    <x v="1"/>
    <n v="38000"/>
    <n v="0"/>
    <n v="38000"/>
    <n v="56000"/>
    <n v="94000"/>
    <x v="0"/>
    <x v="0"/>
    <x v="3"/>
    <n v="4"/>
    <x v="1"/>
  </r>
  <r>
    <x v="894"/>
    <x v="894"/>
    <s v="Bella Rahmawati"/>
    <x v="8"/>
    <x v="16"/>
    <n v="115000"/>
    <n v="0.5"/>
    <x v="1"/>
    <n v="57500"/>
    <n v="0"/>
    <n v="57500"/>
    <n v="59000"/>
    <n v="116500"/>
    <x v="3"/>
    <x v="0"/>
    <x v="1"/>
    <n v="4"/>
    <x v="0"/>
  </r>
  <r>
    <x v="895"/>
    <x v="895"/>
    <s v="Sari Kusuma"/>
    <x v="35"/>
    <x v="16"/>
    <n v="115000"/>
    <n v="0.5"/>
    <x v="1"/>
    <n v="57500"/>
    <n v="0"/>
    <n v="57500"/>
    <n v="79000"/>
    <n v="136500"/>
    <x v="1"/>
    <x v="1"/>
    <x v="1"/>
    <n v="3"/>
    <x v="0"/>
  </r>
  <r>
    <x v="896"/>
    <x v="896"/>
    <s v="Andi Wijaya"/>
    <x v="36"/>
    <x v="2"/>
    <n v="20000"/>
    <n v="1.2"/>
    <x v="1"/>
    <n v="24000"/>
    <n v="0"/>
    <n v="24000"/>
    <n v="21000"/>
    <n v="45000"/>
    <x v="1"/>
    <x v="0"/>
    <x v="4"/>
    <n v="5"/>
    <x v="1"/>
  </r>
  <r>
    <x v="897"/>
    <x v="897"/>
    <s v="Sari Pradipta"/>
    <x v="5"/>
    <x v="8"/>
    <n v="17500"/>
    <n v="2.5"/>
    <x v="1"/>
    <n v="43750"/>
    <n v="0"/>
    <n v="43750"/>
    <n v="18000"/>
    <n v="61750"/>
    <x v="2"/>
    <x v="2"/>
    <x v="0"/>
    <n v="1"/>
    <x v="0"/>
  </r>
  <r>
    <x v="898"/>
    <x v="898"/>
    <s v="Tono Kurniawan"/>
    <x v="2"/>
    <x v="15"/>
    <n v="10000"/>
    <n v="0.5"/>
    <x v="1"/>
    <n v="5000"/>
    <n v="0"/>
    <n v="5000"/>
    <n v="76000"/>
    <n v="81000"/>
    <x v="1"/>
    <x v="0"/>
    <x v="1"/>
    <n v="2"/>
    <x v="1"/>
  </r>
  <r>
    <x v="899"/>
    <x v="899"/>
    <s v="Iwan Maulana"/>
    <x v="14"/>
    <x v="10"/>
    <n v="45000"/>
    <n v="0.9"/>
    <x v="1"/>
    <n v="40500"/>
    <n v="0"/>
    <n v="40500"/>
    <n v="85000"/>
    <n v="125500"/>
    <x v="1"/>
    <x v="0"/>
    <x v="4"/>
    <n v="1"/>
    <x v="1"/>
  </r>
  <r>
    <x v="900"/>
    <x v="900"/>
    <s v="Fitri Kusuma"/>
    <x v="20"/>
    <x v="1"/>
    <n v="15000"/>
    <n v="0.2"/>
    <x v="1"/>
    <n v="3000"/>
    <n v="0"/>
    <n v="3000"/>
    <n v="84000"/>
    <n v="87000"/>
    <x v="2"/>
    <x v="0"/>
    <x v="1"/>
    <n v="1"/>
    <x v="0"/>
  </r>
  <r>
    <x v="901"/>
    <x v="901"/>
    <s v="Arif Rahmawati"/>
    <x v="22"/>
    <x v="19"/>
    <n v="15500"/>
    <n v="0.5"/>
    <x v="1"/>
    <n v="7750"/>
    <n v="0"/>
    <n v="7750"/>
    <n v="50000"/>
    <n v="57750"/>
    <x v="0"/>
    <x v="0"/>
    <x v="4"/>
    <n v="5"/>
    <x v="1"/>
  </r>
  <r>
    <x v="902"/>
    <x v="902"/>
    <s v="Vina Ramadhani"/>
    <x v="10"/>
    <x v="6"/>
    <n v="26000"/>
    <n v="0.9"/>
    <x v="1"/>
    <n v="23400"/>
    <n v="0"/>
    <n v="23400"/>
    <n v="87000"/>
    <n v="110400"/>
    <x v="3"/>
    <x v="0"/>
    <x v="0"/>
    <n v="4"/>
    <x v="0"/>
  </r>
  <r>
    <x v="903"/>
    <x v="903"/>
    <s v="Zahra Budiman"/>
    <x v="27"/>
    <x v="15"/>
    <n v="10000"/>
    <n v="0.9"/>
    <x v="1"/>
    <n v="9000"/>
    <n v="0"/>
    <n v="9000"/>
    <n v="49000"/>
    <n v="58000"/>
    <x v="0"/>
    <x v="0"/>
    <x v="1"/>
    <n v="3"/>
    <x v="0"/>
  </r>
  <r>
    <x v="904"/>
    <x v="904"/>
    <s v="Bayu Nugroho"/>
    <x v="12"/>
    <x v="13"/>
    <n v="10000"/>
    <n v="0.6"/>
    <x v="1"/>
    <n v="6000"/>
    <n v="0"/>
    <n v="6000"/>
    <n v="30000"/>
    <n v="36000"/>
    <x v="0"/>
    <x v="0"/>
    <x v="3"/>
    <n v="5"/>
    <x v="1"/>
  </r>
  <r>
    <x v="905"/>
    <x v="905"/>
    <s v="Fitri Syahputra"/>
    <x v="36"/>
    <x v="3"/>
    <n v="13500"/>
    <n v="2.8"/>
    <x v="1"/>
    <n v="37800"/>
    <n v="0"/>
    <n v="37800"/>
    <n v="21000"/>
    <n v="58800"/>
    <x v="0"/>
    <x v="0"/>
    <x v="0"/>
    <n v="5"/>
    <x v="0"/>
  </r>
  <r>
    <x v="906"/>
    <x v="906"/>
    <s v="Yani Ananda"/>
    <x v="28"/>
    <x v="4"/>
    <n v="40000"/>
    <n v="0.4"/>
    <x v="1"/>
    <n v="16000"/>
    <n v="0"/>
    <n v="16000"/>
    <n v="56000"/>
    <n v="72000"/>
    <x v="1"/>
    <x v="0"/>
    <x v="3"/>
    <n v="5"/>
    <x v="0"/>
  </r>
  <r>
    <x v="907"/>
    <x v="907"/>
    <s v="Eka Rahmawati"/>
    <x v="4"/>
    <x v="18"/>
    <n v="11000"/>
    <n v="2.2000000000000002"/>
    <x v="1"/>
    <n v="24200.000000000004"/>
    <n v="0"/>
    <n v="24200.000000000004"/>
    <n v="43000"/>
    <n v="67200"/>
    <x v="0"/>
    <x v="0"/>
    <x v="3"/>
    <n v="3"/>
    <x v="0"/>
  </r>
  <r>
    <x v="908"/>
    <x v="908"/>
    <s v="Aulia Budiman"/>
    <x v="15"/>
    <x v="5"/>
    <n v="10500"/>
    <n v="2.6"/>
    <x v="1"/>
    <n v="27300"/>
    <n v="0"/>
    <n v="27300"/>
    <n v="97000"/>
    <n v="124300"/>
    <x v="2"/>
    <x v="0"/>
    <x v="0"/>
    <n v="3"/>
    <x v="0"/>
  </r>
  <r>
    <x v="909"/>
    <x v="909"/>
    <s v="Arif Fauziah"/>
    <x v="6"/>
    <x v="8"/>
    <n v="17500"/>
    <n v="3.6"/>
    <x v="1"/>
    <n v="63000"/>
    <n v="0"/>
    <n v="63000"/>
    <n v="80000"/>
    <n v="143000"/>
    <x v="1"/>
    <x v="2"/>
    <x v="0"/>
    <n v="3"/>
    <x v="1"/>
  </r>
  <r>
    <x v="910"/>
    <x v="910"/>
    <s v="Sari Saputra"/>
    <x v="33"/>
    <x v="7"/>
    <n v="14000"/>
    <n v="1.2"/>
    <x v="1"/>
    <n v="16800"/>
    <n v="0"/>
    <n v="16800"/>
    <n v="80000"/>
    <n v="96800"/>
    <x v="3"/>
    <x v="1"/>
    <x v="0"/>
    <n v="5"/>
    <x v="0"/>
  </r>
  <r>
    <x v="911"/>
    <x v="911"/>
    <s v="Clara Syahputra"/>
    <x v="20"/>
    <x v="6"/>
    <n v="26000"/>
    <n v="0.5"/>
    <x v="1"/>
    <n v="13000"/>
    <n v="0"/>
    <n v="13000"/>
    <n v="84000"/>
    <n v="97000"/>
    <x v="1"/>
    <x v="0"/>
    <x v="1"/>
    <n v="1"/>
    <x v="0"/>
  </r>
  <r>
    <x v="912"/>
    <x v="912"/>
    <s v="Dewi Utami"/>
    <x v="18"/>
    <x v="18"/>
    <n v="11000"/>
    <n v="0.9"/>
    <x v="1"/>
    <n v="9900"/>
    <n v="0"/>
    <n v="9900"/>
    <n v="0"/>
    <n v="9900"/>
    <x v="2"/>
    <x v="0"/>
    <x v="2"/>
    <n v="4"/>
    <x v="0"/>
  </r>
  <r>
    <x v="913"/>
    <x v="913"/>
    <s v="Bella Rahmawati"/>
    <x v="8"/>
    <x v="4"/>
    <n v="40000"/>
    <n v="0.5"/>
    <x v="1"/>
    <n v="20000"/>
    <n v="0"/>
    <n v="20000"/>
    <n v="59000"/>
    <n v="79000"/>
    <x v="0"/>
    <x v="0"/>
    <x v="1"/>
    <n v="2"/>
    <x v="0"/>
  </r>
  <r>
    <x v="914"/>
    <x v="914"/>
    <s v="Qori Budiman"/>
    <x v="29"/>
    <x v="0"/>
    <n v="10000"/>
    <n v="1.3"/>
    <x v="1"/>
    <n v="13000"/>
    <n v="0"/>
    <n v="13000"/>
    <n v="48000"/>
    <n v="61000"/>
    <x v="2"/>
    <x v="0"/>
    <x v="3"/>
    <n v="3"/>
    <x v="0"/>
  </r>
  <r>
    <x v="915"/>
    <x v="915"/>
    <s v="Aulia Ananda"/>
    <x v="14"/>
    <x v="5"/>
    <n v="10500"/>
    <n v="2.8"/>
    <x v="1"/>
    <n v="29399.999999999996"/>
    <n v="0"/>
    <n v="29399.999999999996"/>
    <n v="85000"/>
    <n v="114400"/>
    <x v="1"/>
    <x v="0"/>
    <x v="1"/>
    <n v="4"/>
    <x v="0"/>
  </r>
  <r>
    <x v="916"/>
    <x v="916"/>
    <s v="Dina Kusuma"/>
    <x v="29"/>
    <x v="4"/>
    <n v="40000"/>
    <n v="0.8"/>
    <x v="1"/>
    <n v="32000"/>
    <n v="0"/>
    <n v="32000"/>
    <n v="48000"/>
    <n v="80000"/>
    <x v="0"/>
    <x v="0"/>
    <x v="0"/>
    <n v="1"/>
    <x v="0"/>
  </r>
  <r>
    <x v="917"/>
    <x v="917"/>
    <s v="Lestari Fauziah"/>
    <x v="23"/>
    <x v="3"/>
    <n v="13500"/>
    <n v="1.7"/>
    <x v="1"/>
    <n v="22950"/>
    <n v="0"/>
    <n v="22950"/>
    <n v="55000"/>
    <n v="77950"/>
    <x v="0"/>
    <x v="0"/>
    <x v="4"/>
    <n v="2"/>
    <x v="0"/>
  </r>
  <r>
    <x v="917"/>
    <x v="917"/>
    <s v="Lestari Fauziah"/>
    <x v="23"/>
    <x v="10"/>
    <n v="45000"/>
    <n v="1.3"/>
    <x v="1"/>
    <n v="58500"/>
    <n v="0"/>
    <n v="58500"/>
    <n v="0"/>
    <n v="58500"/>
    <x v="0"/>
    <x v="0"/>
    <x v="4"/>
    <n v="2"/>
    <x v="0"/>
  </r>
  <r>
    <x v="918"/>
    <x v="918"/>
    <s v="Qori Saputra"/>
    <x v="1"/>
    <x v="10"/>
    <n v="45000"/>
    <n v="2.2999999999999998"/>
    <x v="1"/>
    <n v="103499.99999999999"/>
    <n v="0"/>
    <n v="103499.99999999999"/>
    <n v="17000"/>
    <n v="120499.99999999999"/>
    <x v="1"/>
    <x v="1"/>
    <x v="3"/>
    <n v="1"/>
    <x v="0"/>
  </r>
  <r>
    <x v="919"/>
    <x v="919"/>
    <s v="Dina Halim"/>
    <x v="0"/>
    <x v="10"/>
    <n v="45000"/>
    <n v="1.6"/>
    <x v="1"/>
    <n v="72000"/>
    <n v="0"/>
    <n v="72000"/>
    <n v="15000"/>
    <n v="87000"/>
    <x v="1"/>
    <x v="0"/>
    <x v="1"/>
    <n v="2"/>
    <x v="0"/>
  </r>
  <r>
    <x v="920"/>
    <x v="920"/>
    <s v="Dimas Utami"/>
    <x v="18"/>
    <x v="2"/>
    <n v="20000"/>
    <n v="1.7"/>
    <x v="1"/>
    <n v="34000"/>
    <n v="0"/>
    <n v="34000"/>
    <n v="0"/>
    <n v="34000"/>
    <x v="2"/>
    <x v="0"/>
    <x v="0"/>
    <n v="1"/>
    <x v="1"/>
  </r>
  <r>
    <x v="921"/>
    <x v="921"/>
    <s v="Dewi Rahmawati"/>
    <x v="7"/>
    <x v="7"/>
    <n v="14000"/>
    <n v="0.6"/>
    <x v="1"/>
    <n v="8400"/>
    <n v="0"/>
    <n v="8400"/>
    <n v="26000"/>
    <n v="34400"/>
    <x v="0"/>
    <x v="1"/>
    <x v="4"/>
    <n v="1"/>
    <x v="0"/>
  </r>
  <r>
    <x v="922"/>
    <x v="922"/>
    <s v="Joko Nugroho"/>
    <x v="32"/>
    <x v="14"/>
    <n v="55000"/>
    <n v="0.5"/>
    <x v="1"/>
    <n v="27500"/>
    <n v="0"/>
    <n v="27500"/>
    <n v="28000"/>
    <n v="55500"/>
    <x v="0"/>
    <x v="0"/>
    <x v="2"/>
    <n v="4"/>
    <x v="1"/>
  </r>
  <r>
    <x v="923"/>
    <x v="923"/>
    <s v="Gita Utami"/>
    <x v="34"/>
    <x v="1"/>
    <n v="15000"/>
    <n v="0.7"/>
    <x v="1"/>
    <n v="10500"/>
    <n v="0"/>
    <n v="10500"/>
    <n v="18000"/>
    <n v="28500"/>
    <x v="2"/>
    <x v="0"/>
    <x v="1"/>
    <n v="4"/>
    <x v="0"/>
  </r>
  <r>
    <x v="924"/>
    <x v="924"/>
    <s v="Nanda Utami"/>
    <x v="3"/>
    <x v="19"/>
    <n v="15500"/>
    <n v="0.3"/>
    <x v="1"/>
    <n v="4650"/>
    <n v="0"/>
    <n v="4650"/>
    <n v="93000"/>
    <n v="97650"/>
    <x v="2"/>
    <x v="0"/>
    <x v="3"/>
    <n v="3"/>
    <x v="1"/>
  </r>
  <r>
    <x v="925"/>
    <x v="925"/>
    <s v="Tono Hidayat"/>
    <x v="34"/>
    <x v="3"/>
    <n v="13500"/>
    <n v="1.1000000000000001"/>
    <x v="1"/>
    <n v="14850.000000000002"/>
    <n v="0"/>
    <n v="14850.000000000002"/>
    <n v="18000"/>
    <n v="32850"/>
    <x v="0"/>
    <x v="0"/>
    <x v="3"/>
    <n v="3"/>
    <x v="1"/>
  </r>
  <r>
    <x v="926"/>
    <x v="926"/>
    <s v="Gita Pradipta"/>
    <x v="10"/>
    <x v="16"/>
    <n v="115000"/>
    <n v="1.1000000000000001"/>
    <x v="1"/>
    <n v="126500.00000000001"/>
    <n v="0"/>
    <n v="126500.00000000001"/>
    <n v="87000"/>
    <n v="213500"/>
    <x v="1"/>
    <x v="0"/>
    <x v="1"/>
    <n v="1"/>
    <x v="0"/>
  </r>
  <r>
    <x v="927"/>
    <x v="927"/>
    <s v="Gita Saputra"/>
    <x v="17"/>
    <x v="11"/>
    <n v="15000"/>
    <n v="0.6"/>
    <x v="1"/>
    <n v="9000"/>
    <n v="0"/>
    <n v="9000"/>
    <n v="72000"/>
    <n v="81000"/>
    <x v="1"/>
    <x v="0"/>
    <x v="0"/>
    <n v="3"/>
    <x v="0"/>
  </r>
  <r>
    <x v="928"/>
    <x v="928"/>
    <s v="Yoga Utami"/>
    <x v="23"/>
    <x v="14"/>
    <n v="55000"/>
    <n v="0.7"/>
    <x v="1"/>
    <n v="38500"/>
    <n v="0"/>
    <n v="38500"/>
    <n v="55000"/>
    <n v="93500"/>
    <x v="0"/>
    <x v="2"/>
    <x v="0"/>
    <n v="1"/>
    <x v="1"/>
  </r>
  <r>
    <x v="929"/>
    <x v="929"/>
    <s v="Zahra Ananda"/>
    <x v="18"/>
    <x v="6"/>
    <n v="26000"/>
    <n v="2"/>
    <x v="0"/>
    <n v="52000"/>
    <n v="2600"/>
    <n v="49400"/>
    <n v="0"/>
    <n v="49400"/>
    <x v="2"/>
    <x v="0"/>
    <x v="2"/>
    <n v="4"/>
    <x v="0"/>
  </r>
  <r>
    <x v="930"/>
    <x v="930"/>
    <s v="Aulia Iskandar"/>
    <x v="11"/>
    <x v="0"/>
    <n v="10000"/>
    <n v="0.7"/>
    <x v="0"/>
    <n v="7000"/>
    <n v="350"/>
    <n v="6650"/>
    <n v="74000"/>
    <n v="80650"/>
    <x v="3"/>
    <x v="0"/>
    <x v="0"/>
    <n v="4"/>
    <x v="0"/>
  </r>
  <r>
    <x v="931"/>
    <x v="931"/>
    <s v="Aulia Ramadhani"/>
    <x v="2"/>
    <x v="9"/>
    <n v="46000"/>
    <n v="0.4"/>
    <x v="0"/>
    <n v="18400"/>
    <n v="920"/>
    <n v="17480"/>
    <n v="76000"/>
    <n v="93480"/>
    <x v="0"/>
    <x v="0"/>
    <x v="1"/>
    <n v="4"/>
    <x v="0"/>
  </r>
  <r>
    <x v="932"/>
    <x v="932"/>
    <s v="Citra Hidayat"/>
    <x v="21"/>
    <x v="11"/>
    <n v="15000"/>
    <n v="0.8"/>
    <x v="0"/>
    <n v="12000"/>
    <n v="600"/>
    <n v="11400"/>
    <n v="59000"/>
    <n v="70400"/>
    <x v="2"/>
    <x v="0"/>
    <x v="0"/>
    <n v="1"/>
    <x v="0"/>
  </r>
  <r>
    <x v="933"/>
    <x v="933"/>
    <s v="Bayu Ananda"/>
    <x v="3"/>
    <x v="11"/>
    <n v="15000"/>
    <n v="1.5"/>
    <x v="0"/>
    <n v="22500"/>
    <n v="1125"/>
    <n v="21375"/>
    <n v="93000"/>
    <n v="114375"/>
    <x v="3"/>
    <x v="1"/>
    <x v="2"/>
    <n v="4"/>
    <x v="1"/>
  </r>
  <r>
    <x v="934"/>
    <x v="934"/>
    <s v="Bella Iskandar"/>
    <x v="8"/>
    <x v="4"/>
    <n v="40000"/>
    <n v="1.2"/>
    <x v="0"/>
    <n v="48000"/>
    <n v="2400"/>
    <n v="45600"/>
    <n v="59000"/>
    <n v="104600"/>
    <x v="0"/>
    <x v="0"/>
    <x v="0"/>
    <n v="5"/>
    <x v="0"/>
  </r>
  <r>
    <x v="935"/>
    <x v="935"/>
    <s v="Lestari Puspita"/>
    <x v="19"/>
    <x v="18"/>
    <n v="11000"/>
    <n v="2.5"/>
    <x v="1"/>
    <n v="27500"/>
    <n v="0"/>
    <n v="27500"/>
    <n v="78000"/>
    <n v="105500"/>
    <x v="0"/>
    <x v="0"/>
    <x v="4"/>
    <n v="4"/>
    <x v="0"/>
  </r>
  <r>
    <x v="936"/>
    <x v="936"/>
    <s v="Hana Puspita"/>
    <x v="34"/>
    <x v="2"/>
    <n v="20000"/>
    <n v="3.5"/>
    <x v="1"/>
    <n v="70000"/>
    <n v="0"/>
    <n v="70000"/>
    <n v="18000"/>
    <n v="88000"/>
    <x v="1"/>
    <x v="0"/>
    <x v="3"/>
    <n v="5"/>
    <x v="0"/>
  </r>
  <r>
    <x v="937"/>
    <x v="937"/>
    <s v="Eka Iskandar"/>
    <x v="11"/>
    <x v="8"/>
    <n v="17500"/>
    <n v="2.1"/>
    <x v="1"/>
    <n v="36750"/>
    <n v="0"/>
    <n v="36750"/>
    <n v="74000"/>
    <n v="110750"/>
    <x v="3"/>
    <x v="1"/>
    <x v="3"/>
    <n v="5"/>
    <x v="0"/>
  </r>
  <r>
    <x v="938"/>
    <x v="938"/>
    <s v="Bella Hidayat"/>
    <x v="35"/>
    <x v="10"/>
    <n v="45000"/>
    <n v="0.6"/>
    <x v="1"/>
    <n v="27000"/>
    <n v="0"/>
    <n v="27000"/>
    <n v="79000"/>
    <n v="106000"/>
    <x v="0"/>
    <x v="1"/>
    <x v="4"/>
    <n v="4"/>
    <x v="0"/>
  </r>
  <r>
    <x v="938"/>
    <x v="938"/>
    <s v="Bella Hidayat"/>
    <x v="35"/>
    <x v="1"/>
    <n v="15000"/>
    <n v="1"/>
    <x v="1"/>
    <n v="15000"/>
    <n v="0"/>
    <n v="15000"/>
    <n v="0"/>
    <n v="15000"/>
    <x v="0"/>
    <x v="1"/>
    <x v="4"/>
    <n v="4"/>
    <x v="0"/>
  </r>
  <r>
    <x v="939"/>
    <x v="939"/>
    <s v="Ani Puspita"/>
    <x v="37"/>
    <x v="9"/>
    <n v="46000"/>
    <n v="1"/>
    <x v="1"/>
    <n v="46000"/>
    <n v="0"/>
    <n v="46000"/>
    <n v="67000"/>
    <n v="113000"/>
    <x v="1"/>
    <x v="0"/>
    <x v="4"/>
    <n v="1"/>
    <x v="0"/>
  </r>
  <r>
    <x v="940"/>
    <x v="940"/>
    <s v="Eka Kurniawan"/>
    <x v="37"/>
    <x v="17"/>
    <n v="12000"/>
    <n v="0.9"/>
    <x v="1"/>
    <n v="10800"/>
    <n v="0"/>
    <n v="10800"/>
    <n v="67000"/>
    <n v="77800"/>
    <x v="2"/>
    <x v="0"/>
    <x v="3"/>
    <n v="2"/>
    <x v="0"/>
  </r>
  <r>
    <x v="941"/>
    <x v="941"/>
    <s v="Clara Pradipta"/>
    <x v="15"/>
    <x v="14"/>
    <n v="55000"/>
    <n v="0.6"/>
    <x v="1"/>
    <n v="33000"/>
    <n v="0"/>
    <n v="33000"/>
    <n v="97000"/>
    <n v="130000"/>
    <x v="0"/>
    <x v="0"/>
    <x v="2"/>
    <n v="1"/>
    <x v="0"/>
  </r>
  <r>
    <x v="942"/>
    <x v="942"/>
    <s v="Ani Maulana"/>
    <x v="9"/>
    <x v="9"/>
    <n v="46000"/>
    <n v="1.2"/>
    <x v="1"/>
    <n v="55200"/>
    <n v="0"/>
    <n v="55200"/>
    <n v="89000"/>
    <n v="144200"/>
    <x v="2"/>
    <x v="0"/>
    <x v="1"/>
    <n v="1"/>
    <x v="0"/>
  </r>
  <r>
    <x v="943"/>
    <x v="943"/>
    <s v="Aulia Pradipta"/>
    <x v="19"/>
    <x v="15"/>
    <n v="10000"/>
    <n v="1"/>
    <x v="1"/>
    <n v="10000"/>
    <n v="0"/>
    <n v="10000"/>
    <n v="78000"/>
    <n v="88000"/>
    <x v="0"/>
    <x v="1"/>
    <x v="4"/>
    <n v="5"/>
    <x v="0"/>
  </r>
  <r>
    <x v="944"/>
    <x v="944"/>
    <s v="Vina Maulana"/>
    <x v="0"/>
    <x v="17"/>
    <n v="12000"/>
    <n v="1"/>
    <x v="1"/>
    <n v="12000"/>
    <n v="0"/>
    <n v="12000"/>
    <n v="15000"/>
    <n v="27000"/>
    <x v="0"/>
    <x v="0"/>
    <x v="1"/>
    <n v="5"/>
    <x v="0"/>
  </r>
  <r>
    <x v="945"/>
    <x v="945"/>
    <s v="Galih Puspita"/>
    <x v="3"/>
    <x v="5"/>
    <n v="10500"/>
    <n v="1.1000000000000001"/>
    <x v="1"/>
    <n v="11550.000000000002"/>
    <n v="0"/>
    <n v="11550.000000000002"/>
    <n v="93000"/>
    <n v="104550"/>
    <x v="3"/>
    <x v="0"/>
    <x v="0"/>
    <n v="1"/>
    <x v="1"/>
  </r>
  <r>
    <x v="946"/>
    <x v="946"/>
    <s v="Fitri Wijaya"/>
    <x v="30"/>
    <x v="15"/>
    <n v="10000"/>
    <n v="1.1000000000000001"/>
    <x v="1"/>
    <n v="11000"/>
    <n v="0"/>
    <n v="11000"/>
    <n v="57000"/>
    <n v="68000"/>
    <x v="1"/>
    <x v="0"/>
    <x v="1"/>
    <n v="3"/>
    <x v="0"/>
  </r>
  <r>
    <x v="946"/>
    <x v="946"/>
    <s v="Fitri Wijaya"/>
    <x v="30"/>
    <x v="9"/>
    <n v="46000"/>
    <n v="1"/>
    <x v="1"/>
    <n v="46000"/>
    <n v="0"/>
    <n v="46000"/>
    <n v="0"/>
    <n v="46000"/>
    <x v="1"/>
    <x v="0"/>
    <x v="1"/>
    <n v="3"/>
    <x v="0"/>
  </r>
  <r>
    <x v="947"/>
    <x v="947"/>
    <s v="Gita Utami"/>
    <x v="34"/>
    <x v="4"/>
    <n v="40000"/>
    <n v="1"/>
    <x v="1"/>
    <n v="40000"/>
    <n v="0"/>
    <n v="40000"/>
    <n v="18000"/>
    <n v="58000"/>
    <x v="2"/>
    <x v="0"/>
    <x v="3"/>
    <n v="5"/>
    <x v="0"/>
  </r>
  <r>
    <x v="948"/>
    <x v="948"/>
    <s v="Ani Budiman"/>
    <x v="17"/>
    <x v="4"/>
    <n v="40000"/>
    <n v="0.8"/>
    <x v="1"/>
    <n v="32000"/>
    <n v="0"/>
    <n v="32000"/>
    <n v="72000"/>
    <n v="104000"/>
    <x v="1"/>
    <x v="1"/>
    <x v="1"/>
    <n v="5"/>
    <x v="0"/>
  </r>
  <r>
    <x v="949"/>
    <x v="949"/>
    <s v="Vina Kurniawan"/>
    <x v="19"/>
    <x v="11"/>
    <n v="15000"/>
    <n v="0.7"/>
    <x v="1"/>
    <n v="10500"/>
    <n v="0"/>
    <n v="10500"/>
    <n v="78000"/>
    <n v="88500"/>
    <x v="0"/>
    <x v="1"/>
    <x v="1"/>
    <n v="5"/>
    <x v="0"/>
  </r>
  <r>
    <x v="950"/>
    <x v="950"/>
    <s v="Made Kusuma"/>
    <x v="20"/>
    <x v="11"/>
    <n v="15000"/>
    <n v="0.9"/>
    <x v="1"/>
    <n v="13500"/>
    <n v="0"/>
    <n v="13500"/>
    <n v="84000"/>
    <n v="97500"/>
    <x v="0"/>
    <x v="0"/>
    <x v="0"/>
    <n v="1"/>
    <x v="1"/>
  </r>
  <r>
    <x v="951"/>
    <x v="951"/>
    <s v="Kartika Saputra"/>
    <x v="37"/>
    <x v="16"/>
    <n v="115000"/>
    <n v="0.4"/>
    <x v="1"/>
    <n v="46000"/>
    <n v="0"/>
    <n v="46000"/>
    <n v="67000"/>
    <n v="113000"/>
    <x v="3"/>
    <x v="1"/>
    <x v="3"/>
    <n v="1"/>
    <x v="0"/>
  </r>
  <r>
    <x v="952"/>
    <x v="952"/>
    <s v="Made Santoso"/>
    <x v="35"/>
    <x v="3"/>
    <n v="13500"/>
    <n v="1.6"/>
    <x v="1"/>
    <n v="21600"/>
    <n v="0"/>
    <n v="21600"/>
    <n v="79000"/>
    <n v="100600"/>
    <x v="3"/>
    <x v="0"/>
    <x v="2"/>
    <n v="4"/>
    <x v="1"/>
  </r>
  <r>
    <x v="953"/>
    <x v="953"/>
    <s v="Dina Halim"/>
    <x v="0"/>
    <x v="18"/>
    <n v="11000"/>
    <n v="1.2"/>
    <x v="1"/>
    <n v="13200"/>
    <n v="0"/>
    <n v="13200"/>
    <n v="15000"/>
    <n v="28200"/>
    <x v="1"/>
    <x v="0"/>
    <x v="0"/>
    <n v="5"/>
    <x v="0"/>
  </r>
  <r>
    <x v="954"/>
    <x v="954"/>
    <s v="Lestari Budiman"/>
    <x v="14"/>
    <x v="10"/>
    <n v="45000"/>
    <n v="1.9"/>
    <x v="1"/>
    <n v="85500"/>
    <n v="0"/>
    <n v="85500"/>
    <n v="85000"/>
    <n v="170500"/>
    <x v="1"/>
    <x v="0"/>
    <x v="3"/>
    <n v="4"/>
    <x v="0"/>
  </r>
  <r>
    <x v="955"/>
    <x v="955"/>
    <s v="Sari Hidayat"/>
    <x v="2"/>
    <x v="18"/>
    <n v="11000"/>
    <n v="2"/>
    <x v="1"/>
    <n v="22000"/>
    <n v="0"/>
    <n v="22000"/>
    <n v="76000"/>
    <n v="98000"/>
    <x v="2"/>
    <x v="0"/>
    <x v="0"/>
    <n v="1"/>
    <x v="0"/>
  </r>
  <r>
    <x v="956"/>
    <x v="956"/>
    <s v="Gita Syahputra"/>
    <x v="21"/>
    <x v="10"/>
    <n v="45000"/>
    <n v="1.5"/>
    <x v="1"/>
    <n v="67500"/>
    <n v="0"/>
    <n v="67500"/>
    <n v="59000"/>
    <n v="126500"/>
    <x v="3"/>
    <x v="0"/>
    <x v="2"/>
    <n v="4"/>
    <x v="0"/>
  </r>
  <r>
    <x v="956"/>
    <x v="956"/>
    <s v="Gita Syahputra"/>
    <x v="21"/>
    <x v="8"/>
    <n v="17500"/>
    <n v="2.2999999999999998"/>
    <x v="1"/>
    <n v="40250"/>
    <n v="0"/>
    <n v="40250"/>
    <n v="0"/>
    <n v="40250"/>
    <x v="3"/>
    <x v="0"/>
    <x v="2"/>
    <n v="4"/>
    <x v="0"/>
  </r>
  <r>
    <x v="957"/>
    <x v="957"/>
    <s v="Bella Hidayat"/>
    <x v="35"/>
    <x v="7"/>
    <n v="14000"/>
    <n v="1"/>
    <x v="0"/>
    <n v="14000"/>
    <n v="700"/>
    <n v="13300"/>
    <n v="79000"/>
    <n v="92300"/>
    <x v="2"/>
    <x v="0"/>
    <x v="4"/>
    <n v="4"/>
    <x v="0"/>
  </r>
  <r>
    <x v="958"/>
    <x v="958"/>
    <s v="Galih Iskandar"/>
    <x v="27"/>
    <x v="3"/>
    <n v="13500"/>
    <n v="1.2"/>
    <x v="0"/>
    <n v="16200"/>
    <n v="810"/>
    <n v="15390"/>
    <n v="49000"/>
    <n v="64390"/>
    <x v="0"/>
    <x v="0"/>
    <x v="1"/>
    <n v="2"/>
    <x v="1"/>
  </r>
  <r>
    <x v="959"/>
    <x v="959"/>
    <s v="Dewi Syahputra"/>
    <x v="16"/>
    <x v="11"/>
    <n v="15000"/>
    <n v="0.9"/>
    <x v="0"/>
    <n v="13500"/>
    <n v="675"/>
    <n v="12825"/>
    <n v="18000"/>
    <n v="30825"/>
    <x v="3"/>
    <x v="0"/>
    <x v="0"/>
    <n v="3"/>
    <x v="0"/>
  </r>
  <r>
    <x v="960"/>
    <x v="960"/>
    <s v="Aulia Hidayat"/>
    <x v="34"/>
    <x v="18"/>
    <n v="11000"/>
    <n v="1.3"/>
    <x v="0"/>
    <n v="14300"/>
    <n v="715"/>
    <n v="13585"/>
    <n v="18000"/>
    <n v="31585"/>
    <x v="1"/>
    <x v="0"/>
    <x v="4"/>
    <n v="4"/>
    <x v="0"/>
  </r>
  <r>
    <x v="961"/>
    <x v="961"/>
    <s v="Clara Ramadhani"/>
    <x v="29"/>
    <x v="4"/>
    <n v="40000"/>
    <n v="0.3"/>
    <x v="0"/>
    <n v="12000"/>
    <n v="600"/>
    <n v="11400"/>
    <n v="48000"/>
    <n v="59400"/>
    <x v="3"/>
    <x v="0"/>
    <x v="2"/>
    <n v="2"/>
    <x v="0"/>
  </r>
  <r>
    <x v="962"/>
    <x v="962"/>
    <s v="Citra Rahmawati"/>
    <x v="25"/>
    <x v="11"/>
    <n v="15000"/>
    <n v="2.4"/>
    <x v="0"/>
    <n v="36000"/>
    <n v="1800"/>
    <n v="34200"/>
    <n v="50000"/>
    <n v="84200"/>
    <x v="0"/>
    <x v="0"/>
    <x v="2"/>
    <n v="3"/>
    <x v="0"/>
  </r>
  <r>
    <x v="963"/>
    <x v="963"/>
    <s v="Nanda Halim"/>
    <x v="13"/>
    <x v="0"/>
    <n v="10000"/>
    <n v="2.9"/>
    <x v="0"/>
    <n v="29000"/>
    <n v="1450"/>
    <n v="27550"/>
    <n v="49000"/>
    <n v="76550"/>
    <x v="2"/>
    <x v="1"/>
    <x v="3"/>
    <n v="4"/>
    <x v="1"/>
  </r>
  <r>
    <x v="964"/>
    <x v="964"/>
    <s v="Dina Kurniawan"/>
    <x v="31"/>
    <x v="0"/>
    <n v="10000"/>
    <n v="2.8"/>
    <x v="0"/>
    <n v="28000"/>
    <n v="1400"/>
    <n v="26600"/>
    <n v="87000"/>
    <n v="113600"/>
    <x v="3"/>
    <x v="0"/>
    <x v="2"/>
    <n v="4"/>
    <x v="0"/>
  </r>
  <r>
    <x v="965"/>
    <x v="965"/>
    <s v="Clara Puspita"/>
    <x v="35"/>
    <x v="3"/>
    <n v="13500"/>
    <n v="2.5"/>
    <x v="0"/>
    <n v="33750"/>
    <n v="1687.5"/>
    <n v="32062.5"/>
    <n v="79000"/>
    <n v="111062.5"/>
    <x v="1"/>
    <x v="0"/>
    <x v="3"/>
    <n v="3"/>
    <x v="0"/>
  </r>
  <r>
    <x v="966"/>
    <x v="966"/>
    <s v="Tono Hidayat"/>
    <x v="34"/>
    <x v="10"/>
    <n v="45000"/>
    <n v="1.5"/>
    <x v="0"/>
    <n v="67500"/>
    <n v="3375"/>
    <n v="64125"/>
    <n v="18000"/>
    <n v="82125"/>
    <x v="0"/>
    <x v="0"/>
    <x v="3"/>
    <n v="1"/>
    <x v="1"/>
  </r>
  <r>
    <x v="967"/>
    <x v="967"/>
    <s v="Erna Setiawan"/>
    <x v="6"/>
    <x v="8"/>
    <n v="17500"/>
    <n v="2.8"/>
    <x v="0"/>
    <n v="49000"/>
    <n v="2450"/>
    <n v="46550"/>
    <n v="80000"/>
    <n v="126550"/>
    <x v="1"/>
    <x v="0"/>
    <x v="4"/>
    <n v="1"/>
    <x v="0"/>
  </r>
  <r>
    <x v="968"/>
    <x v="968"/>
    <s v="Indra Rahmawati"/>
    <x v="16"/>
    <x v="0"/>
    <n v="10000"/>
    <n v="2.1"/>
    <x v="0"/>
    <n v="21000"/>
    <n v="1050"/>
    <n v="19950"/>
    <n v="18000"/>
    <n v="37950"/>
    <x v="3"/>
    <x v="0"/>
    <x v="4"/>
    <n v="3"/>
    <x v="1"/>
  </r>
  <r>
    <x v="969"/>
    <x v="969"/>
    <s v="Wahyu Budiman"/>
    <x v="29"/>
    <x v="8"/>
    <n v="17500"/>
    <n v="1.6"/>
    <x v="0"/>
    <n v="28000"/>
    <n v="1400"/>
    <n v="26600"/>
    <n v="48000"/>
    <n v="74600"/>
    <x v="2"/>
    <x v="0"/>
    <x v="2"/>
    <n v="2"/>
    <x v="1"/>
  </r>
  <r>
    <x v="970"/>
    <x v="970"/>
    <s v="Citra Rahmawati"/>
    <x v="25"/>
    <x v="17"/>
    <n v="12000"/>
    <n v="1.6"/>
    <x v="0"/>
    <n v="19200"/>
    <n v="960"/>
    <n v="18240"/>
    <n v="50000"/>
    <n v="68240"/>
    <x v="1"/>
    <x v="0"/>
    <x v="0"/>
    <n v="1"/>
    <x v="0"/>
  </r>
  <r>
    <x v="971"/>
    <x v="971"/>
    <s v="Citra Kurniawan"/>
    <x v="21"/>
    <x v="0"/>
    <n v="10000"/>
    <n v="1.5"/>
    <x v="0"/>
    <n v="15000"/>
    <n v="750"/>
    <n v="14250"/>
    <n v="59000"/>
    <n v="73250"/>
    <x v="3"/>
    <x v="0"/>
    <x v="1"/>
    <n v="1"/>
    <x v="0"/>
  </r>
  <r>
    <x v="972"/>
    <x v="972"/>
    <s v="Qori Halim"/>
    <x v="13"/>
    <x v="1"/>
    <n v="15000"/>
    <n v="1.3"/>
    <x v="0"/>
    <n v="19500"/>
    <n v="975"/>
    <n v="18525"/>
    <n v="49000"/>
    <n v="67525"/>
    <x v="2"/>
    <x v="0"/>
    <x v="1"/>
    <n v="1"/>
    <x v="0"/>
  </r>
  <r>
    <x v="973"/>
    <x v="973"/>
    <s v="Yani Maulana"/>
    <x v="19"/>
    <x v="7"/>
    <n v="14000"/>
    <n v="0.6"/>
    <x v="0"/>
    <n v="8400"/>
    <n v="420"/>
    <n v="7980"/>
    <n v="78000"/>
    <n v="85980"/>
    <x v="1"/>
    <x v="2"/>
    <x v="1"/>
    <n v="4"/>
    <x v="0"/>
  </r>
  <r>
    <x v="974"/>
    <x v="974"/>
    <s v="Dewi Maulana"/>
    <x v="28"/>
    <x v="1"/>
    <n v="15000"/>
    <n v="0.7"/>
    <x v="0"/>
    <n v="10500"/>
    <n v="525"/>
    <n v="9975"/>
    <n v="56000"/>
    <n v="65975"/>
    <x v="3"/>
    <x v="1"/>
    <x v="1"/>
    <n v="1"/>
    <x v="0"/>
  </r>
  <r>
    <x v="975"/>
    <x v="975"/>
    <s v="Tono Hidayat"/>
    <x v="34"/>
    <x v="10"/>
    <n v="45000"/>
    <n v="0.6"/>
    <x v="0"/>
    <n v="27000"/>
    <n v="1350"/>
    <n v="25650"/>
    <n v="18000"/>
    <n v="43650"/>
    <x v="3"/>
    <x v="0"/>
    <x v="2"/>
    <n v="1"/>
    <x v="1"/>
  </r>
  <r>
    <x v="976"/>
    <x v="976"/>
    <s v="Erna Pradipta"/>
    <x v="18"/>
    <x v="8"/>
    <n v="17500"/>
    <n v="1.2"/>
    <x v="0"/>
    <n v="21000"/>
    <n v="1050"/>
    <n v="19950"/>
    <n v="0"/>
    <n v="19950"/>
    <x v="3"/>
    <x v="0"/>
    <x v="4"/>
    <n v="2"/>
    <x v="0"/>
  </r>
  <r>
    <x v="977"/>
    <x v="977"/>
    <s v="Yani Setiawan"/>
    <x v="2"/>
    <x v="17"/>
    <n v="12000"/>
    <n v="1.5"/>
    <x v="0"/>
    <n v="18000"/>
    <n v="900"/>
    <n v="17100"/>
    <n v="76000"/>
    <n v="93100"/>
    <x v="3"/>
    <x v="0"/>
    <x v="1"/>
    <n v="1"/>
    <x v="0"/>
  </r>
  <r>
    <x v="978"/>
    <x v="978"/>
    <s v="Ani Maulana"/>
    <x v="9"/>
    <x v="19"/>
    <n v="15500"/>
    <n v="0.4"/>
    <x v="0"/>
    <n v="6200"/>
    <n v="310"/>
    <n v="5890"/>
    <n v="89000"/>
    <n v="94890"/>
    <x v="0"/>
    <x v="0"/>
    <x v="0"/>
    <n v="5"/>
    <x v="0"/>
  </r>
  <r>
    <x v="979"/>
    <x v="979"/>
    <s v="Fitri Saputra"/>
    <x v="15"/>
    <x v="0"/>
    <n v="10000"/>
    <n v="2.4"/>
    <x v="0"/>
    <n v="24000"/>
    <n v="1200"/>
    <n v="22800"/>
    <n v="97000"/>
    <n v="119800"/>
    <x v="1"/>
    <x v="2"/>
    <x v="2"/>
    <n v="1"/>
    <x v="0"/>
  </r>
  <r>
    <x v="980"/>
    <x v="980"/>
    <s v="Zahra Pradipta"/>
    <x v="9"/>
    <x v="0"/>
    <n v="10000"/>
    <n v="3"/>
    <x v="0"/>
    <n v="30000"/>
    <n v="1500"/>
    <n v="28500"/>
    <n v="89000"/>
    <n v="117500"/>
    <x v="0"/>
    <x v="0"/>
    <x v="3"/>
    <n v="4"/>
    <x v="0"/>
  </r>
  <r>
    <x v="981"/>
    <x v="981"/>
    <s v="Zahra Wijaya"/>
    <x v="12"/>
    <x v="10"/>
    <n v="45000"/>
    <n v="0.1"/>
    <x v="0"/>
    <n v="4500"/>
    <n v="225"/>
    <n v="4275"/>
    <n v="30000"/>
    <n v="34275"/>
    <x v="0"/>
    <x v="0"/>
    <x v="4"/>
    <n v="4"/>
    <x v="0"/>
  </r>
  <r>
    <x v="982"/>
    <x v="982"/>
    <s v="Yoga Nugroho"/>
    <x v="5"/>
    <x v="13"/>
    <n v="10000"/>
    <n v="0.3"/>
    <x v="1"/>
    <n v="3000"/>
    <n v="0"/>
    <n v="3000"/>
    <n v="18000"/>
    <n v="21000"/>
    <x v="1"/>
    <x v="0"/>
    <x v="3"/>
    <n v="3"/>
    <x v="1"/>
  </r>
  <r>
    <x v="983"/>
    <x v="983"/>
    <s v="Lestari Fauziah"/>
    <x v="23"/>
    <x v="11"/>
    <n v="15000"/>
    <n v="1.5"/>
    <x v="1"/>
    <n v="22500"/>
    <n v="0"/>
    <n v="22500"/>
    <n v="55000"/>
    <n v="77500"/>
    <x v="1"/>
    <x v="0"/>
    <x v="2"/>
    <n v="2"/>
    <x v="0"/>
  </r>
  <r>
    <x v="983"/>
    <x v="983"/>
    <s v="Lestari Fauziah"/>
    <x v="23"/>
    <x v="1"/>
    <n v="15000"/>
    <n v="0.2"/>
    <x v="1"/>
    <n v="3000"/>
    <n v="0"/>
    <n v="3000"/>
    <n v="0"/>
    <n v="3000"/>
    <x v="1"/>
    <x v="0"/>
    <x v="2"/>
    <n v="2"/>
    <x v="0"/>
  </r>
  <r>
    <x v="984"/>
    <x v="984"/>
    <s v="Rizky Puspita"/>
    <x v="35"/>
    <x v="3"/>
    <n v="13500"/>
    <n v="1.7"/>
    <x v="1"/>
    <n v="22950"/>
    <n v="0"/>
    <n v="22950"/>
    <n v="79000"/>
    <n v="101950"/>
    <x v="1"/>
    <x v="0"/>
    <x v="1"/>
    <n v="2"/>
    <x v="1"/>
  </r>
  <r>
    <x v="985"/>
    <x v="985"/>
    <s v="Dewi Budiman"/>
    <x v="36"/>
    <x v="11"/>
    <n v="15000"/>
    <n v="1.9"/>
    <x v="1"/>
    <n v="28500"/>
    <n v="0"/>
    <n v="28500"/>
    <n v="21000"/>
    <n v="49500"/>
    <x v="2"/>
    <x v="0"/>
    <x v="4"/>
    <n v="2"/>
    <x v="0"/>
  </r>
  <r>
    <x v="986"/>
    <x v="986"/>
    <s v="Yani Nugroho"/>
    <x v="1"/>
    <x v="9"/>
    <n v="46000"/>
    <n v="0.5"/>
    <x v="1"/>
    <n v="23000"/>
    <n v="0"/>
    <n v="23000"/>
    <n v="17000"/>
    <n v="40000"/>
    <x v="3"/>
    <x v="0"/>
    <x v="0"/>
    <n v="1"/>
    <x v="0"/>
  </r>
  <r>
    <x v="987"/>
    <x v="987"/>
    <s v="Ani Hidayat"/>
    <x v="4"/>
    <x v="10"/>
    <n v="45000"/>
    <n v="0.7"/>
    <x v="1"/>
    <n v="31499.999999999996"/>
    <n v="0"/>
    <n v="31499.999999999996"/>
    <n v="43000"/>
    <n v="74500"/>
    <x v="2"/>
    <x v="0"/>
    <x v="1"/>
    <n v="4"/>
    <x v="0"/>
  </r>
  <r>
    <x v="988"/>
    <x v="988"/>
    <s v="Zahra Kusuma"/>
    <x v="7"/>
    <x v="0"/>
    <n v="10000"/>
    <n v="1.9"/>
    <x v="1"/>
    <n v="19000"/>
    <n v="0"/>
    <n v="19000"/>
    <n v="26000"/>
    <n v="45000"/>
    <x v="0"/>
    <x v="1"/>
    <x v="2"/>
    <n v="3"/>
    <x v="0"/>
  </r>
  <r>
    <x v="989"/>
    <x v="989"/>
    <s v="Fitri Wijaya"/>
    <x v="30"/>
    <x v="10"/>
    <n v="45000"/>
    <n v="1.3"/>
    <x v="1"/>
    <n v="58500"/>
    <n v="0"/>
    <n v="58500"/>
    <n v="57000"/>
    <n v="115500"/>
    <x v="1"/>
    <x v="0"/>
    <x v="3"/>
    <n v="5"/>
    <x v="0"/>
  </r>
  <r>
    <x v="990"/>
    <x v="990"/>
    <s v="Aulia Iskandar"/>
    <x v="11"/>
    <x v="11"/>
    <n v="15000"/>
    <n v="0.6"/>
    <x v="1"/>
    <n v="9000"/>
    <n v="0"/>
    <n v="9000"/>
    <n v="74000"/>
    <n v="83000"/>
    <x v="2"/>
    <x v="0"/>
    <x v="0"/>
    <n v="5"/>
    <x v="0"/>
  </r>
  <r>
    <x v="991"/>
    <x v="991"/>
    <s v="Zahra Kurniawan"/>
    <x v="0"/>
    <x v="18"/>
    <n v="11000"/>
    <n v="0.8"/>
    <x v="1"/>
    <n v="8800"/>
    <n v="0"/>
    <n v="8800"/>
    <n v="15000"/>
    <n v="23800"/>
    <x v="0"/>
    <x v="0"/>
    <x v="3"/>
    <n v="1"/>
    <x v="0"/>
  </r>
  <r>
    <x v="992"/>
    <x v="992"/>
    <s v="Gita Ramadhani"/>
    <x v="22"/>
    <x v="9"/>
    <n v="46000"/>
    <n v="0.6"/>
    <x v="1"/>
    <n v="27600"/>
    <n v="0"/>
    <n v="27600"/>
    <n v="50000"/>
    <n v="77600"/>
    <x v="3"/>
    <x v="0"/>
    <x v="0"/>
    <n v="1"/>
    <x v="0"/>
  </r>
  <r>
    <x v="993"/>
    <x v="993"/>
    <s v="Clara Setiawan"/>
    <x v="16"/>
    <x v="1"/>
    <n v="15000"/>
    <n v="0.4"/>
    <x v="1"/>
    <n v="6000"/>
    <n v="0"/>
    <n v="6000"/>
    <n v="18000"/>
    <n v="24000"/>
    <x v="2"/>
    <x v="0"/>
    <x v="0"/>
    <n v="4"/>
    <x v="0"/>
  </r>
  <r>
    <x v="994"/>
    <x v="994"/>
    <s v="Budi Saputra"/>
    <x v="28"/>
    <x v="7"/>
    <n v="14000"/>
    <n v="1.9"/>
    <x v="1"/>
    <n v="26600"/>
    <n v="0"/>
    <n v="26600"/>
    <n v="56000"/>
    <n v="82600"/>
    <x v="1"/>
    <x v="0"/>
    <x v="4"/>
    <n v="3"/>
    <x v="1"/>
  </r>
  <r>
    <x v="995"/>
    <x v="995"/>
    <s v="Indra Ananda"/>
    <x v="20"/>
    <x v="19"/>
    <n v="15500"/>
    <n v="0.4"/>
    <x v="1"/>
    <n v="6200"/>
    <n v="0"/>
    <n v="6200"/>
    <n v="84000"/>
    <n v="90200"/>
    <x v="0"/>
    <x v="0"/>
    <x v="2"/>
    <n v="1"/>
    <x v="1"/>
  </r>
  <r>
    <x v="996"/>
    <x v="996"/>
    <s v="Qori Ananda"/>
    <x v="25"/>
    <x v="3"/>
    <n v="13500"/>
    <n v="0.9"/>
    <x v="1"/>
    <n v="12150"/>
    <n v="0"/>
    <n v="12150"/>
    <n v="50000"/>
    <n v="62150"/>
    <x v="3"/>
    <x v="0"/>
    <x v="3"/>
    <n v="4"/>
    <x v="0"/>
  </r>
  <r>
    <x v="997"/>
    <x v="997"/>
    <s v="Bella Nugroho"/>
    <x v="23"/>
    <x v="5"/>
    <n v="10500"/>
    <n v="1.6"/>
    <x v="1"/>
    <n v="16800"/>
    <n v="0"/>
    <n v="16800"/>
    <n v="55000"/>
    <n v="71800"/>
    <x v="1"/>
    <x v="0"/>
    <x v="2"/>
    <n v="4"/>
    <x v="0"/>
  </r>
  <r>
    <x v="998"/>
    <x v="998"/>
    <s v="Bella Budiman"/>
    <x v="1"/>
    <x v="19"/>
    <n v="15500"/>
    <n v="0.6"/>
    <x v="1"/>
    <n v="9300"/>
    <n v="0"/>
    <n v="9300"/>
    <n v="17000"/>
    <n v="26300"/>
    <x v="2"/>
    <x v="0"/>
    <x v="1"/>
    <n v="5"/>
    <x v="0"/>
  </r>
  <r>
    <x v="999"/>
    <x v="999"/>
    <s v="Putri Saputra"/>
    <x v="14"/>
    <x v="8"/>
    <n v="17500"/>
    <n v="1.6"/>
    <x v="1"/>
    <n v="28000"/>
    <n v="0"/>
    <n v="28000"/>
    <n v="85000"/>
    <n v="113000"/>
    <x v="0"/>
    <x v="0"/>
    <x v="0"/>
    <n v="1"/>
    <x v="0"/>
  </r>
  <r>
    <x v="1000"/>
    <x v="1000"/>
    <s v="Yani Ananda"/>
    <x v="28"/>
    <x v="15"/>
    <n v="10000"/>
    <n v="0.9"/>
    <x v="1"/>
    <n v="9000"/>
    <n v="0"/>
    <n v="9000"/>
    <n v="56000"/>
    <n v="65000"/>
    <x v="0"/>
    <x v="1"/>
    <x v="2"/>
    <n v="1"/>
    <x v="0"/>
  </r>
  <r>
    <x v="1001"/>
    <x v="1001"/>
    <s v="Tono Fauziah"/>
    <x v="30"/>
    <x v="4"/>
    <n v="40000"/>
    <n v="1"/>
    <x v="1"/>
    <n v="40000"/>
    <n v="0"/>
    <n v="40000"/>
    <n v="57000"/>
    <n v="97000"/>
    <x v="3"/>
    <x v="0"/>
    <x v="4"/>
    <n v="3"/>
    <x v="1"/>
  </r>
  <r>
    <x v="1002"/>
    <x v="1002"/>
    <s v="Yani Ananda"/>
    <x v="28"/>
    <x v="3"/>
    <n v="13500"/>
    <n v="2.8"/>
    <x v="1"/>
    <n v="37800"/>
    <n v="0"/>
    <n v="37800"/>
    <n v="56000"/>
    <n v="93800"/>
    <x v="3"/>
    <x v="0"/>
    <x v="3"/>
    <n v="1"/>
    <x v="0"/>
  </r>
  <r>
    <x v="1002"/>
    <x v="1002"/>
    <s v="Yani Ananda"/>
    <x v="28"/>
    <x v="4"/>
    <n v="40000"/>
    <n v="1.2"/>
    <x v="1"/>
    <n v="48000"/>
    <n v="0"/>
    <n v="48000"/>
    <n v="0"/>
    <n v="48000"/>
    <x v="3"/>
    <x v="0"/>
    <x v="3"/>
    <n v="1"/>
    <x v="0"/>
  </r>
  <r>
    <x v="1003"/>
    <x v="1003"/>
    <s v="Erna Iskandar"/>
    <x v="17"/>
    <x v="3"/>
    <n v="13500"/>
    <n v="3.7"/>
    <x v="1"/>
    <n v="49950"/>
    <n v="0"/>
    <n v="49950"/>
    <n v="72000"/>
    <n v="121950"/>
    <x v="3"/>
    <x v="0"/>
    <x v="1"/>
    <n v="2"/>
    <x v="0"/>
  </r>
  <r>
    <x v="1004"/>
    <x v="1004"/>
    <s v="Putri Setiawan"/>
    <x v="21"/>
    <x v="3"/>
    <n v="13500"/>
    <n v="1.3"/>
    <x v="1"/>
    <n v="17550"/>
    <n v="0"/>
    <n v="17550"/>
    <n v="59000"/>
    <n v="76550"/>
    <x v="0"/>
    <x v="0"/>
    <x v="3"/>
    <n v="3"/>
    <x v="0"/>
  </r>
  <r>
    <x v="1005"/>
    <x v="1005"/>
    <s v="Zahra Puspita"/>
    <x v="19"/>
    <x v="18"/>
    <n v="11000"/>
    <n v="1.6"/>
    <x v="1"/>
    <n v="17600"/>
    <n v="0"/>
    <n v="17600"/>
    <n v="78000"/>
    <n v="95600"/>
    <x v="2"/>
    <x v="0"/>
    <x v="0"/>
    <n v="1"/>
    <x v="0"/>
  </r>
  <r>
    <x v="1006"/>
    <x v="1006"/>
    <s v="Dewi Wijaya"/>
    <x v="12"/>
    <x v="15"/>
    <n v="10000"/>
    <n v="0.6"/>
    <x v="1"/>
    <n v="6000"/>
    <n v="0"/>
    <n v="6000"/>
    <n v="30000"/>
    <n v="36000"/>
    <x v="0"/>
    <x v="0"/>
    <x v="3"/>
    <n v="1"/>
    <x v="0"/>
  </r>
  <r>
    <x v="1007"/>
    <x v="1007"/>
    <s v="Fitri Ananda"/>
    <x v="1"/>
    <x v="3"/>
    <n v="13500"/>
    <n v="2.6"/>
    <x v="1"/>
    <n v="35100"/>
    <n v="0"/>
    <n v="35100"/>
    <n v="17000"/>
    <n v="52100"/>
    <x v="3"/>
    <x v="0"/>
    <x v="0"/>
    <n v="2"/>
    <x v="0"/>
  </r>
  <r>
    <x v="1008"/>
    <x v="1008"/>
    <s v="Vina Maulana"/>
    <x v="0"/>
    <x v="7"/>
    <n v="14000"/>
    <n v="0.6"/>
    <x v="1"/>
    <n v="8400"/>
    <n v="0"/>
    <n v="8400"/>
    <n v="15000"/>
    <n v="23400"/>
    <x v="1"/>
    <x v="0"/>
    <x v="3"/>
    <n v="4"/>
    <x v="0"/>
  </r>
  <r>
    <x v="1009"/>
    <x v="1009"/>
    <s v="Wahyu Hidayat"/>
    <x v="0"/>
    <x v="17"/>
    <n v="12000"/>
    <n v="0.9"/>
    <x v="1"/>
    <n v="10800"/>
    <n v="0"/>
    <n v="10800"/>
    <n v="15000"/>
    <n v="25800"/>
    <x v="2"/>
    <x v="0"/>
    <x v="0"/>
    <n v="2"/>
    <x v="1"/>
  </r>
  <r>
    <x v="1010"/>
    <x v="1010"/>
    <s v="Eka Ananda"/>
    <x v="20"/>
    <x v="18"/>
    <n v="11000"/>
    <n v="2.1"/>
    <x v="1"/>
    <n v="23100"/>
    <n v="0"/>
    <n v="23100"/>
    <n v="84000"/>
    <n v="107100"/>
    <x v="3"/>
    <x v="0"/>
    <x v="4"/>
    <n v="5"/>
    <x v="0"/>
  </r>
  <r>
    <x v="1011"/>
    <x v="1011"/>
    <s v="Fitri Puspita"/>
    <x v="19"/>
    <x v="11"/>
    <n v="15000"/>
    <n v="1"/>
    <x v="1"/>
    <n v="15000"/>
    <n v="0"/>
    <n v="15000"/>
    <n v="78000"/>
    <n v="93000"/>
    <x v="3"/>
    <x v="0"/>
    <x v="3"/>
    <n v="2"/>
    <x v="0"/>
  </r>
  <r>
    <x v="1012"/>
    <x v="1012"/>
    <s v="Gita Saputra"/>
    <x v="17"/>
    <x v="17"/>
    <n v="12000"/>
    <n v="1.7"/>
    <x v="1"/>
    <n v="20400"/>
    <n v="0"/>
    <n v="20400"/>
    <n v="72000"/>
    <n v="92400"/>
    <x v="0"/>
    <x v="0"/>
    <x v="1"/>
    <n v="3"/>
    <x v="0"/>
  </r>
  <r>
    <x v="1013"/>
    <x v="1013"/>
    <s v="Putri Ramadhani"/>
    <x v="34"/>
    <x v="16"/>
    <n v="115000"/>
    <n v="0.4"/>
    <x v="1"/>
    <n v="46000"/>
    <n v="0"/>
    <n v="46000"/>
    <n v="18000"/>
    <n v="64000"/>
    <x v="2"/>
    <x v="1"/>
    <x v="3"/>
    <n v="3"/>
    <x v="0"/>
  </r>
  <r>
    <x v="1014"/>
    <x v="1014"/>
    <s v="Rizky Puspita"/>
    <x v="35"/>
    <x v="2"/>
    <n v="20000"/>
    <n v="2.2000000000000002"/>
    <x v="1"/>
    <n v="44000"/>
    <n v="0"/>
    <n v="44000"/>
    <n v="79000"/>
    <n v="123000"/>
    <x v="1"/>
    <x v="0"/>
    <x v="2"/>
    <n v="2"/>
    <x v="1"/>
  </r>
  <r>
    <x v="1015"/>
    <x v="1015"/>
    <s v="Bayu Maulana"/>
    <x v="9"/>
    <x v="1"/>
    <n v="15000"/>
    <n v="0.3"/>
    <x v="1"/>
    <n v="4500"/>
    <n v="0"/>
    <n v="4500"/>
    <n v="89000"/>
    <n v="93500"/>
    <x v="0"/>
    <x v="2"/>
    <x v="0"/>
    <n v="1"/>
    <x v="1"/>
  </r>
  <r>
    <x v="1016"/>
    <x v="1016"/>
    <s v="Qori Halim"/>
    <x v="13"/>
    <x v="8"/>
    <n v="17500"/>
    <n v="4"/>
    <x v="1"/>
    <n v="70000"/>
    <n v="0"/>
    <n v="70000"/>
    <n v="49000"/>
    <n v="119000"/>
    <x v="3"/>
    <x v="0"/>
    <x v="0"/>
    <n v="1"/>
    <x v="0"/>
  </r>
  <r>
    <x v="1017"/>
    <x v="1017"/>
    <s v="Aulia Fauziah"/>
    <x v="24"/>
    <x v="2"/>
    <n v="20000"/>
    <n v="1.8"/>
    <x v="1"/>
    <n v="36000"/>
    <n v="0"/>
    <n v="36000"/>
    <n v="68000"/>
    <n v="104000"/>
    <x v="3"/>
    <x v="0"/>
    <x v="1"/>
    <n v="3"/>
    <x v="0"/>
  </r>
  <r>
    <x v="1018"/>
    <x v="1018"/>
    <s v="Qori Utami"/>
    <x v="30"/>
    <x v="4"/>
    <n v="40000"/>
    <n v="0.7"/>
    <x v="1"/>
    <n v="28000"/>
    <n v="0"/>
    <n v="28000"/>
    <n v="57000"/>
    <n v="85000"/>
    <x v="0"/>
    <x v="0"/>
    <x v="3"/>
    <n v="3"/>
    <x v="0"/>
  </r>
  <r>
    <x v="1019"/>
    <x v="1019"/>
    <s v="Bella Pradipta"/>
    <x v="23"/>
    <x v="2"/>
    <n v="20000"/>
    <n v="2.9"/>
    <x v="1"/>
    <n v="58000"/>
    <n v="0"/>
    <n v="58000"/>
    <n v="55000"/>
    <n v="113000"/>
    <x v="0"/>
    <x v="0"/>
    <x v="3"/>
    <n v="2"/>
    <x v="0"/>
  </r>
  <r>
    <x v="1020"/>
    <x v="1020"/>
    <s v="Bella Ananda"/>
    <x v="4"/>
    <x v="16"/>
    <n v="115000"/>
    <n v="1"/>
    <x v="1"/>
    <n v="115000"/>
    <n v="0"/>
    <n v="115000"/>
    <n v="43000"/>
    <n v="158000"/>
    <x v="0"/>
    <x v="1"/>
    <x v="0"/>
    <n v="2"/>
    <x v="0"/>
  </r>
  <r>
    <x v="1021"/>
    <x v="1021"/>
    <s v="Eka Rahmawati"/>
    <x v="4"/>
    <x v="7"/>
    <n v="14000"/>
    <n v="0.4"/>
    <x v="1"/>
    <n v="5600"/>
    <n v="0"/>
    <n v="5600"/>
    <n v="43000"/>
    <n v="48600"/>
    <x v="0"/>
    <x v="0"/>
    <x v="2"/>
    <n v="3"/>
    <x v="0"/>
  </r>
  <r>
    <x v="1022"/>
    <x v="1022"/>
    <s v="Citra Kurniawan"/>
    <x v="21"/>
    <x v="1"/>
    <n v="15000"/>
    <n v="0.9"/>
    <x v="1"/>
    <n v="13500"/>
    <n v="0"/>
    <n v="13500"/>
    <n v="59000"/>
    <n v="72500"/>
    <x v="0"/>
    <x v="1"/>
    <x v="4"/>
    <n v="5"/>
    <x v="0"/>
  </r>
  <r>
    <x v="1023"/>
    <x v="1023"/>
    <s v="Fitri Setiawan"/>
    <x v="13"/>
    <x v="17"/>
    <n v="12000"/>
    <n v="0.4"/>
    <x v="1"/>
    <n v="4800"/>
    <n v="0"/>
    <n v="4800"/>
    <n v="49000"/>
    <n v="53800"/>
    <x v="0"/>
    <x v="0"/>
    <x v="2"/>
    <n v="3"/>
    <x v="0"/>
  </r>
  <r>
    <x v="1024"/>
    <x v="1024"/>
    <s v="Citra Halim"/>
    <x v="21"/>
    <x v="13"/>
    <n v="10000"/>
    <n v="0.9"/>
    <x v="1"/>
    <n v="9000"/>
    <n v="0"/>
    <n v="9000"/>
    <n v="59000"/>
    <n v="68000"/>
    <x v="1"/>
    <x v="0"/>
    <x v="4"/>
    <n v="3"/>
    <x v="0"/>
  </r>
  <r>
    <x v="1025"/>
    <x v="1025"/>
    <s v="Vina Syahputra"/>
    <x v="13"/>
    <x v="16"/>
    <n v="115000"/>
    <n v="0.6"/>
    <x v="1"/>
    <n v="69000"/>
    <n v="0"/>
    <n v="69000"/>
    <n v="49000"/>
    <n v="118000"/>
    <x v="0"/>
    <x v="2"/>
    <x v="2"/>
    <n v="4"/>
    <x v="0"/>
  </r>
  <r>
    <x v="1025"/>
    <x v="1025"/>
    <s v="Vina Syahputra"/>
    <x v="13"/>
    <x v="15"/>
    <n v="10000"/>
    <n v="0.6"/>
    <x v="1"/>
    <n v="6000"/>
    <n v="0"/>
    <n v="6000"/>
    <n v="0"/>
    <n v="6000"/>
    <x v="0"/>
    <x v="2"/>
    <x v="2"/>
    <n v="4"/>
    <x v="0"/>
  </r>
  <r>
    <x v="1026"/>
    <x v="1026"/>
    <s v="Nanda Iskandar"/>
    <x v="14"/>
    <x v="1"/>
    <n v="15000"/>
    <n v="0.6"/>
    <x v="1"/>
    <n v="9000"/>
    <n v="0"/>
    <n v="9000"/>
    <n v="85000"/>
    <n v="94000"/>
    <x v="1"/>
    <x v="0"/>
    <x v="3"/>
    <n v="4"/>
    <x v="1"/>
  </r>
  <r>
    <x v="1027"/>
    <x v="1027"/>
    <s v="Vina Iskandar"/>
    <x v="16"/>
    <x v="8"/>
    <n v="17500"/>
    <n v="3"/>
    <x v="1"/>
    <n v="52500"/>
    <n v="0"/>
    <n v="52500"/>
    <n v="18000"/>
    <n v="70500"/>
    <x v="3"/>
    <x v="0"/>
    <x v="4"/>
    <n v="3"/>
    <x v="0"/>
  </r>
  <r>
    <x v="1028"/>
    <x v="1028"/>
    <s v="Hana Pradipta"/>
    <x v="12"/>
    <x v="6"/>
    <n v="26000"/>
    <n v="2"/>
    <x v="1"/>
    <n v="52000"/>
    <n v="0"/>
    <n v="52000"/>
    <n v="30000"/>
    <n v="82000"/>
    <x v="3"/>
    <x v="1"/>
    <x v="3"/>
    <n v="5"/>
    <x v="0"/>
  </r>
  <r>
    <x v="1029"/>
    <x v="1029"/>
    <s v="Tono Ananda"/>
    <x v="8"/>
    <x v="13"/>
    <n v="10000"/>
    <n v="0.9"/>
    <x v="1"/>
    <n v="9000"/>
    <n v="0"/>
    <n v="9000"/>
    <n v="59000"/>
    <n v="68000"/>
    <x v="0"/>
    <x v="0"/>
    <x v="4"/>
    <n v="1"/>
    <x v="1"/>
  </r>
  <r>
    <x v="1030"/>
    <x v="1030"/>
    <s v="Clara Budiman"/>
    <x v="3"/>
    <x v="9"/>
    <n v="46000"/>
    <n v="1.6"/>
    <x v="1"/>
    <n v="73600"/>
    <n v="0"/>
    <n v="73600"/>
    <n v="93000"/>
    <n v="166600"/>
    <x v="2"/>
    <x v="0"/>
    <x v="0"/>
    <n v="3"/>
    <x v="0"/>
  </r>
  <r>
    <x v="1031"/>
    <x v="1031"/>
    <s v="Kartika Saputra"/>
    <x v="37"/>
    <x v="14"/>
    <n v="55000"/>
    <n v="0.9"/>
    <x v="1"/>
    <n v="49500"/>
    <n v="0"/>
    <n v="49500"/>
    <n v="67000"/>
    <n v="116500"/>
    <x v="2"/>
    <x v="0"/>
    <x v="0"/>
    <n v="5"/>
    <x v="0"/>
  </r>
  <r>
    <x v="1031"/>
    <x v="1031"/>
    <s v="Kartika Saputra"/>
    <x v="37"/>
    <x v="11"/>
    <n v="15000"/>
    <n v="1.9"/>
    <x v="1"/>
    <n v="28500"/>
    <n v="0"/>
    <n v="28500"/>
    <n v="0"/>
    <n v="28500"/>
    <x v="2"/>
    <x v="0"/>
    <x v="0"/>
    <n v="5"/>
    <x v="0"/>
  </r>
  <r>
    <x v="1032"/>
    <x v="1032"/>
    <s v="Bella Ramadhani"/>
    <x v="14"/>
    <x v="0"/>
    <n v="10000"/>
    <n v="3.3"/>
    <x v="1"/>
    <n v="33000"/>
    <n v="0"/>
    <n v="33000"/>
    <n v="85000"/>
    <n v="118000"/>
    <x v="3"/>
    <x v="1"/>
    <x v="3"/>
    <n v="2"/>
    <x v="0"/>
  </r>
  <r>
    <x v="1033"/>
    <x v="1033"/>
    <s v="Kartika Saputra"/>
    <x v="37"/>
    <x v="5"/>
    <n v="10500"/>
    <n v="2.5"/>
    <x v="1"/>
    <n v="26250"/>
    <n v="0"/>
    <n v="26250"/>
    <n v="67000"/>
    <n v="93250"/>
    <x v="2"/>
    <x v="0"/>
    <x v="3"/>
    <n v="3"/>
    <x v="0"/>
  </r>
  <r>
    <x v="1033"/>
    <x v="1033"/>
    <s v="Kartika Saputra"/>
    <x v="37"/>
    <x v="11"/>
    <n v="15000"/>
    <n v="0.7"/>
    <x v="1"/>
    <n v="10500"/>
    <n v="0"/>
    <n v="10500"/>
    <n v="0"/>
    <n v="10500"/>
    <x v="2"/>
    <x v="0"/>
    <x v="3"/>
    <n v="3"/>
    <x v="0"/>
  </r>
  <r>
    <x v="1034"/>
    <x v="1034"/>
    <s v="Vina Ramadhani"/>
    <x v="10"/>
    <x v="1"/>
    <n v="15000"/>
    <n v="0.9"/>
    <x v="1"/>
    <n v="13500"/>
    <n v="0"/>
    <n v="13500"/>
    <n v="87000"/>
    <n v="100500"/>
    <x v="2"/>
    <x v="0"/>
    <x v="4"/>
    <n v="2"/>
    <x v="0"/>
  </r>
  <r>
    <x v="1035"/>
    <x v="1035"/>
    <s v="Rizky Fauziah"/>
    <x v="31"/>
    <x v="11"/>
    <n v="15000"/>
    <n v="0.8"/>
    <x v="1"/>
    <n v="12000"/>
    <n v="0"/>
    <n v="12000"/>
    <n v="87000"/>
    <n v="99000"/>
    <x v="1"/>
    <x v="0"/>
    <x v="2"/>
    <n v="1"/>
    <x v="1"/>
  </r>
  <r>
    <x v="1036"/>
    <x v="1036"/>
    <s v="Qori Halim"/>
    <x v="13"/>
    <x v="3"/>
    <n v="13500"/>
    <n v="1.2"/>
    <x v="1"/>
    <n v="16200"/>
    <n v="0"/>
    <n v="16200"/>
    <n v="49000"/>
    <n v="65200"/>
    <x v="1"/>
    <x v="2"/>
    <x v="4"/>
    <n v="4"/>
    <x v="0"/>
  </r>
  <r>
    <x v="1037"/>
    <x v="1037"/>
    <s v="Galih Iskandar"/>
    <x v="27"/>
    <x v="3"/>
    <n v="13500"/>
    <n v="3"/>
    <x v="1"/>
    <n v="40500"/>
    <n v="0"/>
    <n v="40500"/>
    <n v="49000"/>
    <n v="89500"/>
    <x v="1"/>
    <x v="0"/>
    <x v="1"/>
    <n v="2"/>
    <x v="1"/>
  </r>
  <r>
    <x v="1038"/>
    <x v="1038"/>
    <s v="Lestari Santoso"/>
    <x v="34"/>
    <x v="14"/>
    <n v="55000"/>
    <n v="0.8"/>
    <x v="1"/>
    <n v="44000"/>
    <n v="0"/>
    <n v="44000"/>
    <n v="18000"/>
    <n v="62000"/>
    <x v="1"/>
    <x v="1"/>
    <x v="2"/>
    <n v="5"/>
    <x v="0"/>
  </r>
  <r>
    <x v="1039"/>
    <x v="1039"/>
    <s v="Eka Pradipta"/>
    <x v="18"/>
    <x v="10"/>
    <n v="45000"/>
    <n v="0.6"/>
    <x v="1"/>
    <n v="27000"/>
    <n v="0"/>
    <n v="27000"/>
    <n v="0"/>
    <n v="27000"/>
    <x v="0"/>
    <x v="0"/>
    <x v="2"/>
    <n v="5"/>
    <x v="0"/>
  </r>
  <r>
    <x v="1040"/>
    <x v="1040"/>
    <s v="Aulia Iskandar"/>
    <x v="11"/>
    <x v="13"/>
    <n v="10000"/>
    <n v="1.3"/>
    <x v="1"/>
    <n v="13000"/>
    <n v="0"/>
    <n v="13000"/>
    <n v="74000"/>
    <n v="87000"/>
    <x v="1"/>
    <x v="0"/>
    <x v="2"/>
    <n v="1"/>
    <x v="0"/>
  </r>
  <r>
    <x v="1041"/>
    <x v="1041"/>
    <s v="Bella Hidayat"/>
    <x v="35"/>
    <x v="7"/>
    <n v="14000"/>
    <n v="0.9"/>
    <x v="1"/>
    <n v="12600"/>
    <n v="0"/>
    <n v="12600"/>
    <n v="79000"/>
    <n v="91600"/>
    <x v="1"/>
    <x v="0"/>
    <x v="4"/>
    <n v="3"/>
    <x v="0"/>
  </r>
  <r>
    <x v="1042"/>
    <x v="1042"/>
    <s v="Dewi Rahmawati"/>
    <x v="7"/>
    <x v="16"/>
    <n v="115000"/>
    <n v="0.6"/>
    <x v="1"/>
    <n v="69000"/>
    <n v="0"/>
    <n v="69000"/>
    <n v="26000"/>
    <n v="95000"/>
    <x v="3"/>
    <x v="0"/>
    <x v="3"/>
    <n v="5"/>
    <x v="0"/>
  </r>
  <r>
    <x v="1043"/>
    <x v="1043"/>
    <s v="Andi Wijaya"/>
    <x v="36"/>
    <x v="4"/>
    <n v="40000"/>
    <n v="0.9"/>
    <x v="1"/>
    <n v="36000"/>
    <n v="0"/>
    <n v="36000"/>
    <n v="21000"/>
    <n v="57000"/>
    <x v="3"/>
    <x v="0"/>
    <x v="1"/>
    <n v="5"/>
    <x v="1"/>
  </r>
  <r>
    <x v="1044"/>
    <x v="1044"/>
    <s v="Eka Rahmawati"/>
    <x v="4"/>
    <x v="5"/>
    <n v="10500"/>
    <n v="2.4"/>
    <x v="1"/>
    <n v="25200"/>
    <n v="0"/>
    <n v="25200"/>
    <n v="43000"/>
    <n v="68200"/>
    <x v="0"/>
    <x v="1"/>
    <x v="0"/>
    <n v="2"/>
    <x v="0"/>
  </r>
  <r>
    <x v="1045"/>
    <x v="1045"/>
    <s v="Putri Setiawan"/>
    <x v="21"/>
    <x v="14"/>
    <n v="55000"/>
    <n v="0.4"/>
    <x v="1"/>
    <n v="22000"/>
    <n v="0"/>
    <n v="22000"/>
    <n v="59000"/>
    <n v="81000"/>
    <x v="1"/>
    <x v="0"/>
    <x v="0"/>
    <n v="2"/>
    <x v="0"/>
  </r>
  <r>
    <x v="1046"/>
    <x v="1046"/>
    <s v="Zahra Utami"/>
    <x v="25"/>
    <x v="6"/>
    <n v="26000"/>
    <n v="1.7"/>
    <x v="1"/>
    <n v="44200"/>
    <n v="0"/>
    <n v="44200"/>
    <n v="50000"/>
    <n v="94200"/>
    <x v="0"/>
    <x v="0"/>
    <x v="2"/>
    <n v="4"/>
    <x v="0"/>
  </r>
  <r>
    <x v="1047"/>
    <x v="1047"/>
    <s v="Putri Santoso"/>
    <x v="19"/>
    <x v="12"/>
    <n v="9500"/>
    <n v="1.8"/>
    <x v="1"/>
    <n v="17100"/>
    <n v="0"/>
    <n v="17100"/>
    <n v="78000"/>
    <n v="95100"/>
    <x v="2"/>
    <x v="1"/>
    <x v="2"/>
    <n v="1"/>
    <x v="0"/>
  </r>
  <r>
    <x v="1048"/>
    <x v="1048"/>
    <s v="Indra Syahputra"/>
    <x v="2"/>
    <x v="2"/>
    <n v="20000"/>
    <n v="0.8"/>
    <x v="1"/>
    <n v="16000"/>
    <n v="0"/>
    <n v="16000"/>
    <n v="76000"/>
    <n v="92000"/>
    <x v="3"/>
    <x v="0"/>
    <x v="1"/>
    <n v="1"/>
    <x v="1"/>
  </r>
  <r>
    <x v="1049"/>
    <x v="1049"/>
    <s v="Citra Budiman"/>
    <x v="18"/>
    <x v="14"/>
    <n v="55000"/>
    <n v="0.7"/>
    <x v="1"/>
    <n v="38500"/>
    <n v="0"/>
    <n v="38500"/>
    <n v="0"/>
    <n v="38500"/>
    <x v="3"/>
    <x v="0"/>
    <x v="1"/>
    <n v="1"/>
    <x v="0"/>
  </r>
  <r>
    <x v="1050"/>
    <x v="1050"/>
    <s v="Vina Kurniawan"/>
    <x v="19"/>
    <x v="3"/>
    <n v="13500"/>
    <n v="2.6"/>
    <x v="1"/>
    <n v="35100"/>
    <n v="0"/>
    <n v="35100"/>
    <n v="78000"/>
    <n v="113100"/>
    <x v="1"/>
    <x v="0"/>
    <x v="4"/>
    <n v="3"/>
    <x v="0"/>
  </r>
  <r>
    <x v="1051"/>
    <x v="1051"/>
    <s v="Arif Rahmawati"/>
    <x v="22"/>
    <x v="18"/>
    <n v="11000"/>
    <n v="1"/>
    <x v="1"/>
    <n v="11000"/>
    <n v="0"/>
    <n v="11000"/>
    <n v="50000"/>
    <n v="61000"/>
    <x v="1"/>
    <x v="0"/>
    <x v="2"/>
    <n v="5"/>
    <x v="1"/>
  </r>
  <r>
    <x v="1052"/>
    <x v="1052"/>
    <s v="Bella Halim"/>
    <x v="2"/>
    <x v="0"/>
    <n v="10000"/>
    <n v="1.3"/>
    <x v="1"/>
    <n v="13000"/>
    <n v="0"/>
    <n v="13000"/>
    <n v="76000"/>
    <n v="89000"/>
    <x v="2"/>
    <x v="0"/>
    <x v="2"/>
    <n v="5"/>
    <x v="0"/>
  </r>
  <r>
    <x v="1053"/>
    <x v="1053"/>
    <s v="Dewi Rahmawati"/>
    <x v="7"/>
    <x v="2"/>
    <n v="20000"/>
    <n v="2.2000000000000002"/>
    <x v="1"/>
    <n v="44000"/>
    <n v="0"/>
    <n v="44000"/>
    <n v="26000"/>
    <n v="70000"/>
    <x v="0"/>
    <x v="0"/>
    <x v="3"/>
    <n v="2"/>
    <x v="0"/>
  </r>
  <r>
    <x v="1054"/>
    <x v="1054"/>
    <s v="Tono Kurniawan"/>
    <x v="2"/>
    <x v="7"/>
    <n v="14000"/>
    <n v="0.8"/>
    <x v="1"/>
    <n v="11200"/>
    <n v="0"/>
    <n v="11200"/>
    <n v="76000"/>
    <n v="87200"/>
    <x v="2"/>
    <x v="0"/>
    <x v="2"/>
    <n v="5"/>
    <x v="1"/>
  </r>
  <r>
    <x v="1055"/>
    <x v="1055"/>
    <s v="Lestari Ananda"/>
    <x v="2"/>
    <x v="11"/>
    <n v="15000"/>
    <n v="0.5"/>
    <x v="1"/>
    <n v="7500"/>
    <n v="0"/>
    <n v="7500"/>
    <n v="76000"/>
    <n v="83500"/>
    <x v="2"/>
    <x v="0"/>
    <x v="0"/>
    <n v="2"/>
    <x v="0"/>
  </r>
  <r>
    <x v="1056"/>
    <x v="1056"/>
    <s v="Zahra Pradipta"/>
    <x v="9"/>
    <x v="3"/>
    <n v="13500"/>
    <n v="1.5"/>
    <x v="1"/>
    <n v="20250"/>
    <n v="0"/>
    <n v="20250"/>
    <n v="89000"/>
    <n v="109250"/>
    <x v="3"/>
    <x v="0"/>
    <x v="2"/>
    <n v="4"/>
    <x v="0"/>
  </r>
  <r>
    <x v="1057"/>
    <x v="1057"/>
    <s v="Sari Budiman"/>
    <x v="31"/>
    <x v="7"/>
    <n v="14000"/>
    <n v="0.8"/>
    <x v="1"/>
    <n v="11200"/>
    <n v="0"/>
    <n v="11200"/>
    <n v="87000"/>
    <n v="98200"/>
    <x v="1"/>
    <x v="0"/>
    <x v="1"/>
    <n v="2"/>
    <x v="0"/>
  </r>
  <r>
    <x v="1058"/>
    <x v="1058"/>
    <s v="Aulia Utami"/>
    <x v="19"/>
    <x v="11"/>
    <n v="15000"/>
    <n v="2.5"/>
    <x v="1"/>
    <n v="37500"/>
    <n v="0"/>
    <n v="37500"/>
    <n v="78000"/>
    <n v="115500"/>
    <x v="3"/>
    <x v="0"/>
    <x v="4"/>
    <n v="5"/>
    <x v="0"/>
  </r>
  <r>
    <x v="1059"/>
    <x v="1059"/>
    <s v="Sari Pradipta"/>
    <x v="5"/>
    <x v="3"/>
    <n v="13500"/>
    <n v="2.9"/>
    <x v="1"/>
    <n v="39150"/>
    <n v="0"/>
    <n v="39150"/>
    <n v="18000"/>
    <n v="57150"/>
    <x v="3"/>
    <x v="0"/>
    <x v="1"/>
    <n v="4"/>
    <x v="0"/>
  </r>
  <r>
    <x v="1060"/>
    <x v="1060"/>
    <s v="Aulia Setiawan"/>
    <x v="13"/>
    <x v="15"/>
    <n v="10000"/>
    <n v="0.9"/>
    <x v="1"/>
    <n v="9000"/>
    <n v="0"/>
    <n v="9000"/>
    <n v="49000"/>
    <n v="58000"/>
    <x v="3"/>
    <x v="0"/>
    <x v="1"/>
    <n v="4"/>
    <x v="0"/>
  </r>
  <r>
    <x v="1061"/>
    <x v="1061"/>
    <s v="Eka Kurniawan"/>
    <x v="37"/>
    <x v="9"/>
    <n v="46000"/>
    <n v="0.8"/>
    <x v="1"/>
    <n v="36800"/>
    <n v="0"/>
    <n v="36800"/>
    <n v="67000"/>
    <n v="103800"/>
    <x v="2"/>
    <x v="0"/>
    <x v="1"/>
    <n v="2"/>
    <x v="0"/>
  </r>
  <r>
    <x v="1062"/>
    <x v="1062"/>
    <s v="Aulia Utami"/>
    <x v="19"/>
    <x v="7"/>
    <n v="14000"/>
    <n v="1.2"/>
    <x v="1"/>
    <n v="16800"/>
    <n v="0"/>
    <n v="16800"/>
    <n v="78000"/>
    <n v="94800"/>
    <x v="0"/>
    <x v="0"/>
    <x v="0"/>
    <n v="1"/>
    <x v="0"/>
  </r>
  <r>
    <x v="1063"/>
    <x v="1063"/>
    <s v="Qori Halim"/>
    <x v="13"/>
    <x v="5"/>
    <n v="10500"/>
    <n v="1.3"/>
    <x v="1"/>
    <n v="13650"/>
    <n v="0"/>
    <n v="13650"/>
    <n v="49000"/>
    <n v="62650"/>
    <x v="2"/>
    <x v="2"/>
    <x v="2"/>
    <n v="1"/>
    <x v="0"/>
  </r>
  <r>
    <x v="1064"/>
    <x v="1064"/>
    <s v="Sari Utami"/>
    <x v="8"/>
    <x v="10"/>
    <n v="45000"/>
    <n v="2.2000000000000002"/>
    <x v="1"/>
    <n v="99000.000000000015"/>
    <n v="0"/>
    <n v="99000.000000000015"/>
    <n v="59000"/>
    <n v="158000"/>
    <x v="2"/>
    <x v="0"/>
    <x v="4"/>
    <n v="1"/>
    <x v="0"/>
  </r>
  <r>
    <x v="1065"/>
    <x v="1065"/>
    <s v="Indra Halim"/>
    <x v="7"/>
    <x v="11"/>
    <n v="15000"/>
    <n v="1.1000000000000001"/>
    <x v="1"/>
    <n v="16500"/>
    <n v="0"/>
    <n v="16500"/>
    <n v="26000"/>
    <n v="42500"/>
    <x v="1"/>
    <x v="0"/>
    <x v="0"/>
    <n v="5"/>
    <x v="1"/>
  </r>
  <r>
    <x v="1066"/>
    <x v="1066"/>
    <s v="Gita Kurniawan"/>
    <x v="19"/>
    <x v="3"/>
    <n v="13500"/>
    <n v="3.2"/>
    <x v="1"/>
    <n v="43200"/>
    <n v="0"/>
    <n v="43200"/>
    <n v="78000"/>
    <n v="121200"/>
    <x v="3"/>
    <x v="1"/>
    <x v="1"/>
    <n v="2"/>
    <x v="0"/>
  </r>
  <r>
    <x v="1067"/>
    <x v="1067"/>
    <s v="Made Kusuma"/>
    <x v="20"/>
    <x v="2"/>
    <n v="20000"/>
    <n v="2.4"/>
    <x v="1"/>
    <n v="48000"/>
    <n v="0"/>
    <n v="48000"/>
    <n v="84000"/>
    <n v="132000"/>
    <x v="3"/>
    <x v="1"/>
    <x v="3"/>
    <n v="1"/>
    <x v="1"/>
  </r>
  <r>
    <x v="1068"/>
    <x v="1068"/>
    <s v="Dewi Ramadhani"/>
    <x v="19"/>
    <x v="7"/>
    <n v="14000"/>
    <n v="0.8"/>
    <x v="1"/>
    <n v="11200"/>
    <n v="0"/>
    <n v="11200"/>
    <n v="78000"/>
    <n v="89200"/>
    <x v="1"/>
    <x v="0"/>
    <x v="0"/>
    <n v="3"/>
    <x v="0"/>
  </r>
  <r>
    <x v="1069"/>
    <x v="1069"/>
    <s v="Eka Ananda"/>
    <x v="20"/>
    <x v="10"/>
    <n v="45000"/>
    <n v="0.9"/>
    <x v="1"/>
    <n v="40500"/>
    <n v="0"/>
    <n v="40500"/>
    <n v="84000"/>
    <n v="124500"/>
    <x v="3"/>
    <x v="0"/>
    <x v="2"/>
    <n v="5"/>
    <x v="0"/>
  </r>
  <r>
    <x v="1070"/>
    <x v="1070"/>
    <s v="Bayu Fauziah"/>
    <x v="11"/>
    <x v="8"/>
    <n v="17500"/>
    <n v="1"/>
    <x v="1"/>
    <n v="17500"/>
    <n v="0"/>
    <n v="17500"/>
    <n v="74000"/>
    <n v="91500"/>
    <x v="2"/>
    <x v="2"/>
    <x v="3"/>
    <n v="2"/>
    <x v="1"/>
  </r>
  <r>
    <x v="1071"/>
    <x v="1071"/>
    <s v="Erna Iskandar"/>
    <x v="17"/>
    <x v="11"/>
    <n v="15000"/>
    <n v="1"/>
    <x v="1"/>
    <n v="15000"/>
    <n v="0"/>
    <n v="15000"/>
    <n v="72000"/>
    <n v="87000"/>
    <x v="3"/>
    <x v="0"/>
    <x v="2"/>
    <n v="5"/>
    <x v="0"/>
  </r>
  <r>
    <x v="1072"/>
    <x v="1072"/>
    <s v="Aulia Hidayat"/>
    <x v="34"/>
    <x v="9"/>
    <n v="46000"/>
    <n v="0.2"/>
    <x v="0"/>
    <n v="9200"/>
    <n v="460"/>
    <n v="8740"/>
    <n v="18000"/>
    <n v="26740"/>
    <x v="1"/>
    <x v="0"/>
    <x v="0"/>
    <n v="5"/>
    <x v="0"/>
  </r>
  <r>
    <x v="1073"/>
    <x v="1073"/>
    <s v="Dewi Hidayat"/>
    <x v="16"/>
    <x v="19"/>
    <n v="15500"/>
    <n v="0.3"/>
    <x v="0"/>
    <n v="4650"/>
    <n v="232.5"/>
    <n v="4417.5"/>
    <n v="18000"/>
    <n v="22417.5"/>
    <x v="0"/>
    <x v="0"/>
    <x v="1"/>
    <n v="3"/>
    <x v="0"/>
  </r>
  <r>
    <x v="1074"/>
    <x v="1074"/>
    <s v="Sari Kusuma"/>
    <x v="35"/>
    <x v="4"/>
    <n v="40000"/>
    <n v="0.7"/>
    <x v="0"/>
    <n v="28000"/>
    <n v="1400"/>
    <n v="26600"/>
    <n v="79000"/>
    <n v="105600"/>
    <x v="3"/>
    <x v="0"/>
    <x v="0"/>
    <n v="4"/>
    <x v="0"/>
  </r>
  <r>
    <x v="1075"/>
    <x v="1075"/>
    <s v="Sari Halim"/>
    <x v="23"/>
    <x v="7"/>
    <n v="14000"/>
    <n v="1.2"/>
    <x v="0"/>
    <n v="16800"/>
    <n v="840"/>
    <n v="15960"/>
    <n v="55000"/>
    <n v="70960"/>
    <x v="1"/>
    <x v="0"/>
    <x v="2"/>
    <n v="2"/>
    <x v="0"/>
  </r>
  <r>
    <x v="1076"/>
    <x v="1076"/>
    <s v="Budi Hidayat"/>
    <x v="0"/>
    <x v="14"/>
    <n v="55000"/>
    <n v="0.4"/>
    <x v="0"/>
    <n v="22000"/>
    <n v="1100"/>
    <n v="20900"/>
    <n v="15000"/>
    <n v="35900"/>
    <x v="0"/>
    <x v="0"/>
    <x v="4"/>
    <n v="2"/>
    <x v="1"/>
  </r>
  <r>
    <x v="1077"/>
    <x v="1077"/>
    <s v="Vina Fauziah"/>
    <x v="21"/>
    <x v="10"/>
    <n v="45000"/>
    <n v="1"/>
    <x v="0"/>
    <n v="45000"/>
    <n v="2250"/>
    <n v="42750"/>
    <n v="59000"/>
    <n v="101750"/>
    <x v="0"/>
    <x v="1"/>
    <x v="3"/>
    <n v="5"/>
    <x v="0"/>
  </r>
  <r>
    <x v="1078"/>
    <x v="1078"/>
    <s v="Arif Fauziah"/>
    <x v="6"/>
    <x v="10"/>
    <n v="45000"/>
    <n v="1.9"/>
    <x v="0"/>
    <n v="85500"/>
    <n v="4275"/>
    <n v="81225"/>
    <n v="80000"/>
    <n v="161225"/>
    <x v="3"/>
    <x v="0"/>
    <x v="2"/>
    <n v="5"/>
    <x v="1"/>
  </r>
  <r>
    <x v="1079"/>
    <x v="1079"/>
    <s v="Hana Nugroho"/>
    <x v="11"/>
    <x v="10"/>
    <n v="45000"/>
    <n v="1.6"/>
    <x v="0"/>
    <n v="72000"/>
    <n v="3600"/>
    <n v="68400"/>
    <n v="74000"/>
    <n v="142400"/>
    <x v="3"/>
    <x v="2"/>
    <x v="4"/>
    <n v="1"/>
    <x v="0"/>
  </r>
  <r>
    <x v="1080"/>
    <x v="1080"/>
    <s v="Dewi Setiawan"/>
    <x v="15"/>
    <x v="9"/>
    <n v="46000"/>
    <n v="0.6"/>
    <x v="0"/>
    <n v="27600"/>
    <n v="1380"/>
    <n v="26220"/>
    <n v="97000"/>
    <n v="123220"/>
    <x v="1"/>
    <x v="0"/>
    <x v="1"/>
    <n v="1"/>
    <x v="0"/>
  </r>
  <r>
    <x v="1081"/>
    <x v="1081"/>
    <s v="Fitri Saputra"/>
    <x v="15"/>
    <x v="7"/>
    <n v="14000"/>
    <n v="1.1000000000000001"/>
    <x v="0"/>
    <n v="15400.000000000002"/>
    <n v="770.00000000000011"/>
    <n v="14630.000000000002"/>
    <n v="97000"/>
    <n v="111630"/>
    <x v="0"/>
    <x v="0"/>
    <x v="2"/>
    <n v="3"/>
    <x v="0"/>
  </r>
  <r>
    <x v="1082"/>
    <x v="1082"/>
    <s v="Erna Hidayat"/>
    <x v="32"/>
    <x v="4"/>
    <n v="40000"/>
    <n v="0.9"/>
    <x v="1"/>
    <n v="36000"/>
    <n v="0"/>
    <n v="36000"/>
    <n v="28000"/>
    <n v="64000"/>
    <x v="0"/>
    <x v="0"/>
    <x v="0"/>
    <n v="4"/>
    <x v="0"/>
  </r>
  <r>
    <x v="1083"/>
    <x v="1083"/>
    <s v="Gita Utami"/>
    <x v="34"/>
    <x v="16"/>
    <n v="115000"/>
    <n v="0.7"/>
    <x v="1"/>
    <n v="80500"/>
    <n v="0"/>
    <n v="80500"/>
    <n v="18000"/>
    <n v="98500"/>
    <x v="2"/>
    <x v="0"/>
    <x v="4"/>
    <n v="4"/>
    <x v="0"/>
  </r>
  <r>
    <x v="1084"/>
    <x v="1084"/>
    <s v="Ani Hidayat"/>
    <x v="4"/>
    <x v="15"/>
    <n v="10000"/>
    <n v="0.2"/>
    <x v="1"/>
    <n v="2000"/>
    <n v="0"/>
    <n v="2000"/>
    <n v="43000"/>
    <n v="45000"/>
    <x v="0"/>
    <x v="1"/>
    <x v="1"/>
    <n v="3"/>
    <x v="0"/>
  </r>
  <r>
    <x v="1085"/>
    <x v="1085"/>
    <s v="Dewi Utami"/>
    <x v="18"/>
    <x v="2"/>
    <n v="20000"/>
    <n v="0.8"/>
    <x v="1"/>
    <n v="16000"/>
    <n v="0"/>
    <n v="16000"/>
    <n v="0"/>
    <n v="16000"/>
    <x v="1"/>
    <x v="0"/>
    <x v="3"/>
    <n v="3"/>
    <x v="0"/>
  </r>
  <r>
    <x v="1086"/>
    <x v="1086"/>
    <s v="Qori Saputra"/>
    <x v="1"/>
    <x v="10"/>
    <n v="45000"/>
    <n v="0.7"/>
    <x v="1"/>
    <n v="31499.999999999996"/>
    <n v="0"/>
    <n v="31499.999999999996"/>
    <n v="17000"/>
    <n v="48500"/>
    <x v="3"/>
    <x v="0"/>
    <x v="1"/>
    <n v="1"/>
    <x v="0"/>
  </r>
  <r>
    <x v="1087"/>
    <x v="1087"/>
    <s v="Gita Pradipta"/>
    <x v="10"/>
    <x v="4"/>
    <n v="40000"/>
    <n v="1.8"/>
    <x v="1"/>
    <n v="72000"/>
    <n v="0"/>
    <n v="72000"/>
    <n v="87000"/>
    <n v="159000"/>
    <x v="1"/>
    <x v="0"/>
    <x v="2"/>
    <n v="3"/>
    <x v="0"/>
  </r>
  <r>
    <x v="1088"/>
    <x v="1088"/>
    <s v="Putri Ramadhani"/>
    <x v="34"/>
    <x v="1"/>
    <n v="15000"/>
    <n v="0.9"/>
    <x v="1"/>
    <n v="13500"/>
    <n v="0"/>
    <n v="13500"/>
    <n v="18000"/>
    <n v="31500"/>
    <x v="0"/>
    <x v="1"/>
    <x v="2"/>
    <n v="4"/>
    <x v="0"/>
  </r>
  <r>
    <x v="1089"/>
    <x v="1089"/>
    <s v="Wahyu Pradipta"/>
    <x v="15"/>
    <x v="1"/>
    <n v="15000"/>
    <n v="0.7"/>
    <x v="1"/>
    <n v="10500"/>
    <n v="0"/>
    <n v="10500"/>
    <n v="97000"/>
    <n v="107500"/>
    <x v="2"/>
    <x v="1"/>
    <x v="2"/>
    <n v="3"/>
    <x v="1"/>
  </r>
  <r>
    <x v="1090"/>
    <x v="1090"/>
    <s v="Lestari Budiman"/>
    <x v="14"/>
    <x v="16"/>
    <n v="115000"/>
    <n v="0.6"/>
    <x v="1"/>
    <n v="69000"/>
    <n v="0"/>
    <n v="69000"/>
    <n v="85000"/>
    <n v="154000"/>
    <x v="0"/>
    <x v="1"/>
    <x v="1"/>
    <n v="5"/>
    <x v="0"/>
  </r>
  <r>
    <x v="1091"/>
    <x v="1091"/>
    <s v="Budi Saputra"/>
    <x v="28"/>
    <x v="4"/>
    <n v="40000"/>
    <n v="0.3"/>
    <x v="1"/>
    <n v="12000"/>
    <n v="0"/>
    <n v="12000"/>
    <n v="56000"/>
    <n v="68000"/>
    <x v="2"/>
    <x v="0"/>
    <x v="2"/>
    <n v="3"/>
    <x v="1"/>
  </r>
  <r>
    <x v="1092"/>
    <x v="1092"/>
    <s v="Dewi Fauziah"/>
    <x v="4"/>
    <x v="3"/>
    <n v="13500"/>
    <n v="1.5"/>
    <x v="1"/>
    <n v="20250"/>
    <n v="0"/>
    <n v="20250"/>
    <n v="43000"/>
    <n v="63250"/>
    <x v="2"/>
    <x v="0"/>
    <x v="3"/>
    <n v="3"/>
    <x v="0"/>
  </r>
  <r>
    <x v="1093"/>
    <x v="1093"/>
    <s v="Erna Fauziah"/>
    <x v="28"/>
    <x v="13"/>
    <n v="10000"/>
    <n v="0.5"/>
    <x v="1"/>
    <n v="5000"/>
    <n v="0"/>
    <n v="5000"/>
    <n v="56000"/>
    <n v="61000"/>
    <x v="2"/>
    <x v="0"/>
    <x v="2"/>
    <n v="3"/>
    <x v="0"/>
  </r>
  <r>
    <x v="1094"/>
    <x v="1094"/>
    <s v="Fitri Hidayat"/>
    <x v="17"/>
    <x v="16"/>
    <n v="115000"/>
    <n v="0.7"/>
    <x v="1"/>
    <n v="80500"/>
    <n v="0"/>
    <n v="80500"/>
    <n v="72000"/>
    <n v="152500"/>
    <x v="2"/>
    <x v="0"/>
    <x v="3"/>
    <n v="5"/>
    <x v="0"/>
  </r>
  <r>
    <x v="1095"/>
    <x v="1095"/>
    <s v="Aulia Utami"/>
    <x v="19"/>
    <x v="10"/>
    <n v="45000"/>
    <n v="1.1000000000000001"/>
    <x v="1"/>
    <n v="49500.000000000007"/>
    <n v="0"/>
    <n v="49500.000000000007"/>
    <n v="78000"/>
    <n v="127500"/>
    <x v="3"/>
    <x v="0"/>
    <x v="2"/>
    <n v="2"/>
    <x v="0"/>
  </r>
  <r>
    <x v="1096"/>
    <x v="1096"/>
    <s v="Gita Budiman"/>
    <x v="24"/>
    <x v="12"/>
    <n v="9500"/>
    <n v="1.7"/>
    <x v="1"/>
    <n v="16150"/>
    <n v="0"/>
    <n v="16150"/>
    <n v="68000"/>
    <n v="84150"/>
    <x v="3"/>
    <x v="0"/>
    <x v="1"/>
    <n v="4"/>
    <x v="0"/>
  </r>
  <r>
    <x v="1097"/>
    <x v="1097"/>
    <s v="Putri Puspita"/>
    <x v="8"/>
    <x v="9"/>
    <n v="46000"/>
    <n v="0.9"/>
    <x v="1"/>
    <n v="41400"/>
    <n v="0"/>
    <n v="41400"/>
    <n v="59000"/>
    <n v="100400"/>
    <x v="2"/>
    <x v="0"/>
    <x v="3"/>
    <n v="4"/>
    <x v="0"/>
  </r>
  <r>
    <x v="1097"/>
    <x v="1097"/>
    <s v="Putri Puspita"/>
    <x v="8"/>
    <x v="3"/>
    <n v="13500"/>
    <n v="3.1"/>
    <x v="1"/>
    <n v="41850"/>
    <n v="0"/>
    <n v="41850"/>
    <n v="0"/>
    <n v="41850"/>
    <x v="2"/>
    <x v="0"/>
    <x v="3"/>
    <n v="4"/>
    <x v="0"/>
  </r>
  <r>
    <x v="1098"/>
    <x v="1098"/>
    <s v="Erna Maulana"/>
    <x v="31"/>
    <x v="17"/>
    <n v="12000"/>
    <n v="0.7"/>
    <x v="1"/>
    <n v="8400"/>
    <n v="0"/>
    <n v="8400"/>
    <n v="87000"/>
    <n v="95400"/>
    <x v="0"/>
    <x v="0"/>
    <x v="0"/>
    <n v="3"/>
    <x v="0"/>
  </r>
  <r>
    <x v="1099"/>
    <x v="1099"/>
    <s v="Yani Rahmawati"/>
    <x v="27"/>
    <x v="11"/>
    <n v="15000"/>
    <n v="1.7"/>
    <x v="1"/>
    <n v="25500"/>
    <n v="0"/>
    <n v="25500"/>
    <n v="49000"/>
    <n v="74500"/>
    <x v="0"/>
    <x v="0"/>
    <x v="1"/>
    <n v="1"/>
    <x v="0"/>
  </r>
  <r>
    <x v="1100"/>
    <x v="1100"/>
    <s v="Hana Wijaya"/>
    <x v="31"/>
    <x v="14"/>
    <n v="55000"/>
    <n v="0.4"/>
    <x v="1"/>
    <n v="22000"/>
    <n v="0"/>
    <n v="22000"/>
    <n v="87000"/>
    <n v="109000"/>
    <x v="0"/>
    <x v="0"/>
    <x v="4"/>
    <n v="5"/>
    <x v="0"/>
  </r>
  <r>
    <x v="1101"/>
    <x v="1101"/>
    <s v="Lestari Setiawan"/>
    <x v="7"/>
    <x v="8"/>
    <n v="17500"/>
    <n v="2.7"/>
    <x v="1"/>
    <n v="47250"/>
    <n v="0"/>
    <n v="47250"/>
    <n v="26000"/>
    <n v="73250"/>
    <x v="1"/>
    <x v="0"/>
    <x v="3"/>
    <n v="1"/>
    <x v="0"/>
  </r>
  <r>
    <x v="1101"/>
    <x v="1101"/>
    <s v="Lestari Setiawan"/>
    <x v="7"/>
    <x v="9"/>
    <n v="46000"/>
    <n v="0.5"/>
    <x v="1"/>
    <n v="23000"/>
    <n v="0"/>
    <n v="23000"/>
    <n v="0"/>
    <n v="23000"/>
    <x v="1"/>
    <x v="0"/>
    <x v="3"/>
    <n v="1"/>
    <x v="0"/>
  </r>
  <r>
    <x v="1102"/>
    <x v="1102"/>
    <s v="Dewi Rahmawati"/>
    <x v="7"/>
    <x v="0"/>
    <n v="10000"/>
    <n v="1.4"/>
    <x v="0"/>
    <n v="14000"/>
    <n v="700"/>
    <n v="13300"/>
    <n v="26000"/>
    <n v="39300"/>
    <x v="3"/>
    <x v="0"/>
    <x v="3"/>
    <n v="5"/>
    <x v="0"/>
  </r>
  <r>
    <x v="1103"/>
    <x v="1103"/>
    <s v="Wahyu Pradipta"/>
    <x v="15"/>
    <x v="4"/>
    <n v="40000"/>
    <n v="1.6"/>
    <x v="0"/>
    <n v="64000"/>
    <n v="3200"/>
    <n v="60800"/>
    <n v="97000"/>
    <n v="157800"/>
    <x v="3"/>
    <x v="0"/>
    <x v="2"/>
    <n v="3"/>
    <x v="1"/>
  </r>
  <r>
    <x v="1104"/>
    <x v="1104"/>
    <s v="Citra Kurniawan"/>
    <x v="21"/>
    <x v="18"/>
    <n v="11000"/>
    <n v="1.8"/>
    <x v="0"/>
    <n v="19800"/>
    <n v="990"/>
    <n v="18810"/>
    <n v="59000"/>
    <n v="77810"/>
    <x v="2"/>
    <x v="2"/>
    <x v="2"/>
    <n v="3"/>
    <x v="0"/>
  </r>
  <r>
    <x v="1105"/>
    <x v="1105"/>
    <s v="Clara Puspita"/>
    <x v="35"/>
    <x v="2"/>
    <n v="20000"/>
    <n v="2.4"/>
    <x v="0"/>
    <n v="48000"/>
    <n v="2400"/>
    <n v="45600"/>
    <n v="79000"/>
    <n v="124600"/>
    <x v="3"/>
    <x v="0"/>
    <x v="4"/>
    <n v="4"/>
    <x v="0"/>
  </r>
  <r>
    <x v="1106"/>
    <x v="1106"/>
    <s v="Ani Hidayat"/>
    <x v="4"/>
    <x v="18"/>
    <n v="11000"/>
    <n v="2"/>
    <x v="0"/>
    <n v="22000"/>
    <n v="1100"/>
    <n v="20900"/>
    <n v="43000"/>
    <n v="63900"/>
    <x v="0"/>
    <x v="0"/>
    <x v="3"/>
    <n v="2"/>
    <x v="0"/>
  </r>
  <r>
    <x v="1107"/>
    <x v="1107"/>
    <s v="Dewi Setiawan"/>
    <x v="15"/>
    <x v="16"/>
    <n v="115000"/>
    <n v="0.4"/>
    <x v="0"/>
    <n v="46000"/>
    <n v="2300"/>
    <n v="43700"/>
    <n v="97000"/>
    <n v="140700"/>
    <x v="0"/>
    <x v="0"/>
    <x v="0"/>
    <n v="4"/>
    <x v="0"/>
  </r>
  <r>
    <x v="1108"/>
    <x v="1108"/>
    <s v="Dewi Kurniawan"/>
    <x v="2"/>
    <x v="9"/>
    <n v="46000"/>
    <n v="0.8"/>
    <x v="0"/>
    <n v="36800"/>
    <n v="1840"/>
    <n v="34960"/>
    <n v="76000"/>
    <n v="110960"/>
    <x v="2"/>
    <x v="0"/>
    <x v="2"/>
    <n v="3"/>
    <x v="0"/>
  </r>
  <r>
    <x v="1109"/>
    <x v="1109"/>
    <s v="Lestari Setiawan"/>
    <x v="7"/>
    <x v="0"/>
    <n v="10000"/>
    <n v="2.2000000000000002"/>
    <x v="0"/>
    <n v="22000"/>
    <n v="1100"/>
    <n v="20900"/>
    <n v="26000"/>
    <n v="46900"/>
    <x v="2"/>
    <x v="0"/>
    <x v="3"/>
    <n v="3"/>
    <x v="0"/>
  </r>
  <r>
    <x v="1109"/>
    <x v="1109"/>
    <s v="Lestari Setiawan"/>
    <x v="7"/>
    <x v="10"/>
    <n v="45000"/>
    <n v="0.9"/>
    <x v="0"/>
    <n v="40500"/>
    <n v="2025"/>
    <n v="38475"/>
    <n v="0"/>
    <n v="38475"/>
    <x v="2"/>
    <x v="0"/>
    <x v="3"/>
    <n v="3"/>
    <x v="0"/>
  </r>
  <r>
    <x v="1110"/>
    <x v="1110"/>
    <s v="Gita Nugroho"/>
    <x v="2"/>
    <x v="9"/>
    <n v="46000"/>
    <n v="0.7"/>
    <x v="0"/>
    <n v="32199.999999999996"/>
    <n v="1610"/>
    <n v="30589.999999999996"/>
    <n v="76000"/>
    <n v="106590"/>
    <x v="1"/>
    <x v="0"/>
    <x v="0"/>
    <n v="2"/>
    <x v="0"/>
  </r>
  <r>
    <x v="1111"/>
    <x v="1111"/>
    <s v="Wahyu Budiman"/>
    <x v="29"/>
    <x v="11"/>
    <n v="15000"/>
    <n v="2"/>
    <x v="0"/>
    <n v="30000"/>
    <n v="1500"/>
    <n v="28500"/>
    <n v="48000"/>
    <n v="76500"/>
    <x v="2"/>
    <x v="0"/>
    <x v="2"/>
    <n v="4"/>
    <x v="1"/>
  </r>
  <r>
    <x v="1112"/>
    <x v="1112"/>
    <s v="Dewi Pradipta"/>
    <x v="14"/>
    <x v="10"/>
    <n v="45000"/>
    <n v="0.7"/>
    <x v="0"/>
    <n v="31499.999999999996"/>
    <n v="1575"/>
    <n v="29924.999999999996"/>
    <n v="85000"/>
    <n v="114925"/>
    <x v="3"/>
    <x v="0"/>
    <x v="1"/>
    <n v="4"/>
    <x v="0"/>
  </r>
  <r>
    <x v="1113"/>
    <x v="1113"/>
    <s v="Yoga Wijaya"/>
    <x v="35"/>
    <x v="6"/>
    <n v="26000"/>
    <n v="1.2"/>
    <x v="0"/>
    <n v="31200"/>
    <n v="1560"/>
    <n v="29640"/>
    <n v="79000"/>
    <n v="108640"/>
    <x v="0"/>
    <x v="0"/>
    <x v="0"/>
    <n v="3"/>
    <x v="1"/>
  </r>
  <r>
    <x v="1114"/>
    <x v="1114"/>
    <s v="Kartika Nugroho"/>
    <x v="4"/>
    <x v="10"/>
    <n v="45000"/>
    <n v="0.6"/>
    <x v="0"/>
    <n v="27000"/>
    <n v="1350"/>
    <n v="25650"/>
    <n v="43000"/>
    <n v="68650"/>
    <x v="0"/>
    <x v="0"/>
    <x v="4"/>
    <n v="2"/>
    <x v="0"/>
  </r>
  <r>
    <x v="1115"/>
    <x v="1115"/>
    <s v="Dewi Kusuma"/>
    <x v="11"/>
    <x v="15"/>
    <n v="10000"/>
    <n v="0.9"/>
    <x v="0"/>
    <n v="9000"/>
    <n v="450"/>
    <n v="8550"/>
    <n v="74000"/>
    <n v="82550"/>
    <x v="3"/>
    <x v="2"/>
    <x v="2"/>
    <n v="5"/>
    <x v="0"/>
  </r>
  <r>
    <x v="1116"/>
    <x v="1116"/>
    <s v="Eka Halim"/>
    <x v="3"/>
    <x v="11"/>
    <n v="15000"/>
    <n v="1.1000000000000001"/>
    <x v="0"/>
    <n v="16500"/>
    <n v="825"/>
    <n v="15675"/>
    <n v="93000"/>
    <n v="108675"/>
    <x v="1"/>
    <x v="0"/>
    <x v="0"/>
    <n v="5"/>
    <x v="0"/>
  </r>
  <r>
    <x v="1117"/>
    <x v="1117"/>
    <s v="Citra Kurniawan"/>
    <x v="21"/>
    <x v="11"/>
    <n v="15000"/>
    <n v="1.2"/>
    <x v="0"/>
    <n v="18000"/>
    <n v="900"/>
    <n v="17100"/>
    <n v="59000"/>
    <n v="76100"/>
    <x v="2"/>
    <x v="0"/>
    <x v="4"/>
    <n v="1"/>
    <x v="0"/>
  </r>
  <r>
    <x v="1118"/>
    <x v="1118"/>
    <s v="Vina Setiawan"/>
    <x v="18"/>
    <x v="0"/>
    <n v="10000"/>
    <n v="1.4"/>
    <x v="0"/>
    <n v="14000"/>
    <n v="700"/>
    <n v="13300"/>
    <n v="0"/>
    <n v="13300"/>
    <x v="2"/>
    <x v="0"/>
    <x v="4"/>
    <n v="4"/>
    <x v="0"/>
  </r>
  <r>
    <x v="1118"/>
    <x v="1118"/>
    <s v="Vina Setiawan"/>
    <x v="18"/>
    <x v="17"/>
    <n v="12000"/>
    <n v="0.5"/>
    <x v="0"/>
    <n v="6000"/>
    <n v="300"/>
    <n v="5700"/>
    <n v="0"/>
    <n v="5700"/>
    <x v="2"/>
    <x v="0"/>
    <x v="4"/>
    <n v="4"/>
    <x v="0"/>
  </r>
  <r>
    <x v="1119"/>
    <x v="1119"/>
    <s v="Putri Santoso"/>
    <x v="19"/>
    <x v="0"/>
    <n v="10000"/>
    <n v="1.4"/>
    <x v="0"/>
    <n v="14000"/>
    <n v="700"/>
    <n v="13300"/>
    <n v="78000"/>
    <n v="91300"/>
    <x v="3"/>
    <x v="0"/>
    <x v="3"/>
    <n v="5"/>
    <x v="0"/>
  </r>
  <r>
    <x v="1120"/>
    <x v="1120"/>
    <s v="Vina Iskandar"/>
    <x v="16"/>
    <x v="2"/>
    <n v="20000"/>
    <n v="1.4"/>
    <x v="0"/>
    <n v="28000"/>
    <n v="1400"/>
    <n v="26600"/>
    <n v="18000"/>
    <n v="44600"/>
    <x v="2"/>
    <x v="0"/>
    <x v="1"/>
    <n v="2"/>
    <x v="0"/>
  </r>
  <r>
    <x v="1120"/>
    <x v="1120"/>
    <s v="Vina Iskandar"/>
    <x v="16"/>
    <x v="16"/>
    <n v="115000"/>
    <n v="0.5"/>
    <x v="0"/>
    <n v="57500"/>
    <n v="2875"/>
    <n v="54625"/>
    <n v="0"/>
    <n v="54625"/>
    <x v="2"/>
    <x v="0"/>
    <x v="1"/>
    <n v="2"/>
    <x v="0"/>
  </r>
  <r>
    <x v="1121"/>
    <x v="1121"/>
    <s v="Dina Setiawan"/>
    <x v="26"/>
    <x v="14"/>
    <n v="55000"/>
    <n v="0.6"/>
    <x v="0"/>
    <n v="33000"/>
    <n v="1650"/>
    <n v="31350"/>
    <n v="46000"/>
    <n v="77350"/>
    <x v="3"/>
    <x v="0"/>
    <x v="2"/>
    <n v="1"/>
    <x v="0"/>
  </r>
  <r>
    <x v="1122"/>
    <x v="1122"/>
    <s v="Dina Maulana"/>
    <x v="36"/>
    <x v="6"/>
    <n v="26000"/>
    <n v="1"/>
    <x v="0"/>
    <n v="26000"/>
    <n v="1300"/>
    <n v="24700"/>
    <n v="21000"/>
    <n v="45700"/>
    <x v="0"/>
    <x v="0"/>
    <x v="1"/>
    <n v="3"/>
    <x v="0"/>
  </r>
  <r>
    <x v="1123"/>
    <x v="1123"/>
    <s v="Kartika Saputra"/>
    <x v="37"/>
    <x v="11"/>
    <n v="15000"/>
    <n v="0.7"/>
    <x v="0"/>
    <n v="10500"/>
    <n v="525"/>
    <n v="9975"/>
    <n v="67000"/>
    <n v="76975"/>
    <x v="0"/>
    <x v="0"/>
    <x v="0"/>
    <n v="3"/>
    <x v="0"/>
  </r>
  <r>
    <x v="1124"/>
    <x v="1124"/>
    <s v="Galih Iskandar"/>
    <x v="27"/>
    <x v="9"/>
    <n v="46000"/>
    <n v="1.4"/>
    <x v="0"/>
    <n v="64399.999999999993"/>
    <n v="3220"/>
    <n v="61179.999999999993"/>
    <n v="49000"/>
    <n v="110180"/>
    <x v="0"/>
    <x v="0"/>
    <x v="4"/>
    <n v="4"/>
    <x v="1"/>
  </r>
  <r>
    <x v="1125"/>
    <x v="1125"/>
    <s v="Hendra Syahputra"/>
    <x v="0"/>
    <x v="9"/>
    <n v="46000"/>
    <n v="1"/>
    <x v="1"/>
    <n v="46000"/>
    <n v="0"/>
    <n v="46000"/>
    <n v="15000"/>
    <n v="61000"/>
    <x v="0"/>
    <x v="0"/>
    <x v="3"/>
    <n v="4"/>
    <x v="1"/>
  </r>
  <r>
    <x v="1125"/>
    <x v="1125"/>
    <s v="Hendra Syahputra"/>
    <x v="0"/>
    <x v="15"/>
    <n v="10000"/>
    <n v="1.1000000000000001"/>
    <x v="1"/>
    <n v="11000"/>
    <n v="0"/>
    <n v="11000"/>
    <n v="0"/>
    <n v="11000"/>
    <x v="0"/>
    <x v="0"/>
    <x v="3"/>
    <n v="4"/>
    <x v="1"/>
  </r>
  <r>
    <x v="1126"/>
    <x v="1126"/>
    <s v="Sari Kusuma"/>
    <x v="35"/>
    <x v="14"/>
    <n v="55000"/>
    <n v="0.3"/>
    <x v="1"/>
    <n v="16500"/>
    <n v="0"/>
    <n v="16500"/>
    <n v="79000"/>
    <n v="95500"/>
    <x v="0"/>
    <x v="0"/>
    <x v="1"/>
    <n v="4"/>
    <x v="0"/>
  </r>
  <r>
    <x v="1127"/>
    <x v="1127"/>
    <s v="Dina Puspita"/>
    <x v="18"/>
    <x v="4"/>
    <n v="40000"/>
    <n v="1.5"/>
    <x v="1"/>
    <n v="60000"/>
    <n v="0"/>
    <n v="60000"/>
    <n v="0"/>
    <n v="60000"/>
    <x v="3"/>
    <x v="0"/>
    <x v="1"/>
    <n v="5"/>
    <x v="0"/>
  </r>
  <r>
    <x v="1128"/>
    <x v="1128"/>
    <s v="Kartika Santoso"/>
    <x v="10"/>
    <x v="8"/>
    <n v="17500"/>
    <n v="3.2"/>
    <x v="1"/>
    <n v="56000"/>
    <n v="0"/>
    <n v="56000"/>
    <n v="87000"/>
    <n v="143000"/>
    <x v="3"/>
    <x v="1"/>
    <x v="0"/>
    <n v="3"/>
    <x v="0"/>
  </r>
  <r>
    <x v="1129"/>
    <x v="1129"/>
    <s v="Dina Syahputra"/>
    <x v="28"/>
    <x v="7"/>
    <n v="14000"/>
    <n v="1"/>
    <x v="1"/>
    <n v="14000"/>
    <n v="0"/>
    <n v="14000"/>
    <n v="56000"/>
    <n v="70000"/>
    <x v="3"/>
    <x v="0"/>
    <x v="1"/>
    <n v="4"/>
    <x v="0"/>
  </r>
  <r>
    <x v="1130"/>
    <x v="1130"/>
    <s v="Yani Utami"/>
    <x v="10"/>
    <x v="14"/>
    <n v="55000"/>
    <n v="0.3"/>
    <x v="1"/>
    <n v="16500"/>
    <n v="0"/>
    <n v="16500"/>
    <n v="87000"/>
    <n v="103500"/>
    <x v="2"/>
    <x v="0"/>
    <x v="1"/>
    <n v="2"/>
    <x v="0"/>
  </r>
  <r>
    <x v="1131"/>
    <x v="1131"/>
    <s v="Galih Iskandar"/>
    <x v="27"/>
    <x v="1"/>
    <n v="15000"/>
    <n v="0.5"/>
    <x v="1"/>
    <n v="7500"/>
    <n v="0"/>
    <n v="7500"/>
    <n v="49000"/>
    <n v="56500"/>
    <x v="2"/>
    <x v="0"/>
    <x v="0"/>
    <n v="4"/>
    <x v="1"/>
  </r>
  <r>
    <x v="1132"/>
    <x v="1132"/>
    <s v="Qori Hidayat"/>
    <x v="1"/>
    <x v="18"/>
    <n v="11000"/>
    <n v="1.3"/>
    <x v="1"/>
    <n v="14300"/>
    <n v="0"/>
    <n v="14300"/>
    <n v="17000"/>
    <n v="31300"/>
    <x v="2"/>
    <x v="0"/>
    <x v="0"/>
    <n v="3"/>
    <x v="0"/>
  </r>
  <r>
    <x v="1133"/>
    <x v="1133"/>
    <s v="Hana Nugroho"/>
    <x v="11"/>
    <x v="8"/>
    <n v="17500"/>
    <n v="2.5"/>
    <x v="1"/>
    <n v="43750"/>
    <n v="0"/>
    <n v="43750"/>
    <n v="74000"/>
    <n v="117750"/>
    <x v="0"/>
    <x v="0"/>
    <x v="3"/>
    <n v="3"/>
    <x v="0"/>
  </r>
  <r>
    <x v="1134"/>
    <x v="1134"/>
    <s v="Putri Wijaya"/>
    <x v="12"/>
    <x v="9"/>
    <n v="46000"/>
    <n v="0.9"/>
    <x v="1"/>
    <n v="41400"/>
    <n v="0"/>
    <n v="41400"/>
    <n v="30000"/>
    <n v="71400"/>
    <x v="2"/>
    <x v="0"/>
    <x v="0"/>
    <n v="1"/>
    <x v="0"/>
  </r>
  <r>
    <x v="1135"/>
    <x v="1135"/>
    <s v="Budi Saputra"/>
    <x v="28"/>
    <x v="18"/>
    <n v="11000"/>
    <n v="2.7"/>
    <x v="1"/>
    <n v="29700.000000000004"/>
    <n v="0"/>
    <n v="29700.000000000004"/>
    <n v="56000"/>
    <n v="85700"/>
    <x v="1"/>
    <x v="0"/>
    <x v="1"/>
    <n v="4"/>
    <x v="1"/>
  </r>
  <r>
    <x v="1136"/>
    <x v="1136"/>
    <s v="Putri Ramadhani"/>
    <x v="34"/>
    <x v="16"/>
    <n v="115000"/>
    <n v="0.9"/>
    <x v="1"/>
    <n v="103500"/>
    <n v="0"/>
    <n v="103500"/>
    <n v="18000"/>
    <n v="121500"/>
    <x v="1"/>
    <x v="0"/>
    <x v="3"/>
    <n v="3"/>
    <x v="0"/>
  </r>
  <r>
    <x v="1137"/>
    <x v="1137"/>
    <s v="Lestari Pradipta"/>
    <x v="28"/>
    <x v="10"/>
    <n v="45000"/>
    <n v="1.5"/>
    <x v="1"/>
    <n v="67500"/>
    <n v="0"/>
    <n v="67500"/>
    <n v="56000"/>
    <n v="123500"/>
    <x v="0"/>
    <x v="0"/>
    <x v="2"/>
    <n v="2"/>
    <x v="0"/>
  </r>
  <r>
    <x v="1138"/>
    <x v="1138"/>
    <s v="Dewi Utami"/>
    <x v="18"/>
    <x v="10"/>
    <n v="45000"/>
    <n v="1.9"/>
    <x v="1"/>
    <n v="85500"/>
    <n v="0"/>
    <n v="85500"/>
    <n v="0"/>
    <n v="85500"/>
    <x v="3"/>
    <x v="0"/>
    <x v="2"/>
    <n v="3"/>
    <x v="0"/>
  </r>
  <r>
    <x v="1139"/>
    <x v="1139"/>
    <s v="Yani Saputra"/>
    <x v="12"/>
    <x v="2"/>
    <n v="20000"/>
    <n v="1.6"/>
    <x v="1"/>
    <n v="32000"/>
    <n v="0"/>
    <n v="32000"/>
    <n v="30000"/>
    <n v="62000"/>
    <x v="1"/>
    <x v="0"/>
    <x v="0"/>
    <n v="2"/>
    <x v="0"/>
  </r>
  <r>
    <x v="1139"/>
    <x v="1139"/>
    <s v="Yani Saputra"/>
    <x v="12"/>
    <x v="8"/>
    <n v="17500"/>
    <n v="2.4"/>
    <x v="1"/>
    <n v="42000"/>
    <n v="0"/>
    <n v="42000"/>
    <n v="0"/>
    <n v="42000"/>
    <x v="1"/>
    <x v="0"/>
    <x v="0"/>
    <n v="2"/>
    <x v="0"/>
  </r>
  <r>
    <x v="1140"/>
    <x v="1140"/>
    <s v="Zahra Iskandar"/>
    <x v="16"/>
    <x v="2"/>
    <n v="20000"/>
    <n v="1.3"/>
    <x v="1"/>
    <n v="26000"/>
    <n v="0"/>
    <n v="26000"/>
    <n v="18000"/>
    <n v="44000"/>
    <x v="2"/>
    <x v="0"/>
    <x v="3"/>
    <n v="4"/>
    <x v="0"/>
  </r>
  <r>
    <x v="1141"/>
    <x v="1141"/>
    <s v="Fitri Budiman"/>
    <x v="16"/>
    <x v="18"/>
    <n v="11000"/>
    <n v="1.1000000000000001"/>
    <x v="1"/>
    <n v="12100.000000000002"/>
    <n v="0"/>
    <n v="12100.000000000002"/>
    <n v="18000"/>
    <n v="30100"/>
    <x v="2"/>
    <x v="0"/>
    <x v="1"/>
    <n v="1"/>
    <x v="0"/>
  </r>
  <r>
    <x v="1142"/>
    <x v="1142"/>
    <s v="Aulia Rahmawati"/>
    <x v="10"/>
    <x v="4"/>
    <n v="40000"/>
    <n v="1.7"/>
    <x v="1"/>
    <n v="68000"/>
    <n v="0"/>
    <n v="68000"/>
    <n v="87000"/>
    <n v="155000"/>
    <x v="2"/>
    <x v="0"/>
    <x v="1"/>
    <n v="2"/>
    <x v="0"/>
  </r>
  <r>
    <x v="1143"/>
    <x v="1143"/>
    <s v="Qori Syahputra"/>
    <x v="12"/>
    <x v="8"/>
    <n v="17500"/>
    <n v="2.1"/>
    <x v="1"/>
    <n v="36750"/>
    <n v="0"/>
    <n v="36750"/>
    <n v="30000"/>
    <n v="66750"/>
    <x v="1"/>
    <x v="0"/>
    <x v="2"/>
    <n v="5"/>
    <x v="0"/>
  </r>
  <r>
    <x v="1144"/>
    <x v="1144"/>
    <s v="Erna Rahmawati"/>
    <x v="5"/>
    <x v="14"/>
    <n v="55000"/>
    <n v="0.5"/>
    <x v="1"/>
    <n v="27500"/>
    <n v="0"/>
    <n v="27500"/>
    <n v="18000"/>
    <n v="45500"/>
    <x v="2"/>
    <x v="0"/>
    <x v="3"/>
    <n v="1"/>
    <x v="0"/>
  </r>
  <r>
    <x v="1145"/>
    <x v="1145"/>
    <s v="Bella Ramadhani"/>
    <x v="14"/>
    <x v="2"/>
    <n v="20000"/>
    <n v="1.6"/>
    <x v="1"/>
    <n v="32000"/>
    <n v="0"/>
    <n v="32000"/>
    <n v="85000"/>
    <n v="117000"/>
    <x v="3"/>
    <x v="1"/>
    <x v="3"/>
    <n v="3"/>
    <x v="0"/>
  </r>
  <r>
    <x v="1146"/>
    <x v="1146"/>
    <s v="Made Santoso"/>
    <x v="35"/>
    <x v="16"/>
    <n v="115000"/>
    <n v="0.8"/>
    <x v="1"/>
    <n v="92000"/>
    <n v="0"/>
    <n v="92000"/>
    <n v="79000"/>
    <n v="171000"/>
    <x v="0"/>
    <x v="0"/>
    <x v="3"/>
    <n v="3"/>
    <x v="1"/>
  </r>
  <r>
    <x v="1146"/>
    <x v="1146"/>
    <s v="Made Santoso"/>
    <x v="35"/>
    <x v="7"/>
    <n v="14000"/>
    <n v="0.7"/>
    <x v="1"/>
    <n v="9800"/>
    <n v="0"/>
    <n v="9800"/>
    <n v="0"/>
    <n v="9800"/>
    <x v="0"/>
    <x v="0"/>
    <x v="3"/>
    <n v="3"/>
    <x v="1"/>
  </r>
  <r>
    <x v="1147"/>
    <x v="1147"/>
    <s v="Galih Puspita"/>
    <x v="3"/>
    <x v="2"/>
    <n v="20000"/>
    <n v="2.1"/>
    <x v="1"/>
    <n v="42000"/>
    <n v="0"/>
    <n v="42000"/>
    <n v="93000"/>
    <n v="135000"/>
    <x v="3"/>
    <x v="0"/>
    <x v="4"/>
    <n v="2"/>
    <x v="1"/>
  </r>
  <r>
    <x v="1148"/>
    <x v="1148"/>
    <s v="Yani Santoso"/>
    <x v="14"/>
    <x v="0"/>
    <n v="10000"/>
    <n v="2.9"/>
    <x v="1"/>
    <n v="29000"/>
    <n v="0"/>
    <n v="29000"/>
    <n v="85000"/>
    <n v="114000"/>
    <x v="2"/>
    <x v="0"/>
    <x v="3"/>
    <n v="3"/>
    <x v="0"/>
  </r>
  <r>
    <x v="1149"/>
    <x v="1149"/>
    <s v="Eka Maulana"/>
    <x v="2"/>
    <x v="3"/>
    <n v="13500"/>
    <n v="3.3"/>
    <x v="1"/>
    <n v="44550"/>
    <n v="0"/>
    <n v="44550"/>
    <n v="76000"/>
    <n v="120550"/>
    <x v="2"/>
    <x v="0"/>
    <x v="2"/>
    <n v="4"/>
    <x v="0"/>
  </r>
  <r>
    <x v="1150"/>
    <x v="1150"/>
    <s v="Erna Syahputra"/>
    <x v="5"/>
    <x v="0"/>
    <n v="10000"/>
    <n v="3.4"/>
    <x v="1"/>
    <n v="34000"/>
    <n v="0"/>
    <n v="34000"/>
    <n v="18000"/>
    <n v="52000"/>
    <x v="0"/>
    <x v="1"/>
    <x v="1"/>
    <n v="4"/>
    <x v="0"/>
  </r>
  <r>
    <x v="1151"/>
    <x v="1151"/>
    <s v="Dewi Rahmawati"/>
    <x v="7"/>
    <x v="4"/>
    <n v="40000"/>
    <n v="0.9"/>
    <x v="1"/>
    <n v="36000"/>
    <n v="0"/>
    <n v="36000"/>
    <n v="26000"/>
    <n v="62000"/>
    <x v="1"/>
    <x v="0"/>
    <x v="2"/>
    <n v="1"/>
    <x v="0"/>
  </r>
  <r>
    <x v="1152"/>
    <x v="1152"/>
    <s v="Sari Setiawan"/>
    <x v="12"/>
    <x v="2"/>
    <n v="20000"/>
    <n v="2.9"/>
    <x v="1"/>
    <n v="58000"/>
    <n v="0"/>
    <n v="58000"/>
    <n v="30000"/>
    <n v="88000"/>
    <x v="0"/>
    <x v="0"/>
    <x v="0"/>
    <n v="1"/>
    <x v="0"/>
  </r>
  <r>
    <x v="1153"/>
    <x v="1153"/>
    <s v="Zahra Puspita"/>
    <x v="19"/>
    <x v="17"/>
    <n v="12000"/>
    <n v="0.7"/>
    <x v="1"/>
    <n v="8400"/>
    <n v="0"/>
    <n v="8400"/>
    <n v="78000"/>
    <n v="86400"/>
    <x v="2"/>
    <x v="0"/>
    <x v="2"/>
    <n v="4"/>
    <x v="0"/>
  </r>
  <r>
    <x v="1153"/>
    <x v="1153"/>
    <s v="Zahra Puspita"/>
    <x v="19"/>
    <x v="10"/>
    <n v="45000"/>
    <n v="1.8"/>
    <x v="1"/>
    <n v="81000"/>
    <n v="0"/>
    <n v="81000"/>
    <n v="0"/>
    <n v="81000"/>
    <x v="2"/>
    <x v="0"/>
    <x v="2"/>
    <n v="4"/>
    <x v="0"/>
  </r>
  <r>
    <x v="1154"/>
    <x v="1154"/>
    <s v="Yani Ananda"/>
    <x v="28"/>
    <x v="18"/>
    <n v="11000"/>
    <n v="0.7"/>
    <x v="1"/>
    <n v="7699.9999999999991"/>
    <n v="0"/>
    <n v="7699.9999999999991"/>
    <n v="56000"/>
    <n v="63700"/>
    <x v="0"/>
    <x v="0"/>
    <x v="1"/>
    <n v="2"/>
    <x v="0"/>
  </r>
  <r>
    <x v="1155"/>
    <x v="1155"/>
    <s v="Dina Ananda"/>
    <x v="2"/>
    <x v="7"/>
    <n v="14000"/>
    <n v="0.6"/>
    <x v="1"/>
    <n v="8400"/>
    <n v="0"/>
    <n v="8400"/>
    <n v="76000"/>
    <n v="84400"/>
    <x v="2"/>
    <x v="0"/>
    <x v="1"/>
    <n v="2"/>
    <x v="0"/>
  </r>
  <r>
    <x v="1156"/>
    <x v="1156"/>
    <s v="Oka Santoso"/>
    <x v="16"/>
    <x v="8"/>
    <n v="17500"/>
    <n v="1.9"/>
    <x v="1"/>
    <n v="33250"/>
    <n v="0"/>
    <n v="33250"/>
    <n v="18000"/>
    <n v="51250"/>
    <x v="3"/>
    <x v="0"/>
    <x v="2"/>
    <n v="1"/>
    <x v="1"/>
  </r>
  <r>
    <x v="1157"/>
    <x v="1157"/>
    <s v="Erna Hidayat"/>
    <x v="32"/>
    <x v="7"/>
    <n v="14000"/>
    <n v="1.5"/>
    <x v="1"/>
    <n v="21000"/>
    <n v="0"/>
    <n v="21000"/>
    <n v="28000"/>
    <n v="49000"/>
    <x v="0"/>
    <x v="1"/>
    <x v="4"/>
    <n v="5"/>
    <x v="0"/>
  </r>
  <r>
    <x v="1158"/>
    <x v="1158"/>
    <s v="Galih Iskandar"/>
    <x v="27"/>
    <x v="4"/>
    <n v="40000"/>
    <n v="0.9"/>
    <x v="1"/>
    <n v="36000"/>
    <n v="0"/>
    <n v="36000"/>
    <n v="49000"/>
    <n v="85000"/>
    <x v="1"/>
    <x v="0"/>
    <x v="4"/>
    <n v="2"/>
    <x v="1"/>
  </r>
  <r>
    <x v="1159"/>
    <x v="1159"/>
    <s v="Eka Maulana"/>
    <x v="2"/>
    <x v="8"/>
    <n v="17500"/>
    <n v="3"/>
    <x v="1"/>
    <n v="52500"/>
    <n v="0"/>
    <n v="52500"/>
    <n v="76000"/>
    <n v="128500"/>
    <x v="2"/>
    <x v="0"/>
    <x v="1"/>
    <n v="4"/>
    <x v="0"/>
  </r>
  <r>
    <x v="1160"/>
    <x v="1160"/>
    <s v="Bella Pradipta"/>
    <x v="23"/>
    <x v="15"/>
    <n v="10000"/>
    <n v="0.2"/>
    <x v="1"/>
    <n v="2000"/>
    <n v="0"/>
    <n v="2000"/>
    <n v="55000"/>
    <n v="57000"/>
    <x v="3"/>
    <x v="0"/>
    <x v="0"/>
    <n v="4"/>
    <x v="0"/>
  </r>
  <r>
    <x v="1161"/>
    <x v="1161"/>
    <s v="Hana Saputra"/>
    <x v="17"/>
    <x v="13"/>
    <n v="10000"/>
    <n v="0.5"/>
    <x v="1"/>
    <n v="5000"/>
    <n v="0"/>
    <n v="5000"/>
    <n v="72000"/>
    <n v="77000"/>
    <x v="0"/>
    <x v="0"/>
    <x v="1"/>
    <n v="4"/>
    <x v="0"/>
  </r>
  <r>
    <x v="1162"/>
    <x v="1162"/>
    <s v="Ani Halim"/>
    <x v="25"/>
    <x v="15"/>
    <n v="10000"/>
    <n v="0.5"/>
    <x v="1"/>
    <n v="5000"/>
    <n v="0"/>
    <n v="5000"/>
    <n v="50000"/>
    <n v="55000"/>
    <x v="3"/>
    <x v="0"/>
    <x v="1"/>
    <n v="5"/>
    <x v="0"/>
  </r>
  <r>
    <x v="1163"/>
    <x v="1163"/>
    <s v="Clara Pradipta"/>
    <x v="15"/>
    <x v="10"/>
    <n v="45000"/>
    <n v="1"/>
    <x v="1"/>
    <n v="45000"/>
    <n v="0"/>
    <n v="45000"/>
    <n v="97000"/>
    <n v="142000"/>
    <x v="3"/>
    <x v="0"/>
    <x v="2"/>
    <n v="4"/>
    <x v="0"/>
  </r>
  <r>
    <x v="1163"/>
    <x v="1163"/>
    <s v="Clara Pradipta"/>
    <x v="15"/>
    <x v="4"/>
    <n v="40000"/>
    <n v="0.4"/>
    <x v="1"/>
    <n v="16000"/>
    <n v="0"/>
    <n v="16000"/>
    <n v="0"/>
    <n v="16000"/>
    <x v="3"/>
    <x v="0"/>
    <x v="2"/>
    <n v="4"/>
    <x v="0"/>
  </r>
  <r>
    <x v="1164"/>
    <x v="1164"/>
    <s v="Dewi Puspita"/>
    <x v="12"/>
    <x v="2"/>
    <n v="20000"/>
    <n v="1.2"/>
    <x v="1"/>
    <n v="24000"/>
    <n v="0"/>
    <n v="24000"/>
    <n v="30000"/>
    <n v="54000"/>
    <x v="1"/>
    <x v="1"/>
    <x v="2"/>
    <n v="4"/>
    <x v="0"/>
  </r>
  <r>
    <x v="1165"/>
    <x v="1165"/>
    <s v="Qori Halim"/>
    <x v="13"/>
    <x v="1"/>
    <n v="15000"/>
    <n v="0.5"/>
    <x v="1"/>
    <n v="7500"/>
    <n v="0"/>
    <n v="7500"/>
    <n v="49000"/>
    <n v="56500"/>
    <x v="3"/>
    <x v="1"/>
    <x v="2"/>
    <n v="3"/>
    <x v="0"/>
  </r>
  <r>
    <x v="1166"/>
    <x v="1166"/>
    <s v="Yoga Nugroho"/>
    <x v="5"/>
    <x v="3"/>
    <n v="13500"/>
    <n v="0.6"/>
    <x v="1"/>
    <n v="8100"/>
    <n v="0"/>
    <n v="8100"/>
    <n v="18000"/>
    <n v="26100"/>
    <x v="1"/>
    <x v="1"/>
    <x v="1"/>
    <n v="3"/>
    <x v="1"/>
  </r>
  <r>
    <x v="1167"/>
    <x v="1167"/>
    <s v="Andi Syahputra"/>
    <x v="5"/>
    <x v="9"/>
    <n v="46000"/>
    <n v="1.2"/>
    <x v="1"/>
    <n v="55200"/>
    <n v="0"/>
    <n v="55200"/>
    <n v="18000"/>
    <n v="73200"/>
    <x v="1"/>
    <x v="0"/>
    <x v="1"/>
    <n v="3"/>
    <x v="1"/>
  </r>
  <r>
    <x v="1168"/>
    <x v="1168"/>
    <s v="Ani Puspita"/>
    <x v="37"/>
    <x v="14"/>
    <n v="55000"/>
    <n v="1.1000000000000001"/>
    <x v="1"/>
    <n v="60500.000000000007"/>
    <n v="0"/>
    <n v="60500.000000000007"/>
    <n v="67000"/>
    <n v="127500"/>
    <x v="1"/>
    <x v="0"/>
    <x v="4"/>
    <n v="3"/>
    <x v="0"/>
  </r>
  <r>
    <x v="1169"/>
    <x v="1169"/>
    <s v="Erna Rahmawati"/>
    <x v="5"/>
    <x v="17"/>
    <n v="12000"/>
    <n v="0.6"/>
    <x v="1"/>
    <n v="7200"/>
    <n v="0"/>
    <n v="7200"/>
    <n v="18000"/>
    <n v="25200"/>
    <x v="1"/>
    <x v="0"/>
    <x v="0"/>
    <n v="3"/>
    <x v="0"/>
  </r>
  <r>
    <x v="1170"/>
    <x v="1170"/>
    <s v="Citra Ananda"/>
    <x v="16"/>
    <x v="14"/>
    <n v="55000"/>
    <n v="0.6"/>
    <x v="1"/>
    <n v="33000"/>
    <n v="0"/>
    <n v="33000"/>
    <n v="18000"/>
    <n v="51000"/>
    <x v="3"/>
    <x v="0"/>
    <x v="3"/>
    <n v="1"/>
    <x v="0"/>
  </r>
  <r>
    <x v="1171"/>
    <x v="1171"/>
    <s v="Citra Ananda"/>
    <x v="16"/>
    <x v="2"/>
    <n v="20000"/>
    <n v="1.1000000000000001"/>
    <x v="1"/>
    <n v="22000"/>
    <n v="0"/>
    <n v="22000"/>
    <n v="18000"/>
    <n v="40000"/>
    <x v="0"/>
    <x v="0"/>
    <x v="3"/>
    <n v="1"/>
    <x v="0"/>
  </r>
  <r>
    <x v="1172"/>
    <x v="1172"/>
    <s v="Nanda Halim"/>
    <x v="13"/>
    <x v="14"/>
    <n v="55000"/>
    <n v="0.7"/>
    <x v="1"/>
    <n v="38500"/>
    <n v="0"/>
    <n v="38500"/>
    <n v="49000"/>
    <n v="87500"/>
    <x v="2"/>
    <x v="0"/>
    <x v="2"/>
    <n v="1"/>
    <x v="1"/>
  </r>
  <r>
    <x v="1173"/>
    <x v="1173"/>
    <s v="Clara Utami"/>
    <x v="34"/>
    <x v="14"/>
    <n v="55000"/>
    <n v="1.3"/>
    <x v="1"/>
    <n v="71500"/>
    <n v="0"/>
    <n v="71500"/>
    <n v="18000"/>
    <n v="89500"/>
    <x v="2"/>
    <x v="1"/>
    <x v="0"/>
    <n v="5"/>
    <x v="0"/>
  </r>
  <r>
    <x v="1173"/>
    <x v="1173"/>
    <s v="Clara Utami"/>
    <x v="34"/>
    <x v="3"/>
    <n v="13500"/>
    <n v="3.4"/>
    <x v="1"/>
    <n v="45900"/>
    <n v="0"/>
    <n v="45900"/>
    <n v="0"/>
    <n v="45900"/>
    <x v="2"/>
    <x v="1"/>
    <x v="0"/>
    <n v="5"/>
    <x v="0"/>
  </r>
  <r>
    <x v="1174"/>
    <x v="1174"/>
    <s v="Rizky Ramadhani"/>
    <x v="34"/>
    <x v="18"/>
    <n v="11000"/>
    <n v="2"/>
    <x v="1"/>
    <n v="22000"/>
    <n v="0"/>
    <n v="22000"/>
    <n v="18000"/>
    <n v="40000"/>
    <x v="0"/>
    <x v="0"/>
    <x v="3"/>
    <n v="1"/>
    <x v="1"/>
  </r>
  <r>
    <x v="1175"/>
    <x v="1175"/>
    <s v="Tono Fauziah"/>
    <x v="30"/>
    <x v="1"/>
    <n v="15000"/>
    <n v="0.2"/>
    <x v="1"/>
    <n v="3000"/>
    <n v="0"/>
    <n v="3000"/>
    <n v="57000"/>
    <n v="60000"/>
    <x v="0"/>
    <x v="0"/>
    <x v="1"/>
    <n v="4"/>
    <x v="1"/>
  </r>
  <r>
    <x v="1176"/>
    <x v="1176"/>
    <s v="Lestari Pradipta"/>
    <x v="28"/>
    <x v="11"/>
    <n v="15000"/>
    <n v="0.6"/>
    <x v="1"/>
    <n v="9000"/>
    <n v="0"/>
    <n v="9000"/>
    <n v="56000"/>
    <n v="65000"/>
    <x v="0"/>
    <x v="0"/>
    <x v="2"/>
    <n v="4"/>
    <x v="0"/>
  </r>
  <r>
    <x v="1177"/>
    <x v="1177"/>
    <s v="Qori Fauziah"/>
    <x v="11"/>
    <x v="5"/>
    <n v="10500"/>
    <n v="1.3"/>
    <x v="1"/>
    <n v="13650"/>
    <n v="0"/>
    <n v="13650"/>
    <n v="74000"/>
    <n v="87650"/>
    <x v="3"/>
    <x v="1"/>
    <x v="0"/>
    <n v="2"/>
    <x v="0"/>
  </r>
  <r>
    <x v="1178"/>
    <x v="1178"/>
    <s v="Yoga Utami"/>
    <x v="23"/>
    <x v="9"/>
    <n v="46000"/>
    <n v="0.5"/>
    <x v="1"/>
    <n v="23000"/>
    <n v="0"/>
    <n v="23000"/>
    <n v="55000"/>
    <n v="78000"/>
    <x v="0"/>
    <x v="1"/>
    <x v="4"/>
    <n v="5"/>
    <x v="1"/>
  </r>
  <r>
    <x v="1179"/>
    <x v="1179"/>
    <s v="Bella Ananda"/>
    <x v="4"/>
    <x v="1"/>
    <n v="15000"/>
    <n v="0.2"/>
    <x v="1"/>
    <n v="3000"/>
    <n v="0"/>
    <n v="3000"/>
    <n v="43000"/>
    <n v="46000"/>
    <x v="1"/>
    <x v="1"/>
    <x v="3"/>
    <n v="4"/>
    <x v="0"/>
  </r>
  <r>
    <x v="1180"/>
    <x v="1180"/>
    <s v="Sari Halim"/>
    <x v="23"/>
    <x v="2"/>
    <n v="20000"/>
    <n v="2"/>
    <x v="1"/>
    <n v="40000"/>
    <n v="0"/>
    <n v="40000"/>
    <n v="55000"/>
    <n v="95000"/>
    <x v="1"/>
    <x v="1"/>
    <x v="3"/>
    <n v="3"/>
    <x v="0"/>
  </r>
  <r>
    <x v="1181"/>
    <x v="1181"/>
    <s v="Hana Wijaya"/>
    <x v="31"/>
    <x v="1"/>
    <n v="15000"/>
    <n v="0.6"/>
    <x v="1"/>
    <n v="9000"/>
    <n v="0"/>
    <n v="9000"/>
    <n v="87000"/>
    <n v="96000"/>
    <x v="3"/>
    <x v="1"/>
    <x v="1"/>
    <n v="2"/>
    <x v="0"/>
  </r>
  <r>
    <x v="1182"/>
    <x v="1182"/>
    <s v="Budi Wijaya"/>
    <x v="33"/>
    <x v="13"/>
    <n v="10000"/>
    <n v="0.2"/>
    <x v="1"/>
    <n v="2000"/>
    <n v="0"/>
    <n v="2000"/>
    <n v="80000"/>
    <n v="82000"/>
    <x v="3"/>
    <x v="0"/>
    <x v="2"/>
    <n v="3"/>
    <x v="1"/>
  </r>
  <r>
    <x v="1183"/>
    <x v="1183"/>
    <s v="Fitri Ramadhani"/>
    <x v="11"/>
    <x v="12"/>
    <n v="9500"/>
    <n v="1.5"/>
    <x v="1"/>
    <n v="14250"/>
    <n v="0"/>
    <n v="14250"/>
    <n v="74000"/>
    <n v="88250"/>
    <x v="0"/>
    <x v="0"/>
    <x v="4"/>
    <n v="4"/>
    <x v="0"/>
  </r>
  <r>
    <x v="1184"/>
    <x v="1184"/>
    <s v="Andi Iskandar"/>
    <x v="10"/>
    <x v="15"/>
    <n v="10000"/>
    <n v="0.7"/>
    <x v="1"/>
    <n v="7000"/>
    <n v="0"/>
    <n v="7000"/>
    <n v="87000"/>
    <n v="94000"/>
    <x v="2"/>
    <x v="1"/>
    <x v="4"/>
    <n v="5"/>
    <x v="1"/>
  </r>
  <r>
    <x v="1185"/>
    <x v="1185"/>
    <s v="Budi Saputra"/>
    <x v="28"/>
    <x v="19"/>
    <n v="15500"/>
    <n v="0.3"/>
    <x v="1"/>
    <n v="4650"/>
    <n v="0"/>
    <n v="4650"/>
    <n v="56000"/>
    <n v="60650"/>
    <x v="3"/>
    <x v="0"/>
    <x v="0"/>
    <n v="5"/>
    <x v="1"/>
  </r>
  <r>
    <x v="1186"/>
    <x v="1186"/>
    <s v="Aulia Utami"/>
    <x v="19"/>
    <x v="4"/>
    <n v="40000"/>
    <n v="1.3"/>
    <x v="1"/>
    <n v="52000"/>
    <n v="0"/>
    <n v="52000"/>
    <n v="78000"/>
    <n v="130000"/>
    <x v="0"/>
    <x v="2"/>
    <x v="2"/>
    <n v="5"/>
    <x v="0"/>
  </r>
  <r>
    <x v="1187"/>
    <x v="1187"/>
    <s v="Nanda Iskandar"/>
    <x v="14"/>
    <x v="7"/>
    <n v="14000"/>
    <n v="0.8"/>
    <x v="1"/>
    <n v="11200"/>
    <n v="0"/>
    <n v="11200"/>
    <n v="85000"/>
    <n v="96200"/>
    <x v="2"/>
    <x v="0"/>
    <x v="4"/>
    <n v="2"/>
    <x v="1"/>
  </r>
  <r>
    <x v="1188"/>
    <x v="1188"/>
    <s v="Dina Puspita"/>
    <x v="18"/>
    <x v="2"/>
    <n v="20000"/>
    <n v="1.3"/>
    <x v="1"/>
    <n v="26000"/>
    <n v="0"/>
    <n v="26000"/>
    <n v="0"/>
    <n v="26000"/>
    <x v="3"/>
    <x v="1"/>
    <x v="0"/>
    <n v="2"/>
    <x v="0"/>
  </r>
  <r>
    <x v="1188"/>
    <x v="1188"/>
    <s v="Dina Puspita"/>
    <x v="18"/>
    <x v="14"/>
    <n v="55000"/>
    <n v="1.1000000000000001"/>
    <x v="1"/>
    <n v="60500.000000000007"/>
    <n v="0"/>
    <n v="60500.000000000007"/>
    <n v="0"/>
    <n v="60500.000000000007"/>
    <x v="3"/>
    <x v="1"/>
    <x v="0"/>
    <n v="2"/>
    <x v="0"/>
  </r>
  <r>
    <x v="1189"/>
    <x v="1189"/>
    <s v="Zahra Nugroho"/>
    <x v="19"/>
    <x v="10"/>
    <n v="45000"/>
    <n v="1"/>
    <x v="1"/>
    <n v="45000"/>
    <n v="0"/>
    <n v="45000"/>
    <n v="78000"/>
    <n v="123000"/>
    <x v="3"/>
    <x v="0"/>
    <x v="4"/>
    <n v="1"/>
    <x v="0"/>
  </r>
  <r>
    <x v="1190"/>
    <x v="1190"/>
    <s v="Bella Fauziah"/>
    <x v="3"/>
    <x v="0"/>
    <n v="10000"/>
    <n v="3.1"/>
    <x v="1"/>
    <n v="31000"/>
    <n v="0"/>
    <n v="31000"/>
    <n v="93000"/>
    <n v="124000"/>
    <x v="1"/>
    <x v="0"/>
    <x v="4"/>
    <n v="5"/>
    <x v="0"/>
  </r>
  <r>
    <x v="1191"/>
    <x v="1191"/>
    <s v="Ani Maulana"/>
    <x v="9"/>
    <x v="3"/>
    <n v="13500"/>
    <n v="2.8"/>
    <x v="1"/>
    <n v="37800"/>
    <n v="0"/>
    <n v="37800"/>
    <n v="89000"/>
    <n v="126800"/>
    <x v="1"/>
    <x v="1"/>
    <x v="0"/>
    <n v="4"/>
    <x v="0"/>
  </r>
  <r>
    <x v="1192"/>
    <x v="1192"/>
    <s v="Dina Maulana"/>
    <x v="36"/>
    <x v="1"/>
    <n v="15000"/>
    <n v="0.6"/>
    <x v="1"/>
    <n v="9000"/>
    <n v="0"/>
    <n v="9000"/>
    <n v="21000"/>
    <n v="30000"/>
    <x v="3"/>
    <x v="1"/>
    <x v="3"/>
    <n v="5"/>
    <x v="0"/>
  </r>
  <r>
    <x v="1193"/>
    <x v="1193"/>
    <s v="Bayu Syahputra"/>
    <x v="15"/>
    <x v="3"/>
    <n v="13500"/>
    <n v="2.1"/>
    <x v="1"/>
    <n v="28350"/>
    <n v="0"/>
    <n v="28350"/>
    <n v="97000"/>
    <n v="125350"/>
    <x v="0"/>
    <x v="0"/>
    <x v="2"/>
    <n v="2"/>
    <x v="1"/>
  </r>
  <r>
    <x v="1194"/>
    <x v="1194"/>
    <s v="Bella Hidayat"/>
    <x v="35"/>
    <x v="10"/>
    <n v="45000"/>
    <n v="0.8"/>
    <x v="1"/>
    <n v="36000"/>
    <n v="0"/>
    <n v="36000"/>
    <n v="79000"/>
    <n v="115000"/>
    <x v="3"/>
    <x v="0"/>
    <x v="2"/>
    <n v="4"/>
    <x v="0"/>
  </r>
  <r>
    <x v="1194"/>
    <x v="1194"/>
    <s v="Bella Hidayat"/>
    <x v="35"/>
    <x v="4"/>
    <n v="40000"/>
    <n v="0.9"/>
    <x v="1"/>
    <n v="36000"/>
    <n v="0"/>
    <n v="36000"/>
    <n v="0"/>
    <n v="36000"/>
    <x v="3"/>
    <x v="0"/>
    <x v="2"/>
    <n v="4"/>
    <x v="0"/>
  </r>
  <r>
    <x v="1195"/>
    <x v="1195"/>
    <s v="Indra Maulana"/>
    <x v="35"/>
    <x v="8"/>
    <n v="17500"/>
    <n v="2.5"/>
    <x v="1"/>
    <n v="43750"/>
    <n v="0"/>
    <n v="43750"/>
    <n v="79000"/>
    <n v="122750"/>
    <x v="3"/>
    <x v="0"/>
    <x v="4"/>
    <n v="2"/>
    <x v="1"/>
  </r>
  <r>
    <x v="1196"/>
    <x v="1196"/>
    <s v="Clara Syahputra"/>
    <x v="20"/>
    <x v="11"/>
    <n v="15000"/>
    <n v="2.8"/>
    <x v="1"/>
    <n v="42000"/>
    <n v="0"/>
    <n v="42000"/>
    <n v="84000"/>
    <n v="126000"/>
    <x v="1"/>
    <x v="0"/>
    <x v="1"/>
    <n v="4"/>
    <x v="0"/>
  </r>
  <r>
    <x v="1197"/>
    <x v="1197"/>
    <s v="Wahyu Fauziah"/>
    <x v="35"/>
    <x v="2"/>
    <n v="20000"/>
    <n v="1.8"/>
    <x v="1"/>
    <n v="36000"/>
    <n v="0"/>
    <n v="36000"/>
    <n v="79000"/>
    <n v="115000"/>
    <x v="1"/>
    <x v="0"/>
    <x v="1"/>
    <n v="3"/>
    <x v="1"/>
  </r>
  <r>
    <x v="1198"/>
    <x v="1198"/>
    <s v="Fitri Setiawan"/>
    <x v="13"/>
    <x v="10"/>
    <n v="45000"/>
    <n v="0.5"/>
    <x v="1"/>
    <n v="22500"/>
    <n v="0"/>
    <n v="22500"/>
    <n v="49000"/>
    <n v="71500"/>
    <x v="0"/>
    <x v="0"/>
    <x v="0"/>
    <n v="4"/>
    <x v="0"/>
  </r>
  <r>
    <x v="1199"/>
    <x v="1199"/>
    <s v="Eko Pradipta"/>
    <x v="4"/>
    <x v="18"/>
    <n v="11000"/>
    <n v="0.9"/>
    <x v="1"/>
    <n v="9900"/>
    <n v="0"/>
    <n v="9900"/>
    <n v="43000"/>
    <n v="52900"/>
    <x v="2"/>
    <x v="2"/>
    <x v="1"/>
    <n v="5"/>
    <x v="1"/>
  </r>
  <r>
    <x v="1200"/>
    <x v="1200"/>
    <s v="Dewi Saputra"/>
    <x v="10"/>
    <x v="9"/>
    <n v="46000"/>
    <n v="1"/>
    <x v="1"/>
    <n v="46000"/>
    <n v="0"/>
    <n v="46000"/>
    <n v="87000"/>
    <n v="133000"/>
    <x v="0"/>
    <x v="0"/>
    <x v="4"/>
    <n v="3"/>
    <x v="0"/>
  </r>
  <r>
    <x v="1201"/>
    <x v="1201"/>
    <s v="Arif Fauziah"/>
    <x v="6"/>
    <x v="4"/>
    <n v="40000"/>
    <n v="1"/>
    <x v="1"/>
    <n v="40000"/>
    <n v="0"/>
    <n v="40000"/>
    <n v="80000"/>
    <n v="120000"/>
    <x v="3"/>
    <x v="0"/>
    <x v="0"/>
    <n v="5"/>
    <x v="1"/>
  </r>
  <r>
    <x v="1202"/>
    <x v="1202"/>
    <s v="Nanda Iskandar"/>
    <x v="14"/>
    <x v="6"/>
    <n v="26000"/>
    <n v="0.4"/>
    <x v="1"/>
    <n v="10400"/>
    <n v="0"/>
    <n v="10400"/>
    <n v="85000"/>
    <n v="95400"/>
    <x v="2"/>
    <x v="0"/>
    <x v="4"/>
    <n v="3"/>
    <x v="1"/>
  </r>
  <r>
    <x v="1203"/>
    <x v="1203"/>
    <s v="Sari Puspita"/>
    <x v="15"/>
    <x v="6"/>
    <n v="26000"/>
    <n v="2.2000000000000002"/>
    <x v="1"/>
    <n v="57200.000000000007"/>
    <n v="0"/>
    <n v="57200.000000000007"/>
    <n v="97000"/>
    <n v="154200"/>
    <x v="3"/>
    <x v="0"/>
    <x v="0"/>
    <n v="3"/>
    <x v="0"/>
  </r>
  <r>
    <x v="1204"/>
    <x v="1204"/>
    <s v="Wahyu Santoso"/>
    <x v="34"/>
    <x v="16"/>
    <n v="115000"/>
    <n v="1.4"/>
    <x v="1"/>
    <n v="161000"/>
    <n v="0"/>
    <n v="161000"/>
    <n v="18000"/>
    <n v="179000"/>
    <x v="0"/>
    <x v="0"/>
    <x v="2"/>
    <n v="3"/>
    <x v="1"/>
  </r>
  <r>
    <x v="1205"/>
    <x v="1205"/>
    <s v="Tono Ananda"/>
    <x v="8"/>
    <x v="4"/>
    <n v="40000"/>
    <n v="0.8"/>
    <x v="1"/>
    <n v="32000"/>
    <n v="0"/>
    <n v="32000"/>
    <n v="59000"/>
    <n v="91000"/>
    <x v="1"/>
    <x v="0"/>
    <x v="4"/>
    <n v="4"/>
    <x v="1"/>
  </r>
  <r>
    <x v="1206"/>
    <x v="1206"/>
    <s v="Zahra Kurniawan"/>
    <x v="0"/>
    <x v="9"/>
    <n v="46000"/>
    <n v="1.5"/>
    <x v="1"/>
    <n v="69000"/>
    <n v="0"/>
    <n v="69000"/>
    <n v="15000"/>
    <n v="84000"/>
    <x v="2"/>
    <x v="0"/>
    <x v="4"/>
    <n v="2"/>
    <x v="0"/>
  </r>
  <r>
    <x v="1206"/>
    <x v="1206"/>
    <s v="Zahra Kurniawan"/>
    <x v="0"/>
    <x v="1"/>
    <n v="15000"/>
    <n v="0.7"/>
    <x v="1"/>
    <n v="10500"/>
    <n v="0"/>
    <n v="10500"/>
    <n v="0"/>
    <n v="10500"/>
    <x v="2"/>
    <x v="0"/>
    <x v="4"/>
    <n v="2"/>
    <x v="0"/>
  </r>
  <r>
    <x v="1207"/>
    <x v="1207"/>
    <s v="Eka Rahmawati"/>
    <x v="4"/>
    <x v="14"/>
    <n v="55000"/>
    <n v="0.4"/>
    <x v="1"/>
    <n v="22000"/>
    <n v="0"/>
    <n v="22000"/>
    <n v="43000"/>
    <n v="65000"/>
    <x v="3"/>
    <x v="0"/>
    <x v="1"/>
    <n v="3"/>
    <x v="0"/>
  </r>
  <r>
    <x v="1208"/>
    <x v="1208"/>
    <s v="Putri Ananda"/>
    <x v="7"/>
    <x v="14"/>
    <n v="55000"/>
    <n v="0.5"/>
    <x v="1"/>
    <n v="27500"/>
    <n v="0"/>
    <n v="27500"/>
    <n v="26000"/>
    <n v="53500"/>
    <x v="1"/>
    <x v="0"/>
    <x v="4"/>
    <n v="4"/>
    <x v="0"/>
  </r>
  <r>
    <x v="1209"/>
    <x v="1209"/>
    <s v="Ani Wijaya"/>
    <x v="29"/>
    <x v="18"/>
    <n v="11000"/>
    <n v="0.7"/>
    <x v="1"/>
    <n v="7699.9999999999991"/>
    <n v="0"/>
    <n v="7699.9999999999991"/>
    <n v="48000"/>
    <n v="55700"/>
    <x v="2"/>
    <x v="0"/>
    <x v="3"/>
    <n v="3"/>
    <x v="0"/>
  </r>
  <r>
    <x v="1209"/>
    <x v="1209"/>
    <s v="Ani Wijaya"/>
    <x v="29"/>
    <x v="11"/>
    <n v="15000"/>
    <n v="1.2"/>
    <x v="1"/>
    <n v="18000"/>
    <n v="0"/>
    <n v="18000"/>
    <n v="0"/>
    <n v="18000"/>
    <x v="2"/>
    <x v="0"/>
    <x v="3"/>
    <n v="3"/>
    <x v="0"/>
  </r>
  <r>
    <x v="1210"/>
    <x v="1210"/>
    <s v="Dina Wijaya"/>
    <x v="37"/>
    <x v="8"/>
    <n v="17500"/>
    <n v="2.2999999999999998"/>
    <x v="1"/>
    <n v="40250"/>
    <n v="0"/>
    <n v="40250"/>
    <n v="67000"/>
    <n v="107250"/>
    <x v="1"/>
    <x v="0"/>
    <x v="0"/>
    <n v="2"/>
    <x v="0"/>
  </r>
  <r>
    <x v="1211"/>
    <x v="1211"/>
    <s v="Zahra Santoso"/>
    <x v="9"/>
    <x v="14"/>
    <n v="55000"/>
    <n v="1"/>
    <x v="1"/>
    <n v="55000"/>
    <n v="0"/>
    <n v="55000"/>
    <n v="89000"/>
    <n v="144000"/>
    <x v="0"/>
    <x v="0"/>
    <x v="2"/>
    <n v="5"/>
    <x v="0"/>
  </r>
  <r>
    <x v="1212"/>
    <x v="1212"/>
    <s v="Yani Saputra"/>
    <x v="12"/>
    <x v="1"/>
    <n v="15000"/>
    <n v="0.9"/>
    <x v="1"/>
    <n v="13500"/>
    <n v="0"/>
    <n v="13500"/>
    <n v="30000"/>
    <n v="43500"/>
    <x v="0"/>
    <x v="0"/>
    <x v="4"/>
    <n v="2"/>
    <x v="0"/>
  </r>
  <r>
    <x v="1213"/>
    <x v="1213"/>
    <s v="Citra Kurniawan"/>
    <x v="21"/>
    <x v="10"/>
    <n v="45000"/>
    <n v="1.4"/>
    <x v="1"/>
    <n v="62999.999999999993"/>
    <n v="0"/>
    <n v="62999.999999999993"/>
    <n v="59000"/>
    <n v="122000"/>
    <x v="3"/>
    <x v="1"/>
    <x v="1"/>
    <n v="4"/>
    <x v="0"/>
  </r>
  <r>
    <x v="1214"/>
    <x v="1214"/>
    <s v="Erna Hidayat"/>
    <x v="32"/>
    <x v="11"/>
    <n v="15000"/>
    <n v="0.8"/>
    <x v="1"/>
    <n v="12000"/>
    <n v="0"/>
    <n v="12000"/>
    <n v="28000"/>
    <n v="40000"/>
    <x v="0"/>
    <x v="0"/>
    <x v="0"/>
    <n v="4"/>
    <x v="0"/>
  </r>
  <r>
    <x v="1215"/>
    <x v="1215"/>
    <s v="Vina Saputra"/>
    <x v="33"/>
    <x v="0"/>
    <n v="10000"/>
    <n v="2.6"/>
    <x v="1"/>
    <n v="26000"/>
    <n v="0"/>
    <n v="26000"/>
    <n v="80000"/>
    <n v="106000"/>
    <x v="2"/>
    <x v="0"/>
    <x v="4"/>
    <n v="2"/>
    <x v="0"/>
  </r>
  <r>
    <x v="1216"/>
    <x v="1216"/>
    <s v="Bella Rahmawati"/>
    <x v="8"/>
    <x v="11"/>
    <n v="15000"/>
    <n v="1.3"/>
    <x v="1"/>
    <n v="19500"/>
    <n v="0"/>
    <n v="19500"/>
    <n v="59000"/>
    <n v="78500"/>
    <x v="3"/>
    <x v="0"/>
    <x v="3"/>
    <n v="2"/>
    <x v="0"/>
  </r>
  <r>
    <x v="1217"/>
    <x v="1217"/>
    <s v="Zahra Ananda"/>
    <x v="18"/>
    <x v="18"/>
    <n v="11000"/>
    <n v="1.6"/>
    <x v="0"/>
    <n v="17600"/>
    <n v="880"/>
    <n v="16720"/>
    <n v="0"/>
    <n v="16720"/>
    <x v="0"/>
    <x v="1"/>
    <x v="1"/>
    <n v="1"/>
    <x v="0"/>
  </r>
  <r>
    <x v="1218"/>
    <x v="1218"/>
    <s v="Dina Hidayat"/>
    <x v="13"/>
    <x v="12"/>
    <n v="9500"/>
    <n v="2"/>
    <x v="0"/>
    <n v="19000"/>
    <n v="950"/>
    <n v="18050"/>
    <n v="49000"/>
    <n v="67050"/>
    <x v="1"/>
    <x v="2"/>
    <x v="1"/>
    <n v="3"/>
    <x v="0"/>
  </r>
  <r>
    <x v="1219"/>
    <x v="1219"/>
    <s v="Indra Maulana"/>
    <x v="35"/>
    <x v="2"/>
    <n v="20000"/>
    <n v="1.8"/>
    <x v="0"/>
    <n v="36000"/>
    <n v="1800"/>
    <n v="34200"/>
    <n v="79000"/>
    <n v="113200"/>
    <x v="2"/>
    <x v="1"/>
    <x v="3"/>
    <n v="4"/>
    <x v="1"/>
  </r>
  <r>
    <x v="1220"/>
    <x v="1220"/>
    <s v="Clara Hidayat"/>
    <x v="26"/>
    <x v="2"/>
    <n v="20000"/>
    <n v="0.7"/>
    <x v="0"/>
    <n v="14000"/>
    <n v="700"/>
    <n v="13300"/>
    <n v="46000"/>
    <n v="59300"/>
    <x v="3"/>
    <x v="0"/>
    <x v="3"/>
    <n v="3"/>
    <x v="0"/>
  </r>
  <r>
    <x v="1221"/>
    <x v="1221"/>
    <s v="Bella Ramadhani"/>
    <x v="14"/>
    <x v="15"/>
    <n v="10000"/>
    <n v="0.3"/>
    <x v="0"/>
    <n v="3000"/>
    <n v="150"/>
    <n v="2850"/>
    <n v="85000"/>
    <n v="87850"/>
    <x v="1"/>
    <x v="0"/>
    <x v="1"/>
    <n v="3"/>
    <x v="0"/>
  </r>
  <r>
    <x v="1222"/>
    <x v="1222"/>
    <s v="Putri Saputra"/>
    <x v="14"/>
    <x v="3"/>
    <n v="13500"/>
    <n v="3"/>
    <x v="0"/>
    <n v="40500"/>
    <n v="2025"/>
    <n v="38475"/>
    <n v="85000"/>
    <n v="123475"/>
    <x v="1"/>
    <x v="0"/>
    <x v="1"/>
    <n v="5"/>
    <x v="0"/>
  </r>
  <r>
    <x v="1223"/>
    <x v="1223"/>
    <s v="Yani Hidayat"/>
    <x v="33"/>
    <x v="19"/>
    <n v="15500"/>
    <n v="0.3"/>
    <x v="1"/>
    <n v="4650"/>
    <n v="0"/>
    <n v="4650"/>
    <n v="80000"/>
    <n v="84650"/>
    <x v="1"/>
    <x v="0"/>
    <x v="0"/>
    <n v="4"/>
    <x v="0"/>
  </r>
  <r>
    <x v="1224"/>
    <x v="1224"/>
    <s v="Lestari Pradipta"/>
    <x v="28"/>
    <x v="4"/>
    <n v="40000"/>
    <n v="1.1000000000000001"/>
    <x v="1"/>
    <n v="44000"/>
    <n v="0"/>
    <n v="44000"/>
    <n v="56000"/>
    <n v="100000"/>
    <x v="0"/>
    <x v="0"/>
    <x v="3"/>
    <n v="2"/>
    <x v="0"/>
  </r>
  <r>
    <x v="1225"/>
    <x v="1225"/>
    <s v="Yani Nugroho"/>
    <x v="1"/>
    <x v="6"/>
    <n v="26000"/>
    <n v="0.7"/>
    <x v="1"/>
    <n v="18200"/>
    <n v="0"/>
    <n v="18200"/>
    <n v="17000"/>
    <n v="35200"/>
    <x v="0"/>
    <x v="0"/>
    <x v="4"/>
    <n v="3"/>
    <x v="0"/>
  </r>
  <r>
    <x v="1226"/>
    <x v="1226"/>
    <s v="Tono Hidayat"/>
    <x v="34"/>
    <x v="16"/>
    <n v="115000"/>
    <n v="1.2"/>
    <x v="1"/>
    <n v="138000"/>
    <n v="0"/>
    <n v="138000"/>
    <n v="18000"/>
    <n v="156000"/>
    <x v="3"/>
    <x v="1"/>
    <x v="4"/>
    <n v="5"/>
    <x v="1"/>
  </r>
  <r>
    <x v="1227"/>
    <x v="1227"/>
    <s v="Gita Wijaya"/>
    <x v="31"/>
    <x v="3"/>
    <n v="13500"/>
    <n v="1.5"/>
    <x v="1"/>
    <n v="20250"/>
    <n v="0"/>
    <n v="20250"/>
    <n v="87000"/>
    <n v="107250"/>
    <x v="0"/>
    <x v="0"/>
    <x v="4"/>
    <n v="2"/>
    <x v="0"/>
  </r>
  <r>
    <x v="1228"/>
    <x v="1228"/>
    <s v="Aulia Rahmawati"/>
    <x v="10"/>
    <x v="0"/>
    <n v="10000"/>
    <n v="2.7"/>
    <x v="1"/>
    <n v="27000"/>
    <n v="0"/>
    <n v="27000"/>
    <n v="87000"/>
    <n v="114000"/>
    <x v="1"/>
    <x v="1"/>
    <x v="3"/>
    <n v="5"/>
    <x v="0"/>
  </r>
  <r>
    <x v="1229"/>
    <x v="1229"/>
    <s v="Dina Rahmawati"/>
    <x v="21"/>
    <x v="15"/>
    <n v="10000"/>
    <n v="1.3"/>
    <x v="1"/>
    <n v="13000"/>
    <n v="0"/>
    <n v="13000"/>
    <n v="59000"/>
    <n v="72000"/>
    <x v="2"/>
    <x v="0"/>
    <x v="3"/>
    <n v="3"/>
    <x v="0"/>
  </r>
  <r>
    <x v="1230"/>
    <x v="1230"/>
    <s v="Lestari Wijaya"/>
    <x v="18"/>
    <x v="3"/>
    <n v="13500"/>
    <n v="1"/>
    <x v="1"/>
    <n v="13500"/>
    <n v="0"/>
    <n v="13500"/>
    <n v="0"/>
    <n v="13500"/>
    <x v="2"/>
    <x v="1"/>
    <x v="1"/>
    <n v="4"/>
    <x v="0"/>
  </r>
  <r>
    <x v="1231"/>
    <x v="1231"/>
    <s v="Oka Kusuma"/>
    <x v="1"/>
    <x v="0"/>
    <n v="10000"/>
    <n v="1.4"/>
    <x v="1"/>
    <n v="14000"/>
    <n v="0"/>
    <n v="14000"/>
    <n v="17000"/>
    <n v="31000"/>
    <x v="3"/>
    <x v="0"/>
    <x v="1"/>
    <n v="4"/>
    <x v="1"/>
  </r>
  <r>
    <x v="1232"/>
    <x v="1232"/>
    <s v="Sari Setiawan"/>
    <x v="12"/>
    <x v="9"/>
    <n v="46000"/>
    <n v="1.1000000000000001"/>
    <x v="1"/>
    <n v="50600.000000000007"/>
    <n v="0"/>
    <n v="50600.000000000007"/>
    <n v="30000"/>
    <n v="80600"/>
    <x v="2"/>
    <x v="0"/>
    <x v="0"/>
    <n v="1"/>
    <x v="0"/>
  </r>
  <r>
    <x v="1233"/>
    <x v="1233"/>
    <s v="Citra Maulana"/>
    <x v="17"/>
    <x v="8"/>
    <n v="17500"/>
    <n v="3.2"/>
    <x v="1"/>
    <n v="56000"/>
    <n v="0"/>
    <n v="56000"/>
    <n v="72000"/>
    <n v="128000"/>
    <x v="1"/>
    <x v="1"/>
    <x v="1"/>
    <n v="1"/>
    <x v="0"/>
  </r>
  <r>
    <x v="1234"/>
    <x v="1234"/>
    <s v="Citra Fauziah"/>
    <x v="27"/>
    <x v="4"/>
    <n v="40000"/>
    <n v="0.5"/>
    <x v="1"/>
    <n v="20000"/>
    <n v="0"/>
    <n v="20000"/>
    <n v="49000"/>
    <n v="69000"/>
    <x v="1"/>
    <x v="0"/>
    <x v="1"/>
    <n v="5"/>
    <x v="0"/>
  </r>
  <r>
    <x v="1235"/>
    <x v="1235"/>
    <s v="Aulia Setiawan"/>
    <x v="13"/>
    <x v="13"/>
    <n v="10000"/>
    <n v="0.8"/>
    <x v="1"/>
    <n v="8000"/>
    <n v="0"/>
    <n v="8000"/>
    <n v="49000"/>
    <n v="57000"/>
    <x v="2"/>
    <x v="1"/>
    <x v="1"/>
    <n v="1"/>
    <x v="0"/>
  </r>
  <r>
    <x v="1236"/>
    <x v="1236"/>
    <s v="Citra Syahputra"/>
    <x v="26"/>
    <x v="12"/>
    <n v="9500"/>
    <n v="1"/>
    <x v="1"/>
    <n v="9500"/>
    <n v="0"/>
    <n v="9500"/>
    <n v="46000"/>
    <n v="55500"/>
    <x v="2"/>
    <x v="0"/>
    <x v="0"/>
    <n v="2"/>
    <x v="0"/>
  </r>
  <r>
    <x v="1237"/>
    <x v="1237"/>
    <s v="Zahra Kusuma"/>
    <x v="7"/>
    <x v="15"/>
    <n v="10000"/>
    <n v="1.3"/>
    <x v="1"/>
    <n v="13000"/>
    <n v="0"/>
    <n v="13000"/>
    <n v="26000"/>
    <n v="39000"/>
    <x v="2"/>
    <x v="2"/>
    <x v="3"/>
    <n v="4"/>
    <x v="0"/>
  </r>
  <r>
    <x v="1238"/>
    <x v="1238"/>
    <s v="Aulia Wijaya"/>
    <x v="22"/>
    <x v="15"/>
    <n v="10000"/>
    <n v="0.5"/>
    <x v="1"/>
    <n v="5000"/>
    <n v="0"/>
    <n v="5000"/>
    <n v="50000"/>
    <n v="55000"/>
    <x v="1"/>
    <x v="0"/>
    <x v="2"/>
    <n v="1"/>
    <x v="0"/>
  </r>
  <r>
    <x v="1239"/>
    <x v="1239"/>
    <s v="Clara Syahputra"/>
    <x v="20"/>
    <x v="13"/>
    <n v="10000"/>
    <n v="0.9"/>
    <x v="1"/>
    <n v="9000"/>
    <n v="0"/>
    <n v="9000"/>
    <n v="84000"/>
    <n v="93000"/>
    <x v="0"/>
    <x v="0"/>
    <x v="2"/>
    <n v="4"/>
    <x v="0"/>
  </r>
  <r>
    <x v="1240"/>
    <x v="1240"/>
    <s v="Erna Santoso"/>
    <x v="4"/>
    <x v="19"/>
    <n v="15500"/>
    <n v="0.4"/>
    <x v="1"/>
    <n v="6200"/>
    <n v="0"/>
    <n v="6200"/>
    <n v="43000"/>
    <n v="49200"/>
    <x v="3"/>
    <x v="0"/>
    <x v="3"/>
    <n v="2"/>
    <x v="0"/>
  </r>
  <r>
    <x v="1241"/>
    <x v="1241"/>
    <s v="Citra Halim"/>
    <x v="21"/>
    <x v="3"/>
    <n v="13500"/>
    <n v="1.3"/>
    <x v="1"/>
    <n v="17550"/>
    <n v="0"/>
    <n v="17550"/>
    <n v="59000"/>
    <n v="76550"/>
    <x v="1"/>
    <x v="0"/>
    <x v="3"/>
    <n v="3"/>
    <x v="0"/>
  </r>
  <r>
    <x v="1242"/>
    <x v="1242"/>
    <s v="Citra Saputra"/>
    <x v="11"/>
    <x v="2"/>
    <n v="20000"/>
    <n v="0.7"/>
    <x v="1"/>
    <n v="14000"/>
    <n v="0"/>
    <n v="14000"/>
    <n v="74000"/>
    <n v="88000"/>
    <x v="3"/>
    <x v="0"/>
    <x v="2"/>
    <n v="5"/>
    <x v="0"/>
  </r>
  <r>
    <x v="1243"/>
    <x v="1243"/>
    <s v="Hana Nugroho"/>
    <x v="11"/>
    <x v="14"/>
    <n v="55000"/>
    <n v="0.8"/>
    <x v="1"/>
    <n v="44000"/>
    <n v="0"/>
    <n v="44000"/>
    <n v="74000"/>
    <n v="118000"/>
    <x v="0"/>
    <x v="0"/>
    <x v="0"/>
    <n v="5"/>
    <x v="0"/>
  </r>
  <r>
    <x v="1243"/>
    <x v="1243"/>
    <s v="Hana Nugroho"/>
    <x v="11"/>
    <x v="9"/>
    <n v="46000"/>
    <n v="1.3"/>
    <x v="1"/>
    <n v="59800"/>
    <n v="0"/>
    <n v="59800"/>
    <n v="0"/>
    <n v="59800"/>
    <x v="0"/>
    <x v="0"/>
    <x v="0"/>
    <n v="5"/>
    <x v="0"/>
  </r>
  <r>
    <x v="1244"/>
    <x v="1244"/>
    <s v="Lestari Puspita"/>
    <x v="19"/>
    <x v="1"/>
    <n v="15000"/>
    <n v="0.3"/>
    <x v="1"/>
    <n v="4500"/>
    <n v="0"/>
    <n v="4500"/>
    <n v="78000"/>
    <n v="82500"/>
    <x v="0"/>
    <x v="0"/>
    <x v="4"/>
    <n v="5"/>
    <x v="0"/>
  </r>
  <r>
    <x v="1245"/>
    <x v="1245"/>
    <s v="Clara Maulana"/>
    <x v="14"/>
    <x v="18"/>
    <n v="11000"/>
    <n v="2"/>
    <x v="1"/>
    <n v="22000"/>
    <n v="0"/>
    <n v="22000"/>
    <n v="85000"/>
    <n v="107000"/>
    <x v="0"/>
    <x v="1"/>
    <x v="4"/>
    <n v="1"/>
    <x v="0"/>
  </r>
  <r>
    <x v="1245"/>
    <x v="1245"/>
    <s v="Clara Maulana"/>
    <x v="14"/>
    <x v="0"/>
    <n v="10000"/>
    <n v="1.9"/>
    <x v="1"/>
    <n v="19000"/>
    <n v="0"/>
    <n v="19000"/>
    <n v="0"/>
    <n v="19000"/>
    <x v="0"/>
    <x v="1"/>
    <x v="4"/>
    <n v="1"/>
    <x v="0"/>
  </r>
  <r>
    <x v="1246"/>
    <x v="1246"/>
    <s v="Vina Maulana"/>
    <x v="0"/>
    <x v="17"/>
    <n v="12000"/>
    <n v="0.9"/>
    <x v="1"/>
    <n v="10800"/>
    <n v="0"/>
    <n v="10800"/>
    <n v="15000"/>
    <n v="25800"/>
    <x v="1"/>
    <x v="0"/>
    <x v="0"/>
    <n v="4"/>
    <x v="0"/>
  </r>
  <r>
    <x v="1247"/>
    <x v="1247"/>
    <s v="Wahyu Pradipta"/>
    <x v="15"/>
    <x v="1"/>
    <n v="15000"/>
    <n v="0.9"/>
    <x v="1"/>
    <n v="13500"/>
    <n v="0"/>
    <n v="13500"/>
    <n v="97000"/>
    <n v="110500"/>
    <x v="2"/>
    <x v="0"/>
    <x v="4"/>
    <n v="2"/>
    <x v="1"/>
  </r>
  <r>
    <x v="1248"/>
    <x v="1248"/>
    <s v="Vina Syahputra"/>
    <x v="13"/>
    <x v="4"/>
    <n v="40000"/>
    <n v="1.1000000000000001"/>
    <x v="0"/>
    <n v="44000"/>
    <n v="2200"/>
    <n v="41800"/>
    <n v="49000"/>
    <n v="90800"/>
    <x v="1"/>
    <x v="1"/>
    <x v="4"/>
    <n v="5"/>
    <x v="0"/>
  </r>
  <r>
    <x v="1249"/>
    <x v="1249"/>
    <s v="Erna Pradipta"/>
    <x v="18"/>
    <x v="0"/>
    <n v="10000"/>
    <n v="1.8"/>
    <x v="0"/>
    <n v="18000"/>
    <n v="900"/>
    <n v="17100"/>
    <n v="0"/>
    <n v="17100"/>
    <x v="1"/>
    <x v="0"/>
    <x v="2"/>
    <n v="5"/>
    <x v="0"/>
  </r>
  <r>
    <x v="1250"/>
    <x v="1250"/>
    <s v="Lestari Ramadhani"/>
    <x v="5"/>
    <x v="8"/>
    <n v="17500"/>
    <n v="1.9"/>
    <x v="0"/>
    <n v="33250"/>
    <n v="1662.5"/>
    <n v="31587.5"/>
    <n v="18000"/>
    <n v="49587.5"/>
    <x v="2"/>
    <x v="0"/>
    <x v="0"/>
    <n v="4"/>
    <x v="0"/>
  </r>
  <r>
    <x v="1251"/>
    <x v="1251"/>
    <s v="Bella Maulana"/>
    <x v="13"/>
    <x v="15"/>
    <n v="10000"/>
    <n v="0.8"/>
    <x v="0"/>
    <n v="8000"/>
    <n v="400"/>
    <n v="7600"/>
    <n v="49000"/>
    <n v="56600"/>
    <x v="3"/>
    <x v="1"/>
    <x v="4"/>
    <n v="2"/>
    <x v="0"/>
  </r>
  <r>
    <x v="1252"/>
    <x v="1252"/>
    <s v="Bella Utami"/>
    <x v="24"/>
    <x v="16"/>
    <n v="115000"/>
    <n v="0.4"/>
    <x v="0"/>
    <n v="46000"/>
    <n v="2300"/>
    <n v="43700"/>
    <n v="68000"/>
    <n v="111700"/>
    <x v="1"/>
    <x v="0"/>
    <x v="0"/>
    <n v="4"/>
    <x v="0"/>
  </r>
  <r>
    <x v="1253"/>
    <x v="1253"/>
    <s v="Lestari Wijaya"/>
    <x v="18"/>
    <x v="3"/>
    <n v="13500"/>
    <n v="3.4"/>
    <x v="0"/>
    <n v="45900"/>
    <n v="2295"/>
    <n v="43605"/>
    <n v="0"/>
    <n v="43605"/>
    <x v="0"/>
    <x v="0"/>
    <x v="0"/>
    <n v="3"/>
    <x v="0"/>
  </r>
  <r>
    <x v="1254"/>
    <x v="1254"/>
    <s v="Lestari Utami"/>
    <x v="3"/>
    <x v="13"/>
    <n v="10000"/>
    <n v="0.5"/>
    <x v="0"/>
    <n v="5000"/>
    <n v="250"/>
    <n v="4750"/>
    <n v="93000"/>
    <n v="97750"/>
    <x v="2"/>
    <x v="1"/>
    <x v="3"/>
    <n v="5"/>
    <x v="0"/>
  </r>
  <r>
    <x v="1255"/>
    <x v="1255"/>
    <s v="Kartika Ananda"/>
    <x v="13"/>
    <x v="10"/>
    <n v="45000"/>
    <n v="0.2"/>
    <x v="0"/>
    <n v="9000"/>
    <n v="450"/>
    <n v="8550"/>
    <n v="49000"/>
    <n v="57550"/>
    <x v="1"/>
    <x v="1"/>
    <x v="2"/>
    <n v="4"/>
    <x v="0"/>
  </r>
  <r>
    <x v="1256"/>
    <x v="1256"/>
    <s v="Aulia Budiman"/>
    <x v="15"/>
    <x v="8"/>
    <n v="17500"/>
    <n v="1.6"/>
    <x v="0"/>
    <n v="28000"/>
    <n v="1400"/>
    <n v="26600"/>
    <n v="97000"/>
    <n v="123600"/>
    <x v="0"/>
    <x v="0"/>
    <x v="3"/>
    <n v="1"/>
    <x v="0"/>
  </r>
  <r>
    <x v="1257"/>
    <x v="1257"/>
    <s v="Eka Saputra"/>
    <x v="29"/>
    <x v="15"/>
    <n v="10000"/>
    <n v="0.5"/>
    <x v="0"/>
    <n v="5000"/>
    <n v="250"/>
    <n v="4750"/>
    <n v="48000"/>
    <n v="52750"/>
    <x v="3"/>
    <x v="0"/>
    <x v="4"/>
    <n v="2"/>
    <x v="0"/>
  </r>
  <r>
    <x v="1258"/>
    <x v="1258"/>
    <s v="Bella Fauziah"/>
    <x v="3"/>
    <x v="3"/>
    <n v="13500"/>
    <n v="2.6"/>
    <x v="0"/>
    <n v="35100"/>
    <n v="1755"/>
    <n v="33345"/>
    <n v="93000"/>
    <n v="126345"/>
    <x v="3"/>
    <x v="0"/>
    <x v="4"/>
    <n v="1"/>
    <x v="0"/>
  </r>
  <r>
    <x v="1259"/>
    <x v="1259"/>
    <s v="Rizky Budiman"/>
    <x v="33"/>
    <x v="14"/>
    <n v="55000"/>
    <n v="1"/>
    <x v="0"/>
    <n v="55000"/>
    <n v="2750"/>
    <n v="52250"/>
    <n v="80000"/>
    <n v="132250"/>
    <x v="0"/>
    <x v="2"/>
    <x v="2"/>
    <n v="1"/>
    <x v="1"/>
  </r>
  <r>
    <x v="1259"/>
    <x v="1259"/>
    <s v="Rizky Budiman"/>
    <x v="33"/>
    <x v="10"/>
    <n v="45000"/>
    <n v="0.4"/>
    <x v="0"/>
    <n v="18000"/>
    <n v="900"/>
    <n v="17100"/>
    <n v="0"/>
    <n v="17100"/>
    <x v="0"/>
    <x v="2"/>
    <x v="2"/>
    <n v="1"/>
    <x v="1"/>
  </r>
  <r>
    <x v="1260"/>
    <x v="1260"/>
    <s v="Gita Utami"/>
    <x v="34"/>
    <x v="9"/>
    <n v="46000"/>
    <n v="1.2"/>
    <x v="0"/>
    <n v="55200"/>
    <n v="2760"/>
    <n v="52440"/>
    <n v="18000"/>
    <n v="70440"/>
    <x v="3"/>
    <x v="0"/>
    <x v="1"/>
    <n v="5"/>
    <x v="0"/>
  </r>
  <r>
    <x v="1261"/>
    <x v="1261"/>
    <s v="Dimas Utami"/>
    <x v="18"/>
    <x v="1"/>
    <n v="15000"/>
    <n v="0.6"/>
    <x v="0"/>
    <n v="9000"/>
    <n v="450"/>
    <n v="8550"/>
    <n v="0"/>
    <n v="8550"/>
    <x v="1"/>
    <x v="0"/>
    <x v="3"/>
    <n v="4"/>
    <x v="1"/>
  </r>
  <r>
    <x v="1262"/>
    <x v="1262"/>
    <s v="Qori Utami"/>
    <x v="30"/>
    <x v="14"/>
    <n v="55000"/>
    <n v="1.3"/>
    <x v="0"/>
    <n v="71500"/>
    <n v="3575"/>
    <n v="67925"/>
    <n v="57000"/>
    <n v="124925"/>
    <x v="1"/>
    <x v="0"/>
    <x v="0"/>
    <n v="3"/>
    <x v="0"/>
  </r>
  <r>
    <x v="1263"/>
    <x v="1263"/>
    <s v="Sari Ramadhani"/>
    <x v="26"/>
    <x v="11"/>
    <n v="15000"/>
    <n v="0.9"/>
    <x v="0"/>
    <n v="13500"/>
    <n v="675"/>
    <n v="12825"/>
    <n v="46000"/>
    <n v="58825"/>
    <x v="0"/>
    <x v="1"/>
    <x v="3"/>
    <n v="2"/>
    <x v="0"/>
  </r>
  <r>
    <x v="1264"/>
    <x v="1264"/>
    <s v="Lestari Budiman"/>
    <x v="14"/>
    <x v="0"/>
    <n v="10000"/>
    <n v="2.2999999999999998"/>
    <x v="0"/>
    <n v="23000"/>
    <n v="1150"/>
    <n v="21850"/>
    <n v="85000"/>
    <n v="106850"/>
    <x v="1"/>
    <x v="0"/>
    <x v="2"/>
    <n v="4"/>
    <x v="0"/>
  </r>
  <r>
    <x v="1265"/>
    <x v="1265"/>
    <s v="Bella Halim"/>
    <x v="2"/>
    <x v="8"/>
    <n v="17500"/>
    <n v="2.2999999999999998"/>
    <x v="0"/>
    <n v="40250"/>
    <n v="2012.5"/>
    <n v="38237.5"/>
    <n v="76000"/>
    <n v="114237.5"/>
    <x v="2"/>
    <x v="0"/>
    <x v="2"/>
    <n v="2"/>
    <x v="0"/>
  </r>
  <r>
    <x v="1266"/>
    <x v="1266"/>
    <s v="Clara Setiawan"/>
    <x v="16"/>
    <x v="6"/>
    <n v="26000"/>
    <n v="0.7"/>
    <x v="0"/>
    <n v="18200"/>
    <n v="910"/>
    <n v="17290"/>
    <n v="18000"/>
    <n v="35290"/>
    <x v="0"/>
    <x v="0"/>
    <x v="1"/>
    <n v="1"/>
    <x v="0"/>
  </r>
  <r>
    <x v="1267"/>
    <x v="1267"/>
    <s v="Dina Syahputra"/>
    <x v="28"/>
    <x v="8"/>
    <n v="17500"/>
    <n v="2.6"/>
    <x v="0"/>
    <n v="45500"/>
    <n v="2275"/>
    <n v="43225"/>
    <n v="56000"/>
    <n v="99225"/>
    <x v="2"/>
    <x v="0"/>
    <x v="4"/>
    <n v="5"/>
    <x v="0"/>
  </r>
  <r>
    <x v="1268"/>
    <x v="1268"/>
    <s v="Bella Halim"/>
    <x v="2"/>
    <x v="13"/>
    <n v="10000"/>
    <n v="0.5"/>
    <x v="0"/>
    <n v="5000"/>
    <n v="250"/>
    <n v="4750"/>
    <n v="76000"/>
    <n v="80750"/>
    <x v="2"/>
    <x v="0"/>
    <x v="0"/>
    <n v="4"/>
    <x v="0"/>
  </r>
  <r>
    <x v="1269"/>
    <x v="1269"/>
    <s v="Eka Budiman"/>
    <x v="3"/>
    <x v="11"/>
    <n v="15000"/>
    <n v="1.4"/>
    <x v="0"/>
    <n v="21000"/>
    <n v="1050"/>
    <n v="19950"/>
    <n v="93000"/>
    <n v="112950"/>
    <x v="3"/>
    <x v="1"/>
    <x v="2"/>
    <n v="5"/>
    <x v="0"/>
  </r>
  <r>
    <x v="1270"/>
    <x v="1270"/>
    <s v="Citra Halim"/>
    <x v="21"/>
    <x v="4"/>
    <n v="40000"/>
    <n v="0.8"/>
    <x v="1"/>
    <n v="32000"/>
    <n v="0"/>
    <n v="32000"/>
    <n v="59000"/>
    <n v="91000"/>
    <x v="0"/>
    <x v="1"/>
    <x v="1"/>
    <n v="2"/>
    <x v="0"/>
  </r>
  <r>
    <x v="1271"/>
    <x v="1271"/>
    <s v="Gita Kurniawan"/>
    <x v="19"/>
    <x v="10"/>
    <n v="45000"/>
    <n v="0.4"/>
    <x v="1"/>
    <n v="18000"/>
    <n v="0"/>
    <n v="18000"/>
    <n v="78000"/>
    <n v="96000"/>
    <x v="1"/>
    <x v="1"/>
    <x v="0"/>
    <n v="4"/>
    <x v="0"/>
  </r>
  <r>
    <x v="1272"/>
    <x v="1272"/>
    <s v="Qori Fauziah"/>
    <x v="11"/>
    <x v="4"/>
    <n v="40000"/>
    <n v="1.3"/>
    <x v="1"/>
    <n v="52000"/>
    <n v="0"/>
    <n v="52000"/>
    <n v="74000"/>
    <n v="126000"/>
    <x v="2"/>
    <x v="0"/>
    <x v="3"/>
    <n v="1"/>
    <x v="0"/>
  </r>
  <r>
    <x v="1273"/>
    <x v="1273"/>
    <s v="Fitri Maulana"/>
    <x v="22"/>
    <x v="8"/>
    <n v="17500"/>
    <n v="3.9"/>
    <x v="1"/>
    <n v="68250"/>
    <n v="0"/>
    <n v="68250"/>
    <n v="50000"/>
    <n v="118250"/>
    <x v="3"/>
    <x v="0"/>
    <x v="0"/>
    <n v="4"/>
    <x v="0"/>
  </r>
  <r>
    <x v="1274"/>
    <x v="1274"/>
    <s v="Tono Saputra"/>
    <x v="30"/>
    <x v="1"/>
    <n v="15000"/>
    <n v="0.7"/>
    <x v="1"/>
    <n v="10500"/>
    <n v="0"/>
    <n v="10500"/>
    <n v="57000"/>
    <n v="67500"/>
    <x v="1"/>
    <x v="0"/>
    <x v="3"/>
    <n v="1"/>
    <x v="1"/>
  </r>
  <r>
    <x v="1275"/>
    <x v="1275"/>
    <s v="Clara Kusuma"/>
    <x v="15"/>
    <x v="18"/>
    <n v="11000"/>
    <n v="1"/>
    <x v="1"/>
    <n v="11000"/>
    <n v="0"/>
    <n v="11000"/>
    <n v="97000"/>
    <n v="108000"/>
    <x v="3"/>
    <x v="1"/>
    <x v="1"/>
    <n v="2"/>
    <x v="0"/>
  </r>
  <r>
    <x v="1276"/>
    <x v="1276"/>
    <s v="Dina Setiawan"/>
    <x v="26"/>
    <x v="10"/>
    <n v="45000"/>
    <n v="0.8"/>
    <x v="1"/>
    <n v="36000"/>
    <n v="0"/>
    <n v="36000"/>
    <n v="46000"/>
    <n v="82000"/>
    <x v="2"/>
    <x v="0"/>
    <x v="3"/>
    <n v="5"/>
    <x v="0"/>
  </r>
  <r>
    <x v="1277"/>
    <x v="1277"/>
    <s v="Gita Saputra"/>
    <x v="17"/>
    <x v="0"/>
    <n v="10000"/>
    <n v="1.3"/>
    <x v="1"/>
    <n v="13000"/>
    <n v="0"/>
    <n v="13000"/>
    <n v="72000"/>
    <n v="85000"/>
    <x v="1"/>
    <x v="0"/>
    <x v="2"/>
    <n v="2"/>
    <x v="0"/>
  </r>
  <r>
    <x v="1278"/>
    <x v="1278"/>
    <s v="Bella Ramadhani"/>
    <x v="14"/>
    <x v="14"/>
    <n v="55000"/>
    <n v="1.3"/>
    <x v="1"/>
    <n v="71500"/>
    <n v="0"/>
    <n v="71500"/>
    <n v="85000"/>
    <n v="156500"/>
    <x v="0"/>
    <x v="0"/>
    <x v="0"/>
    <n v="1"/>
    <x v="0"/>
  </r>
  <r>
    <x v="1279"/>
    <x v="1279"/>
    <s v="Dewi Setiawan"/>
    <x v="15"/>
    <x v="17"/>
    <n v="12000"/>
    <n v="1.4"/>
    <x v="1"/>
    <n v="16800"/>
    <n v="0"/>
    <n v="16800"/>
    <n v="97000"/>
    <n v="113800"/>
    <x v="3"/>
    <x v="0"/>
    <x v="0"/>
    <n v="5"/>
    <x v="0"/>
  </r>
  <r>
    <x v="1279"/>
    <x v="1279"/>
    <s v="Dewi Setiawan"/>
    <x v="15"/>
    <x v="5"/>
    <n v="10500"/>
    <n v="2.4"/>
    <x v="1"/>
    <n v="25200"/>
    <n v="0"/>
    <n v="25200"/>
    <n v="0"/>
    <n v="25200"/>
    <x v="3"/>
    <x v="0"/>
    <x v="0"/>
    <n v="5"/>
    <x v="0"/>
  </r>
  <r>
    <x v="1280"/>
    <x v="1280"/>
    <s v="Bella Iskandar"/>
    <x v="8"/>
    <x v="12"/>
    <n v="9500"/>
    <n v="0.6"/>
    <x v="1"/>
    <n v="5700"/>
    <n v="0"/>
    <n v="5700"/>
    <n v="59000"/>
    <n v="64700"/>
    <x v="3"/>
    <x v="0"/>
    <x v="3"/>
    <n v="2"/>
    <x v="0"/>
  </r>
  <r>
    <x v="1281"/>
    <x v="1281"/>
    <s v="Dewi Hidayat"/>
    <x v="16"/>
    <x v="7"/>
    <n v="14000"/>
    <n v="1.1000000000000001"/>
    <x v="1"/>
    <n v="15400.000000000002"/>
    <n v="0"/>
    <n v="15400.000000000002"/>
    <n v="18000"/>
    <n v="33400"/>
    <x v="0"/>
    <x v="0"/>
    <x v="1"/>
    <n v="1"/>
    <x v="0"/>
  </r>
  <r>
    <x v="1282"/>
    <x v="1282"/>
    <s v="Vina Halim"/>
    <x v="10"/>
    <x v="12"/>
    <n v="9500"/>
    <n v="1.2"/>
    <x v="1"/>
    <n v="11400"/>
    <n v="0"/>
    <n v="11400"/>
    <n v="87000"/>
    <n v="98400"/>
    <x v="1"/>
    <x v="0"/>
    <x v="4"/>
    <n v="2"/>
    <x v="0"/>
  </r>
  <r>
    <x v="1283"/>
    <x v="1283"/>
    <s v="Qori Hidayat"/>
    <x v="1"/>
    <x v="8"/>
    <n v="17500"/>
    <n v="2.2000000000000002"/>
    <x v="1"/>
    <n v="38500"/>
    <n v="0"/>
    <n v="38500"/>
    <n v="17000"/>
    <n v="55500"/>
    <x v="1"/>
    <x v="0"/>
    <x v="3"/>
    <n v="3"/>
    <x v="0"/>
  </r>
  <r>
    <x v="1284"/>
    <x v="1284"/>
    <s v="Rizky Ananda"/>
    <x v="10"/>
    <x v="17"/>
    <n v="12000"/>
    <n v="1.2"/>
    <x v="1"/>
    <n v="14400"/>
    <n v="0"/>
    <n v="14400"/>
    <n v="87000"/>
    <n v="101400"/>
    <x v="0"/>
    <x v="0"/>
    <x v="1"/>
    <n v="3"/>
    <x v="1"/>
  </r>
  <r>
    <x v="1285"/>
    <x v="1285"/>
    <s v="Bella Santoso"/>
    <x v="7"/>
    <x v="2"/>
    <n v="20000"/>
    <n v="1.5"/>
    <x v="1"/>
    <n v="30000"/>
    <n v="0"/>
    <n v="30000"/>
    <n v="26000"/>
    <n v="56000"/>
    <x v="3"/>
    <x v="1"/>
    <x v="4"/>
    <n v="3"/>
    <x v="0"/>
  </r>
  <r>
    <x v="1286"/>
    <x v="1286"/>
    <s v="Umar Setiawan"/>
    <x v="17"/>
    <x v="1"/>
    <n v="15000"/>
    <n v="0.6"/>
    <x v="1"/>
    <n v="9000"/>
    <n v="0"/>
    <n v="9000"/>
    <n v="72000"/>
    <n v="81000"/>
    <x v="2"/>
    <x v="0"/>
    <x v="1"/>
    <n v="4"/>
    <x v="1"/>
  </r>
  <r>
    <x v="1286"/>
    <x v="1286"/>
    <s v="Umar Setiawan"/>
    <x v="17"/>
    <x v="3"/>
    <n v="13500"/>
    <n v="1.6"/>
    <x v="1"/>
    <n v="21600"/>
    <n v="0"/>
    <n v="21600"/>
    <n v="0"/>
    <n v="21600"/>
    <x v="2"/>
    <x v="0"/>
    <x v="1"/>
    <n v="4"/>
    <x v="1"/>
  </r>
  <r>
    <x v="1287"/>
    <x v="1287"/>
    <s v="Gita Nugroho"/>
    <x v="2"/>
    <x v="14"/>
    <n v="55000"/>
    <n v="0.1"/>
    <x v="1"/>
    <n v="5500"/>
    <n v="0"/>
    <n v="5500"/>
    <n v="76000"/>
    <n v="81500"/>
    <x v="1"/>
    <x v="0"/>
    <x v="1"/>
    <n v="3"/>
    <x v="0"/>
  </r>
  <r>
    <x v="1288"/>
    <x v="1288"/>
    <s v="Dewi Kurniawan"/>
    <x v="2"/>
    <x v="11"/>
    <n v="15000"/>
    <n v="1.5"/>
    <x v="1"/>
    <n v="22500"/>
    <n v="0"/>
    <n v="22500"/>
    <n v="76000"/>
    <n v="98500"/>
    <x v="2"/>
    <x v="0"/>
    <x v="0"/>
    <n v="5"/>
    <x v="0"/>
  </r>
  <r>
    <x v="1289"/>
    <x v="1289"/>
    <s v="Yani Saputra"/>
    <x v="12"/>
    <x v="0"/>
    <n v="10000"/>
    <n v="1.7"/>
    <x v="1"/>
    <n v="17000"/>
    <n v="0"/>
    <n v="17000"/>
    <n v="30000"/>
    <n v="47000"/>
    <x v="0"/>
    <x v="2"/>
    <x v="2"/>
    <n v="3"/>
    <x v="0"/>
  </r>
  <r>
    <x v="1289"/>
    <x v="1289"/>
    <s v="Yani Saputra"/>
    <x v="12"/>
    <x v="1"/>
    <n v="15000"/>
    <n v="0.6"/>
    <x v="1"/>
    <n v="9000"/>
    <n v="0"/>
    <n v="9000"/>
    <n v="0"/>
    <n v="9000"/>
    <x v="0"/>
    <x v="2"/>
    <x v="2"/>
    <n v="3"/>
    <x v="0"/>
  </r>
  <r>
    <x v="1290"/>
    <x v="1290"/>
    <s v="Clara Hidayat"/>
    <x v="26"/>
    <x v="15"/>
    <n v="10000"/>
    <n v="0.4"/>
    <x v="1"/>
    <n v="4000"/>
    <n v="0"/>
    <n v="4000"/>
    <n v="46000"/>
    <n v="50000"/>
    <x v="3"/>
    <x v="1"/>
    <x v="3"/>
    <n v="5"/>
    <x v="0"/>
  </r>
  <r>
    <x v="1291"/>
    <x v="1291"/>
    <s v="Vina Hidayat"/>
    <x v="9"/>
    <x v="3"/>
    <n v="13500"/>
    <n v="2.2999999999999998"/>
    <x v="1"/>
    <n v="31049.999999999996"/>
    <n v="0"/>
    <n v="31049.999999999996"/>
    <n v="89000"/>
    <n v="120050"/>
    <x v="3"/>
    <x v="1"/>
    <x v="0"/>
    <n v="2"/>
    <x v="0"/>
  </r>
  <r>
    <x v="1292"/>
    <x v="1292"/>
    <s v="Joko Ananda"/>
    <x v="20"/>
    <x v="12"/>
    <n v="9500"/>
    <n v="2"/>
    <x v="1"/>
    <n v="19000"/>
    <n v="0"/>
    <n v="19000"/>
    <n v="84000"/>
    <n v="103000"/>
    <x v="1"/>
    <x v="0"/>
    <x v="4"/>
    <n v="1"/>
    <x v="1"/>
  </r>
  <r>
    <x v="1293"/>
    <x v="1293"/>
    <s v="Erna Maulana"/>
    <x v="31"/>
    <x v="12"/>
    <n v="9500"/>
    <n v="1.5"/>
    <x v="1"/>
    <n v="14250"/>
    <n v="0"/>
    <n v="14250"/>
    <n v="87000"/>
    <n v="101250"/>
    <x v="1"/>
    <x v="0"/>
    <x v="0"/>
    <n v="5"/>
    <x v="0"/>
  </r>
  <r>
    <x v="1294"/>
    <x v="1294"/>
    <s v="Hana Saputra"/>
    <x v="17"/>
    <x v="0"/>
    <n v="10000"/>
    <n v="1.8"/>
    <x v="1"/>
    <n v="18000"/>
    <n v="0"/>
    <n v="18000"/>
    <n v="72000"/>
    <n v="90000"/>
    <x v="0"/>
    <x v="0"/>
    <x v="1"/>
    <n v="1"/>
    <x v="0"/>
  </r>
  <r>
    <x v="1295"/>
    <x v="1295"/>
    <s v="Eka Maulana"/>
    <x v="2"/>
    <x v="14"/>
    <n v="55000"/>
    <n v="0.2"/>
    <x v="1"/>
    <n v="11000"/>
    <n v="0"/>
    <n v="11000"/>
    <n v="76000"/>
    <n v="87000"/>
    <x v="3"/>
    <x v="0"/>
    <x v="2"/>
    <n v="1"/>
    <x v="0"/>
  </r>
  <r>
    <x v="1295"/>
    <x v="1295"/>
    <s v="Eka Maulana"/>
    <x v="2"/>
    <x v="1"/>
    <n v="15000"/>
    <n v="0.9"/>
    <x v="1"/>
    <n v="13500"/>
    <n v="0"/>
    <n v="13500"/>
    <n v="0"/>
    <n v="13500"/>
    <x v="3"/>
    <x v="0"/>
    <x v="2"/>
    <n v="1"/>
    <x v="0"/>
  </r>
  <r>
    <x v="1296"/>
    <x v="1296"/>
    <s v="Yani Setiawan"/>
    <x v="2"/>
    <x v="3"/>
    <n v="13500"/>
    <n v="2.8"/>
    <x v="1"/>
    <n v="37800"/>
    <n v="0"/>
    <n v="37800"/>
    <n v="76000"/>
    <n v="113800"/>
    <x v="3"/>
    <x v="0"/>
    <x v="3"/>
    <n v="5"/>
    <x v="0"/>
  </r>
  <r>
    <x v="1297"/>
    <x v="1297"/>
    <s v="Zahra Santoso"/>
    <x v="9"/>
    <x v="14"/>
    <n v="55000"/>
    <n v="0.6"/>
    <x v="1"/>
    <n v="33000"/>
    <n v="0"/>
    <n v="33000"/>
    <n v="89000"/>
    <n v="122000"/>
    <x v="3"/>
    <x v="0"/>
    <x v="2"/>
    <n v="1"/>
    <x v="0"/>
  </r>
  <r>
    <x v="1298"/>
    <x v="1298"/>
    <s v="Wahyu Pradipta"/>
    <x v="15"/>
    <x v="9"/>
    <n v="46000"/>
    <n v="0.7"/>
    <x v="1"/>
    <n v="32199.999999999996"/>
    <n v="0"/>
    <n v="32199.999999999996"/>
    <n v="97000"/>
    <n v="129200"/>
    <x v="2"/>
    <x v="0"/>
    <x v="1"/>
    <n v="1"/>
    <x v="1"/>
  </r>
  <r>
    <x v="1299"/>
    <x v="1299"/>
    <s v="Joko Nugroho"/>
    <x v="32"/>
    <x v="19"/>
    <n v="15500"/>
    <n v="0.2"/>
    <x v="1"/>
    <n v="3100"/>
    <n v="0"/>
    <n v="3100"/>
    <n v="28000"/>
    <n v="31100"/>
    <x v="2"/>
    <x v="0"/>
    <x v="1"/>
    <n v="3"/>
    <x v="1"/>
  </r>
  <r>
    <x v="1300"/>
    <x v="1300"/>
    <s v="Made Setiawan"/>
    <x v="6"/>
    <x v="9"/>
    <n v="46000"/>
    <n v="0.5"/>
    <x v="1"/>
    <n v="23000"/>
    <n v="0"/>
    <n v="23000"/>
    <n v="80000"/>
    <n v="103000"/>
    <x v="0"/>
    <x v="0"/>
    <x v="3"/>
    <n v="4"/>
    <x v="1"/>
  </r>
  <r>
    <x v="1301"/>
    <x v="1301"/>
    <s v="Clara Budiman"/>
    <x v="3"/>
    <x v="19"/>
    <n v="15500"/>
    <n v="0.4"/>
    <x v="1"/>
    <n v="6200"/>
    <n v="0"/>
    <n v="6200"/>
    <n v="93000"/>
    <n v="99200"/>
    <x v="0"/>
    <x v="2"/>
    <x v="4"/>
    <n v="4"/>
    <x v="0"/>
  </r>
  <r>
    <x v="1301"/>
    <x v="1301"/>
    <s v="Clara Budiman"/>
    <x v="3"/>
    <x v="14"/>
    <n v="55000"/>
    <n v="1"/>
    <x v="1"/>
    <n v="55000"/>
    <n v="0"/>
    <n v="55000"/>
    <n v="0"/>
    <n v="55000"/>
    <x v="0"/>
    <x v="2"/>
    <x v="4"/>
    <n v="4"/>
    <x v="0"/>
  </r>
  <r>
    <x v="1302"/>
    <x v="1302"/>
    <s v="Bella Pradipta"/>
    <x v="23"/>
    <x v="8"/>
    <n v="17500"/>
    <n v="1.2"/>
    <x v="1"/>
    <n v="21000"/>
    <n v="0"/>
    <n v="21000"/>
    <n v="55000"/>
    <n v="76000"/>
    <x v="3"/>
    <x v="0"/>
    <x v="4"/>
    <n v="1"/>
    <x v="0"/>
  </r>
  <r>
    <x v="1303"/>
    <x v="1303"/>
    <s v="Dimas Halim"/>
    <x v="22"/>
    <x v="2"/>
    <n v="20000"/>
    <n v="0.8"/>
    <x v="1"/>
    <n v="16000"/>
    <n v="0"/>
    <n v="16000"/>
    <n v="50000"/>
    <n v="66000"/>
    <x v="1"/>
    <x v="0"/>
    <x v="1"/>
    <n v="5"/>
    <x v="1"/>
  </r>
  <r>
    <x v="1304"/>
    <x v="1304"/>
    <s v="Putri Iskandar"/>
    <x v="29"/>
    <x v="8"/>
    <n v="17500"/>
    <n v="2.9"/>
    <x v="1"/>
    <n v="50750"/>
    <n v="0"/>
    <n v="50750"/>
    <n v="48000"/>
    <n v="98750"/>
    <x v="0"/>
    <x v="1"/>
    <x v="1"/>
    <n v="4"/>
    <x v="0"/>
  </r>
  <r>
    <x v="1305"/>
    <x v="1305"/>
    <s v="Fitri Setiawan"/>
    <x v="13"/>
    <x v="16"/>
    <n v="115000"/>
    <n v="0.2"/>
    <x v="1"/>
    <n v="23000"/>
    <n v="0"/>
    <n v="23000"/>
    <n v="49000"/>
    <n v="72000"/>
    <x v="1"/>
    <x v="0"/>
    <x v="3"/>
    <n v="1"/>
    <x v="0"/>
  </r>
  <r>
    <x v="1306"/>
    <x v="1306"/>
    <s v="Bella Ananda"/>
    <x v="4"/>
    <x v="7"/>
    <n v="14000"/>
    <n v="1.1000000000000001"/>
    <x v="1"/>
    <n v="15400.000000000002"/>
    <n v="0"/>
    <n v="15400.000000000002"/>
    <n v="43000"/>
    <n v="58400"/>
    <x v="1"/>
    <x v="0"/>
    <x v="0"/>
    <n v="3"/>
    <x v="0"/>
  </r>
  <r>
    <x v="1307"/>
    <x v="1307"/>
    <s v="Dewi Setiawan"/>
    <x v="15"/>
    <x v="13"/>
    <n v="10000"/>
    <n v="0.4"/>
    <x v="1"/>
    <n v="4000"/>
    <n v="0"/>
    <n v="4000"/>
    <n v="97000"/>
    <n v="101000"/>
    <x v="1"/>
    <x v="0"/>
    <x v="3"/>
    <n v="4"/>
    <x v="0"/>
  </r>
  <r>
    <x v="1308"/>
    <x v="1308"/>
    <s v="Erna Santoso"/>
    <x v="4"/>
    <x v="0"/>
    <n v="10000"/>
    <n v="2.2999999999999998"/>
    <x v="1"/>
    <n v="23000"/>
    <n v="0"/>
    <n v="23000"/>
    <n v="43000"/>
    <n v="66000"/>
    <x v="0"/>
    <x v="0"/>
    <x v="0"/>
    <n v="2"/>
    <x v="0"/>
  </r>
  <r>
    <x v="1309"/>
    <x v="1309"/>
    <s v="Yani Santoso"/>
    <x v="14"/>
    <x v="4"/>
    <n v="40000"/>
    <n v="0.5"/>
    <x v="1"/>
    <n v="20000"/>
    <n v="0"/>
    <n v="20000"/>
    <n v="85000"/>
    <n v="105000"/>
    <x v="3"/>
    <x v="0"/>
    <x v="0"/>
    <n v="2"/>
    <x v="0"/>
  </r>
  <r>
    <x v="1310"/>
    <x v="1310"/>
    <s v="Kartika Hidayat"/>
    <x v="20"/>
    <x v="17"/>
    <n v="12000"/>
    <n v="0.9"/>
    <x v="1"/>
    <n v="10800"/>
    <n v="0"/>
    <n v="10800"/>
    <n v="84000"/>
    <n v="94800"/>
    <x v="1"/>
    <x v="0"/>
    <x v="3"/>
    <n v="1"/>
    <x v="0"/>
  </r>
  <r>
    <x v="1311"/>
    <x v="1311"/>
    <s v="Dewi Puspita"/>
    <x v="12"/>
    <x v="5"/>
    <n v="10500"/>
    <n v="1.7"/>
    <x v="1"/>
    <n v="17850"/>
    <n v="0"/>
    <n v="17850"/>
    <n v="30000"/>
    <n v="47850"/>
    <x v="1"/>
    <x v="0"/>
    <x v="0"/>
    <n v="1"/>
    <x v="0"/>
  </r>
  <r>
    <x v="1312"/>
    <x v="1312"/>
    <s v="Erna Fauziah"/>
    <x v="28"/>
    <x v="18"/>
    <n v="11000"/>
    <n v="1.5"/>
    <x v="1"/>
    <n v="16500"/>
    <n v="0"/>
    <n v="16500"/>
    <n v="56000"/>
    <n v="72500"/>
    <x v="3"/>
    <x v="0"/>
    <x v="1"/>
    <n v="3"/>
    <x v="0"/>
  </r>
  <r>
    <x v="1313"/>
    <x v="1313"/>
    <s v="Dewi Wijaya"/>
    <x v="12"/>
    <x v="4"/>
    <n v="40000"/>
    <n v="0.8"/>
    <x v="1"/>
    <n v="32000"/>
    <n v="0"/>
    <n v="32000"/>
    <n v="30000"/>
    <n v="62000"/>
    <x v="0"/>
    <x v="0"/>
    <x v="1"/>
    <n v="5"/>
    <x v="0"/>
  </r>
  <r>
    <x v="1314"/>
    <x v="1314"/>
    <s v="Putri Ananda"/>
    <x v="7"/>
    <x v="8"/>
    <n v="17500"/>
    <n v="3.7"/>
    <x v="1"/>
    <n v="64750"/>
    <n v="0"/>
    <n v="64750"/>
    <n v="26000"/>
    <n v="90750"/>
    <x v="1"/>
    <x v="0"/>
    <x v="4"/>
    <n v="4"/>
    <x v="0"/>
  </r>
  <r>
    <x v="1315"/>
    <x v="1315"/>
    <s v="Fitri Nugroho"/>
    <x v="27"/>
    <x v="7"/>
    <n v="14000"/>
    <n v="0.4"/>
    <x v="1"/>
    <n v="5600"/>
    <n v="0"/>
    <n v="5600"/>
    <n v="49000"/>
    <n v="54600"/>
    <x v="3"/>
    <x v="0"/>
    <x v="1"/>
    <n v="4"/>
    <x v="0"/>
  </r>
  <r>
    <x v="1316"/>
    <x v="1316"/>
    <s v="Aulia Puspita"/>
    <x v="29"/>
    <x v="0"/>
    <n v="10000"/>
    <n v="1.7"/>
    <x v="1"/>
    <n v="17000"/>
    <n v="0"/>
    <n v="17000"/>
    <n v="48000"/>
    <n v="65000"/>
    <x v="2"/>
    <x v="0"/>
    <x v="2"/>
    <n v="1"/>
    <x v="0"/>
  </r>
  <r>
    <x v="1317"/>
    <x v="1317"/>
    <s v="Qori Syahputra"/>
    <x v="12"/>
    <x v="8"/>
    <n v="17500"/>
    <n v="3.1"/>
    <x v="1"/>
    <n v="54250"/>
    <n v="0"/>
    <n v="54250"/>
    <n v="30000"/>
    <n v="84250"/>
    <x v="3"/>
    <x v="0"/>
    <x v="1"/>
    <n v="3"/>
    <x v="0"/>
  </r>
  <r>
    <x v="1318"/>
    <x v="1318"/>
    <s v="Andi Budiman"/>
    <x v="4"/>
    <x v="10"/>
    <n v="45000"/>
    <n v="0.8"/>
    <x v="1"/>
    <n v="36000"/>
    <n v="0"/>
    <n v="36000"/>
    <n v="43000"/>
    <n v="79000"/>
    <x v="0"/>
    <x v="0"/>
    <x v="2"/>
    <n v="2"/>
    <x v="1"/>
  </r>
  <r>
    <x v="1319"/>
    <x v="1319"/>
    <s v="Bayu Ramadhani"/>
    <x v="31"/>
    <x v="17"/>
    <n v="12000"/>
    <n v="0.9"/>
    <x v="1"/>
    <n v="10800"/>
    <n v="0"/>
    <n v="10800"/>
    <n v="87000"/>
    <n v="97800"/>
    <x v="2"/>
    <x v="0"/>
    <x v="0"/>
    <n v="5"/>
    <x v="1"/>
  </r>
  <r>
    <x v="1319"/>
    <x v="1319"/>
    <s v="Bayu Ramadhani"/>
    <x v="31"/>
    <x v="8"/>
    <n v="17500"/>
    <n v="2.1"/>
    <x v="1"/>
    <n v="36750"/>
    <n v="0"/>
    <n v="36750"/>
    <n v="0"/>
    <n v="36750"/>
    <x v="2"/>
    <x v="0"/>
    <x v="0"/>
    <n v="5"/>
    <x v="1"/>
  </r>
  <r>
    <x v="1320"/>
    <x v="1320"/>
    <s v="Galih Saputra"/>
    <x v="15"/>
    <x v="18"/>
    <n v="11000"/>
    <n v="2.6"/>
    <x v="1"/>
    <n v="28600"/>
    <n v="0"/>
    <n v="28600"/>
    <n v="97000"/>
    <n v="125600"/>
    <x v="0"/>
    <x v="2"/>
    <x v="0"/>
    <n v="2"/>
    <x v="1"/>
  </r>
  <r>
    <x v="1321"/>
    <x v="1321"/>
    <s v="Ani Hidayat"/>
    <x v="4"/>
    <x v="8"/>
    <n v="17500"/>
    <n v="1.5"/>
    <x v="1"/>
    <n v="26250"/>
    <n v="0"/>
    <n v="26250"/>
    <n v="43000"/>
    <n v="69250"/>
    <x v="2"/>
    <x v="1"/>
    <x v="1"/>
    <n v="4"/>
    <x v="0"/>
  </r>
  <r>
    <x v="1322"/>
    <x v="1322"/>
    <s v="Joko Maulana"/>
    <x v="27"/>
    <x v="10"/>
    <n v="45000"/>
    <n v="1.4"/>
    <x v="1"/>
    <n v="62999.999999999993"/>
    <n v="0"/>
    <n v="62999.999999999993"/>
    <n v="49000"/>
    <n v="112000"/>
    <x v="2"/>
    <x v="1"/>
    <x v="0"/>
    <n v="1"/>
    <x v="1"/>
  </r>
  <r>
    <x v="1323"/>
    <x v="1323"/>
    <s v="Kartika Fauziah"/>
    <x v="28"/>
    <x v="12"/>
    <n v="9500"/>
    <n v="0.9"/>
    <x v="1"/>
    <n v="8550"/>
    <n v="0"/>
    <n v="8550"/>
    <n v="56000"/>
    <n v="64550"/>
    <x v="2"/>
    <x v="0"/>
    <x v="4"/>
    <n v="2"/>
    <x v="0"/>
  </r>
  <r>
    <x v="1324"/>
    <x v="1324"/>
    <s v="Ani Puspita"/>
    <x v="37"/>
    <x v="11"/>
    <n v="15000"/>
    <n v="2.7"/>
    <x v="1"/>
    <n v="40500"/>
    <n v="0"/>
    <n v="40500"/>
    <n v="67000"/>
    <n v="107500"/>
    <x v="0"/>
    <x v="0"/>
    <x v="2"/>
    <n v="4"/>
    <x v="0"/>
  </r>
  <r>
    <x v="1325"/>
    <x v="1325"/>
    <s v="Arif Fauziah"/>
    <x v="6"/>
    <x v="18"/>
    <n v="11000"/>
    <n v="1.5"/>
    <x v="1"/>
    <n v="16500"/>
    <n v="0"/>
    <n v="16500"/>
    <n v="80000"/>
    <n v="96500"/>
    <x v="1"/>
    <x v="0"/>
    <x v="0"/>
    <n v="1"/>
    <x v="1"/>
  </r>
  <r>
    <x v="1326"/>
    <x v="1326"/>
    <s v="Zahra Ananda"/>
    <x v="18"/>
    <x v="9"/>
    <n v="46000"/>
    <n v="0.6"/>
    <x v="1"/>
    <n v="27600"/>
    <n v="0"/>
    <n v="27600"/>
    <n v="0"/>
    <n v="27600"/>
    <x v="0"/>
    <x v="0"/>
    <x v="4"/>
    <n v="3"/>
    <x v="0"/>
  </r>
  <r>
    <x v="1327"/>
    <x v="1327"/>
    <s v="Zahra Pradipta"/>
    <x v="9"/>
    <x v="10"/>
    <n v="45000"/>
    <n v="1.2"/>
    <x v="1"/>
    <n v="54000"/>
    <n v="0"/>
    <n v="54000"/>
    <n v="89000"/>
    <n v="143000"/>
    <x v="2"/>
    <x v="0"/>
    <x v="3"/>
    <n v="5"/>
    <x v="0"/>
  </r>
  <r>
    <x v="1328"/>
    <x v="1328"/>
    <s v="Andi Budiman"/>
    <x v="4"/>
    <x v="6"/>
    <n v="26000"/>
    <n v="0.6"/>
    <x v="1"/>
    <n v="15600"/>
    <n v="0"/>
    <n v="15600"/>
    <n v="43000"/>
    <n v="58600"/>
    <x v="1"/>
    <x v="0"/>
    <x v="0"/>
    <n v="3"/>
    <x v="1"/>
  </r>
  <r>
    <x v="1329"/>
    <x v="1329"/>
    <s v="Yani Ananda"/>
    <x v="28"/>
    <x v="18"/>
    <n v="11000"/>
    <n v="1.7"/>
    <x v="1"/>
    <n v="18700"/>
    <n v="0"/>
    <n v="18700"/>
    <n v="56000"/>
    <n v="74700"/>
    <x v="1"/>
    <x v="0"/>
    <x v="2"/>
    <n v="2"/>
    <x v="0"/>
  </r>
  <r>
    <x v="1330"/>
    <x v="1330"/>
    <s v="Gita Pradipta"/>
    <x v="10"/>
    <x v="16"/>
    <n v="115000"/>
    <n v="0.4"/>
    <x v="1"/>
    <n v="46000"/>
    <n v="0"/>
    <n v="46000"/>
    <n v="87000"/>
    <n v="133000"/>
    <x v="1"/>
    <x v="0"/>
    <x v="1"/>
    <n v="3"/>
    <x v="0"/>
  </r>
  <r>
    <x v="1331"/>
    <x v="1331"/>
    <s v="Indra Rahmawati"/>
    <x v="16"/>
    <x v="3"/>
    <n v="13500"/>
    <n v="0.7"/>
    <x v="1"/>
    <n v="9450"/>
    <n v="0"/>
    <n v="9450"/>
    <n v="18000"/>
    <n v="27450"/>
    <x v="1"/>
    <x v="0"/>
    <x v="2"/>
    <n v="5"/>
    <x v="1"/>
  </r>
  <r>
    <x v="1332"/>
    <x v="1332"/>
    <s v="Qori Iskandar"/>
    <x v="11"/>
    <x v="15"/>
    <n v="10000"/>
    <n v="0.8"/>
    <x v="1"/>
    <n v="8000"/>
    <n v="0"/>
    <n v="8000"/>
    <n v="74000"/>
    <n v="82000"/>
    <x v="0"/>
    <x v="0"/>
    <x v="0"/>
    <n v="3"/>
    <x v="0"/>
  </r>
  <r>
    <x v="1332"/>
    <x v="1332"/>
    <s v="Qori Iskandar"/>
    <x v="11"/>
    <x v="3"/>
    <n v="13500"/>
    <n v="1.1000000000000001"/>
    <x v="1"/>
    <n v="14850.000000000002"/>
    <n v="0"/>
    <n v="14850.000000000002"/>
    <n v="0"/>
    <n v="14850.000000000002"/>
    <x v="0"/>
    <x v="0"/>
    <x v="0"/>
    <n v="3"/>
    <x v="0"/>
  </r>
  <r>
    <x v="1333"/>
    <x v="1333"/>
    <s v="Ani Kusuma"/>
    <x v="29"/>
    <x v="0"/>
    <n v="10000"/>
    <n v="2.1"/>
    <x v="1"/>
    <n v="21000"/>
    <n v="0"/>
    <n v="21000"/>
    <n v="48000"/>
    <n v="69000"/>
    <x v="3"/>
    <x v="1"/>
    <x v="3"/>
    <n v="2"/>
    <x v="0"/>
  </r>
  <r>
    <x v="1334"/>
    <x v="1334"/>
    <s v="Vina Kurniawan"/>
    <x v="19"/>
    <x v="11"/>
    <n v="15000"/>
    <n v="1.4"/>
    <x v="1"/>
    <n v="21000"/>
    <n v="0"/>
    <n v="21000"/>
    <n v="78000"/>
    <n v="99000"/>
    <x v="3"/>
    <x v="0"/>
    <x v="3"/>
    <n v="4"/>
    <x v="0"/>
  </r>
  <r>
    <x v="1335"/>
    <x v="1335"/>
    <s v="Gita Kurniawan"/>
    <x v="19"/>
    <x v="10"/>
    <n v="45000"/>
    <n v="1.2"/>
    <x v="1"/>
    <n v="54000"/>
    <n v="0"/>
    <n v="54000"/>
    <n v="78000"/>
    <n v="132000"/>
    <x v="0"/>
    <x v="0"/>
    <x v="3"/>
    <n v="4"/>
    <x v="0"/>
  </r>
  <r>
    <x v="1336"/>
    <x v="1336"/>
    <s v="Bella Ananda"/>
    <x v="4"/>
    <x v="10"/>
    <n v="45000"/>
    <n v="1"/>
    <x v="1"/>
    <n v="45000"/>
    <n v="0"/>
    <n v="45000"/>
    <n v="43000"/>
    <n v="88000"/>
    <x v="0"/>
    <x v="0"/>
    <x v="2"/>
    <n v="5"/>
    <x v="0"/>
  </r>
  <r>
    <x v="1337"/>
    <x v="1337"/>
    <s v="Yani Santoso"/>
    <x v="14"/>
    <x v="17"/>
    <n v="12000"/>
    <n v="1"/>
    <x v="1"/>
    <n v="12000"/>
    <n v="0"/>
    <n v="12000"/>
    <n v="85000"/>
    <n v="97000"/>
    <x v="0"/>
    <x v="2"/>
    <x v="2"/>
    <n v="4"/>
    <x v="0"/>
  </r>
  <r>
    <x v="1338"/>
    <x v="1338"/>
    <s v="Erna Santoso"/>
    <x v="4"/>
    <x v="11"/>
    <n v="15000"/>
    <n v="1.6"/>
    <x v="1"/>
    <n v="24000"/>
    <n v="0"/>
    <n v="24000"/>
    <n v="43000"/>
    <n v="67000"/>
    <x v="2"/>
    <x v="0"/>
    <x v="2"/>
    <n v="3"/>
    <x v="0"/>
  </r>
  <r>
    <x v="1339"/>
    <x v="1339"/>
    <s v="Bella Saputra"/>
    <x v="5"/>
    <x v="16"/>
    <n v="115000"/>
    <n v="0.3"/>
    <x v="1"/>
    <n v="34500"/>
    <n v="0"/>
    <n v="34500"/>
    <n v="18000"/>
    <n v="52500"/>
    <x v="1"/>
    <x v="0"/>
    <x v="0"/>
    <n v="2"/>
    <x v="0"/>
  </r>
  <r>
    <x v="1340"/>
    <x v="1340"/>
    <s v="Tono Ananda"/>
    <x v="8"/>
    <x v="12"/>
    <n v="9500"/>
    <n v="0.4"/>
    <x v="1"/>
    <n v="3800"/>
    <n v="0"/>
    <n v="3800"/>
    <n v="59000"/>
    <n v="62800"/>
    <x v="1"/>
    <x v="0"/>
    <x v="1"/>
    <n v="3"/>
    <x v="1"/>
  </r>
  <r>
    <x v="1341"/>
    <x v="1341"/>
    <s v="Kartika Santoso"/>
    <x v="10"/>
    <x v="8"/>
    <n v="17500"/>
    <n v="1.7"/>
    <x v="1"/>
    <n v="29750"/>
    <n v="0"/>
    <n v="29750"/>
    <n v="87000"/>
    <n v="116750"/>
    <x v="1"/>
    <x v="0"/>
    <x v="0"/>
    <n v="5"/>
    <x v="0"/>
  </r>
  <r>
    <x v="1342"/>
    <x v="1342"/>
    <s v="Dina Halim"/>
    <x v="0"/>
    <x v="9"/>
    <n v="46000"/>
    <n v="0.5"/>
    <x v="1"/>
    <n v="23000"/>
    <n v="0"/>
    <n v="23000"/>
    <n v="15000"/>
    <n v="38000"/>
    <x v="0"/>
    <x v="0"/>
    <x v="4"/>
    <n v="1"/>
    <x v="0"/>
  </r>
  <r>
    <x v="1343"/>
    <x v="1343"/>
    <s v="Zahra Halim"/>
    <x v="12"/>
    <x v="12"/>
    <n v="9500"/>
    <n v="1.3"/>
    <x v="1"/>
    <n v="12350"/>
    <n v="0"/>
    <n v="12350"/>
    <n v="30000"/>
    <n v="42350"/>
    <x v="0"/>
    <x v="0"/>
    <x v="2"/>
    <n v="5"/>
    <x v="0"/>
  </r>
  <r>
    <x v="1344"/>
    <x v="1344"/>
    <s v="Indra Rahmawati"/>
    <x v="16"/>
    <x v="9"/>
    <n v="46000"/>
    <n v="0.7"/>
    <x v="1"/>
    <n v="32199.999999999996"/>
    <n v="0"/>
    <n v="32199.999999999996"/>
    <n v="18000"/>
    <n v="50200"/>
    <x v="3"/>
    <x v="0"/>
    <x v="3"/>
    <n v="2"/>
    <x v="1"/>
  </r>
  <r>
    <x v="1345"/>
    <x v="1345"/>
    <s v="Yani Maulana"/>
    <x v="19"/>
    <x v="8"/>
    <n v="17500"/>
    <n v="0.9"/>
    <x v="1"/>
    <n v="15750"/>
    <n v="0"/>
    <n v="15750"/>
    <n v="78000"/>
    <n v="93750"/>
    <x v="1"/>
    <x v="0"/>
    <x v="1"/>
    <n v="2"/>
    <x v="0"/>
  </r>
  <r>
    <x v="1345"/>
    <x v="1345"/>
    <s v="Yani Maulana"/>
    <x v="19"/>
    <x v="19"/>
    <n v="15500"/>
    <n v="0.5"/>
    <x v="1"/>
    <n v="7750"/>
    <n v="0"/>
    <n v="7750"/>
    <n v="0"/>
    <n v="7750"/>
    <x v="1"/>
    <x v="0"/>
    <x v="1"/>
    <n v="2"/>
    <x v="0"/>
  </r>
  <r>
    <x v="1346"/>
    <x v="1346"/>
    <s v="Zahra Wijaya"/>
    <x v="12"/>
    <x v="14"/>
    <n v="55000"/>
    <n v="0.8"/>
    <x v="1"/>
    <n v="44000"/>
    <n v="0"/>
    <n v="44000"/>
    <n v="30000"/>
    <n v="74000"/>
    <x v="0"/>
    <x v="1"/>
    <x v="4"/>
    <n v="2"/>
    <x v="0"/>
  </r>
  <r>
    <x v="1347"/>
    <x v="1347"/>
    <s v="Gita Budiman"/>
    <x v="24"/>
    <x v="8"/>
    <n v="17500"/>
    <n v="3.3"/>
    <x v="1"/>
    <n v="57750"/>
    <n v="0"/>
    <n v="57750"/>
    <n v="68000"/>
    <n v="125750"/>
    <x v="2"/>
    <x v="0"/>
    <x v="4"/>
    <n v="1"/>
    <x v="0"/>
  </r>
  <r>
    <x v="1348"/>
    <x v="1348"/>
    <s v="Gita Nugroho"/>
    <x v="2"/>
    <x v="5"/>
    <n v="10500"/>
    <n v="1.8"/>
    <x v="1"/>
    <n v="18900"/>
    <n v="0"/>
    <n v="18900"/>
    <n v="76000"/>
    <n v="94900"/>
    <x v="1"/>
    <x v="0"/>
    <x v="2"/>
    <n v="2"/>
    <x v="0"/>
  </r>
  <r>
    <x v="1348"/>
    <x v="1348"/>
    <s v="Gita Nugroho"/>
    <x v="2"/>
    <x v="15"/>
    <n v="10000"/>
    <n v="0.7"/>
    <x v="1"/>
    <n v="7000"/>
    <n v="0"/>
    <n v="7000"/>
    <n v="0"/>
    <n v="7000"/>
    <x v="1"/>
    <x v="0"/>
    <x v="2"/>
    <n v="2"/>
    <x v="0"/>
  </r>
  <r>
    <x v="1349"/>
    <x v="1349"/>
    <s v="Yoga Utami"/>
    <x v="23"/>
    <x v="4"/>
    <n v="40000"/>
    <n v="0.9"/>
    <x v="1"/>
    <n v="36000"/>
    <n v="0"/>
    <n v="36000"/>
    <n v="55000"/>
    <n v="91000"/>
    <x v="0"/>
    <x v="1"/>
    <x v="2"/>
    <n v="5"/>
    <x v="1"/>
  </r>
  <r>
    <x v="1350"/>
    <x v="1350"/>
    <s v="Gita Ramadhani"/>
    <x v="22"/>
    <x v="10"/>
    <n v="45000"/>
    <n v="1"/>
    <x v="1"/>
    <n v="45000"/>
    <n v="0"/>
    <n v="45000"/>
    <n v="50000"/>
    <n v="95000"/>
    <x v="2"/>
    <x v="0"/>
    <x v="1"/>
    <n v="4"/>
    <x v="0"/>
  </r>
  <r>
    <x v="1351"/>
    <x v="1351"/>
    <s v="Eko Pradipta"/>
    <x v="4"/>
    <x v="8"/>
    <n v="17500"/>
    <n v="1.8"/>
    <x v="1"/>
    <n v="31500"/>
    <n v="0"/>
    <n v="31500"/>
    <n v="43000"/>
    <n v="74500"/>
    <x v="0"/>
    <x v="0"/>
    <x v="0"/>
    <n v="2"/>
    <x v="1"/>
  </r>
  <r>
    <x v="1352"/>
    <x v="1352"/>
    <s v="Yani Santoso"/>
    <x v="14"/>
    <x v="4"/>
    <n v="40000"/>
    <n v="0.4"/>
    <x v="1"/>
    <n v="16000"/>
    <n v="0"/>
    <n v="16000"/>
    <n v="85000"/>
    <n v="101000"/>
    <x v="2"/>
    <x v="0"/>
    <x v="3"/>
    <n v="1"/>
    <x v="0"/>
  </r>
  <r>
    <x v="1353"/>
    <x v="1353"/>
    <s v="Putri Wijaya"/>
    <x v="12"/>
    <x v="14"/>
    <n v="55000"/>
    <n v="0.6"/>
    <x v="1"/>
    <n v="33000"/>
    <n v="0"/>
    <n v="33000"/>
    <n v="30000"/>
    <n v="63000"/>
    <x v="3"/>
    <x v="2"/>
    <x v="2"/>
    <n v="4"/>
    <x v="0"/>
  </r>
  <r>
    <x v="1354"/>
    <x v="1354"/>
    <s v="Yoga Saputra"/>
    <x v="0"/>
    <x v="11"/>
    <n v="15000"/>
    <n v="1.5"/>
    <x v="1"/>
    <n v="22500"/>
    <n v="0"/>
    <n v="22500"/>
    <n v="15000"/>
    <n v="37500"/>
    <x v="1"/>
    <x v="0"/>
    <x v="1"/>
    <n v="4"/>
    <x v="1"/>
  </r>
  <r>
    <x v="1354"/>
    <x v="1354"/>
    <s v="Yoga Saputra"/>
    <x v="0"/>
    <x v="0"/>
    <n v="10000"/>
    <n v="1"/>
    <x v="1"/>
    <n v="10000"/>
    <n v="0"/>
    <n v="10000"/>
    <n v="0"/>
    <n v="10000"/>
    <x v="1"/>
    <x v="0"/>
    <x v="1"/>
    <n v="4"/>
    <x v="1"/>
  </r>
  <r>
    <x v="1355"/>
    <x v="1355"/>
    <s v="Citra Halim"/>
    <x v="21"/>
    <x v="16"/>
    <n v="115000"/>
    <n v="1.1000000000000001"/>
    <x v="1"/>
    <n v="126500.00000000001"/>
    <n v="0"/>
    <n v="126500.00000000001"/>
    <n v="59000"/>
    <n v="185500"/>
    <x v="3"/>
    <x v="1"/>
    <x v="2"/>
    <n v="5"/>
    <x v="0"/>
  </r>
  <r>
    <x v="1356"/>
    <x v="1356"/>
    <s v="Hana Halim"/>
    <x v="31"/>
    <x v="4"/>
    <n v="40000"/>
    <n v="0.4"/>
    <x v="1"/>
    <n v="16000"/>
    <n v="0"/>
    <n v="16000"/>
    <n v="87000"/>
    <n v="103000"/>
    <x v="0"/>
    <x v="0"/>
    <x v="3"/>
    <n v="1"/>
    <x v="0"/>
  </r>
  <r>
    <x v="1357"/>
    <x v="1357"/>
    <s v="Eka Saputra"/>
    <x v="29"/>
    <x v="4"/>
    <n v="40000"/>
    <n v="1.6"/>
    <x v="0"/>
    <n v="64000"/>
    <n v="3200"/>
    <n v="60800"/>
    <n v="48000"/>
    <n v="108800"/>
    <x v="0"/>
    <x v="0"/>
    <x v="1"/>
    <n v="4"/>
    <x v="0"/>
  </r>
  <r>
    <x v="1358"/>
    <x v="1358"/>
    <s v="Wahyu Fauziah"/>
    <x v="35"/>
    <x v="5"/>
    <n v="10500"/>
    <n v="0.6"/>
    <x v="0"/>
    <n v="6300"/>
    <n v="315"/>
    <n v="5985"/>
    <n v="79000"/>
    <n v="84985"/>
    <x v="3"/>
    <x v="0"/>
    <x v="0"/>
    <n v="3"/>
    <x v="1"/>
  </r>
  <r>
    <x v="1359"/>
    <x v="1359"/>
    <s v="Bella Setiawan"/>
    <x v="36"/>
    <x v="8"/>
    <n v="17500"/>
    <n v="2.6"/>
    <x v="0"/>
    <n v="45500"/>
    <n v="2275"/>
    <n v="43225"/>
    <n v="21000"/>
    <n v="64225"/>
    <x v="3"/>
    <x v="0"/>
    <x v="4"/>
    <n v="5"/>
    <x v="0"/>
  </r>
  <r>
    <x v="1360"/>
    <x v="1360"/>
    <s v="Erna Halim"/>
    <x v="4"/>
    <x v="3"/>
    <n v="13500"/>
    <n v="1.2"/>
    <x v="0"/>
    <n v="16200"/>
    <n v="810"/>
    <n v="15390"/>
    <n v="43000"/>
    <n v="58390"/>
    <x v="2"/>
    <x v="0"/>
    <x v="4"/>
    <n v="4"/>
    <x v="0"/>
  </r>
  <r>
    <x v="1361"/>
    <x v="1361"/>
    <s v="Tono Ananda"/>
    <x v="8"/>
    <x v="5"/>
    <n v="10500"/>
    <n v="1.5"/>
    <x v="0"/>
    <n v="15750"/>
    <n v="787.5"/>
    <n v="14962.5"/>
    <n v="59000"/>
    <n v="73962.5"/>
    <x v="3"/>
    <x v="2"/>
    <x v="3"/>
    <n v="4"/>
    <x v="1"/>
  </r>
  <r>
    <x v="1362"/>
    <x v="1362"/>
    <s v="Ani Hidayat"/>
    <x v="4"/>
    <x v="4"/>
    <n v="40000"/>
    <n v="1.2"/>
    <x v="0"/>
    <n v="48000"/>
    <n v="2400"/>
    <n v="45600"/>
    <n v="43000"/>
    <n v="88600"/>
    <x v="2"/>
    <x v="1"/>
    <x v="3"/>
    <n v="4"/>
    <x v="0"/>
  </r>
  <r>
    <x v="1363"/>
    <x v="1363"/>
    <s v="Yani Hidayat"/>
    <x v="33"/>
    <x v="15"/>
    <n v="10000"/>
    <n v="1.1000000000000001"/>
    <x v="0"/>
    <n v="11000"/>
    <n v="550"/>
    <n v="10450"/>
    <n v="80000"/>
    <n v="90450"/>
    <x v="3"/>
    <x v="0"/>
    <x v="0"/>
    <n v="1"/>
    <x v="0"/>
  </r>
  <r>
    <x v="1364"/>
    <x v="1364"/>
    <s v="Vina Kurniawan"/>
    <x v="19"/>
    <x v="9"/>
    <n v="46000"/>
    <n v="0.7"/>
    <x v="1"/>
    <n v="32199.999999999996"/>
    <n v="0"/>
    <n v="32199.999999999996"/>
    <n v="78000"/>
    <n v="110200"/>
    <x v="1"/>
    <x v="0"/>
    <x v="2"/>
    <n v="1"/>
    <x v="0"/>
  </r>
  <r>
    <x v="1365"/>
    <x v="1365"/>
    <s v="Lestari Ramadhani"/>
    <x v="5"/>
    <x v="8"/>
    <n v="17500"/>
    <n v="2.2000000000000002"/>
    <x v="1"/>
    <n v="38500"/>
    <n v="0"/>
    <n v="38500"/>
    <n v="18000"/>
    <n v="56500"/>
    <x v="0"/>
    <x v="0"/>
    <x v="0"/>
    <n v="1"/>
    <x v="0"/>
  </r>
  <r>
    <x v="1366"/>
    <x v="1366"/>
    <s v="Citra Halim"/>
    <x v="21"/>
    <x v="13"/>
    <n v="10000"/>
    <n v="1.2"/>
    <x v="1"/>
    <n v="12000"/>
    <n v="0"/>
    <n v="12000"/>
    <n v="59000"/>
    <n v="71000"/>
    <x v="3"/>
    <x v="0"/>
    <x v="2"/>
    <n v="5"/>
    <x v="0"/>
  </r>
  <r>
    <x v="1367"/>
    <x v="1367"/>
    <s v="Zahra Santoso"/>
    <x v="9"/>
    <x v="12"/>
    <n v="9500"/>
    <n v="1.1000000000000001"/>
    <x v="1"/>
    <n v="10450"/>
    <n v="0"/>
    <n v="10450"/>
    <n v="89000"/>
    <n v="99450"/>
    <x v="2"/>
    <x v="0"/>
    <x v="1"/>
    <n v="3"/>
    <x v="0"/>
  </r>
  <r>
    <x v="1368"/>
    <x v="1368"/>
    <s v="Citra Ananda"/>
    <x v="16"/>
    <x v="17"/>
    <n v="12000"/>
    <n v="0.5"/>
    <x v="1"/>
    <n v="6000"/>
    <n v="0"/>
    <n v="6000"/>
    <n v="18000"/>
    <n v="24000"/>
    <x v="1"/>
    <x v="0"/>
    <x v="3"/>
    <n v="5"/>
    <x v="0"/>
  </r>
  <r>
    <x v="1369"/>
    <x v="1369"/>
    <s v="Sari Halim"/>
    <x v="23"/>
    <x v="11"/>
    <n v="15000"/>
    <n v="1.1000000000000001"/>
    <x v="1"/>
    <n v="16500"/>
    <n v="0"/>
    <n v="16500"/>
    <n v="55000"/>
    <n v="71500"/>
    <x v="2"/>
    <x v="0"/>
    <x v="2"/>
    <n v="1"/>
    <x v="0"/>
  </r>
  <r>
    <x v="1370"/>
    <x v="1370"/>
    <s v="Sari Syahputra"/>
    <x v="21"/>
    <x v="1"/>
    <n v="15000"/>
    <n v="0.5"/>
    <x v="1"/>
    <n v="7500"/>
    <n v="0"/>
    <n v="7500"/>
    <n v="59000"/>
    <n v="66500"/>
    <x v="3"/>
    <x v="1"/>
    <x v="2"/>
    <n v="4"/>
    <x v="0"/>
  </r>
  <r>
    <x v="1371"/>
    <x v="1371"/>
    <s v="Qori Fauziah"/>
    <x v="11"/>
    <x v="6"/>
    <n v="26000"/>
    <n v="0.2"/>
    <x v="1"/>
    <n v="5200"/>
    <n v="0"/>
    <n v="5200"/>
    <n v="74000"/>
    <n v="79200"/>
    <x v="1"/>
    <x v="1"/>
    <x v="3"/>
    <n v="2"/>
    <x v="0"/>
  </r>
  <r>
    <x v="1372"/>
    <x v="1372"/>
    <s v="Sari Fauziah"/>
    <x v="32"/>
    <x v="6"/>
    <n v="26000"/>
    <n v="1.8"/>
    <x v="1"/>
    <n v="46800"/>
    <n v="0"/>
    <n v="46800"/>
    <n v="28000"/>
    <n v="74800"/>
    <x v="3"/>
    <x v="0"/>
    <x v="1"/>
    <n v="5"/>
    <x v="0"/>
  </r>
  <r>
    <x v="1373"/>
    <x v="1373"/>
    <s v="Bella Halim"/>
    <x v="2"/>
    <x v="4"/>
    <n v="40000"/>
    <n v="1.1000000000000001"/>
    <x v="1"/>
    <n v="44000"/>
    <n v="0"/>
    <n v="44000"/>
    <n v="76000"/>
    <n v="120000"/>
    <x v="0"/>
    <x v="0"/>
    <x v="4"/>
    <n v="5"/>
    <x v="0"/>
  </r>
  <r>
    <x v="1373"/>
    <x v="1373"/>
    <s v="Bella Halim"/>
    <x v="2"/>
    <x v="10"/>
    <n v="45000"/>
    <n v="0.7"/>
    <x v="1"/>
    <n v="31499.999999999996"/>
    <n v="0"/>
    <n v="31499.999999999996"/>
    <n v="0"/>
    <n v="31499.999999999996"/>
    <x v="0"/>
    <x v="0"/>
    <x v="4"/>
    <n v="5"/>
    <x v="0"/>
  </r>
  <r>
    <x v="1374"/>
    <x v="1374"/>
    <s v="Qori Santoso"/>
    <x v="0"/>
    <x v="11"/>
    <n v="15000"/>
    <n v="0.3"/>
    <x v="1"/>
    <n v="4500"/>
    <n v="0"/>
    <n v="4500"/>
    <n v="15000"/>
    <n v="19500"/>
    <x v="2"/>
    <x v="0"/>
    <x v="2"/>
    <n v="3"/>
    <x v="0"/>
  </r>
  <r>
    <x v="1375"/>
    <x v="1375"/>
    <s v="Yani Setiawan"/>
    <x v="2"/>
    <x v="2"/>
    <n v="20000"/>
    <n v="1.6"/>
    <x v="1"/>
    <n v="32000"/>
    <n v="0"/>
    <n v="32000"/>
    <n v="76000"/>
    <n v="108000"/>
    <x v="1"/>
    <x v="0"/>
    <x v="0"/>
    <n v="5"/>
    <x v="0"/>
  </r>
  <r>
    <x v="1376"/>
    <x v="1376"/>
    <s v="Yani Maulana"/>
    <x v="19"/>
    <x v="5"/>
    <n v="10500"/>
    <n v="0.7"/>
    <x v="1"/>
    <n v="7349.9999999999991"/>
    <n v="0"/>
    <n v="7349.9999999999991"/>
    <n v="78000"/>
    <n v="85350"/>
    <x v="3"/>
    <x v="0"/>
    <x v="3"/>
    <n v="3"/>
    <x v="0"/>
  </r>
  <r>
    <x v="1377"/>
    <x v="1377"/>
    <s v="Dewi Halim"/>
    <x v="29"/>
    <x v="16"/>
    <n v="115000"/>
    <n v="1.2"/>
    <x v="1"/>
    <n v="138000"/>
    <n v="0"/>
    <n v="138000"/>
    <n v="48000"/>
    <n v="186000"/>
    <x v="3"/>
    <x v="0"/>
    <x v="0"/>
    <n v="4"/>
    <x v="0"/>
  </r>
  <r>
    <x v="1378"/>
    <x v="1378"/>
    <s v="Qori Maulana"/>
    <x v="5"/>
    <x v="13"/>
    <n v="10000"/>
    <n v="0.4"/>
    <x v="1"/>
    <n v="4000"/>
    <n v="0"/>
    <n v="4000"/>
    <n v="18000"/>
    <n v="22000"/>
    <x v="2"/>
    <x v="0"/>
    <x v="3"/>
    <n v="3"/>
    <x v="0"/>
  </r>
  <r>
    <x v="1379"/>
    <x v="1379"/>
    <s v="Zahra Utami"/>
    <x v="25"/>
    <x v="9"/>
    <n v="46000"/>
    <n v="0.2"/>
    <x v="1"/>
    <n v="9200"/>
    <n v="0"/>
    <n v="9200"/>
    <n v="50000"/>
    <n v="59200"/>
    <x v="0"/>
    <x v="0"/>
    <x v="1"/>
    <n v="4"/>
    <x v="0"/>
  </r>
  <r>
    <x v="1380"/>
    <x v="1380"/>
    <s v="Nanda Iskandar"/>
    <x v="14"/>
    <x v="8"/>
    <n v="17500"/>
    <n v="2.9"/>
    <x v="1"/>
    <n v="50750"/>
    <n v="0"/>
    <n v="50750"/>
    <n v="85000"/>
    <n v="135750"/>
    <x v="1"/>
    <x v="1"/>
    <x v="0"/>
    <n v="5"/>
    <x v="1"/>
  </r>
  <r>
    <x v="1381"/>
    <x v="1381"/>
    <s v="Tono Syahputra"/>
    <x v="0"/>
    <x v="15"/>
    <n v="10000"/>
    <n v="0.4"/>
    <x v="1"/>
    <n v="4000"/>
    <n v="0"/>
    <n v="4000"/>
    <n v="15000"/>
    <n v="19000"/>
    <x v="0"/>
    <x v="0"/>
    <x v="0"/>
    <n v="2"/>
    <x v="1"/>
  </r>
  <r>
    <x v="1382"/>
    <x v="1382"/>
    <s v="Aulia Rahmawati"/>
    <x v="10"/>
    <x v="11"/>
    <n v="15000"/>
    <n v="1.1000000000000001"/>
    <x v="1"/>
    <n v="16500"/>
    <n v="0"/>
    <n v="16500"/>
    <n v="87000"/>
    <n v="103500"/>
    <x v="3"/>
    <x v="0"/>
    <x v="1"/>
    <n v="4"/>
    <x v="0"/>
  </r>
  <r>
    <x v="1383"/>
    <x v="1383"/>
    <s v="Erna Halim"/>
    <x v="4"/>
    <x v="9"/>
    <n v="46000"/>
    <n v="0.5"/>
    <x v="1"/>
    <n v="23000"/>
    <n v="0"/>
    <n v="23000"/>
    <n v="43000"/>
    <n v="66000"/>
    <x v="1"/>
    <x v="0"/>
    <x v="0"/>
    <n v="3"/>
    <x v="0"/>
  </r>
  <r>
    <x v="1384"/>
    <x v="1384"/>
    <s v="Budi Saputra"/>
    <x v="28"/>
    <x v="6"/>
    <n v="26000"/>
    <n v="1.4"/>
    <x v="1"/>
    <n v="36400"/>
    <n v="0"/>
    <n v="36400"/>
    <n v="56000"/>
    <n v="92400"/>
    <x v="0"/>
    <x v="0"/>
    <x v="2"/>
    <n v="3"/>
    <x v="1"/>
  </r>
  <r>
    <x v="1385"/>
    <x v="1385"/>
    <s v="Joko Halim"/>
    <x v="8"/>
    <x v="9"/>
    <n v="46000"/>
    <n v="0.6"/>
    <x v="1"/>
    <n v="27600"/>
    <n v="0"/>
    <n v="27600"/>
    <n v="59000"/>
    <n v="86600"/>
    <x v="0"/>
    <x v="0"/>
    <x v="4"/>
    <n v="4"/>
    <x v="1"/>
  </r>
  <r>
    <x v="1386"/>
    <x v="1386"/>
    <s v="Vina Syahputra"/>
    <x v="13"/>
    <x v="19"/>
    <n v="15500"/>
    <n v="0.5"/>
    <x v="1"/>
    <n v="7750"/>
    <n v="0"/>
    <n v="7750"/>
    <n v="49000"/>
    <n v="56750"/>
    <x v="3"/>
    <x v="0"/>
    <x v="2"/>
    <n v="1"/>
    <x v="0"/>
  </r>
  <r>
    <x v="1387"/>
    <x v="1387"/>
    <s v="Aulia Saputra"/>
    <x v="8"/>
    <x v="3"/>
    <n v="13500"/>
    <n v="3.4"/>
    <x v="1"/>
    <n v="45900"/>
    <n v="0"/>
    <n v="45900"/>
    <n v="59000"/>
    <n v="104900"/>
    <x v="3"/>
    <x v="0"/>
    <x v="1"/>
    <n v="3"/>
    <x v="0"/>
  </r>
  <r>
    <x v="1388"/>
    <x v="1388"/>
    <s v="Hana Ramadhani"/>
    <x v="13"/>
    <x v="3"/>
    <n v="13500"/>
    <n v="1.5"/>
    <x v="1"/>
    <n v="20250"/>
    <n v="0"/>
    <n v="20250"/>
    <n v="49000"/>
    <n v="69250"/>
    <x v="3"/>
    <x v="0"/>
    <x v="1"/>
    <n v="3"/>
    <x v="0"/>
  </r>
  <r>
    <x v="1389"/>
    <x v="1389"/>
    <s v="Dewi Halim"/>
    <x v="29"/>
    <x v="6"/>
    <n v="26000"/>
    <n v="1.7"/>
    <x v="0"/>
    <n v="44200"/>
    <n v="2210"/>
    <n v="41990"/>
    <n v="48000"/>
    <n v="89990"/>
    <x v="2"/>
    <x v="0"/>
    <x v="2"/>
    <n v="4"/>
    <x v="0"/>
  </r>
  <r>
    <x v="1390"/>
    <x v="1390"/>
    <s v="Vina Syahputra"/>
    <x v="13"/>
    <x v="7"/>
    <n v="14000"/>
    <n v="0.7"/>
    <x v="0"/>
    <n v="9800"/>
    <n v="490"/>
    <n v="9310"/>
    <n v="49000"/>
    <n v="58310"/>
    <x v="2"/>
    <x v="0"/>
    <x v="3"/>
    <n v="2"/>
    <x v="0"/>
  </r>
  <r>
    <x v="1390"/>
    <x v="1390"/>
    <s v="Vina Syahputra"/>
    <x v="13"/>
    <x v="4"/>
    <n v="40000"/>
    <n v="0.7"/>
    <x v="0"/>
    <n v="28000"/>
    <n v="1400"/>
    <n v="26600"/>
    <n v="0"/>
    <n v="26600"/>
    <x v="2"/>
    <x v="0"/>
    <x v="3"/>
    <n v="2"/>
    <x v="0"/>
  </r>
  <r>
    <x v="1391"/>
    <x v="1391"/>
    <s v="Erna Kusuma"/>
    <x v="18"/>
    <x v="8"/>
    <n v="17500"/>
    <n v="1.6"/>
    <x v="0"/>
    <n v="28000"/>
    <n v="1400"/>
    <n v="26600"/>
    <n v="0"/>
    <n v="26600"/>
    <x v="1"/>
    <x v="0"/>
    <x v="2"/>
    <n v="3"/>
    <x v="0"/>
  </r>
  <r>
    <x v="1392"/>
    <x v="1392"/>
    <s v="Sari Puspita"/>
    <x v="15"/>
    <x v="12"/>
    <n v="9500"/>
    <n v="0.6"/>
    <x v="0"/>
    <n v="5700"/>
    <n v="285"/>
    <n v="5415"/>
    <n v="97000"/>
    <n v="102415"/>
    <x v="3"/>
    <x v="0"/>
    <x v="1"/>
    <n v="3"/>
    <x v="0"/>
  </r>
  <r>
    <x v="1393"/>
    <x v="1393"/>
    <s v="Clara Utami"/>
    <x v="34"/>
    <x v="10"/>
    <n v="45000"/>
    <n v="0.3"/>
    <x v="0"/>
    <n v="13500"/>
    <n v="675"/>
    <n v="12825"/>
    <n v="18000"/>
    <n v="30825"/>
    <x v="1"/>
    <x v="0"/>
    <x v="1"/>
    <n v="4"/>
    <x v="0"/>
  </r>
  <r>
    <x v="1394"/>
    <x v="1394"/>
    <s v="Vina Puspita"/>
    <x v="16"/>
    <x v="10"/>
    <n v="45000"/>
    <n v="1.3"/>
    <x v="0"/>
    <n v="58500"/>
    <n v="2925"/>
    <n v="55575"/>
    <n v="18000"/>
    <n v="73575"/>
    <x v="2"/>
    <x v="1"/>
    <x v="3"/>
    <n v="3"/>
    <x v="0"/>
  </r>
  <r>
    <x v="1395"/>
    <x v="1395"/>
    <s v="Joko Maulana"/>
    <x v="27"/>
    <x v="11"/>
    <n v="15000"/>
    <n v="2"/>
    <x v="0"/>
    <n v="30000"/>
    <n v="1500"/>
    <n v="28500"/>
    <n v="49000"/>
    <n v="77500"/>
    <x v="1"/>
    <x v="0"/>
    <x v="0"/>
    <n v="4"/>
    <x v="1"/>
  </r>
  <r>
    <x v="1396"/>
    <x v="1396"/>
    <s v="Budi Fauziah"/>
    <x v="3"/>
    <x v="5"/>
    <n v="10500"/>
    <n v="1.2"/>
    <x v="0"/>
    <n v="12600"/>
    <n v="630"/>
    <n v="11970"/>
    <n v="93000"/>
    <n v="104970"/>
    <x v="0"/>
    <x v="0"/>
    <x v="2"/>
    <n v="5"/>
    <x v="1"/>
  </r>
  <r>
    <x v="1397"/>
    <x v="1397"/>
    <s v="Dina Budiman"/>
    <x v="21"/>
    <x v="13"/>
    <n v="10000"/>
    <n v="0.5"/>
    <x v="0"/>
    <n v="5000"/>
    <n v="250"/>
    <n v="4750"/>
    <n v="59000"/>
    <n v="63750"/>
    <x v="1"/>
    <x v="2"/>
    <x v="2"/>
    <n v="2"/>
    <x v="0"/>
  </r>
  <r>
    <x v="1398"/>
    <x v="1398"/>
    <s v="Fitri Ramadhani"/>
    <x v="11"/>
    <x v="11"/>
    <n v="15000"/>
    <n v="1.5"/>
    <x v="0"/>
    <n v="22500"/>
    <n v="1125"/>
    <n v="21375"/>
    <n v="74000"/>
    <n v="95375"/>
    <x v="3"/>
    <x v="0"/>
    <x v="0"/>
    <n v="3"/>
    <x v="0"/>
  </r>
  <r>
    <x v="1399"/>
    <x v="1399"/>
    <s v="Putri Ramadhani"/>
    <x v="34"/>
    <x v="5"/>
    <n v="10500"/>
    <n v="1.2"/>
    <x v="0"/>
    <n v="12600"/>
    <n v="630"/>
    <n v="11970"/>
    <n v="18000"/>
    <n v="29970"/>
    <x v="2"/>
    <x v="0"/>
    <x v="0"/>
    <n v="1"/>
    <x v="0"/>
  </r>
  <r>
    <x v="1400"/>
    <x v="1400"/>
    <s v="Erna Budiman"/>
    <x v="31"/>
    <x v="8"/>
    <n v="17500"/>
    <n v="1.8"/>
    <x v="0"/>
    <n v="31500"/>
    <n v="1575"/>
    <n v="29925"/>
    <n v="87000"/>
    <n v="116925"/>
    <x v="0"/>
    <x v="0"/>
    <x v="1"/>
    <n v="2"/>
    <x v="0"/>
  </r>
  <r>
    <x v="1401"/>
    <x v="1401"/>
    <s v="Erna Budiman"/>
    <x v="31"/>
    <x v="6"/>
    <n v="26000"/>
    <n v="1.4"/>
    <x v="0"/>
    <n v="36400"/>
    <n v="1820"/>
    <n v="34580"/>
    <n v="87000"/>
    <n v="121580"/>
    <x v="3"/>
    <x v="0"/>
    <x v="0"/>
    <n v="3"/>
    <x v="0"/>
  </r>
  <r>
    <x v="1402"/>
    <x v="1402"/>
    <s v="Erna Pradipta"/>
    <x v="18"/>
    <x v="12"/>
    <n v="9500"/>
    <n v="1.7"/>
    <x v="0"/>
    <n v="16150"/>
    <n v="807.5"/>
    <n v="15342.5"/>
    <n v="0"/>
    <n v="15342.5"/>
    <x v="1"/>
    <x v="0"/>
    <x v="2"/>
    <n v="2"/>
    <x v="0"/>
  </r>
  <r>
    <x v="1403"/>
    <x v="1403"/>
    <s v="Zahra Nugroho"/>
    <x v="19"/>
    <x v="5"/>
    <n v="10500"/>
    <n v="1.9"/>
    <x v="0"/>
    <n v="19950"/>
    <n v="997.5"/>
    <n v="18952.5"/>
    <n v="78000"/>
    <n v="96952.5"/>
    <x v="0"/>
    <x v="0"/>
    <x v="1"/>
    <n v="1"/>
    <x v="0"/>
  </r>
  <r>
    <x v="1404"/>
    <x v="1404"/>
    <s v="Vina Ananda"/>
    <x v="12"/>
    <x v="4"/>
    <n v="40000"/>
    <n v="1"/>
    <x v="0"/>
    <n v="40000"/>
    <n v="2000"/>
    <n v="38000"/>
    <n v="30000"/>
    <n v="68000"/>
    <x v="1"/>
    <x v="0"/>
    <x v="2"/>
    <n v="1"/>
    <x v="0"/>
  </r>
  <r>
    <x v="1405"/>
    <x v="1405"/>
    <s v="Zahra Budiman"/>
    <x v="27"/>
    <x v="11"/>
    <n v="15000"/>
    <n v="0.9"/>
    <x v="0"/>
    <n v="13500"/>
    <n v="675"/>
    <n v="12825"/>
    <n v="49000"/>
    <n v="61825"/>
    <x v="1"/>
    <x v="2"/>
    <x v="2"/>
    <n v="5"/>
    <x v="0"/>
  </r>
  <r>
    <x v="1406"/>
    <x v="1406"/>
    <s v="Gita Kurniawan"/>
    <x v="19"/>
    <x v="4"/>
    <n v="40000"/>
    <n v="1.3"/>
    <x v="0"/>
    <n v="52000"/>
    <n v="2600"/>
    <n v="49400"/>
    <n v="78000"/>
    <n v="127400"/>
    <x v="0"/>
    <x v="2"/>
    <x v="4"/>
    <n v="3"/>
    <x v="0"/>
  </r>
  <r>
    <x v="1407"/>
    <x v="1407"/>
    <s v="Eka Halim"/>
    <x v="3"/>
    <x v="18"/>
    <n v="11000"/>
    <n v="0.7"/>
    <x v="0"/>
    <n v="7699.9999999999991"/>
    <n v="385"/>
    <n v="7314.9999999999991"/>
    <n v="93000"/>
    <n v="100315"/>
    <x v="0"/>
    <x v="0"/>
    <x v="4"/>
    <n v="4"/>
    <x v="0"/>
  </r>
  <r>
    <x v="1408"/>
    <x v="1408"/>
    <s v="Aulia Budiman"/>
    <x v="15"/>
    <x v="15"/>
    <n v="10000"/>
    <n v="0.5"/>
    <x v="0"/>
    <n v="5000"/>
    <n v="250"/>
    <n v="4750"/>
    <n v="97000"/>
    <n v="101750"/>
    <x v="0"/>
    <x v="1"/>
    <x v="1"/>
    <n v="3"/>
    <x v="0"/>
  </r>
  <r>
    <x v="1409"/>
    <x v="1409"/>
    <s v="Kartika Utami"/>
    <x v="32"/>
    <x v="12"/>
    <n v="9500"/>
    <n v="1.4"/>
    <x v="0"/>
    <n v="13300"/>
    <n v="665"/>
    <n v="12635"/>
    <n v="28000"/>
    <n v="40635"/>
    <x v="3"/>
    <x v="0"/>
    <x v="2"/>
    <n v="2"/>
    <x v="0"/>
  </r>
  <r>
    <x v="1409"/>
    <x v="1409"/>
    <s v="Kartika Utami"/>
    <x v="32"/>
    <x v="17"/>
    <n v="12000"/>
    <n v="1.5"/>
    <x v="0"/>
    <n v="18000"/>
    <n v="900"/>
    <n v="17100"/>
    <n v="0"/>
    <n v="17100"/>
    <x v="3"/>
    <x v="0"/>
    <x v="2"/>
    <n v="2"/>
    <x v="0"/>
  </r>
  <r>
    <x v="1410"/>
    <x v="1410"/>
    <s v="Eka Hidayat"/>
    <x v="4"/>
    <x v="0"/>
    <n v="10000"/>
    <n v="1.3"/>
    <x v="0"/>
    <n v="13000"/>
    <n v="650"/>
    <n v="12350"/>
    <n v="43000"/>
    <n v="55350"/>
    <x v="3"/>
    <x v="0"/>
    <x v="4"/>
    <n v="1"/>
    <x v="0"/>
  </r>
  <r>
    <x v="1411"/>
    <x v="1411"/>
    <s v="Erna Iskandar"/>
    <x v="17"/>
    <x v="3"/>
    <n v="13500"/>
    <n v="1.7"/>
    <x v="0"/>
    <n v="22950"/>
    <n v="1147.5"/>
    <n v="21802.5"/>
    <n v="72000"/>
    <n v="93802.5"/>
    <x v="1"/>
    <x v="0"/>
    <x v="1"/>
    <n v="1"/>
    <x v="0"/>
  </r>
  <r>
    <x v="1412"/>
    <x v="1412"/>
    <s v="Bayu Maulana"/>
    <x v="9"/>
    <x v="15"/>
    <n v="10000"/>
    <n v="0.3"/>
    <x v="0"/>
    <n v="3000"/>
    <n v="150"/>
    <n v="2850"/>
    <n v="89000"/>
    <n v="91850"/>
    <x v="3"/>
    <x v="0"/>
    <x v="0"/>
    <n v="1"/>
    <x v="1"/>
  </r>
  <r>
    <x v="1413"/>
    <x v="1413"/>
    <s v="Erna Hidayat"/>
    <x v="32"/>
    <x v="16"/>
    <n v="115000"/>
    <n v="0.3"/>
    <x v="1"/>
    <n v="34500"/>
    <n v="0"/>
    <n v="34500"/>
    <n v="28000"/>
    <n v="62500"/>
    <x v="0"/>
    <x v="0"/>
    <x v="4"/>
    <n v="2"/>
    <x v="0"/>
  </r>
  <r>
    <x v="1414"/>
    <x v="1414"/>
    <s v="Gita Ananda"/>
    <x v="11"/>
    <x v="11"/>
    <n v="15000"/>
    <n v="2.1"/>
    <x v="1"/>
    <n v="31500"/>
    <n v="0"/>
    <n v="31500"/>
    <n v="74000"/>
    <n v="105500"/>
    <x v="0"/>
    <x v="1"/>
    <x v="3"/>
    <n v="2"/>
    <x v="0"/>
  </r>
  <r>
    <x v="1415"/>
    <x v="1415"/>
    <s v="Gita Pradipta"/>
    <x v="10"/>
    <x v="5"/>
    <n v="10500"/>
    <n v="2.2999999999999998"/>
    <x v="1"/>
    <n v="24149.999999999996"/>
    <n v="0"/>
    <n v="24149.999999999996"/>
    <n v="87000"/>
    <n v="111150"/>
    <x v="3"/>
    <x v="0"/>
    <x v="3"/>
    <n v="3"/>
    <x v="0"/>
  </r>
  <r>
    <x v="1416"/>
    <x v="1416"/>
    <s v="Hana Wijaya"/>
    <x v="31"/>
    <x v="13"/>
    <n v="10000"/>
    <n v="0.4"/>
    <x v="1"/>
    <n v="4000"/>
    <n v="0"/>
    <n v="4000"/>
    <n v="87000"/>
    <n v="91000"/>
    <x v="0"/>
    <x v="0"/>
    <x v="1"/>
    <n v="5"/>
    <x v="0"/>
  </r>
  <r>
    <x v="1417"/>
    <x v="1417"/>
    <s v="Fitri Iskandar"/>
    <x v="8"/>
    <x v="11"/>
    <n v="15000"/>
    <n v="1.2"/>
    <x v="1"/>
    <n v="18000"/>
    <n v="0"/>
    <n v="18000"/>
    <n v="59000"/>
    <n v="77000"/>
    <x v="2"/>
    <x v="0"/>
    <x v="3"/>
    <n v="5"/>
    <x v="0"/>
  </r>
  <r>
    <x v="1418"/>
    <x v="1418"/>
    <s v="Vina Ananda"/>
    <x v="12"/>
    <x v="15"/>
    <n v="10000"/>
    <n v="0.6"/>
    <x v="1"/>
    <n v="6000"/>
    <n v="0"/>
    <n v="6000"/>
    <n v="30000"/>
    <n v="36000"/>
    <x v="2"/>
    <x v="0"/>
    <x v="0"/>
    <n v="4"/>
    <x v="0"/>
  </r>
  <r>
    <x v="1419"/>
    <x v="1419"/>
    <s v="Dewi Hidayat"/>
    <x v="16"/>
    <x v="10"/>
    <n v="45000"/>
    <n v="1.1000000000000001"/>
    <x v="1"/>
    <n v="49500.000000000007"/>
    <n v="0"/>
    <n v="49500.000000000007"/>
    <n v="18000"/>
    <n v="67500"/>
    <x v="3"/>
    <x v="0"/>
    <x v="0"/>
    <n v="2"/>
    <x v="0"/>
  </r>
  <r>
    <x v="1420"/>
    <x v="1420"/>
    <s v="Rizky Ramadhani"/>
    <x v="34"/>
    <x v="8"/>
    <n v="17500"/>
    <n v="2.1"/>
    <x v="1"/>
    <n v="36750"/>
    <n v="0"/>
    <n v="36750"/>
    <n v="18000"/>
    <n v="54750"/>
    <x v="2"/>
    <x v="0"/>
    <x v="4"/>
    <n v="4"/>
    <x v="1"/>
  </r>
  <r>
    <x v="1421"/>
    <x v="1421"/>
    <s v="Bella Ananda"/>
    <x v="4"/>
    <x v="2"/>
    <n v="20000"/>
    <n v="1.8"/>
    <x v="1"/>
    <n v="36000"/>
    <n v="0"/>
    <n v="36000"/>
    <n v="43000"/>
    <n v="79000"/>
    <x v="0"/>
    <x v="0"/>
    <x v="0"/>
    <n v="1"/>
    <x v="0"/>
  </r>
  <r>
    <x v="1422"/>
    <x v="1422"/>
    <s v="Rizky Fauziah"/>
    <x v="31"/>
    <x v="11"/>
    <n v="15000"/>
    <n v="2.1"/>
    <x v="1"/>
    <n v="31500"/>
    <n v="0"/>
    <n v="31500"/>
    <n v="87000"/>
    <n v="118500"/>
    <x v="0"/>
    <x v="0"/>
    <x v="1"/>
    <n v="5"/>
    <x v="1"/>
  </r>
  <r>
    <x v="1423"/>
    <x v="1423"/>
    <s v="Kartika Pradipta"/>
    <x v="36"/>
    <x v="8"/>
    <n v="17500"/>
    <n v="1.8"/>
    <x v="1"/>
    <n v="31500"/>
    <n v="0"/>
    <n v="31500"/>
    <n v="21000"/>
    <n v="52500"/>
    <x v="2"/>
    <x v="0"/>
    <x v="2"/>
    <n v="1"/>
    <x v="0"/>
  </r>
  <r>
    <x v="1424"/>
    <x v="1424"/>
    <s v="Putri Hidayat"/>
    <x v="24"/>
    <x v="4"/>
    <n v="40000"/>
    <n v="0.8"/>
    <x v="1"/>
    <n v="32000"/>
    <n v="0"/>
    <n v="32000"/>
    <n v="68000"/>
    <n v="100000"/>
    <x v="0"/>
    <x v="0"/>
    <x v="4"/>
    <n v="3"/>
    <x v="0"/>
  </r>
  <r>
    <x v="1425"/>
    <x v="1425"/>
    <s v="Gita Syahputra"/>
    <x v="21"/>
    <x v="11"/>
    <n v="15000"/>
    <n v="1.4"/>
    <x v="1"/>
    <n v="21000"/>
    <n v="0"/>
    <n v="21000"/>
    <n v="59000"/>
    <n v="80000"/>
    <x v="1"/>
    <x v="0"/>
    <x v="0"/>
    <n v="5"/>
    <x v="0"/>
  </r>
  <r>
    <x v="1426"/>
    <x v="1426"/>
    <s v="Vina Fauziah"/>
    <x v="21"/>
    <x v="8"/>
    <n v="17500"/>
    <n v="2.2000000000000002"/>
    <x v="1"/>
    <n v="38500"/>
    <n v="0"/>
    <n v="38500"/>
    <n v="59000"/>
    <n v="97500"/>
    <x v="3"/>
    <x v="0"/>
    <x v="0"/>
    <n v="4"/>
    <x v="0"/>
  </r>
  <r>
    <x v="1427"/>
    <x v="1427"/>
    <s v="Lestari Syahputra"/>
    <x v="5"/>
    <x v="13"/>
    <n v="10000"/>
    <n v="0.7"/>
    <x v="1"/>
    <n v="7000"/>
    <n v="0"/>
    <n v="7000"/>
    <n v="18000"/>
    <n v="25000"/>
    <x v="3"/>
    <x v="1"/>
    <x v="0"/>
    <n v="5"/>
    <x v="0"/>
  </r>
  <r>
    <x v="1428"/>
    <x v="1428"/>
    <s v="Andi Iskandar"/>
    <x v="10"/>
    <x v="4"/>
    <n v="40000"/>
    <n v="1.4"/>
    <x v="1"/>
    <n v="56000"/>
    <n v="0"/>
    <n v="56000"/>
    <n v="87000"/>
    <n v="143000"/>
    <x v="2"/>
    <x v="0"/>
    <x v="2"/>
    <n v="2"/>
    <x v="1"/>
  </r>
  <r>
    <x v="1429"/>
    <x v="1429"/>
    <s v="Eka Hidayat"/>
    <x v="4"/>
    <x v="1"/>
    <n v="15000"/>
    <n v="0.6"/>
    <x v="1"/>
    <n v="9000"/>
    <n v="0"/>
    <n v="9000"/>
    <n v="43000"/>
    <n v="52000"/>
    <x v="1"/>
    <x v="0"/>
    <x v="3"/>
    <n v="3"/>
    <x v="0"/>
  </r>
  <r>
    <x v="1430"/>
    <x v="1430"/>
    <s v="Made Kusuma"/>
    <x v="20"/>
    <x v="9"/>
    <n v="46000"/>
    <n v="0.5"/>
    <x v="1"/>
    <n v="23000"/>
    <n v="0"/>
    <n v="23000"/>
    <n v="84000"/>
    <n v="107000"/>
    <x v="0"/>
    <x v="0"/>
    <x v="4"/>
    <n v="3"/>
    <x v="1"/>
  </r>
  <r>
    <x v="1431"/>
    <x v="1431"/>
    <s v="Qori Pradipta"/>
    <x v="7"/>
    <x v="1"/>
    <n v="15000"/>
    <n v="1"/>
    <x v="1"/>
    <n v="15000"/>
    <n v="0"/>
    <n v="15000"/>
    <n v="26000"/>
    <n v="41000"/>
    <x v="3"/>
    <x v="0"/>
    <x v="3"/>
    <n v="2"/>
    <x v="0"/>
  </r>
  <r>
    <x v="1432"/>
    <x v="1432"/>
    <s v="Lestari Wijaya"/>
    <x v="18"/>
    <x v="0"/>
    <n v="10000"/>
    <n v="1.4"/>
    <x v="1"/>
    <n v="14000"/>
    <n v="0"/>
    <n v="14000"/>
    <n v="0"/>
    <n v="14000"/>
    <x v="0"/>
    <x v="2"/>
    <x v="0"/>
    <n v="1"/>
    <x v="0"/>
  </r>
  <r>
    <x v="1433"/>
    <x v="1433"/>
    <s v="Hana Budiman"/>
    <x v="15"/>
    <x v="14"/>
    <n v="55000"/>
    <n v="0.5"/>
    <x v="1"/>
    <n v="27500"/>
    <n v="0"/>
    <n v="27500"/>
    <n v="97000"/>
    <n v="124500"/>
    <x v="3"/>
    <x v="0"/>
    <x v="4"/>
    <n v="2"/>
    <x v="0"/>
  </r>
  <r>
    <x v="1434"/>
    <x v="1434"/>
    <s v="Budi Wijaya"/>
    <x v="33"/>
    <x v="3"/>
    <n v="13500"/>
    <n v="1.4"/>
    <x v="1"/>
    <n v="18900"/>
    <n v="0"/>
    <n v="18900"/>
    <n v="80000"/>
    <n v="98900"/>
    <x v="0"/>
    <x v="1"/>
    <x v="4"/>
    <n v="4"/>
    <x v="1"/>
  </r>
  <r>
    <x v="1435"/>
    <x v="1435"/>
    <s v="Clara Ramadhani"/>
    <x v="29"/>
    <x v="1"/>
    <n v="15000"/>
    <n v="1.3"/>
    <x v="1"/>
    <n v="19500"/>
    <n v="0"/>
    <n v="19500"/>
    <n v="48000"/>
    <n v="67500"/>
    <x v="3"/>
    <x v="0"/>
    <x v="3"/>
    <n v="1"/>
    <x v="0"/>
  </r>
  <r>
    <x v="1436"/>
    <x v="1436"/>
    <s v="Lestari Santoso"/>
    <x v="34"/>
    <x v="4"/>
    <n v="40000"/>
    <n v="0.9"/>
    <x v="1"/>
    <n v="36000"/>
    <n v="0"/>
    <n v="36000"/>
    <n v="18000"/>
    <n v="54000"/>
    <x v="1"/>
    <x v="0"/>
    <x v="2"/>
    <n v="2"/>
    <x v="0"/>
  </r>
  <r>
    <x v="1437"/>
    <x v="1437"/>
    <s v="Zahra Nugroho"/>
    <x v="19"/>
    <x v="6"/>
    <n v="26000"/>
    <n v="1.6"/>
    <x v="1"/>
    <n v="41600"/>
    <n v="0"/>
    <n v="41600"/>
    <n v="78000"/>
    <n v="119600"/>
    <x v="1"/>
    <x v="0"/>
    <x v="2"/>
    <n v="4"/>
    <x v="0"/>
  </r>
  <r>
    <x v="1438"/>
    <x v="1438"/>
    <s v="Vina Puspita"/>
    <x v="16"/>
    <x v="10"/>
    <n v="45000"/>
    <n v="0.5"/>
    <x v="1"/>
    <n v="22500"/>
    <n v="0"/>
    <n v="22500"/>
    <n v="18000"/>
    <n v="40500"/>
    <x v="3"/>
    <x v="0"/>
    <x v="2"/>
    <n v="5"/>
    <x v="0"/>
  </r>
  <r>
    <x v="1439"/>
    <x v="1439"/>
    <s v="Lestari Budiman"/>
    <x v="14"/>
    <x v="2"/>
    <n v="20000"/>
    <n v="3.3"/>
    <x v="1"/>
    <n v="66000"/>
    <n v="0"/>
    <n v="66000"/>
    <n v="85000"/>
    <n v="151000"/>
    <x v="0"/>
    <x v="1"/>
    <x v="3"/>
    <n v="2"/>
    <x v="0"/>
  </r>
  <r>
    <x v="1440"/>
    <x v="1440"/>
    <s v="Yani Nugroho"/>
    <x v="1"/>
    <x v="13"/>
    <n v="10000"/>
    <n v="1"/>
    <x v="1"/>
    <n v="10000"/>
    <n v="0"/>
    <n v="10000"/>
    <n v="17000"/>
    <n v="27000"/>
    <x v="3"/>
    <x v="0"/>
    <x v="1"/>
    <n v="1"/>
    <x v="0"/>
  </r>
  <r>
    <x v="1441"/>
    <x v="1441"/>
    <s v="Indra Rahmawati"/>
    <x v="16"/>
    <x v="10"/>
    <n v="45000"/>
    <n v="1.7"/>
    <x v="1"/>
    <n v="76500"/>
    <n v="0"/>
    <n v="76500"/>
    <n v="18000"/>
    <n v="94500"/>
    <x v="2"/>
    <x v="0"/>
    <x v="3"/>
    <n v="2"/>
    <x v="1"/>
  </r>
  <r>
    <x v="1442"/>
    <x v="1442"/>
    <s v="Hendra Ramadhani"/>
    <x v="12"/>
    <x v="7"/>
    <n v="14000"/>
    <n v="1.6"/>
    <x v="1"/>
    <n v="22400"/>
    <n v="0"/>
    <n v="22400"/>
    <n v="30000"/>
    <n v="52400"/>
    <x v="2"/>
    <x v="0"/>
    <x v="4"/>
    <n v="1"/>
    <x v="1"/>
  </r>
  <r>
    <x v="1443"/>
    <x v="1443"/>
    <s v="Dewi Iskandar"/>
    <x v="5"/>
    <x v="15"/>
    <n v="10000"/>
    <n v="0.6"/>
    <x v="1"/>
    <n v="6000"/>
    <n v="0"/>
    <n v="6000"/>
    <n v="18000"/>
    <n v="24000"/>
    <x v="2"/>
    <x v="0"/>
    <x v="3"/>
    <n v="2"/>
    <x v="0"/>
  </r>
  <r>
    <x v="1444"/>
    <x v="1444"/>
    <s v="Indra Syahputra"/>
    <x v="2"/>
    <x v="13"/>
    <n v="10000"/>
    <n v="0.9"/>
    <x v="1"/>
    <n v="9000"/>
    <n v="0"/>
    <n v="9000"/>
    <n v="76000"/>
    <n v="85000"/>
    <x v="2"/>
    <x v="2"/>
    <x v="0"/>
    <n v="4"/>
    <x v="1"/>
  </r>
  <r>
    <x v="1445"/>
    <x v="1445"/>
    <s v="Fajar Budiman"/>
    <x v="9"/>
    <x v="10"/>
    <n v="45000"/>
    <n v="1"/>
    <x v="1"/>
    <n v="45000"/>
    <n v="0"/>
    <n v="45000"/>
    <n v="89000"/>
    <n v="134000"/>
    <x v="3"/>
    <x v="0"/>
    <x v="4"/>
    <n v="4"/>
    <x v="1"/>
  </r>
  <r>
    <x v="1446"/>
    <x v="1446"/>
    <s v="Aulia Santoso"/>
    <x v="32"/>
    <x v="0"/>
    <n v="10000"/>
    <n v="2.2000000000000002"/>
    <x v="1"/>
    <n v="22000"/>
    <n v="0"/>
    <n v="22000"/>
    <n v="28000"/>
    <n v="50000"/>
    <x v="2"/>
    <x v="0"/>
    <x v="3"/>
    <n v="3"/>
    <x v="0"/>
  </r>
  <r>
    <x v="1447"/>
    <x v="1447"/>
    <s v="Dewi Hidayat"/>
    <x v="16"/>
    <x v="10"/>
    <n v="45000"/>
    <n v="1.6"/>
    <x v="1"/>
    <n v="72000"/>
    <n v="0"/>
    <n v="72000"/>
    <n v="18000"/>
    <n v="90000"/>
    <x v="2"/>
    <x v="1"/>
    <x v="3"/>
    <n v="3"/>
    <x v="0"/>
  </r>
  <r>
    <x v="1447"/>
    <x v="1447"/>
    <s v="Dewi Hidayat"/>
    <x v="16"/>
    <x v="18"/>
    <n v="11000"/>
    <n v="1.5"/>
    <x v="1"/>
    <n v="16500"/>
    <n v="0"/>
    <n v="16500"/>
    <n v="0"/>
    <n v="16500"/>
    <x v="2"/>
    <x v="1"/>
    <x v="3"/>
    <n v="3"/>
    <x v="0"/>
  </r>
  <r>
    <x v="1448"/>
    <x v="1448"/>
    <s v="Zahra Puspita"/>
    <x v="19"/>
    <x v="17"/>
    <n v="12000"/>
    <n v="0.4"/>
    <x v="1"/>
    <n v="4800"/>
    <n v="0"/>
    <n v="4800"/>
    <n v="78000"/>
    <n v="82800"/>
    <x v="0"/>
    <x v="0"/>
    <x v="4"/>
    <n v="1"/>
    <x v="0"/>
  </r>
  <r>
    <x v="1449"/>
    <x v="1449"/>
    <s v="Nanda Setiawan"/>
    <x v="31"/>
    <x v="18"/>
    <n v="11000"/>
    <n v="1"/>
    <x v="1"/>
    <n v="11000"/>
    <n v="0"/>
    <n v="11000"/>
    <n v="87000"/>
    <n v="98000"/>
    <x v="1"/>
    <x v="0"/>
    <x v="2"/>
    <n v="2"/>
    <x v="1"/>
  </r>
  <r>
    <x v="1450"/>
    <x v="1450"/>
    <s v="Bella Rahmawati"/>
    <x v="8"/>
    <x v="10"/>
    <n v="45000"/>
    <n v="0.9"/>
    <x v="1"/>
    <n v="40500"/>
    <n v="0"/>
    <n v="40500"/>
    <n v="59000"/>
    <n v="99500"/>
    <x v="2"/>
    <x v="0"/>
    <x v="3"/>
    <n v="3"/>
    <x v="0"/>
  </r>
  <r>
    <x v="1451"/>
    <x v="1451"/>
    <s v="Eka Pradipta"/>
    <x v="18"/>
    <x v="13"/>
    <n v="10000"/>
    <n v="0.9"/>
    <x v="1"/>
    <n v="9000"/>
    <n v="0"/>
    <n v="9000"/>
    <n v="0"/>
    <n v="9000"/>
    <x v="1"/>
    <x v="0"/>
    <x v="4"/>
    <n v="2"/>
    <x v="0"/>
  </r>
  <r>
    <x v="1451"/>
    <x v="1451"/>
    <s v="Eka Pradipta"/>
    <x v="18"/>
    <x v="10"/>
    <n v="45000"/>
    <n v="1.6"/>
    <x v="1"/>
    <n v="72000"/>
    <n v="0"/>
    <n v="72000"/>
    <n v="0"/>
    <n v="72000"/>
    <x v="1"/>
    <x v="0"/>
    <x v="4"/>
    <n v="2"/>
    <x v="0"/>
  </r>
  <r>
    <x v="1452"/>
    <x v="1452"/>
    <s v="Aulia Iskandar"/>
    <x v="11"/>
    <x v="4"/>
    <n v="40000"/>
    <n v="0.4"/>
    <x v="1"/>
    <n v="16000"/>
    <n v="0"/>
    <n v="16000"/>
    <n v="74000"/>
    <n v="90000"/>
    <x v="2"/>
    <x v="1"/>
    <x v="4"/>
    <n v="4"/>
    <x v="0"/>
  </r>
  <r>
    <x v="1453"/>
    <x v="1453"/>
    <s v="Zahra Pradipta"/>
    <x v="9"/>
    <x v="17"/>
    <n v="12000"/>
    <n v="0.6"/>
    <x v="1"/>
    <n v="7200"/>
    <n v="0"/>
    <n v="7200"/>
    <n v="89000"/>
    <n v="96200"/>
    <x v="0"/>
    <x v="2"/>
    <x v="3"/>
    <n v="1"/>
    <x v="0"/>
  </r>
  <r>
    <x v="1454"/>
    <x v="1454"/>
    <s v="Ani Maulana"/>
    <x v="9"/>
    <x v="4"/>
    <n v="40000"/>
    <n v="1.1000000000000001"/>
    <x v="1"/>
    <n v="44000"/>
    <n v="0"/>
    <n v="44000"/>
    <n v="89000"/>
    <n v="133000"/>
    <x v="1"/>
    <x v="0"/>
    <x v="2"/>
    <n v="4"/>
    <x v="0"/>
  </r>
  <r>
    <x v="1455"/>
    <x v="1455"/>
    <s v="Citra Ananda"/>
    <x v="16"/>
    <x v="19"/>
    <n v="15500"/>
    <n v="0.3"/>
    <x v="1"/>
    <n v="4650"/>
    <n v="0"/>
    <n v="4650"/>
    <n v="18000"/>
    <n v="22650"/>
    <x v="1"/>
    <x v="0"/>
    <x v="3"/>
    <n v="5"/>
    <x v="0"/>
  </r>
  <r>
    <x v="1456"/>
    <x v="1456"/>
    <s v="Vina Budiman"/>
    <x v="4"/>
    <x v="7"/>
    <n v="14000"/>
    <n v="0.7"/>
    <x v="1"/>
    <n v="9800"/>
    <n v="0"/>
    <n v="9800"/>
    <n v="43000"/>
    <n v="52800"/>
    <x v="1"/>
    <x v="0"/>
    <x v="4"/>
    <n v="4"/>
    <x v="0"/>
  </r>
  <r>
    <x v="1456"/>
    <x v="1456"/>
    <s v="Vina Budiman"/>
    <x v="4"/>
    <x v="1"/>
    <n v="15000"/>
    <n v="0.5"/>
    <x v="1"/>
    <n v="7500"/>
    <n v="0"/>
    <n v="7500"/>
    <n v="0"/>
    <n v="7500"/>
    <x v="1"/>
    <x v="0"/>
    <x v="4"/>
    <n v="4"/>
    <x v="0"/>
  </r>
  <r>
    <x v="1457"/>
    <x v="1457"/>
    <s v="Hana Nugroho"/>
    <x v="11"/>
    <x v="16"/>
    <n v="115000"/>
    <n v="1"/>
    <x v="1"/>
    <n v="115000"/>
    <n v="0"/>
    <n v="115000"/>
    <n v="74000"/>
    <n v="189000"/>
    <x v="1"/>
    <x v="1"/>
    <x v="0"/>
    <n v="4"/>
    <x v="0"/>
  </r>
  <r>
    <x v="1458"/>
    <x v="1458"/>
    <s v="Rizky Ananda"/>
    <x v="10"/>
    <x v="10"/>
    <n v="45000"/>
    <n v="1.6"/>
    <x v="1"/>
    <n v="72000"/>
    <n v="0"/>
    <n v="72000"/>
    <n v="87000"/>
    <n v="159000"/>
    <x v="2"/>
    <x v="0"/>
    <x v="4"/>
    <n v="2"/>
    <x v="1"/>
  </r>
  <r>
    <x v="1459"/>
    <x v="1459"/>
    <s v="Made Setiawan"/>
    <x v="6"/>
    <x v="10"/>
    <n v="45000"/>
    <n v="1"/>
    <x v="1"/>
    <n v="45000"/>
    <n v="0"/>
    <n v="45000"/>
    <n v="80000"/>
    <n v="125000"/>
    <x v="2"/>
    <x v="1"/>
    <x v="3"/>
    <n v="5"/>
    <x v="1"/>
  </r>
  <r>
    <x v="1460"/>
    <x v="1460"/>
    <s v="Vina Kurniawan"/>
    <x v="19"/>
    <x v="11"/>
    <n v="15000"/>
    <n v="1.6"/>
    <x v="1"/>
    <n v="24000"/>
    <n v="0"/>
    <n v="24000"/>
    <n v="78000"/>
    <n v="102000"/>
    <x v="2"/>
    <x v="0"/>
    <x v="2"/>
    <n v="1"/>
    <x v="0"/>
  </r>
  <r>
    <x v="1461"/>
    <x v="1461"/>
    <s v="Vina Kurniawan"/>
    <x v="19"/>
    <x v="10"/>
    <n v="45000"/>
    <n v="1.7"/>
    <x v="1"/>
    <n v="76500"/>
    <n v="0"/>
    <n v="76500"/>
    <n v="78000"/>
    <n v="154500"/>
    <x v="2"/>
    <x v="0"/>
    <x v="3"/>
    <n v="2"/>
    <x v="0"/>
  </r>
  <r>
    <x v="1462"/>
    <x v="1462"/>
    <s v="Qori Utami"/>
    <x v="30"/>
    <x v="18"/>
    <n v="11000"/>
    <n v="2.2000000000000002"/>
    <x v="1"/>
    <n v="24200.000000000004"/>
    <n v="0"/>
    <n v="24200.000000000004"/>
    <n v="57000"/>
    <n v="81200"/>
    <x v="0"/>
    <x v="0"/>
    <x v="4"/>
    <n v="2"/>
    <x v="0"/>
  </r>
  <r>
    <x v="1463"/>
    <x v="1463"/>
    <s v="Yani Hidayat"/>
    <x v="33"/>
    <x v="9"/>
    <n v="46000"/>
    <n v="1"/>
    <x v="1"/>
    <n v="46000"/>
    <n v="0"/>
    <n v="46000"/>
    <n v="80000"/>
    <n v="126000"/>
    <x v="3"/>
    <x v="0"/>
    <x v="1"/>
    <n v="5"/>
    <x v="0"/>
  </r>
  <r>
    <x v="1464"/>
    <x v="1464"/>
    <s v="Aulia Budiman"/>
    <x v="15"/>
    <x v="10"/>
    <n v="45000"/>
    <n v="1.4"/>
    <x v="1"/>
    <n v="62999.999999999993"/>
    <n v="0"/>
    <n v="62999.999999999993"/>
    <n v="97000"/>
    <n v="160000"/>
    <x v="2"/>
    <x v="1"/>
    <x v="2"/>
    <n v="4"/>
    <x v="0"/>
  </r>
  <r>
    <x v="1465"/>
    <x v="1465"/>
    <s v="Putri Hidayat"/>
    <x v="24"/>
    <x v="13"/>
    <n v="10000"/>
    <n v="0.6"/>
    <x v="1"/>
    <n v="6000"/>
    <n v="0"/>
    <n v="6000"/>
    <n v="68000"/>
    <n v="74000"/>
    <x v="1"/>
    <x v="0"/>
    <x v="4"/>
    <n v="1"/>
    <x v="0"/>
  </r>
  <r>
    <x v="1466"/>
    <x v="1466"/>
    <s v="Wahyu Santoso"/>
    <x v="34"/>
    <x v="15"/>
    <n v="10000"/>
    <n v="0.8"/>
    <x v="1"/>
    <n v="8000"/>
    <n v="0"/>
    <n v="8000"/>
    <n v="18000"/>
    <n v="26000"/>
    <x v="2"/>
    <x v="0"/>
    <x v="2"/>
    <n v="4"/>
    <x v="1"/>
  </r>
  <r>
    <x v="1466"/>
    <x v="1466"/>
    <s v="Wahyu Santoso"/>
    <x v="34"/>
    <x v="5"/>
    <n v="10500"/>
    <n v="3.5"/>
    <x v="1"/>
    <n v="36750"/>
    <n v="0"/>
    <n v="36750"/>
    <n v="0"/>
    <n v="36750"/>
    <x v="2"/>
    <x v="0"/>
    <x v="2"/>
    <n v="4"/>
    <x v="1"/>
  </r>
  <r>
    <x v="1467"/>
    <x v="1467"/>
    <s v="Yani Hidayat"/>
    <x v="33"/>
    <x v="14"/>
    <n v="55000"/>
    <n v="0.8"/>
    <x v="1"/>
    <n v="44000"/>
    <n v="0"/>
    <n v="44000"/>
    <n v="80000"/>
    <n v="124000"/>
    <x v="3"/>
    <x v="0"/>
    <x v="1"/>
    <n v="1"/>
    <x v="0"/>
  </r>
  <r>
    <x v="1468"/>
    <x v="1468"/>
    <s v="Dewi Halim"/>
    <x v="29"/>
    <x v="7"/>
    <n v="14000"/>
    <n v="0.7"/>
    <x v="1"/>
    <n v="9800"/>
    <n v="0"/>
    <n v="9800"/>
    <n v="48000"/>
    <n v="57800"/>
    <x v="0"/>
    <x v="0"/>
    <x v="2"/>
    <n v="1"/>
    <x v="0"/>
  </r>
  <r>
    <x v="1469"/>
    <x v="1469"/>
    <s v="Erna Hidayat"/>
    <x v="32"/>
    <x v="8"/>
    <n v="17500"/>
    <n v="1.6"/>
    <x v="1"/>
    <n v="28000"/>
    <n v="0"/>
    <n v="28000"/>
    <n v="28000"/>
    <n v="56000"/>
    <x v="0"/>
    <x v="0"/>
    <x v="2"/>
    <n v="5"/>
    <x v="0"/>
  </r>
  <r>
    <x v="1470"/>
    <x v="1470"/>
    <s v="Nanda Utami"/>
    <x v="3"/>
    <x v="7"/>
    <n v="14000"/>
    <n v="1.5"/>
    <x v="1"/>
    <n v="21000"/>
    <n v="0"/>
    <n v="21000"/>
    <n v="93000"/>
    <n v="114000"/>
    <x v="0"/>
    <x v="0"/>
    <x v="1"/>
    <n v="2"/>
    <x v="1"/>
  </r>
  <r>
    <x v="1471"/>
    <x v="1471"/>
    <s v="Erna Santoso"/>
    <x v="4"/>
    <x v="4"/>
    <n v="40000"/>
    <n v="0.4"/>
    <x v="1"/>
    <n v="16000"/>
    <n v="0"/>
    <n v="16000"/>
    <n v="43000"/>
    <n v="59000"/>
    <x v="3"/>
    <x v="1"/>
    <x v="1"/>
    <n v="1"/>
    <x v="0"/>
  </r>
  <r>
    <x v="1472"/>
    <x v="1472"/>
    <s v="Dina Ananda"/>
    <x v="2"/>
    <x v="15"/>
    <n v="10000"/>
    <n v="1"/>
    <x v="1"/>
    <n v="10000"/>
    <n v="0"/>
    <n v="10000"/>
    <n v="76000"/>
    <n v="86000"/>
    <x v="2"/>
    <x v="1"/>
    <x v="2"/>
    <n v="2"/>
    <x v="0"/>
  </r>
  <r>
    <x v="1473"/>
    <x v="1473"/>
    <s v="Joko Nugroho"/>
    <x v="32"/>
    <x v="18"/>
    <n v="11000"/>
    <n v="1.8"/>
    <x v="1"/>
    <n v="19800"/>
    <n v="0"/>
    <n v="19800"/>
    <n v="28000"/>
    <n v="47800"/>
    <x v="0"/>
    <x v="0"/>
    <x v="4"/>
    <n v="5"/>
    <x v="1"/>
  </r>
  <r>
    <x v="1474"/>
    <x v="1474"/>
    <s v="Citra Hidayat"/>
    <x v="21"/>
    <x v="9"/>
    <n v="46000"/>
    <n v="0.5"/>
    <x v="1"/>
    <n v="23000"/>
    <n v="0"/>
    <n v="23000"/>
    <n v="59000"/>
    <n v="82000"/>
    <x v="3"/>
    <x v="0"/>
    <x v="0"/>
    <n v="4"/>
    <x v="0"/>
  </r>
  <r>
    <x v="1475"/>
    <x v="1475"/>
    <s v="Erna Hidayat"/>
    <x v="32"/>
    <x v="4"/>
    <n v="40000"/>
    <n v="1.1000000000000001"/>
    <x v="1"/>
    <n v="44000"/>
    <n v="0"/>
    <n v="44000"/>
    <n v="28000"/>
    <n v="72000"/>
    <x v="0"/>
    <x v="0"/>
    <x v="1"/>
    <n v="5"/>
    <x v="0"/>
  </r>
  <r>
    <x v="1476"/>
    <x v="1476"/>
    <s v="Lestari Kusuma"/>
    <x v="22"/>
    <x v="17"/>
    <n v="12000"/>
    <n v="1.2"/>
    <x v="1"/>
    <n v="14400"/>
    <n v="0"/>
    <n v="14400"/>
    <n v="50000"/>
    <n v="64400"/>
    <x v="2"/>
    <x v="0"/>
    <x v="4"/>
    <n v="5"/>
    <x v="0"/>
  </r>
  <r>
    <x v="1477"/>
    <x v="1477"/>
    <s v="Clara Puspita"/>
    <x v="35"/>
    <x v="13"/>
    <n v="10000"/>
    <n v="0.6"/>
    <x v="1"/>
    <n v="6000"/>
    <n v="0"/>
    <n v="6000"/>
    <n v="79000"/>
    <n v="85000"/>
    <x v="0"/>
    <x v="0"/>
    <x v="1"/>
    <n v="1"/>
    <x v="0"/>
  </r>
  <r>
    <x v="1478"/>
    <x v="1478"/>
    <s v="Vina Kurniawan"/>
    <x v="19"/>
    <x v="1"/>
    <n v="15000"/>
    <n v="1.2"/>
    <x v="1"/>
    <n v="18000"/>
    <n v="0"/>
    <n v="18000"/>
    <n v="78000"/>
    <n v="96000"/>
    <x v="1"/>
    <x v="0"/>
    <x v="4"/>
    <n v="1"/>
    <x v="0"/>
  </r>
  <r>
    <x v="1479"/>
    <x v="1479"/>
    <s v="Vina Hidayat"/>
    <x v="9"/>
    <x v="3"/>
    <n v="13500"/>
    <n v="1.1000000000000001"/>
    <x v="1"/>
    <n v="14850.000000000002"/>
    <n v="0"/>
    <n v="14850.000000000002"/>
    <n v="89000"/>
    <n v="103850"/>
    <x v="2"/>
    <x v="1"/>
    <x v="4"/>
    <n v="2"/>
    <x v="0"/>
  </r>
  <r>
    <x v="1480"/>
    <x v="1480"/>
    <s v="Andi Iskandar"/>
    <x v="10"/>
    <x v="11"/>
    <n v="15000"/>
    <n v="2.6"/>
    <x v="1"/>
    <n v="39000"/>
    <n v="0"/>
    <n v="39000"/>
    <n v="87000"/>
    <n v="126000"/>
    <x v="2"/>
    <x v="1"/>
    <x v="2"/>
    <n v="4"/>
    <x v="1"/>
  </r>
  <r>
    <x v="1481"/>
    <x v="1481"/>
    <s v="Erna Utami"/>
    <x v="10"/>
    <x v="16"/>
    <n v="115000"/>
    <n v="1"/>
    <x v="1"/>
    <n v="115000"/>
    <n v="0"/>
    <n v="115000"/>
    <n v="87000"/>
    <n v="202000"/>
    <x v="2"/>
    <x v="1"/>
    <x v="2"/>
    <n v="4"/>
    <x v="0"/>
  </r>
  <r>
    <x v="1482"/>
    <x v="1482"/>
    <s v="Clara Hidayat"/>
    <x v="26"/>
    <x v="11"/>
    <n v="15000"/>
    <n v="1.4"/>
    <x v="1"/>
    <n v="21000"/>
    <n v="0"/>
    <n v="21000"/>
    <n v="46000"/>
    <n v="67000"/>
    <x v="2"/>
    <x v="0"/>
    <x v="4"/>
    <n v="5"/>
    <x v="0"/>
  </r>
  <r>
    <x v="1483"/>
    <x v="1483"/>
    <s v="Zahra Maulana"/>
    <x v="0"/>
    <x v="3"/>
    <n v="13500"/>
    <n v="1.4"/>
    <x v="1"/>
    <n v="18900"/>
    <n v="0"/>
    <n v="18900"/>
    <n v="15000"/>
    <n v="33900"/>
    <x v="3"/>
    <x v="0"/>
    <x v="2"/>
    <n v="1"/>
    <x v="0"/>
  </r>
  <r>
    <x v="1484"/>
    <x v="1484"/>
    <s v="Ani Fauziah"/>
    <x v="15"/>
    <x v="18"/>
    <n v="11000"/>
    <n v="2.8"/>
    <x v="1"/>
    <n v="30799.999999999996"/>
    <n v="0"/>
    <n v="30799.999999999996"/>
    <n v="97000"/>
    <n v="127800"/>
    <x v="1"/>
    <x v="0"/>
    <x v="4"/>
    <n v="2"/>
    <x v="0"/>
  </r>
  <r>
    <x v="1485"/>
    <x v="1485"/>
    <s v="Yani Saputra"/>
    <x v="12"/>
    <x v="12"/>
    <n v="9500"/>
    <n v="1.9"/>
    <x v="1"/>
    <n v="18050"/>
    <n v="0"/>
    <n v="18050"/>
    <n v="30000"/>
    <n v="48050"/>
    <x v="0"/>
    <x v="0"/>
    <x v="0"/>
    <n v="3"/>
    <x v="0"/>
  </r>
  <r>
    <x v="1486"/>
    <x v="1486"/>
    <s v="Fitri Budiman"/>
    <x v="16"/>
    <x v="15"/>
    <n v="10000"/>
    <n v="0.8"/>
    <x v="1"/>
    <n v="8000"/>
    <n v="0"/>
    <n v="8000"/>
    <n v="18000"/>
    <n v="26000"/>
    <x v="2"/>
    <x v="0"/>
    <x v="0"/>
    <n v="5"/>
    <x v="0"/>
  </r>
  <r>
    <x v="1486"/>
    <x v="1486"/>
    <s v="Fitri Budiman"/>
    <x v="16"/>
    <x v="8"/>
    <n v="17500"/>
    <n v="3.8"/>
    <x v="1"/>
    <n v="66500"/>
    <n v="0"/>
    <n v="66500"/>
    <n v="0"/>
    <n v="66500"/>
    <x v="2"/>
    <x v="0"/>
    <x v="0"/>
    <n v="5"/>
    <x v="0"/>
  </r>
  <r>
    <x v="1487"/>
    <x v="1487"/>
    <s v="Erna Kurniawan"/>
    <x v="7"/>
    <x v="2"/>
    <n v="20000"/>
    <n v="2.1"/>
    <x v="1"/>
    <n v="42000"/>
    <n v="0"/>
    <n v="42000"/>
    <n v="26000"/>
    <n v="68000"/>
    <x v="0"/>
    <x v="0"/>
    <x v="4"/>
    <n v="4"/>
    <x v="0"/>
  </r>
  <r>
    <x v="1488"/>
    <x v="1488"/>
    <s v="Clara Utami"/>
    <x v="34"/>
    <x v="2"/>
    <n v="20000"/>
    <n v="2.4"/>
    <x v="1"/>
    <n v="48000"/>
    <n v="0"/>
    <n v="48000"/>
    <n v="18000"/>
    <n v="66000"/>
    <x v="1"/>
    <x v="1"/>
    <x v="3"/>
    <n v="1"/>
    <x v="0"/>
  </r>
  <r>
    <x v="1489"/>
    <x v="1489"/>
    <s v="Hendra Syahputra"/>
    <x v="0"/>
    <x v="15"/>
    <n v="10000"/>
    <n v="0.9"/>
    <x v="1"/>
    <n v="9000"/>
    <n v="0"/>
    <n v="9000"/>
    <n v="15000"/>
    <n v="24000"/>
    <x v="2"/>
    <x v="0"/>
    <x v="3"/>
    <n v="5"/>
    <x v="1"/>
  </r>
  <r>
    <x v="1490"/>
    <x v="1490"/>
    <s v="Vina Budiman"/>
    <x v="4"/>
    <x v="19"/>
    <n v="15500"/>
    <n v="0.3"/>
    <x v="1"/>
    <n v="4650"/>
    <n v="0"/>
    <n v="4650"/>
    <n v="43000"/>
    <n v="47650"/>
    <x v="0"/>
    <x v="1"/>
    <x v="2"/>
    <n v="1"/>
    <x v="0"/>
  </r>
  <r>
    <x v="1491"/>
    <x v="1491"/>
    <s v="Zahra Hidayat"/>
    <x v="9"/>
    <x v="19"/>
    <n v="15500"/>
    <n v="0.5"/>
    <x v="1"/>
    <n v="7750"/>
    <n v="0"/>
    <n v="7750"/>
    <n v="89000"/>
    <n v="96750"/>
    <x v="1"/>
    <x v="1"/>
    <x v="3"/>
    <n v="4"/>
    <x v="0"/>
  </r>
  <r>
    <x v="1491"/>
    <x v="1491"/>
    <s v="Zahra Hidayat"/>
    <x v="9"/>
    <x v="4"/>
    <n v="40000"/>
    <n v="0.6"/>
    <x v="1"/>
    <n v="24000"/>
    <n v="0"/>
    <n v="24000"/>
    <n v="0"/>
    <n v="24000"/>
    <x v="1"/>
    <x v="1"/>
    <x v="3"/>
    <n v="4"/>
    <x v="0"/>
  </r>
  <r>
    <x v="1492"/>
    <x v="1492"/>
    <s v="Sari Halim"/>
    <x v="23"/>
    <x v="0"/>
    <n v="10000"/>
    <n v="1.6"/>
    <x v="1"/>
    <n v="16000"/>
    <n v="0"/>
    <n v="16000"/>
    <n v="55000"/>
    <n v="71000"/>
    <x v="1"/>
    <x v="0"/>
    <x v="0"/>
    <n v="1"/>
    <x v="0"/>
  </r>
  <r>
    <x v="1493"/>
    <x v="1493"/>
    <s v="Dewi Fauziah"/>
    <x v="4"/>
    <x v="19"/>
    <n v="15500"/>
    <n v="0.3"/>
    <x v="1"/>
    <n v="4650"/>
    <n v="0"/>
    <n v="4650"/>
    <n v="43000"/>
    <n v="47650"/>
    <x v="0"/>
    <x v="0"/>
    <x v="2"/>
    <n v="3"/>
    <x v="0"/>
  </r>
  <r>
    <x v="1494"/>
    <x v="1494"/>
    <s v="Ani Utami"/>
    <x v="23"/>
    <x v="6"/>
    <n v="26000"/>
    <n v="0.6"/>
    <x v="1"/>
    <n v="15600"/>
    <n v="0"/>
    <n v="15600"/>
    <n v="55000"/>
    <n v="70600"/>
    <x v="2"/>
    <x v="1"/>
    <x v="1"/>
    <n v="3"/>
    <x v="0"/>
  </r>
  <r>
    <x v="1495"/>
    <x v="1495"/>
    <s v="Dina Setiawan"/>
    <x v="26"/>
    <x v="7"/>
    <n v="14000"/>
    <n v="1.6"/>
    <x v="1"/>
    <n v="22400"/>
    <n v="0"/>
    <n v="22400"/>
    <n v="46000"/>
    <n v="68400"/>
    <x v="1"/>
    <x v="0"/>
    <x v="3"/>
    <n v="5"/>
    <x v="0"/>
  </r>
  <r>
    <x v="1496"/>
    <x v="1496"/>
    <s v="Dewi Santoso"/>
    <x v="26"/>
    <x v="5"/>
    <n v="10500"/>
    <n v="3.3"/>
    <x v="1"/>
    <n v="34650"/>
    <n v="0"/>
    <n v="34650"/>
    <n v="46000"/>
    <n v="80650"/>
    <x v="3"/>
    <x v="0"/>
    <x v="0"/>
    <n v="4"/>
    <x v="0"/>
  </r>
  <r>
    <x v="1497"/>
    <x v="1497"/>
    <s v="Clara Ramadhani"/>
    <x v="29"/>
    <x v="7"/>
    <n v="14000"/>
    <n v="1.4"/>
    <x v="1"/>
    <n v="19600"/>
    <n v="0"/>
    <n v="19600"/>
    <n v="48000"/>
    <n v="67600"/>
    <x v="2"/>
    <x v="0"/>
    <x v="3"/>
    <n v="3"/>
    <x v="0"/>
  </r>
  <r>
    <x v="1498"/>
    <x v="1498"/>
    <s v="Wahyu Fauziah"/>
    <x v="35"/>
    <x v="0"/>
    <n v="10000"/>
    <n v="1.3"/>
    <x v="1"/>
    <n v="13000"/>
    <n v="0"/>
    <n v="13000"/>
    <n v="79000"/>
    <n v="92000"/>
    <x v="3"/>
    <x v="1"/>
    <x v="2"/>
    <n v="4"/>
    <x v="1"/>
  </r>
  <r>
    <x v="1499"/>
    <x v="1499"/>
    <s v="Eka Kusuma"/>
    <x v="14"/>
    <x v="11"/>
    <n v="15000"/>
    <n v="1.5"/>
    <x v="1"/>
    <n v="22500"/>
    <n v="0"/>
    <n v="22500"/>
    <n v="85000"/>
    <n v="107500"/>
    <x v="3"/>
    <x v="1"/>
    <x v="2"/>
    <n v="5"/>
    <x v="0"/>
  </r>
  <r>
    <x v="1500"/>
    <x v="1500"/>
    <s v="Gita Halim"/>
    <x v="5"/>
    <x v="16"/>
    <n v="115000"/>
    <n v="1.4"/>
    <x v="1"/>
    <n v="161000"/>
    <n v="0"/>
    <n v="161000"/>
    <n v="18000"/>
    <n v="179000"/>
    <x v="3"/>
    <x v="0"/>
    <x v="1"/>
    <n v="3"/>
    <x v="0"/>
  </r>
  <r>
    <x v="1501"/>
    <x v="1501"/>
    <s v="Sari Kurniawan"/>
    <x v="35"/>
    <x v="19"/>
    <n v="15500"/>
    <n v="0.4"/>
    <x v="1"/>
    <n v="6200"/>
    <n v="0"/>
    <n v="6200"/>
    <n v="79000"/>
    <n v="85200"/>
    <x v="3"/>
    <x v="0"/>
    <x v="3"/>
    <n v="2"/>
    <x v="0"/>
  </r>
  <r>
    <x v="1502"/>
    <x v="1502"/>
    <s v="Erna Santoso"/>
    <x v="4"/>
    <x v="18"/>
    <n v="11000"/>
    <n v="2.5"/>
    <x v="1"/>
    <n v="27500"/>
    <n v="0"/>
    <n v="27500"/>
    <n v="43000"/>
    <n v="70500"/>
    <x v="2"/>
    <x v="0"/>
    <x v="2"/>
    <n v="4"/>
    <x v="0"/>
  </r>
  <r>
    <x v="1503"/>
    <x v="1503"/>
    <s v="Hana Santoso"/>
    <x v="0"/>
    <x v="7"/>
    <n v="14000"/>
    <n v="0.6"/>
    <x v="1"/>
    <n v="8400"/>
    <n v="0"/>
    <n v="8400"/>
    <n v="15000"/>
    <n v="23400"/>
    <x v="2"/>
    <x v="0"/>
    <x v="4"/>
    <n v="4"/>
    <x v="0"/>
  </r>
  <r>
    <x v="1504"/>
    <x v="1504"/>
    <s v="Ani Maulana"/>
    <x v="9"/>
    <x v="3"/>
    <n v="13500"/>
    <n v="1.9"/>
    <x v="1"/>
    <n v="25650"/>
    <n v="0"/>
    <n v="25650"/>
    <n v="89000"/>
    <n v="114650"/>
    <x v="0"/>
    <x v="0"/>
    <x v="4"/>
    <n v="3"/>
    <x v="0"/>
  </r>
  <r>
    <x v="1505"/>
    <x v="1505"/>
    <s v="Fajar Fauziah"/>
    <x v="24"/>
    <x v="18"/>
    <n v="11000"/>
    <n v="0.6"/>
    <x v="1"/>
    <n v="6600"/>
    <n v="0"/>
    <n v="6600"/>
    <n v="68000"/>
    <n v="74600"/>
    <x v="1"/>
    <x v="0"/>
    <x v="3"/>
    <n v="2"/>
    <x v="1"/>
  </r>
  <r>
    <x v="1506"/>
    <x v="1506"/>
    <s v="Lestari Puspita"/>
    <x v="19"/>
    <x v="4"/>
    <n v="40000"/>
    <n v="0.6"/>
    <x v="1"/>
    <n v="24000"/>
    <n v="0"/>
    <n v="24000"/>
    <n v="78000"/>
    <n v="102000"/>
    <x v="0"/>
    <x v="0"/>
    <x v="0"/>
    <n v="3"/>
    <x v="0"/>
  </r>
  <r>
    <x v="1507"/>
    <x v="1507"/>
    <s v="Kartika Saputra"/>
    <x v="37"/>
    <x v="19"/>
    <n v="15500"/>
    <n v="0.5"/>
    <x v="1"/>
    <n v="7750"/>
    <n v="0"/>
    <n v="7750"/>
    <n v="67000"/>
    <n v="74750"/>
    <x v="0"/>
    <x v="0"/>
    <x v="0"/>
    <n v="3"/>
    <x v="0"/>
  </r>
  <r>
    <x v="1508"/>
    <x v="1508"/>
    <s v="Dewi Kusuma"/>
    <x v="11"/>
    <x v="13"/>
    <n v="10000"/>
    <n v="0.8"/>
    <x v="1"/>
    <n v="8000"/>
    <n v="0"/>
    <n v="8000"/>
    <n v="74000"/>
    <n v="82000"/>
    <x v="1"/>
    <x v="1"/>
    <x v="0"/>
    <n v="4"/>
    <x v="0"/>
  </r>
  <r>
    <x v="1509"/>
    <x v="1509"/>
    <s v="Budi Hidayat"/>
    <x v="0"/>
    <x v="2"/>
    <n v="20000"/>
    <n v="2.7"/>
    <x v="1"/>
    <n v="54000"/>
    <n v="0"/>
    <n v="54000"/>
    <n v="15000"/>
    <n v="69000"/>
    <x v="2"/>
    <x v="0"/>
    <x v="2"/>
    <n v="2"/>
    <x v="1"/>
  </r>
  <r>
    <x v="1510"/>
    <x v="1510"/>
    <s v="Gita Halim"/>
    <x v="5"/>
    <x v="9"/>
    <n v="46000"/>
    <n v="0.9"/>
    <x v="1"/>
    <n v="41400"/>
    <n v="0"/>
    <n v="41400"/>
    <n v="18000"/>
    <n v="59400"/>
    <x v="1"/>
    <x v="0"/>
    <x v="1"/>
    <n v="1"/>
    <x v="0"/>
  </r>
  <r>
    <x v="1511"/>
    <x v="1511"/>
    <s v="Qori Utami"/>
    <x v="30"/>
    <x v="8"/>
    <n v="17500"/>
    <n v="1.4"/>
    <x v="1"/>
    <n v="24500"/>
    <n v="0"/>
    <n v="24500"/>
    <n v="57000"/>
    <n v="81500"/>
    <x v="3"/>
    <x v="0"/>
    <x v="2"/>
    <n v="4"/>
    <x v="0"/>
  </r>
  <r>
    <x v="1512"/>
    <x v="1512"/>
    <s v="Sari Pradipta"/>
    <x v="5"/>
    <x v="19"/>
    <n v="15500"/>
    <n v="0.8"/>
    <x v="1"/>
    <n v="12400"/>
    <n v="0"/>
    <n v="12400"/>
    <n v="18000"/>
    <n v="30400"/>
    <x v="0"/>
    <x v="0"/>
    <x v="2"/>
    <n v="2"/>
    <x v="0"/>
  </r>
  <r>
    <x v="1513"/>
    <x v="1513"/>
    <s v="Dewi Kurniawan"/>
    <x v="2"/>
    <x v="9"/>
    <n v="46000"/>
    <n v="0.5"/>
    <x v="1"/>
    <n v="23000"/>
    <n v="0"/>
    <n v="23000"/>
    <n v="76000"/>
    <n v="99000"/>
    <x v="3"/>
    <x v="1"/>
    <x v="2"/>
    <n v="4"/>
    <x v="0"/>
  </r>
  <r>
    <x v="1514"/>
    <x v="1514"/>
    <s v="Sari Puspita"/>
    <x v="15"/>
    <x v="9"/>
    <n v="46000"/>
    <n v="0.6"/>
    <x v="1"/>
    <n v="27600"/>
    <n v="0"/>
    <n v="27600"/>
    <n v="97000"/>
    <n v="124600"/>
    <x v="1"/>
    <x v="0"/>
    <x v="4"/>
    <n v="1"/>
    <x v="0"/>
  </r>
  <r>
    <x v="1515"/>
    <x v="1515"/>
    <s v="Kartika Ananda"/>
    <x v="13"/>
    <x v="8"/>
    <n v="17500"/>
    <n v="2.8"/>
    <x v="1"/>
    <n v="49000"/>
    <n v="0"/>
    <n v="49000"/>
    <n v="49000"/>
    <n v="98000"/>
    <x v="2"/>
    <x v="0"/>
    <x v="0"/>
    <n v="2"/>
    <x v="0"/>
  </r>
  <r>
    <x v="1515"/>
    <x v="1515"/>
    <s v="Kartika Ananda"/>
    <x v="13"/>
    <x v="19"/>
    <n v="15500"/>
    <n v="0.5"/>
    <x v="1"/>
    <n v="7750"/>
    <n v="0"/>
    <n v="7750"/>
    <n v="0"/>
    <n v="7750"/>
    <x v="2"/>
    <x v="0"/>
    <x v="0"/>
    <n v="2"/>
    <x v="0"/>
  </r>
  <r>
    <x v="1516"/>
    <x v="1516"/>
    <s v="Arif Maulana"/>
    <x v="15"/>
    <x v="11"/>
    <n v="15000"/>
    <n v="1.1000000000000001"/>
    <x v="1"/>
    <n v="16500"/>
    <n v="0"/>
    <n v="16500"/>
    <n v="97000"/>
    <n v="113500"/>
    <x v="1"/>
    <x v="1"/>
    <x v="1"/>
    <n v="2"/>
    <x v="1"/>
  </r>
  <r>
    <x v="1517"/>
    <x v="1517"/>
    <s v="Erna Maulana"/>
    <x v="31"/>
    <x v="18"/>
    <n v="11000"/>
    <n v="3"/>
    <x v="1"/>
    <n v="33000"/>
    <n v="0"/>
    <n v="33000"/>
    <n v="87000"/>
    <n v="120000"/>
    <x v="0"/>
    <x v="0"/>
    <x v="1"/>
    <n v="1"/>
    <x v="0"/>
  </r>
  <r>
    <x v="1518"/>
    <x v="1518"/>
    <s v="Dewi Wijaya"/>
    <x v="12"/>
    <x v="16"/>
    <n v="115000"/>
    <n v="0.4"/>
    <x v="1"/>
    <n v="46000"/>
    <n v="0"/>
    <n v="46000"/>
    <n v="30000"/>
    <n v="76000"/>
    <x v="2"/>
    <x v="0"/>
    <x v="4"/>
    <n v="4"/>
    <x v="0"/>
  </r>
  <r>
    <x v="1519"/>
    <x v="1519"/>
    <s v="Erna Setiawan"/>
    <x v="6"/>
    <x v="14"/>
    <n v="55000"/>
    <n v="1"/>
    <x v="1"/>
    <n v="55000"/>
    <n v="0"/>
    <n v="55000"/>
    <n v="80000"/>
    <n v="135000"/>
    <x v="3"/>
    <x v="0"/>
    <x v="3"/>
    <n v="4"/>
    <x v="0"/>
  </r>
  <r>
    <x v="1520"/>
    <x v="1520"/>
    <s v="Erna Wijaya"/>
    <x v="32"/>
    <x v="15"/>
    <n v="10000"/>
    <n v="0.6"/>
    <x v="1"/>
    <n v="6000"/>
    <n v="0"/>
    <n v="6000"/>
    <n v="28000"/>
    <n v="34000"/>
    <x v="2"/>
    <x v="0"/>
    <x v="3"/>
    <n v="2"/>
    <x v="0"/>
  </r>
  <r>
    <x v="1521"/>
    <x v="1521"/>
    <s v="Clara Kusuma"/>
    <x v="15"/>
    <x v="11"/>
    <n v="15000"/>
    <n v="1.7"/>
    <x v="1"/>
    <n v="25500"/>
    <n v="0"/>
    <n v="25500"/>
    <n v="97000"/>
    <n v="122500"/>
    <x v="3"/>
    <x v="0"/>
    <x v="1"/>
    <n v="5"/>
    <x v="0"/>
  </r>
  <r>
    <x v="1522"/>
    <x v="1522"/>
    <s v="Indra Puspita"/>
    <x v="27"/>
    <x v="12"/>
    <n v="9500"/>
    <n v="1.3"/>
    <x v="1"/>
    <n v="12350"/>
    <n v="0"/>
    <n v="12350"/>
    <n v="49000"/>
    <n v="61350"/>
    <x v="1"/>
    <x v="0"/>
    <x v="2"/>
    <n v="1"/>
    <x v="1"/>
  </r>
  <r>
    <x v="1523"/>
    <x v="1523"/>
    <s v="Yoga Utami"/>
    <x v="23"/>
    <x v="0"/>
    <n v="10000"/>
    <n v="2.1"/>
    <x v="1"/>
    <n v="21000"/>
    <n v="0"/>
    <n v="21000"/>
    <n v="55000"/>
    <n v="76000"/>
    <x v="2"/>
    <x v="0"/>
    <x v="0"/>
    <n v="2"/>
    <x v="1"/>
  </r>
  <r>
    <x v="1524"/>
    <x v="1524"/>
    <s v="Clara Kusuma"/>
    <x v="15"/>
    <x v="16"/>
    <n v="115000"/>
    <n v="1.2"/>
    <x v="1"/>
    <n v="138000"/>
    <n v="0"/>
    <n v="138000"/>
    <n v="97000"/>
    <n v="235000"/>
    <x v="1"/>
    <x v="0"/>
    <x v="3"/>
    <n v="2"/>
    <x v="0"/>
  </r>
  <r>
    <x v="1525"/>
    <x v="1525"/>
    <s v="Iwan Maulana"/>
    <x v="14"/>
    <x v="2"/>
    <n v="20000"/>
    <n v="1.7"/>
    <x v="1"/>
    <n v="34000"/>
    <n v="0"/>
    <n v="34000"/>
    <n v="85000"/>
    <n v="119000"/>
    <x v="1"/>
    <x v="0"/>
    <x v="2"/>
    <n v="3"/>
    <x v="1"/>
  </r>
  <r>
    <x v="1526"/>
    <x v="1526"/>
    <s v="Qori Wijaya"/>
    <x v="4"/>
    <x v="4"/>
    <n v="40000"/>
    <n v="0.7"/>
    <x v="0"/>
    <n v="28000"/>
    <n v="1400"/>
    <n v="26600"/>
    <n v="43000"/>
    <n v="69600"/>
    <x v="1"/>
    <x v="0"/>
    <x v="0"/>
    <n v="5"/>
    <x v="0"/>
  </r>
  <r>
    <x v="1527"/>
    <x v="1527"/>
    <s v="Qori Syahputra"/>
    <x v="12"/>
    <x v="11"/>
    <n v="15000"/>
    <n v="0.7"/>
    <x v="0"/>
    <n v="10500"/>
    <n v="525"/>
    <n v="9975"/>
    <n v="30000"/>
    <n v="39975"/>
    <x v="0"/>
    <x v="0"/>
    <x v="3"/>
    <n v="5"/>
    <x v="0"/>
  </r>
  <r>
    <x v="1528"/>
    <x v="1528"/>
    <s v="Putri Wijaya"/>
    <x v="12"/>
    <x v="6"/>
    <n v="26000"/>
    <n v="1.9"/>
    <x v="0"/>
    <n v="49400"/>
    <n v="2470"/>
    <n v="46930"/>
    <n v="30000"/>
    <n v="76930"/>
    <x v="0"/>
    <x v="1"/>
    <x v="1"/>
    <n v="5"/>
    <x v="0"/>
  </r>
  <r>
    <x v="1529"/>
    <x v="1529"/>
    <s v="Citra Iskandar"/>
    <x v="22"/>
    <x v="9"/>
    <n v="46000"/>
    <n v="1.4"/>
    <x v="0"/>
    <n v="64399.999999999993"/>
    <n v="3220"/>
    <n v="61179.999999999993"/>
    <n v="50000"/>
    <n v="111180"/>
    <x v="1"/>
    <x v="0"/>
    <x v="3"/>
    <n v="3"/>
    <x v="0"/>
  </r>
  <r>
    <x v="1530"/>
    <x v="1530"/>
    <s v="Yoga Utami"/>
    <x v="23"/>
    <x v="8"/>
    <n v="17500"/>
    <n v="3.8"/>
    <x v="0"/>
    <n v="66500"/>
    <n v="3325"/>
    <n v="63175"/>
    <n v="55000"/>
    <n v="118175"/>
    <x v="2"/>
    <x v="0"/>
    <x v="2"/>
    <n v="1"/>
    <x v="1"/>
  </r>
  <r>
    <x v="1531"/>
    <x v="1531"/>
    <s v="Oka Kurniawan"/>
    <x v="31"/>
    <x v="4"/>
    <n v="40000"/>
    <n v="1.4"/>
    <x v="1"/>
    <n v="56000"/>
    <n v="0"/>
    <n v="56000"/>
    <n v="87000"/>
    <n v="143000"/>
    <x v="3"/>
    <x v="0"/>
    <x v="4"/>
    <n v="5"/>
    <x v="1"/>
  </r>
  <r>
    <x v="1532"/>
    <x v="1532"/>
    <s v="Aulia Syahputra"/>
    <x v="35"/>
    <x v="3"/>
    <n v="13500"/>
    <n v="1.6"/>
    <x v="1"/>
    <n v="21600"/>
    <n v="0"/>
    <n v="21600"/>
    <n v="79000"/>
    <n v="100600"/>
    <x v="0"/>
    <x v="0"/>
    <x v="2"/>
    <n v="5"/>
    <x v="0"/>
  </r>
  <r>
    <x v="1533"/>
    <x v="1533"/>
    <s v="Zahra Budiman"/>
    <x v="27"/>
    <x v="4"/>
    <n v="40000"/>
    <n v="1.2"/>
    <x v="1"/>
    <n v="48000"/>
    <n v="0"/>
    <n v="48000"/>
    <n v="49000"/>
    <n v="97000"/>
    <x v="2"/>
    <x v="0"/>
    <x v="3"/>
    <n v="5"/>
    <x v="0"/>
  </r>
  <r>
    <x v="1534"/>
    <x v="1534"/>
    <s v="Citra Iskandar"/>
    <x v="22"/>
    <x v="8"/>
    <n v="17500"/>
    <n v="0.9"/>
    <x v="1"/>
    <n v="15750"/>
    <n v="0"/>
    <n v="15750"/>
    <n v="50000"/>
    <n v="65750"/>
    <x v="2"/>
    <x v="1"/>
    <x v="4"/>
    <n v="3"/>
    <x v="0"/>
  </r>
  <r>
    <x v="1535"/>
    <x v="1535"/>
    <s v="Hana Saputra"/>
    <x v="17"/>
    <x v="1"/>
    <n v="15000"/>
    <n v="1"/>
    <x v="1"/>
    <n v="15000"/>
    <n v="0"/>
    <n v="15000"/>
    <n v="72000"/>
    <n v="87000"/>
    <x v="2"/>
    <x v="0"/>
    <x v="3"/>
    <n v="3"/>
    <x v="0"/>
  </r>
  <r>
    <x v="1536"/>
    <x v="1536"/>
    <s v="Joko Maulana"/>
    <x v="27"/>
    <x v="19"/>
    <n v="15500"/>
    <n v="0.3"/>
    <x v="1"/>
    <n v="4650"/>
    <n v="0"/>
    <n v="4650"/>
    <n v="49000"/>
    <n v="53650"/>
    <x v="3"/>
    <x v="0"/>
    <x v="1"/>
    <n v="1"/>
    <x v="1"/>
  </r>
  <r>
    <x v="1537"/>
    <x v="1537"/>
    <s v="Zahra Saputra"/>
    <x v="1"/>
    <x v="5"/>
    <n v="10500"/>
    <n v="2.2999999999999998"/>
    <x v="1"/>
    <n v="24149.999999999996"/>
    <n v="0"/>
    <n v="24149.999999999996"/>
    <n v="17000"/>
    <n v="41150"/>
    <x v="3"/>
    <x v="0"/>
    <x v="1"/>
    <n v="5"/>
    <x v="0"/>
  </r>
  <r>
    <x v="1538"/>
    <x v="1538"/>
    <s v="Erna Budiman"/>
    <x v="31"/>
    <x v="14"/>
    <n v="55000"/>
    <n v="0.4"/>
    <x v="1"/>
    <n v="22000"/>
    <n v="0"/>
    <n v="22000"/>
    <n v="87000"/>
    <n v="109000"/>
    <x v="2"/>
    <x v="2"/>
    <x v="4"/>
    <n v="4"/>
    <x v="0"/>
  </r>
  <r>
    <x v="1539"/>
    <x v="1539"/>
    <s v="Fajar Puspita"/>
    <x v="6"/>
    <x v="4"/>
    <n v="40000"/>
    <n v="0.6"/>
    <x v="1"/>
    <n v="24000"/>
    <n v="0"/>
    <n v="24000"/>
    <n v="80000"/>
    <n v="104000"/>
    <x v="0"/>
    <x v="0"/>
    <x v="1"/>
    <n v="3"/>
    <x v="1"/>
  </r>
  <r>
    <x v="1540"/>
    <x v="1540"/>
    <s v="Citra Utami"/>
    <x v="29"/>
    <x v="9"/>
    <n v="46000"/>
    <n v="1.4"/>
    <x v="1"/>
    <n v="64399.999999999993"/>
    <n v="0"/>
    <n v="64399.999999999993"/>
    <n v="48000"/>
    <n v="112400"/>
    <x v="3"/>
    <x v="1"/>
    <x v="0"/>
    <n v="1"/>
    <x v="0"/>
  </r>
  <r>
    <x v="1540"/>
    <x v="1540"/>
    <s v="Citra Utami"/>
    <x v="29"/>
    <x v="12"/>
    <n v="9500"/>
    <n v="0.7"/>
    <x v="1"/>
    <n v="6650"/>
    <n v="0"/>
    <n v="6650"/>
    <n v="0"/>
    <n v="6650"/>
    <x v="3"/>
    <x v="1"/>
    <x v="0"/>
    <n v="1"/>
    <x v="0"/>
  </r>
  <r>
    <x v="1541"/>
    <x v="1541"/>
    <s v="Sari Kurniawan"/>
    <x v="35"/>
    <x v="8"/>
    <n v="17500"/>
    <n v="1.7"/>
    <x v="1"/>
    <n v="29750"/>
    <n v="0"/>
    <n v="29750"/>
    <n v="79000"/>
    <n v="108750"/>
    <x v="0"/>
    <x v="0"/>
    <x v="4"/>
    <n v="1"/>
    <x v="0"/>
  </r>
  <r>
    <x v="1542"/>
    <x v="1542"/>
    <s v="Lestari Fauziah"/>
    <x v="23"/>
    <x v="3"/>
    <n v="13500"/>
    <n v="3.6"/>
    <x v="1"/>
    <n v="48600"/>
    <n v="0"/>
    <n v="48600"/>
    <n v="55000"/>
    <n v="103600"/>
    <x v="1"/>
    <x v="0"/>
    <x v="1"/>
    <n v="3"/>
    <x v="0"/>
  </r>
  <r>
    <x v="1543"/>
    <x v="1543"/>
    <s v="Eka Ramadhani"/>
    <x v="31"/>
    <x v="10"/>
    <n v="45000"/>
    <n v="1.8"/>
    <x v="1"/>
    <n v="81000"/>
    <n v="0"/>
    <n v="81000"/>
    <n v="87000"/>
    <n v="168000"/>
    <x v="3"/>
    <x v="0"/>
    <x v="0"/>
    <n v="2"/>
    <x v="0"/>
  </r>
  <r>
    <x v="1544"/>
    <x v="1544"/>
    <s v="Tono Puspita"/>
    <x v="19"/>
    <x v="4"/>
    <n v="40000"/>
    <n v="0.7"/>
    <x v="1"/>
    <n v="28000"/>
    <n v="0"/>
    <n v="28000"/>
    <n v="78000"/>
    <n v="106000"/>
    <x v="0"/>
    <x v="0"/>
    <x v="3"/>
    <n v="4"/>
    <x v="1"/>
  </r>
  <r>
    <x v="1545"/>
    <x v="1545"/>
    <s v="Nanda Setiawan"/>
    <x v="31"/>
    <x v="13"/>
    <n v="10000"/>
    <n v="0.7"/>
    <x v="1"/>
    <n v="7000"/>
    <n v="0"/>
    <n v="7000"/>
    <n v="87000"/>
    <n v="94000"/>
    <x v="1"/>
    <x v="0"/>
    <x v="0"/>
    <n v="4"/>
    <x v="1"/>
  </r>
  <r>
    <x v="1546"/>
    <x v="1546"/>
    <s v="Yani Kusuma"/>
    <x v="8"/>
    <x v="18"/>
    <n v="11000"/>
    <n v="1.6"/>
    <x v="1"/>
    <n v="17600"/>
    <n v="0"/>
    <n v="17600"/>
    <n v="59000"/>
    <n v="76600"/>
    <x v="2"/>
    <x v="0"/>
    <x v="3"/>
    <n v="2"/>
    <x v="0"/>
  </r>
  <r>
    <x v="1547"/>
    <x v="1547"/>
    <s v="Clara Halim"/>
    <x v="31"/>
    <x v="5"/>
    <n v="10500"/>
    <n v="2.4"/>
    <x v="1"/>
    <n v="25200"/>
    <n v="0"/>
    <n v="25200"/>
    <n v="87000"/>
    <n v="112200"/>
    <x v="1"/>
    <x v="2"/>
    <x v="2"/>
    <n v="2"/>
    <x v="0"/>
  </r>
  <r>
    <x v="1548"/>
    <x v="1548"/>
    <s v="Kartika Santoso"/>
    <x v="10"/>
    <x v="9"/>
    <n v="46000"/>
    <n v="0.8"/>
    <x v="1"/>
    <n v="36800"/>
    <n v="0"/>
    <n v="36800"/>
    <n v="87000"/>
    <n v="123800"/>
    <x v="1"/>
    <x v="0"/>
    <x v="0"/>
    <n v="3"/>
    <x v="0"/>
  </r>
  <r>
    <x v="1549"/>
    <x v="1549"/>
    <s v="Yani Budiman"/>
    <x v="25"/>
    <x v="4"/>
    <n v="40000"/>
    <n v="1.3"/>
    <x v="1"/>
    <n v="52000"/>
    <n v="0"/>
    <n v="52000"/>
    <n v="50000"/>
    <n v="102000"/>
    <x v="0"/>
    <x v="0"/>
    <x v="4"/>
    <n v="2"/>
    <x v="0"/>
  </r>
  <r>
    <x v="1549"/>
    <x v="1549"/>
    <s v="Yani Budiman"/>
    <x v="25"/>
    <x v="2"/>
    <n v="20000"/>
    <n v="1.5"/>
    <x v="1"/>
    <n v="30000"/>
    <n v="0"/>
    <n v="30000"/>
    <n v="0"/>
    <n v="30000"/>
    <x v="0"/>
    <x v="0"/>
    <x v="4"/>
    <n v="2"/>
    <x v="0"/>
  </r>
  <r>
    <x v="1550"/>
    <x v="1550"/>
    <s v="Andi Wijaya"/>
    <x v="36"/>
    <x v="17"/>
    <n v="12000"/>
    <n v="0.7"/>
    <x v="1"/>
    <n v="8400"/>
    <n v="0"/>
    <n v="8400"/>
    <n v="21000"/>
    <n v="29400"/>
    <x v="3"/>
    <x v="0"/>
    <x v="1"/>
    <n v="3"/>
    <x v="1"/>
  </r>
  <r>
    <x v="1551"/>
    <x v="1551"/>
    <s v="Indra Setiawan"/>
    <x v="28"/>
    <x v="11"/>
    <n v="15000"/>
    <n v="1.2"/>
    <x v="1"/>
    <n v="18000"/>
    <n v="0"/>
    <n v="18000"/>
    <n v="56000"/>
    <n v="74000"/>
    <x v="3"/>
    <x v="0"/>
    <x v="1"/>
    <n v="3"/>
    <x v="1"/>
  </r>
  <r>
    <x v="1552"/>
    <x v="1552"/>
    <s v="Gita Halim"/>
    <x v="5"/>
    <x v="17"/>
    <n v="12000"/>
    <n v="0.9"/>
    <x v="1"/>
    <n v="10800"/>
    <n v="0"/>
    <n v="10800"/>
    <n v="18000"/>
    <n v="28800"/>
    <x v="1"/>
    <x v="0"/>
    <x v="0"/>
    <n v="3"/>
    <x v="0"/>
  </r>
  <r>
    <x v="1552"/>
    <x v="1552"/>
    <s v="Gita Halim"/>
    <x v="5"/>
    <x v="14"/>
    <n v="55000"/>
    <n v="0.1"/>
    <x v="1"/>
    <n v="5500"/>
    <n v="0"/>
    <n v="5500"/>
    <n v="0"/>
    <n v="5500"/>
    <x v="1"/>
    <x v="0"/>
    <x v="0"/>
    <n v="3"/>
    <x v="0"/>
  </r>
  <r>
    <x v="1553"/>
    <x v="1553"/>
    <s v="Lestari Fauziah"/>
    <x v="23"/>
    <x v="8"/>
    <n v="17500"/>
    <n v="2.4"/>
    <x v="1"/>
    <n v="42000"/>
    <n v="0"/>
    <n v="42000"/>
    <n v="55000"/>
    <n v="97000"/>
    <x v="0"/>
    <x v="0"/>
    <x v="3"/>
    <n v="2"/>
    <x v="0"/>
  </r>
  <r>
    <x v="1554"/>
    <x v="1554"/>
    <s v="Putri Puspita"/>
    <x v="8"/>
    <x v="11"/>
    <n v="15000"/>
    <n v="0.7"/>
    <x v="1"/>
    <n v="10500"/>
    <n v="0"/>
    <n v="10500"/>
    <n v="59000"/>
    <n v="69500"/>
    <x v="2"/>
    <x v="0"/>
    <x v="3"/>
    <n v="4"/>
    <x v="0"/>
  </r>
  <r>
    <x v="1555"/>
    <x v="1555"/>
    <s v="Bella Maulana"/>
    <x v="13"/>
    <x v="11"/>
    <n v="15000"/>
    <n v="0.9"/>
    <x v="0"/>
    <n v="13500"/>
    <n v="675"/>
    <n v="12825"/>
    <n v="49000"/>
    <n v="61825"/>
    <x v="2"/>
    <x v="1"/>
    <x v="2"/>
    <n v="4"/>
    <x v="0"/>
  </r>
  <r>
    <x v="1556"/>
    <x v="1556"/>
    <s v="Arif Santoso"/>
    <x v="16"/>
    <x v="3"/>
    <n v="13500"/>
    <n v="1.3"/>
    <x v="0"/>
    <n v="17550"/>
    <n v="877.5"/>
    <n v="16672.5"/>
    <n v="18000"/>
    <n v="34672.5"/>
    <x v="0"/>
    <x v="0"/>
    <x v="0"/>
    <n v="1"/>
    <x v="1"/>
  </r>
  <r>
    <x v="1557"/>
    <x v="1557"/>
    <s v="Erna Budiman"/>
    <x v="31"/>
    <x v="8"/>
    <n v="17500"/>
    <n v="1.5"/>
    <x v="0"/>
    <n v="26250"/>
    <n v="1312.5"/>
    <n v="24937.5"/>
    <n v="87000"/>
    <n v="111937.5"/>
    <x v="0"/>
    <x v="0"/>
    <x v="2"/>
    <n v="3"/>
    <x v="0"/>
  </r>
  <r>
    <x v="1558"/>
    <x v="1558"/>
    <s v="Wahyu Santoso"/>
    <x v="34"/>
    <x v="19"/>
    <n v="15500"/>
    <n v="0.2"/>
    <x v="0"/>
    <n v="3100"/>
    <n v="155"/>
    <n v="2945"/>
    <n v="18000"/>
    <n v="20945"/>
    <x v="1"/>
    <x v="0"/>
    <x v="2"/>
    <n v="2"/>
    <x v="1"/>
  </r>
  <r>
    <x v="1558"/>
    <x v="1558"/>
    <s v="Wahyu Santoso"/>
    <x v="34"/>
    <x v="2"/>
    <n v="20000"/>
    <n v="3"/>
    <x v="0"/>
    <n v="60000"/>
    <n v="3000"/>
    <n v="57000"/>
    <n v="0"/>
    <n v="57000"/>
    <x v="1"/>
    <x v="0"/>
    <x v="2"/>
    <n v="2"/>
    <x v="1"/>
  </r>
  <r>
    <x v="1559"/>
    <x v="1559"/>
    <s v="Ani Budiman"/>
    <x v="17"/>
    <x v="4"/>
    <n v="40000"/>
    <n v="0.7"/>
    <x v="0"/>
    <n v="28000"/>
    <n v="1400"/>
    <n v="26600"/>
    <n v="72000"/>
    <n v="98600"/>
    <x v="3"/>
    <x v="0"/>
    <x v="3"/>
    <n v="4"/>
    <x v="0"/>
  </r>
  <r>
    <x v="1560"/>
    <x v="1560"/>
    <s v="Arif Maulana"/>
    <x v="15"/>
    <x v="10"/>
    <n v="45000"/>
    <n v="1.6"/>
    <x v="0"/>
    <n v="72000"/>
    <n v="3600"/>
    <n v="68400"/>
    <n v="97000"/>
    <n v="165400"/>
    <x v="0"/>
    <x v="0"/>
    <x v="0"/>
    <n v="2"/>
    <x v="1"/>
  </r>
  <r>
    <x v="1560"/>
    <x v="1560"/>
    <s v="Arif Maulana"/>
    <x v="15"/>
    <x v="6"/>
    <n v="26000"/>
    <n v="1.1000000000000001"/>
    <x v="0"/>
    <n v="28600.000000000004"/>
    <n v="1430.0000000000002"/>
    <n v="27170.000000000004"/>
    <n v="0"/>
    <n v="27170.000000000004"/>
    <x v="0"/>
    <x v="0"/>
    <x v="0"/>
    <n v="2"/>
    <x v="1"/>
  </r>
  <r>
    <x v="1561"/>
    <x v="1561"/>
    <s v="Gita Utami"/>
    <x v="34"/>
    <x v="0"/>
    <n v="10000"/>
    <n v="1.6"/>
    <x v="0"/>
    <n v="16000"/>
    <n v="800"/>
    <n v="15200"/>
    <n v="18000"/>
    <n v="33200"/>
    <x v="2"/>
    <x v="0"/>
    <x v="2"/>
    <n v="2"/>
    <x v="0"/>
  </r>
  <r>
    <x v="1562"/>
    <x v="1562"/>
    <s v="Gita Budiman"/>
    <x v="24"/>
    <x v="11"/>
    <n v="15000"/>
    <n v="1.7"/>
    <x v="0"/>
    <n v="25500"/>
    <n v="1275"/>
    <n v="24225"/>
    <n v="68000"/>
    <n v="92225"/>
    <x v="3"/>
    <x v="1"/>
    <x v="0"/>
    <n v="5"/>
    <x v="0"/>
  </r>
  <r>
    <x v="1563"/>
    <x v="1563"/>
    <s v="Lestari Wijaya"/>
    <x v="18"/>
    <x v="16"/>
    <n v="115000"/>
    <n v="0.9"/>
    <x v="0"/>
    <n v="103500"/>
    <n v="5175"/>
    <n v="98325"/>
    <n v="0"/>
    <n v="98325"/>
    <x v="1"/>
    <x v="0"/>
    <x v="2"/>
    <n v="4"/>
    <x v="0"/>
  </r>
  <r>
    <x v="1564"/>
    <x v="1564"/>
    <s v="Aulia Pradipta"/>
    <x v="19"/>
    <x v="4"/>
    <n v="40000"/>
    <n v="1.3"/>
    <x v="0"/>
    <n v="52000"/>
    <n v="2600"/>
    <n v="49400"/>
    <n v="78000"/>
    <n v="127400"/>
    <x v="2"/>
    <x v="0"/>
    <x v="4"/>
    <n v="1"/>
    <x v="0"/>
  </r>
  <r>
    <x v="1565"/>
    <x v="1565"/>
    <s v="Galih Budiman"/>
    <x v="1"/>
    <x v="2"/>
    <n v="20000"/>
    <n v="1.7"/>
    <x v="0"/>
    <n v="34000"/>
    <n v="1700"/>
    <n v="32300"/>
    <n v="17000"/>
    <n v="49300"/>
    <x v="3"/>
    <x v="0"/>
    <x v="4"/>
    <n v="2"/>
    <x v="1"/>
  </r>
  <r>
    <x v="1566"/>
    <x v="1566"/>
    <s v="Qori Fauziah"/>
    <x v="11"/>
    <x v="9"/>
    <n v="46000"/>
    <n v="1.4"/>
    <x v="0"/>
    <n v="64399.999999999993"/>
    <n v="3220"/>
    <n v="61179.999999999993"/>
    <n v="74000"/>
    <n v="135180"/>
    <x v="2"/>
    <x v="0"/>
    <x v="4"/>
    <n v="4"/>
    <x v="0"/>
  </r>
  <r>
    <x v="1567"/>
    <x v="1567"/>
    <s v="Hana Kusuma"/>
    <x v="6"/>
    <x v="12"/>
    <n v="9500"/>
    <n v="1.7"/>
    <x v="0"/>
    <n v="16150"/>
    <n v="807.5"/>
    <n v="15342.5"/>
    <n v="80000"/>
    <n v="95342.5"/>
    <x v="0"/>
    <x v="0"/>
    <x v="3"/>
    <n v="4"/>
    <x v="0"/>
  </r>
  <r>
    <x v="1568"/>
    <x v="1568"/>
    <s v="Zahra Budiman"/>
    <x v="27"/>
    <x v="8"/>
    <n v="17500"/>
    <n v="3.3"/>
    <x v="0"/>
    <n v="57750"/>
    <n v="2887.5"/>
    <n v="54862.5"/>
    <n v="49000"/>
    <n v="103862.5"/>
    <x v="0"/>
    <x v="0"/>
    <x v="1"/>
    <n v="4"/>
    <x v="0"/>
  </r>
  <r>
    <x v="1569"/>
    <x v="1569"/>
    <s v="Nanda Iskandar"/>
    <x v="14"/>
    <x v="16"/>
    <n v="115000"/>
    <n v="0.8"/>
    <x v="0"/>
    <n v="92000"/>
    <n v="4600"/>
    <n v="87400"/>
    <n v="85000"/>
    <n v="172400"/>
    <x v="1"/>
    <x v="0"/>
    <x v="3"/>
    <n v="3"/>
    <x v="1"/>
  </r>
  <r>
    <x v="1569"/>
    <x v="1569"/>
    <s v="Nanda Iskandar"/>
    <x v="14"/>
    <x v="2"/>
    <n v="20000"/>
    <n v="1.3"/>
    <x v="0"/>
    <n v="26000"/>
    <n v="1300"/>
    <n v="24700"/>
    <n v="0"/>
    <n v="24700"/>
    <x v="1"/>
    <x v="0"/>
    <x v="3"/>
    <n v="3"/>
    <x v="1"/>
  </r>
  <r>
    <x v="1570"/>
    <x v="1570"/>
    <s v="Ani Budiman"/>
    <x v="17"/>
    <x v="11"/>
    <n v="15000"/>
    <n v="0.9"/>
    <x v="0"/>
    <n v="13500"/>
    <n v="675"/>
    <n v="12825"/>
    <n v="72000"/>
    <n v="84825"/>
    <x v="0"/>
    <x v="0"/>
    <x v="2"/>
    <n v="1"/>
    <x v="0"/>
  </r>
  <r>
    <x v="1571"/>
    <x v="1571"/>
    <s v="Citra Maulana"/>
    <x v="17"/>
    <x v="9"/>
    <n v="46000"/>
    <n v="0.5"/>
    <x v="0"/>
    <n v="23000"/>
    <n v="1150"/>
    <n v="21850"/>
    <n v="72000"/>
    <n v="93850"/>
    <x v="0"/>
    <x v="1"/>
    <x v="3"/>
    <n v="4"/>
    <x v="0"/>
  </r>
  <r>
    <x v="1572"/>
    <x v="1572"/>
    <s v="Putri Ananda"/>
    <x v="7"/>
    <x v="9"/>
    <n v="46000"/>
    <n v="1"/>
    <x v="0"/>
    <n v="46000"/>
    <n v="2300"/>
    <n v="43700"/>
    <n v="26000"/>
    <n v="69700"/>
    <x v="3"/>
    <x v="0"/>
    <x v="4"/>
    <n v="5"/>
    <x v="0"/>
  </r>
  <r>
    <x v="1573"/>
    <x v="1573"/>
    <s v="Qori Ramadhani"/>
    <x v="21"/>
    <x v="15"/>
    <n v="10000"/>
    <n v="1.2"/>
    <x v="0"/>
    <n v="12000"/>
    <n v="600"/>
    <n v="11400"/>
    <n v="59000"/>
    <n v="70400"/>
    <x v="3"/>
    <x v="0"/>
    <x v="2"/>
    <n v="3"/>
    <x v="0"/>
  </r>
  <r>
    <x v="1574"/>
    <x v="1574"/>
    <s v="Dina Budiman"/>
    <x v="21"/>
    <x v="4"/>
    <n v="40000"/>
    <n v="0.7"/>
    <x v="0"/>
    <n v="28000"/>
    <n v="1400"/>
    <n v="26600"/>
    <n v="59000"/>
    <n v="85600"/>
    <x v="2"/>
    <x v="2"/>
    <x v="0"/>
    <n v="1"/>
    <x v="0"/>
  </r>
  <r>
    <x v="1575"/>
    <x v="1575"/>
    <s v="Clara Utami"/>
    <x v="34"/>
    <x v="12"/>
    <n v="9500"/>
    <n v="2.1"/>
    <x v="0"/>
    <n v="19950"/>
    <n v="997.5"/>
    <n v="18952.5"/>
    <n v="18000"/>
    <n v="36952.5"/>
    <x v="3"/>
    <x v="0"/>
    <x v="1"/>
    <n v="5"/>
    <x v="0"/>
  </r>
  <r>
    <x v="1576"/>
    <x v="1576"/>
    <s v="Tono Syahputra"/>
    <x v="0"/>
    <x v="10"/>
    <n v="45000"/>
    <n v="0.2"/>
    <x v="0"/>
    <n v="9000"/>
    <n v="450"/>
    <n v="8550"/>
    <n v="15000"/>
    <n v="23550"/>
    <x v="1"/>
    <x v="0"/>
    <x v="4"/>
    <n v="5"/>
    <x v="1"/>
  </r>
  <r>
    <x v="1577"/>
    <x v="1577"/>
    <s v="Sari Ramadhani"/>
    <x v="26"/>
    <x v="2"/>
    <n v="20000"/>
    <n v="2.2000000000000002"/>
    <x v="0"/>
    <n v="44000"/>
    <n v="2200"/>
    <n v="41800"/>
    <n v="46000"/>
    <n v="87800"/>
    <x v="3"/>
    <x v="0"/>
    <x v="3"/>
    <n v="5"/>
    <x v="0"/>
  </r>
  <r>
    <x v="1578"/>
    <x v="1578"/>
    <s v="Dewi Iskandar"/>
    <x v="5"/>
    <x v="8"/>
    <n v="17500"/>
    <n v="0.7"/>
    <x v="0"/>
    <n v="12250"/>
    <n v="612.5"/>
    <n v="11637.5"/>
    <n v="18000"/>
    <n v="29637.5"/>
    <x v="1"/>
    <x v="0"/>
    <x v="2"/>
    <n v="5"/>
    <x v="0"/>
  </r>
  <r>
    <x v="1579"/>
    <x v="1579"/>
    <s v="Kartika Ananda"/>
    <x v="13"/>
    <x v="10"/>
    <n v="45000"/>
    <n v="1.2"/>
    <x v="0"/>
    <n v="54000"/>
    <n v="2700"/>
    <n v="51300"/>
    <n v="49000"/>
    <n v="100300"/>
    <x v="2"/>
    <x v="0"/>
    <x v="0"/>
    <n v="3"/>
    <x v="0"/>
  </r>
  <r>
    <x v="1580"/>
    <x v="1580"/>
    <s v="Joko Halim"/>
    <x v="8"/>
    <x v="17"/>
    <n v="12000"/>
    <n v="1.1000000000000001"/>
    <x v="0"/>
    <n v="13200.000000000002"/>
    <n v="660.00000000000011"/>
    <n v="12540.000000000002"/>
    <n v="59000"/>
    <n v="71540"/>
    <x v="3"/>
    <x v="0"/>
    <x v="0"/>
    <n v="2"/>
    <x v="1"/>
  </r>
  <r>
    <x v="1581"/>
    <x v="1581"/>
    <s v="Dina Rahmawati"/>
    <x v="21"/>
    <x v="0"/>
    <n v="10000"/>
    <n v="1.7"/>
    <x v="0"/>
    <n v="17000"/>
    <n v="850"/>
    <n v="16150"/>
    <n v="59000"/>
    <n v="75150"/>
    <x v="0"/>
    <x v="0"/>
    <x v="3"/>
    <n v="4"/>
    <x v="0"/>
  </r>
  <r>
    <x v="1582"/>
    <x v="1582"/>
    <s v="Citra Rahmawati"/>
    <x v="25"/>
    <x v="17"/>
    <n v="12000"/>
    <n v="0.5"/>
    <x v="0"/>
    <n v="6000"/>
    <n v="300"/>
    <n v="5700"/>
    <n v="50000"/>
    <n v="55700"/>
    <x v="2"/>
    <x v="0"/>
    <x v="1"/>
    <n v="2"/>
    <x v="0"/>
  </r>
  <r>
    <x v="1583"/>
    <x v="1583"/>
    <s v="Fitri Budiman"/>
    <x v="16"/>
    <x v="2"/>
    <n v="20000"/>
    <n v="2.2000000000000002"/>
    <x v="0"/>
    <n v="44000"/>
    <n v="2200"/>
    <n v="41800"/>
    <n v="18000"/>
    <n v="59800"/>
    <x v="2"/>
    <x v="0"/>
    <x v="2"/>
    <n v="2"/>
    <x v="0"/>
  </r>
  <r>
    <x v="1584"/>
    <x v="1584"/>
    <s v="Dewi Pradipta"/>
    <x v="14"/>
    <x v="4"/>
    <n v="40000"/>
    <n v="0.9"/>
    <x v="0"/>
    <n v="36000"/>
    <n v="1800"/>
    <n v="34200"/>
    <n v="85000"/>
    <n v="119200"/>
    <x v="0"/>
    <x v="0"/>
    <x v="4"/>
    <n v="3"/>
    <x v="0"/>
  </r>
  <r>
    <x v="1585"/>
    <x v="1585"/>
    <s v="Yani Ananda"/>
    <x v="28"/>
    <x v="17"/>
    <n v="12000"/>
    <n v="0.8"/>
    <x v="0"/>
    <n v="9600"/>
    <n v="480"/>
    <n v="9120"/>
    <n v="56000"/>
    <n v="65120"/>
    <x v="1"/>
    <x v="0"/>
    <x v="3"/>
    <n v="4"/>
    <x v="0"/>
  </r>
  <r>
    <x v="1586"/>
    <x v="1586"/>
    <s v="Wahyu Hidayat"/>
    <x v="0"/>
    <x v="10"/>
    <n v="45000"/>
    <n v="1.3"/>
    <x v="0"/>
    <n v="58500"/>
    <n v="2925"/>
    <n v="55575"/>
    <n v="15000"/>
    <n v="70575"/>
    <x v="3"/>
    <x v="0"/>
    <x v="3"/>
    <n v="2"/>
    <x v="1"/>
  </r>
  <r>
    <x v="1586"/>
    <x v="1586"/>
    <s v="Wahyu Hidayat"/>
    <x v="0"/>
    <x v="18"/>
    <n v="11000"/>
    <n v="1.5"/>
    <x v="0"/>
    <n v="16500"/>
    <n v="825"/>
    <n v="15675"/>
    <n v="0"/>
    <n v="15675"/>
    <x v="3"/>
    <x v="0"/>
    <x v="3"/>
    <n v="2"/>
    <x v="1"/>
  </r>
  <r>
    <x v="1587"/>
    <x v="1587"/>
    <s v="Made Budiman"/>
    <x v="12"/>
    <x v="0"/>
    <n v="10000"/>
    <n v="1.2"/>
    <x v="0"/>
    <n v="12000"/>
    <n v="600"/>
    <n v="11400"/>
    <n v="30000"/>
    <n v="41400"/>
    <x v="3"/>
    <x v="1"/>
    <x v="2"/>
    <n v="1"/>
    <x v="1"/>
  </r>
  <r>
    <x v="1588"/>
    <x v="1588"/>
    <s v="Eka Pradipta"/>
    <x v="18"/>
    <x v="14"/>
    <n v="55000"/>
    <n v="0.8"/>
    <x v="1"/>
    <n v="44000"/>
    <n v="0"/>
    <n v="44000"/>
    <n v="0"/>
    <n v="44000"/>
    <x v="0"/>
    <x v="1"/>
    <x v="3"/>
    <n v="4"/>
    <x v="0"/>
  </r>
  <r>
    <x v="1589"/>
    <x v="1589"/>
    <s v="Clara Santoso"/>
    <x v="37"/>
    <x v="17"/>
    <n v="12000"/>
    <n v="0.8"/>
    <x v="1"/>
    <n v="9600"/>
    <n v="0"/>
    <n v="9600"/>
    <n v="67000"/>
    <n v="76600"/>
    <x v="0"/>
    <x v="0"/>
    <x v="2"/>
    <n v="5"/>
    <x v="0"/>
  </r>
  <r>
    <x v="1590"/>
    <x v="1590"/>
    <s v="Wahyu Santoso"/>
    <x v="34"/>
    <x v="3"/>
    <n v="13500"/>
    <n v="2.4"/>
    <x v="1"/>
    <n v="32400"/>
    <n v="0"/>
    <n v="32400"/>
    <n v="18000"/>
    <n v="50400"/>
    <x v="3"/>
    <x v="0"/>
    <x v="0"/>
    <n v="2"/>
    <x v="1"/>
  </r>
  <r>
    <x v="1591"/>
    <x v="1591"/>
    <s v="Sari Ramadhani"/>
    <x v="26"/>
    <x v="9"/>
    <n v="46000"/>
    <n v="0.4"/>
    <x v="1"/>
    <n v="18400"/>
    <n v="0"/>
    <n v="18400"/>
    <n v="46000"/>
    <n v="64400"/>
    <x v="0"/>
    <x v="0"/>
    <x v="2"/>
    <n v="3"/>
    <x v="0"/>
  </r>
  <r>
    <x v="1592"/>
    <x v="1592"/>
    <s v="Lestari Santoso"/>
    <x v="34"/>
    <x v="11"/>
    <n v="15000"/>
    <n v="2.1"/>
    <x v="1"/>
    <n v="31500"/>
    <n v="0"/>
    <n v="31500"/>
    <n v="18000"/>
    <n v="49500"/>
    <x v="3"/>
    <x v="0"/>
    <x v="2"/>
    <n v="5"/>
    <x v="0"/>
  </r>
  <r>
    <x v="1593"/>
    <x v="1593"/>
    <s v="Hana Wijaya"/>
    <x v="31"/>
    <x v="9"/>
    <n v="46000"/>
    <n v="1.2"/>
    <x v="1"/>
    <n v="55200"/>
    <n v="0"/>
    <n v="55200"/>
    <n v="87000"/>
    <n v="142200"/>
    <x v="2"/>
    <x v="2"/>
    <x v="2"/>
    <n v="2"/>
    <x v="0"/>
  </r>
  <r>
    <x v="1594"/>
    <x v="1594"/>
    <s v="Sari Ananda"/>
    <x v="34"/>
    <x v="6"/>
    <n v="26000"/>
    <n v="2.2999999999999998"/>
    <x v="1"/>
    <n v="59799.999999999993"/>
    <n v="0"/>
    <n v="59799.999999999993"/>
    <n v="18000"/>
    <n v="77800"/>
    <x v="0"/>
    <x v="0"/>
    <x v="3"/>
    <n v="2"/>
    <x v="0"/>
  </r>
  <r>
    <x v="1594"/>
    <x v="1594"/>
    <s v="Sari Ananda"/>
    <x v="34"/>
    <x v="16"/>
    <n v="115000"/>
    <n v="0.9"/>
    <x v="1"/>
    <n v="103500"/>
    <n v="0"/>
    <n v="103500"/>
    <n v="0"/>
    <n v="103500"/>
    <x v="0"/>
    <x v="0"/>
    <x v="3"/>
    <n v="2"/>
    <x v="0"/>
  </r>
  <r>
    <x v="1595"/>
    <x v="1595"/>
    <s v="Made Fauziah"/>
    <x v="8"/>
    <x v="10"/>
    <n v="45000"/>
    <n v="0.7"/>
    <x v="1"/>
    <n v="31499.999999999996"/>
    <n v="0"/>
    <n v="31499.999999999996"/>
    <n v="59000"/>
    <n v="90500"/>
    <x v="3"/>
    <x v="0"/>
    <x v="3"/>
    <n v="3"/>
    <x v="1"/>
  </r>
  <r>
    <x v="1596"/>
    <x v="1596"/>
    <s v="Qori Santoso"/>
    <x v="0"/>
    <x v="3"/>
    <n v="13500"/>
    <n v="1.6"/>
    <x v="1"/>
    <n v="21600"/>
    <n v="0"/>
    <n v="21600"/>
    <n v="15000"/>
    <n v="36600"/>
    <x v="3"/>
    <x v="0"/>
    <x v="3"/>
    <n v="3"/>
    <x v="0"/>
  </r>
  <r>
    <x v="1597"/>
    <x v="1597"/>
    <s v="Galih Iskandar"/>
    <x v="27"/>
    <x v="12"/>
    <n v="9500"/>
    <n v="1.1000000000000001"/>
    <x v="1"/>
    <n v="10450"/>
    <n v="0"/>
    <n v="10450"/>
    <n v="49000"/>
    <n v="59450"/>
    <x v="1"/>
    <x v="0"/>
    <x v="2"/>
    <n v="1"/>
    <x v="1"/>
  </r>
  <r>
    <x v="1598"/>
    <x v="1598"/>
    <s v="Aulia Ramadhani"/>
    <x v="2"/>
    <x v="11"/>
    <n v="15000"/>
    <n v="2.8"/>
    <x v="1"/>
    <n v="42000"/>
    <n v="0"/>
    <n v="42000"/>
    <n v="76000"/>
    <n v="118000"/>
    <x v="0"/>
    <x v="0"/>
    <x v="2"/>
    <n v="4"/>
    <x v="0"/>
  </r>
  <r>
    <x v="1599"/>
    <x v="1599"/>
    <s v="Clara Ramadhani"/>
    <x v="29"/>
    <x v="0"/>
    <n v="10000"/>
    <n v="1.4"/>
    <x v="1"/>
    <n v="14000"/>
    <n v="0"/>
    <n v="14000"/>
    <n v="48000"/>
    <n v="62000"/>
    <x v="2"/>
    <x v="0"/>
    <x v="2"/>
    <n v="5"/>
    <x v="0"/>
  </r>
  <r>
    <x v="1600"/>
    <x v="1600"/>
    <s v="Ani Budiman"/>
    <x v="17"/>
    <x v="8"/>
    <n v="17500"/>
    <n v="2.2999999999999998"/>
    <x v="1"/>
    <n v="40250"/>
    <n v="0"/>
    <n v="40250"/>
    <n v="72000"/>
    <n v="112250"/>
    <x v="0"/>
    <x v="0"/>
    <x v="4"/>
    <n v="3"/>
    <x v="0"/>
  </r>
  <r>
    <x v="1601"/>
    <x v="1601"/>
    <s v="Indra Halim"/>
    <x v="7"/>
    <x v="13"/>
    <n v="10000"/>
    <n v="0.5"/>
    <x v="1"/>
    <n v="5000"/>
    <n v="0"/>
    <n v="5000"/>
    <n v="26000"/>
    <n v="31000"/>
    <x v="3"/>
    <x v="0"/>
    <x v="0"/>
    <n v="2"/>
    <x v="1"/>
  </r>
  <r>
    <x v="1602"/>
    <x v="1602"/>
    <s v="Citra Iskandar"/>
    <x v="22"/>
    <x v="7"/>
    <n v="14000"/>
    <n v="0.9"/>
    <x v="1"/>
    <n v="12600"/>
    <n v="0"/>
    <n v="12600"/>
    <n v="50000"/>
    <n v="62600"/>
    <x v="0"/>
    <x v="0"/>
    <x v="3"/>
    <n v="2"/>
    <x v="0"/>
  </r>
  <r>
    <x v="1603"/>
    <x v="1603"/>
    <s v="Lestari Hidayat"/>
    <x v="11"/>
    <x v="9"/>
    <n v="46000"/>
    <n v="0.7"/>
    <x v="1"/>
    <n v="32199.999999999996"/>
    <n v="0"/>
    <n v="32199.999999999996"/>
    <n v="74000"/>
    <n v="106200"/>
    <x v="3"/>
    <x v="0"/>
    <x v="4"/>
    <n v="1"/>
    <x v="0"/>
  </r>
  <r>
    <x v="1603"/>
    <x v="1603"/>
    <s v="Lestari Hidayat"/>
    <x v="11"/>
    <x v="8"/>
    <n v="17500"/>
    <n v="2.9"/>
    <x v="1"/>
    <n v="50750"/>
    <n v="0"/>
    <n v="50750"/>
    <n v="0"/>
    <n v="50750"/>
    <x v="3"/>
    <x v="0"/>
    <x v="4"/>
    <n v="1"/>
    <x v="0"/>
  </r>
  <r>
    <x v="1604"/>
    <x v="1604"/>
    <s v="Made Budiman"/>
    <x v="12"/>
    <x v="3"/>
    <n v="13500"/>
    <n v="2.2000000000000002"/>
    <x v="1"/>
    <n v="29700.000000000004"/>
    <n v="0"/>
    <n v="29700.000000000004"/>
    <n v="30000"/>
    <n v="59700"/>
    <x v="2"/>
    <x v="0"/>
    <x v="1"/>
    <n v="4"/>
    <x v="1"/>
  </r>
  <r>
    <x v="1605"/>
    <x v="1605"/>
    <s v="Eka Maulana"/>
    <x v="2"/>
    <x v="3"/>
    <n v="13500"/>
    <n v="1.9"/>
    <x v="1"/>
    <n v="25650"/>
    <n v="0"/>
    <n v="25650"/>
    <n v="76000"/>
    <n v="101650"/>
    <x v="2"/>
    <x v="1"/>
    <x v="1"/>
    <n v="1"/>
    <x v="0"/>
  </r>
  <r>
    <x v="1606"/>
    <x v="1606"/>
    <s v="Clara Puspita"/>
    <x v="35"/>
    <x v="15"/>
    <n v="10000"/>
    <n v="0.7"/>
    <x v="1"/>
    <n v="7000"/>
    <n v="0"/>
    <n v="7000"/>
    <n v="79000"/>
    <n v="86000"/>
    <x v="2"/>
    <x v="0"/>
    <x v="4"/>
    <n v="2"/>
    <x v="0"/>
  </r>
  <r>
    <x v="1607"/>
    <x v="1607"/>
    <s v="Kartika Nugroho"/>
    <x v="4"/>
    <x v="5"/>
    <n v="10500"/>
    <n v="3.2"/>
    <x v="1"/>
    <n v="33600"/>
    <n v="0"/>
    <n v="33600"/>
    <n v="43000"/>
    <n v="76600"/>
    <x v="1"/>
    <x v="2"/>
    <x v="0"/>
    <n v="4"/>
    <x v="0"/>
  </r>
  <r>
    <x v="1608"/>
    <x v="1608"/>
    <s v="Yani Rahmawati"/>
    <x v="27"/>
    <x v="7"/>
    <n v="14000"/>
    <n v="0.9"/>
    <x v="1"/>
    <n v="12600"/>
    <n v="0"/>
    <n v="12600"/>
    <n v="49000"/>
    <n v="61600"/>
    <x v="3"/>
    <x v="0"/>
    <x v="4"/>
    <n v="2"/>
    <x v="0"/>
  </r>
  <r>
    <x v="1609"/>
    <x v="1609"/>
    <s v="Rizky Ramadhani"/>
    <x v="34"/>
    <x v="18"/>
    <n v="11000"/>
    <n v="1.3"/>
    <x v="1"/>
    <n v="14300"/>
    <n v="0"/>
    <n v="14300"/>
    <n v="18000"/>
    <n v="32300"/>
    <x v="1"/>
    <x v="0"/>
    <x v="4"/>
    <n v="3"/>
    <x v="1"/>
  </r>
  <r>
    <x v="1610"/>
    <x v="1610"/>
    <s v="Aulia Nugroho"/>
    <x v="5"/>
    <x v="8"/>
    <n v="17500"/>
    <n v="2.7"/>
    <x v="1"/>
    <n v="47250"/>
    <n v="0"/>
    <n v="47250"/>
    <n v="18000"/>
    <n v="65250"/>
    <x v="1"/>
    <x v="0"/>
    <x v="1"/>
    <n v="4"/>
    <x v="0"/>
  </r>
  <r>
    <x v="1611"/>
    <x v="1611"/>
    <s v="Zahra Budiman"/>
    <x v="27"/>
    <x v="4"/>
    <n v="40000"/>
    <n v="0.6"/>
    <x v="1"/>
    <n v="24000"/>
    <n v="0"/>
    <n v="24000"/>
    <n v="49000"/>
    <n v="73000"/>
    <x v="2"/>
    <x v="0"/>
    <x v="2"/>
    <n v="4"/>
    <x v="0"/>
  </r>
  <r>
    <x v="1612"/>
    <x v="1612"/>
    <s v="Vina Hidayat"/>
    <x v="9"/>
    <x v="12"/>
    <n v="9500"/>
    <n v="1.2"/>
    <x v="1"/>
    <n v="11400"/>
    <n v="0"/>
    <n v="11400"/>
    <n v="89000"/>
    <n v="100400"/>
    <x v="2"/>
    <x v="0"/>
    <x v="1"/>
    <n v="3"/>
    <x v="0"/>
  </r>
  <r>
    <x v="1613"/>
    <x v="1613"/>
    <s v="Erna Rahmawati"/>
    <x v="5"/>
    <x v="0"/>
    <n v="10000"/>
    <n v="2"/>
    <x v="1"/>
    <n v="20000"/>
    <n v="0"/>
    <n v="20000"/>
    <n v="18000"/>
    <n v="38000"/>
    <x v="3"/>
    <x v="0"/>
    <x v="0"/>
    <n v="4"/>
    <x v="0"/>
  </r>
  <r>
    <x v="1614"/>
    <x v="1614"/>
    <s v="Dina Halim"/>
    <x v="0"/>
    <x v="4"/>
    <n v="40000"/>
    <n v="1.2"/>
    <x v="1"/>
    <n v="48000"/>
    <n v="0"/>
    <n v="48000"/>
    <n v="15000"/>
    <n v="63000"/>
    <x v="2"/>
    <x v="0"/>
    <x v="2"/>
    <n v="3"/>
    <x v="0"/>
  </r>
  <r>
    <x v="1615"/>
    <x v="1615"/>
    <s v="Putri Wijaya"/>
    <x v="12"/>
    <x v="5"/>
    <n v="10500"/>
    <n v="1.3"/>
    <x v="1"/>
    <n v="13650"/>
    <n v="0"/>
    <n v="13650"/>
    <n v="30000"/>
    <n v="43650"/>
    <x v="2"/>
    <x v="0"/>
    <x v="4"/>
    <n v="2"/>
    <x v="0"/>
  </r>
  <r>
    <x v="1616"/>
    <x v="1616"/>
    <s v="Kartika Kusuma"/>
    <x v="14"/>
    <x v="4"/>
    <n v="40000"/>
    <n v="0.8"/>
    <x v="1"/>
    <n v="32000"/>
    <n v="0"/>
    <n v="32000"/>
    <n v="85000"/>
    <n v="117000"/>
    <x v="0"/>
    <x v="0"/>
    <x v="1"/>
    <n v="1"/>
    <x v="0"/>
  </r>
  <r>
    <x v="1617"/>
    <x v="1617"/>
    <s v="Tono Saputra"/>
    <x v="30"/>
    <x v="18"/>
    <n v="11000"/>
    <n v="1.4"/>
    <x v="1"/>
    <n v="15399.999999999998"/>
    <n v="0"/>
    <n v="15399.999999999998"/>
    <n v="57000"/>
    <n v="72400"/>
    <x v="3"/>
    <x v="1"/>
    <x v="1"/>
    <n v="4"/>
    <x v="1"/>
  </r>
  <r>
    <x v="1618"/>
    <x v="1618"/>
    <s v="Sari Fauziah"/>
    <x v="32"/>
    <x v="4"/>
    <n v="40000"/>
    <n v="0.5"/>
    <x v="1"/>
    <n v="20000"/>
    <n v="0"/>
    <n v="20000"/>
    <n v="28000"/>
    <n v="48000"/>
    <x v="1"/>
    <x v="0"/>
    <x v="1"/>
    <n v="1"/>
    <x v="0"/>
  </r>
  <r>
    <x v="1619"/>
    <x v="1619"/>
    <s v="Dina Kusuma"/>
    <x v="29"/>
    <x v="3"/>
    <n v="13500"/>
    <n v="1.6"/>
    <x v="1"/>
    <n v="21600"/>
    <n v="0"/>
    <n v="21600"/>
    <n v="48000"/>
    <n v="69600"/>
    <x v="0"/>
    <x v="1"/>
    <x v="3"/>
    <n v="5"/>
    <x v="0"/>
  </r>
  <r>
    <x v="1620"/>
    <x v="1620"/>
    <s v="Sari Puspita"/>
    <x v="15"/>
    <x v="3"/>
    <n v="13500"/>
    <n v="2.2999999999999998"/>
    <x v="1"/>
    <n v="31049.999999999996"/>
    <n v="0"/>
    <n v="31049.999999999996"/>
    <n v="97000"/>
    <n v="128050"/>
    <x v="2"/>
    <x v="0"/>
    <x v="3"/>
    <n v="1"/>
    <x v="0"/>
  </r>
  <r>
    <x v="1621"/>
    <x v="1621"/>
    <s v="Indra Ananda"/>
    <x v="20"/>
    <x v="4"/>
    <n v="40000"/>
    <n v="0.6"/>
    <x v="1"/>
    <n v="24000"/>
    <n v="0"/>
    <n v="24000"/>
    <n v="84000"/>
    <n v="108000"/>
    <x v="2"/>
    <x v="1"/>
    <x v="0"/>
    <n v="5"/>
    <x v="1"/>
  </r>
  <r>
    <x v="1622"/>
    <x v="1622"/>
    <s v="Zahra Nugroho"/>
    <x v="19"/>
    <x v="11"/>
    <n v="15000"/>
    <n v="1.1000000000000001"/>
    <x v="1"/>
    <n v="16500"/>
    <n v="0"/>
    <n v="16500"/>
    <n v="78000"/>
    <n v="94500"/>
    <x v="2"/>
    <x v="1"/>
    <x v="4"/>
    <n v="5"/>
    <x v="0"/>
  </r>
  <r>
    <x v="1623"/>
    <x v="1623"/>
    <s v="Eka Maulana"/>
    <x v="2"/>
    <x v="4"/>
    <n v="40000"/>
    <n v="1.5"/>
    <x v="1"/>
    <n v="60000"/>
    <n v="0"/>
    <n v="60000"/>
    <n v="76000"/>
    <n v="136000"/>
    <x v="3"/>
    <x v="1"/>
    <x v="4"/>
    <n v="3"/>
    <x v="0"/>
  </r>
  <r>
    <x v="1624"/>
    <x v="1624"/>
    <s v="Zahra Kurniawan"/>
    <x v="0"/>
    <x v="17"/>
    <n v="12000"/>
    <n v="0.8"/>
    <x v="1"/>
    <n v="9600"/>
    <n v="0"/>
    <n v="9600"/>
    <n v="15000"/>
    <n v="24600"/>
    <x v="1"/>
    <x v="0"/>
    <x v="1"/>
    <n v="2"/>
    <x v="0"/>
  </r>
  <r>
    <x v="1625"/>
    <x v="1625"/>
    <s v="Ani Wijaya"/>
    <x v="29"/>
    <x v="11"/>
    <n v="15000"/>
    <n v="1.1000000000000001"/>
    <x v="1"/>
    <n v="16500"/>
    <n v="0"/>
    <n v="16500"/>
    <n v="48000"/>
    <n v="64500"/>
    <x v="0"/>
    <x v="0"/>
    <x v="4"/>
    <n v="2"/>
    <x v="0"/>
  </r>
  <r>
    <x v="1626"/>
    <x v="1626"/>
    <s v="Dewi Rahmawati"/>
    <x v="7"/>
    <x v="15"/>
    <n v="10000"/>
    <n v="1"/>
    <x v="1"/>
    <n v="10000"/>
    <n v="0"/>
    <n v="10000"/>
    <n v="26000"/>
    <n v="36000"/>
    <x v="3"/>
    <x v="0"/>
    <x v="4"/>
    <n v="5"/>
    <x v="0"/>
  </r>
  <r>
    <x v="1627"/>
    <x v="1627"/>
    <s v="Oka Kurniawan"/>
    <x v="31"/>
    <x v="10"/>
    <n v="45000"/>
    <n v="1.8"/>
    <x v="1"/>
    <n v="81000"/>
    <n v="0"/>
    <n v="81000"/>
    <n v="87000"/>
    <n v="168000"/>
    <x v="3"/>
    <x v="0"/>
    <x v="0"/>
    <n v="4"/>
    <x v="1"/>
  </r>
  <r>
    <x v="1628"/>
    <x v="1628"/>
    <s v="Hana Santoso"/>
    <x v="0"/>
    <x v="17"/>
    <n v="12000"/>
    <n v="1.1000000000000001"/>
    <x v="1"/>
    <n v="13200.000000000002"/>
    <n v="0"/>
    <n v="13200.000000000002"/>
    <n v="15000"/>
    <n v="28200"/>
    <x v="2"/>
    <x v="0"/>
    <x v="4"/>
    <n v="2"/>
    <x v="0"/>
  </r>
  <r>
    <x v="1629"/>
    <x v="1629"/>
    <s v="Qori Maulana"/>
    <x v="5"/>
    <x v="19"/>
    <n v="15500"/>
    <n v="0.3"/>
    <x v="1"/>
    <n v="4650"/>
    <n v="0"/>
    <n v="4650"/>
    <n v="18000"/>
    <n v="22650"/>
    <x v="0"/>
    <x v="3"/>
    <x v="1"/>
    <n v="3"/>
    <x v="0"/>
  </r>
  <r>
    <x v="1630"/>
    <x v="1630"/>
    <s v="Oka Santoso"/>
    <x v="16"/>
    <x v="3"/>
    <n v="13500"/>
    <n v="1"/>
    <x v="1"/>
    <n v="13500"/>
    <n v="0"/>
    <n v="13500"/>
    <n v="18000"/>
    <n v="31500"/>
    <x v="0"/>
    <x v="3"/>
    <x v="1"/>
    <n v="5"/>
    <x v="1"/>
  </r>
  <r>
    <x v="1631"/>
    <x v="1631"/>
    <s v="Galih Budiman"/>
    <x v="1"/>
    <x v="10"/>
    <n v="45000"/>
    <n v="0.9"/>
    <x v="1"/>
    <n v="40500"/>
    <n v="0"/>
    <n v="40500"/>
    <n v="17000"/>
    <n v="57500"/>
    <x v="2"/>
    <x v="4"/>
    <x v="2"/>
    <n v="4"/>
    <x v="1"/>
  </r>
  <r>
    <x v="1632"/>
    <x v="1632"/>
    <s v="Yani Hidayat"/>
    <x v="33"/>
    <x v="8"/>
    <n v="17500"/>
    <n v="2.1"/>
    <x v="1"/>
    <n v="36750"/>
    <n v="0"/>
    <n v="36750"/>
    <n v="80000"/>
    <n v="116750"/>
    <x v="3"/>
    <x v="4"/>
    <x v="1"/>
    <n v="5"/>
    <x v="0"/>
  </r>
  <r>
    <x v="1633"/>
    <x v="1633"/>
    <s v="Dina Syahputra"/>
    <x v="28"/>
    <x v="10"/>
    <n v="45000"/>
    <n v="1.1000000000000001"/>
    <x v="1"/>
    <n v="49500.000000000007"/>
    <n v="0"/>
    <n v="49500.000000000007"/>
    <n v="56000"/>
    <n v="105500"/>
    <x v="2"/>
    <x v="4"/>
    <x v="3"/>
    <n v="5"/>
    <x v="0"/>
  </r>
  <r>
    <x v="1634"/>
    <x v="1634"/>
    <s v="Citra Maulana"/>
    <x v="17"/>
    <x v="7"/>
    <n v="14000"/>
    <n v="1.2"/>
    <x v="1"/>
    <n v="16800"/>
    <n v="0"/>
    <n v="16800"/>
    <n v="72000"/>
    <n v="88800"/>
    <x v="1"/>
    <x v="1"/>
    <x v="1"/>
    <n v="3"/>
    <x v="0"/>
  </r>
  <r>
    <x v="1635"/>
    <x v="1635"/>
    <s v="Lestari Wijaya"/>
    <x v="18"/>
    <x v="10"/>
    <n v="45000"/>
    <n v="0.5"/>
    <x v="1"/>
    <n v="22500"/>
    <n v="0"/>
    <n v="22500"/>
    <n v="0"/>
    <n v="22500"/>
    <x v="1"/>
    <x v="0"/>
    <x v="3"/>
    <n v="3"/>
    <x v="0"/>
  </r>
  <r>
    <x v="1636"/>
    <x v="1636"/>
    <s v="Rizky Saputra"/>
    <x v="23"/>
    <x v="17"/>
    <n v="12000"/>
    <n v="0.5"/>
    <x v="1"/>
    <n v="6000"/>
    <n v="0"/>
    <n v="6000"/>
    <n v="55000"/>
    <n v="61000"/>
    <x v="2"/>
    <x v="0"/>
    <x v="3"/>
    <n v="1"/>
    <x v="1"/>
  </r>
  <r>
    <x v="1637"/>
    <x v="1637"/>
    <s v="Budi Fauziah"/>
    <x v="3"/>
    <x v="7"/>
    <n v="14000"/>
    <n v="1.2"/>
    <x v="1"/>
    <n v="16800"/>
    <n v="0"/>
    <n v="16800"/>
    <n v="93000"/>
    <n v="109800"/>
    <x v="0"/>
    <x v="1"/>
    <x v="2"/>
    <n v="2"/>
    <x v="1"/>
  </r>
  <r>
    <x v="1638"/>
    <x v="1638"/>
    <s v="Hana Nugroho"/>
    <x v="11"/>
    <x v="15"/>
    <n v="10000"/>
    <n v="0.9"/>
    <x v="1"/>
    <n v="9000"/>
    <n v="0"/>
    <n v="9000"/>
    <n v="74000"/>
    <n v="83000"/>
    <x v="3"/>
    <x v="3"/>
    <x v="1"/>
    <n v="5"/>
    <x v="0"/>
  </r>
  <r>
    <x v="1638"/>
    <x v="1638"/>
    <s v="Hana Nugroho"/>
    <x v="11"/>
    <x v="2"/>
    <n v="20000"/>
    <n v="2.5"/>
    <x v="1"/>
    <n v="50000"/>
    <n v="0"/>
    <n v="50000"/>
    <n v="0"/>
    <n v="50000"/>
    <x v="3"/>
    <x v="3"/>
    <x v="1"/>
    <n v="5"/>
    <x v="0"/>
  </r>
  <r>
    <x v="1639"/>
    <x v="1639"/>
    <s v="Eka Kurniawan"/>
    <x v="37"/>
    <x v="4"/>
    <n v="40000"/>
    <n v="0.5"/>
    <x v="1"/>
    <n v="20000"/>
    <n v="0"/>
    <n v="20000"/>
    <n v="67000"/>
    <n v="87000"/>
    <x v="3"/>
    <x v="0"/>
    <x v="0"/>
    <n v="1"/>
    <x v="0"/>
  </r>
  <r>
    <x v="1640"/>
    <x v="1640"/>
    <s v="Bella Iskandar"/>
    <x v="8"/>
    <x v="18"/>
    <n v="11000"/>
    <n v="1.7"/>
    <x v="1"/>
    <n v="18700"/>
    <n v="0"/>
    <n v="18700"/>
    <n v="59000"/>
    <n v="77700"/>
    <x v="0"/>
    <x v="0"/>
    <x v="3"/>
    <n v="2"/>
    <x v="0"/>
  </r>
  <r>
    <x v="1641"/>
    <x v="1641"/>
    <s v="Sari Hidayat"/>
    <x v="2"/>
    <x v="3"/>
    <n v="13500"/>
    <n v="1.4"/>
    <x v="1"/>
    <n v="18900"/>
    <n v="0"/>
    <n v="18900"/>
    <n v="76000"/>
    <n v="94900"/>
    <x v="0"/>
    <x v="4"/>
    <x v="4"/>
    <n v="4"/>
    <x v="0"/>
  </r>
  <r>
    <x v="1642"/>
    <x v="1642"/>
    <s v="Dewi Setiawan"/>
    <x v="15"/>
    <x v="15"/>
    <n v="10000"/>
    <n v="1.2"/>
    <x v="1"/>
    <n v="12000"/>
    <n v="0"/>
    <n v="12000"/>
    <n v="97000"/>
    <n v="109000"/>
    <x v="1"/>
    <x v="0"/>
    <x v="1"/>
    <n v="2"/>
    <x v="0"/>
  </r>
  <r>
    <x v="1643"/>
    <x v="1643"/>
    <s v="Vina Maulana"/>
    <x v="0"/>
    <x v="9"/>
    <n v="46000"/>
    <n v="1"/>
    <x v="1"/>
    <n v="46000"/>
    <n v="0"/>
    <n v="46000"/>
    <n v="15000"/>
    <n v="61000"/>
    <x v="0"/>
    <x v="0"/>
    <x v="4"/>
    <n v="1"/>
    <x v="0"/>
  </r>
  <r>
    <x v="1644"/>
    <x v="1644"/>
    <s v="Bella Saputra"/>
    <x v="5"/>
    <x v="16"/>
    <n v="115000"/>
    <n v="1"/>
    <x v="1"/>
    <n v="115000"/>
    <n v="0"/>
    <n v="115000"/>
    <n v="18000"/>
    <n v="133000"/>
    <x v="1"/>
    <x v="0"/>
    <x v="2"/>
    <n v="5"/>
    <x v="0"/>
  </r>
  <r>
    <x v="1645"/>
    <x v="1645"/>
    <s v="Eka Saputra"/>
    <x v="29"/>
    <x v="13"/>
    <n v="10000"/>
    <n v="1.2"/>
    <x v="1"/>
    <n v="12000"/>
    <n v="0"/>
    <n v="12000"/>
    <n v="48000"/>
    <n v="60000"/>
    <x v="1"/>
    <x v="0"/>
    <x v="4"/>
    <n v="5"/>
    <x v="0"/>
  </r>
  <r>
    <x v="1646"/>
    <x v="1646"/>
    <s v="Bella Halim"/>
    <x v="2"/>
    <x v="10"/>
    <n v="45000"/>
    <n v="0.4"/>
    <x v="1"/>
    <n v="18000"/>
    <n v="0"/>
    <n v="18000"/>
    <n v="76000"/>
    <n v="94000"/>
    <x v="1"/>
    <x v="3"/>
    <x v="2"/>
    <n v="5"/>
    <x v="0"/>
  </r>
  <r>
    <x v="1647"/>
    <x v="1647"/>
    <s v="Ani Fauziah"/>
    <x v="15"/>
    <x v="8"/>
    <n v="17500"/>
    <n v="2.5"/>
    <x v="1"/>
    <n v="43750"/>
    <n v="0"/>
    <n v="43750"/>
    <n v="97000"/>
    <n v="140750"/>
    <x v="2"/>
    <x v="0"/>
    <x v="4"/>
    <n v="5"/>
    <x v="0"/>
  </r>
  <r>
    <x v="1647"/>
    <x v="1647"/>
    <s v="Ani Fauziah"/>
    <x v="15"/>
    <x v="5"/>
    <n v="10500"/>
    <n v="0.7"/>
    <x v="1"/>
    <n v="7349.9999999999991"/>
    <n v="0"/>
    <n v="7349.9999999999991"/>
    <n v="0"/>
    <n v="7349.9999999999991"/>
    <x v="2"/>
    <x v="0"/>
    <x v="4"/>
    <n v="5"/>
    <x v="0"/>
  </r>
  <r>
    <x v="1648"/>
    <x v="1648"/>
    <s v="Arif Maulana"/>
    <x v="15"/>
    <x v="4"/>
    <n v="40000"/>
    <n v="0.5"/>
    <x v="1"/>
    <n v="20000"/>
    <n v="0"/>
    <n v="20000"/>
    <n v="97000"/>
    <n v="117000"/>
    <x v="0"/>
    <x v="4"/>
    <x v="1"/>
    <n v="5"/>
    <x v="1"/>
  </r>
  <r>
    <x v="1649"/>
    <x v="1649"/>
    <s v="Galih Iskandar"/>
    <x v="27"/>
    <x v="13"/>
    <n v="10000"/>
    <n v="0.7"/>
    <x v="1"/>
    <n v="7000"/>
    <n v="0"/>
    <n v="7000"/>
    <n v="49000"/>
    <n v="56000"/>
    <x v="2"/>
    <x v="4"/>
    <x v="3"/>
    <n v="3"/>
    <x v="1"/>
  </r>
  <r>
    <x v="1650"/>
    <x v="1650"/>
    <s v="Eka Maulana"/>
    <x v="2"/>
    <x v="8"/>
    <n v="17500"/>
    <n v="3.4"/>
    <x v="1"/>
    <n v="59500"/>
    <n v="0"/>
    <n v="59500"/>
    <n v="76000"/>
    <n v="135500"/>
    <x v="1"/>
    <x v="4"/>
    <x v="3"/>
    <n v="3"/>
    <x v="0"/>
  </r>
  <r>
    <x v="1651"/>
    <x v="1651"/>
    <s v="Gita Iskandar"/>
    <x v="23"/>
    <x v="8"/>
    <n v="17500"/>
    <n v="1.5"/>
    <x v="1"/>
    <n v="26250"/>
    <n v="0"/>
    <n v="26250"/>
    <n v="55000"/>
    <n v="81250"/>
    <x v="3"/>
    <x v="3"/>
    <x v="3"/>
    <n v="2"/>
    <x v="0"/>
  </r>
  <r>
    <x v="1652"/>
    <x v="1652"/>
    <s v="Eka Iskandar"/>
    <x v="11"/>
    <x v="15"/>
    <n v="10000"/>
    <n v="0.5"/>
    <x v="1"/>
    <n v="5000"/>
    <n v="0"/>
    <n v="5000"/>
    <n v="74000"/>
    <n v="79000"/>
    <x v="2"/>
    <x v="0"/>
    <x v="2"/>
    <n v="2"/>
    <x v="0"/>
  </r>
  <r>
    <x v="1653"/>
    <x v="1653"/>
    <s v="Sari Hidayat"/>
    <x v="2"/>
    <x v="8"/>
    <n v="17500"/>
    <n v="4.3"/>
    <x v="1"/>
    <n v="75250"/>
    <n v="0"/>
    <n v="75250"/>
    <n v="76000"/>
    <n v="151250"/>
    <x v="3"/>
    <x v="4"/>
    <x v="3"/>
    <n v="1"/>
    <x v="0"/>
  </r>
  <r>
    <x v="1654"/>
    <x v="1654"/>
    <s v="Citra Ananda"/>
    <x v="16"/>
    <x v="10"/>
    <n v="45000"/>
    <n v="1.4"/>
    <x v="1"/>
    <n v="62999.999999999993"/>
    <n v="0"/>
    <n v="62999.999999999993"/>
    <n v="18000"/>
    <n v="81000"/>
    <x v="2"/>
    <x v="3"/>
    <x v="2"/>
    <n v="5"/>
    <x v="0"/>
  </r>
  <r>
    <x v="1655"/>
    <x v="1655"/>
    <s v="Bella Setiawan"/>
    <x v="36"/>
    <x v="9"/>
    <n v="46000"/>
    <n v="1.5"/>
    <x v="1"/>
    <n v="69000"/>
    <n v="0"/>
    <n v="69000"/>
    <n v="21000"/>
    <n v="90000"/>
    <x v="3"/>
    <x v="3"/>
    <x v="4"/>
    <n v="2"/>
    <x v="0"/>
  </r>
  <r>
    <x v="1656"/>
    <x v="1656"/>
    <s v="Erna Halim"/>
    <x v="4"/>
    <x v="16"/>
    <n v="115000"/>
    <n v="1.4"/>
    <x v="1"/>
    <n v="161000"/>
    <n v="0"/>
    <n v="161000"/>
    <n v="43000"/>
    <n v="204000"/>
    <x v="1"/>
    <x v="3"/>
    <x v="0"/>
    <n v="5"/>
    <x v="0"/>
  </r>
  <r>
    <x v="1657"/>
    <x v="1657"/>
    <s v="Yani Kusuma"/>
    <x v="8"/>
    <x v="1"/>
    <n v="15000"/>
    <n v="0.3"/>
    <x v="1"/>
    <n v="4500"/>
    <n v="0"/>
    <n v="4500"/>
    <n v="59000"/>
    <n v="63500"/>
    <x v="3"/>
    <x v="3"/>
    <x v="4"/>
    <n v="4"/>
    <x v="0"/>
  </r>
  <r>
    <x v="1658"/>
    <x v="1658"/>
    <s v="Eko Pradipta"/>
    <x v="4"/>
    <x v="8"/>
    <n v="17500"/>
    <n v="4.2"/>
    <x v="1"/>
    <n v="73500"/>
    <n v="0"/>
    <n v="73500"/>
    <n v="43000"/>
    <n v="116500"/>
    <x v="1"/>
    <x v="3"/>
    <x v="2"/>
    <n v="1"/>
    <x v="1"/>
  </r>
  <r>
    <x v="1659"/>
    <x v="1659"/>
    <s v="Andi Utami"/>
    <x v="32"/>
    <x v="4"/>
    <n v="40000"/>
    <n v="0.9"/>
    <x v="1"/>
    <n v="36000"/>
    <n v="0"/>
    <n v="36000"/>
    <n v="28000"/>
    <n v="64000"/>
    <x v="2"/>
    <x v="0"/>
    <x v="1"/>
    <n v="5"/>
    <x v="1"/>
  </r>
  <r>
    <x v="1660"/>
    <x v="1660"/>
    <s v="Dimas Utami"/>
    <x v="18"/>
    <x v="4"/>
    <n v="40000"/>
    <n v="1.3"/>
    <x v="1"/>
    <n v="52000"/>
    <n v="0"/>
    <n v="52000"/>
    <n v="0"/>
    <n v="52000"/>
    <x v="3"/>
    <x v="0"/>
    <x v="0"/>
    <n v="1"/>
    <x v="1"/>
  </r>
  <r>
    <x v="1661"/>
    <x v="1661"/>
    <s v="Aulia Setiawan"/>
    <x v="13"/>
    <x v="7"/>
    <n v="14000"/>
    <n v="1.9"/>
    <x v="1"/>
    <n v="26600"/>
    <n v="0"/>
    <n v="26600"/>
    <n v="49000"/>
    <n v="75600"/>
    <x v="0"/>
    <x v="0"/>
    <x v="3"/>
    <n v="1"/>
    <x v="0"/>
  </r>
  <r>
    <x v="1661"/>
    <x v="1661"/>
    <s v="Aulia Setiawan"/>
    <x v="13"/>
    <x v="6"/>
    <n v="26000"/>
    <n v="1.3"/>
    <x v="1"/>
    <n v="33800"/>
    <n v="0"/>
    <n v="33800"/>
    <n v="0"/>
    <n v="33800"/>
    <x v="0"/>
    <x v="0"/>
    <x v="3"/>
    <n v="1"/>
    <x v="0"/>
  </r>
  <r>
    <x v="1662"/>
    <x v="1662"/>
    <s v="Ani Kusuma"/>
    <x v="29"/>
    <x v="9"/>
    <n v="46000"/>
    <n v="1.3"/>
    <x v="1"/>
    <n v="59800"/>
    <n v="0"/>
    <n v="59800"/>
    <n v="48000"/>
    <n v="107800"/>
    <x v="2"/>
    <x v="0"/>
    <x v="3"/>
    <n v="4"/>
    <x v="0"/>
  </r>
  <r>
    <x v="1663"/>
    <x v="1663"/>
    <s v="Yani Nugroho"/>
    <x v="1"/>
    <x v="13"/>
    <n v="10000"/>
    <n v="1.1000000000000001"/>
    <x v="1"/>
    <n v="11000"/>
    <n v="0"/>
    <n v="11000"/>
    <n v="17000"/>
    <n v="28000"/>
    <x v="3"/>
    <x v="0"/>
    <x v="4"/>
    <n v="3"/>
    <x v="0"/>
  </r>
  <r>
    <x v="1664"/>
    <x v="1664"/>
    <s v="Eka Puspita"/>
    <x v="27"/>
    <x v="4"/>
    <n v="40000"/>
    <n v="0.9"/>
    <x v="1"/>
    <n v="36000"/>
    <n v="0"/>
    <n v="36000"/>
    <n v="49000"/>
    <n v="85000"/>
    <x v="2"/>
    <x v="4"/>
    <x v="2"/>
    <n v="1"/>
    <x v="0"/>
  </r>
  <r>
    <x v="1665"/>
    <x v="1665"/>
    <s v="Citra Maulana"/>
    <x v="17"/>
    <x v="11"/>
    <n v="15000"/>
    <n v="2.2999999999999998"/>
    <x v="1"/>
    <n v="34500"/>
    <n v="0"/>
    <n v="34500"/>
    <n v="72000"/>
    <n v="106500"/>
    <x v="2"/>
    <x v="3"/>
    <x v="4"/>
    <n v="5"/>
    <x v="0"/>
  </r>
  <r>
    <x v="1666"/>
    <x v="1666"/>
    <s v="Made Setiawan"/>
    <x v="6"/>
    <x v="9"/>
    <n v="46000"/>
    <n v="0.8"/>
    <x v="1"/>
    <n v="36800"/>
    <n v="0"/>
    <n v="36800"/>
    <n v="80000"/>
    <n v="116800"/>
    <x v="1"/>
    <x v="4"/>
    <x v="1"/>
    <n v="5"/>
    <x v="1"/>
  </r>
  <r>
    <x v="1667"/>
    <x v="1667"/>
    <s v="Clara Hidayat"/>
    <x v="26"/>
    <x v="4"/>
    <n v="40000"/>
    <n v="1.3"/>
    <x v="1"/>
    <n v="52000"/>
    <n v="0"/>
    <n v="52000"/>
    <n v="46000"/>
    <n v="98000"/>
    <x v="2"/>
    <x v="4"/>
    <x v="4"/>
    <n v="5"/>
    <x v="0"/>
  </r>
  <r>
    <x v="1668"/>
    <x v="1668"/>
    <s v="Gita Saputra"/>
    <x v="17"/>
    <x v="18"/>
    <n v="11000"/>
    <n v="2.2999999999999998"/>
    <x v="1"/>
    <n v="25299.999999999996"/>
    <n v="0"/>
    <n v="25299.999999999996"/>
    <n v="72000"/>
    <n v="97300"/>
    <x v="0"/>
    <x v="4"/>
    <x v="2"/>
    <n v="5"/>
    <x v="0"/>
  </r>
  <r>
    <x v="1669"/>
    <x v="1669"/>
    <s v="Vina Saputra"/>
    <x v="33"/>
    <x v="6"/>
    <n v="26000"/>
    <n v="1"/>
    <x v="1"/>
    <n v="26000"/>
    <n v="0"/>
    <n v="26000"/>
    <n v="80000"/>
    <n v="106000"/>
    <x v="1"/>
    <x v="0"/>
    <x v="4"/>
    <n v="1"/>
    <x v="0"/>
  </r>
  <r>
    <x v="1670"/>
    <x v="1670"/>
    <s v="Yani Rahmawati"/>
    <x v="27"/>
    <x v="8"/>
    <n v="17500"/>
    <n v="2.2999999999999998"/>
    <x v="1"/>
    <n v="40250"/>
    <n v="0"/>
    <n v="40250"/>
    <n v="49000"/>
    <n v="89250"/>
    <x v="3"/>
    <x v="4"/>
    <x v="1"/>
    <n v="5"/>
    <x v="0"/>
  </r>
  <r>
    <x v="1671"/>
    <x v="1671"/>
    <s v="Hana Nugroho"/>
    <x v="11"/>
    <x v="3"/>
    <n v="13500"/>
    <n v="0.6"/>
    <x v="1"/>
    <n v="8100"/>
    <n v="0"/>
    <n v="8100"/>
    <n v="74000"/>
    <n v="82100"/>
    <x v="2"/>
    <x v="4"/>
    <x v="4"/>
    <n v="1"/>
    <x v="0"/>
  </r>
  <r>
    <x v="1672"/>
    <x v="1672"/>
    <s v="Gita Kurniawan"/>
    <x v="19"/>
    <x v="6"/>
    <n v="26000"/>
    <n v="1.6"/>
    <x v="1"/>
    <n v="41600"/>
    <n v="0"/>
    <n v="41600"/>
    <n v="78000"/>
    <n v="119600"/>
    <x v="1"/>
    <x v="0"/>
    <x v="0"/>
    <n v="4"/>
    <x v="0"/>
  </r>
  <r>
    <x v="1673"/>
    <x v="1673"/>
    <s v="Fitri Iskandar"/>
    <x v="8"/>
    <x v="11"/>
    <n v="15000"/>
    <n v="2.4"/>
    <x v="1"/>
    <n v="36000"/>
    <n v="0"/>
    <n v="36000"/>
    <n v="59000"/>
    <n v="95000"/>
    <x v="0"/>
    <x v="4"/>
    <x v="3"/>
    <n v="5"/>
    <x v="0"/>
  </r>
  <r>
    <x v="1673"/>
    <x v="1673"/>
    <s v="Fitri Iskandar"/>
    <x v="8"/>
    <x v="8"/>
    <n v="17500"/>
    <n v="0.6"/>
    <x v="1"/>
    <n v="10500"/>
    <n v="0"/>
    <n v="10500"/>
    <n v="0"/>
    <n v="10500"/>
    <x v="0"/>
    <x v="4"/>
    <x v="3"/>
    <n v="5"/>
    <x v="0"/>
  </r>
  <r>
    <x v="1674"/>
    <x v="1674"/>
    <s v="Vina Setiawan"/>
    <x v="18"/>
    <x v="18"/>
    <n v="11000"/>
    <n v="1"/>
    <x v="1"/>
    <n v="11000"/>
    <n v="0"/>
    <n v="11000"/>
    <n v="0"/>
    <n v="11000"/>
    <x v="1"/>
    <x v="0"/>
    <x v="2"/>
    <n v="4"/>
    <x v="0"/>
  </r>
  <r>
    <x v="1675"/>
    <x v="1675"/>
    <s v="Erna Hidayat"/>
    <x v="32"/>
    <x v="3"/>
    <n v="13500"/>
    <n v="2.7"/>
    <x v="1"/>
    <n v="36450"/>
    <n v="0"/>
    <n v="36450"/>
    <n v="28000"/>
    <n v="64450"/>
    <x v="3"/>
    <x v="0"/>
    <x v="3"/>
    <n v="4"/>
    <x v="0"/>
  </r>
  <r>
    <x v="1676"/>
    <x v="1676"/>
    <s v="Erna Wijaya"/>
    <x v="32"/>
    <x v="4"/>
    <n v="40000"/>
    <n v="0.3"/>
    <x v="1"/>
    <n v="12000"/>
    <n v="0"/>
    <n v="12000"/>
    <n v="28000"/>
    <n v="40000"/>
    <x v="1"/>
    <x v="3"/>
    <x v="4"/>
    <n v="2"/>
    <x v="0"/>
  </r>
  <r>
    <x v="1677"/>
    <x v="1677"/>
    <s v="Hana Saputra"/>
    <x v="17"/>
    <x v="2"/>
    <n v="20000"/>
    <n v="0.4"/>
    <x v="1"/>
    <n v="8000"/>
    <n v="0"/>
    <n v="8000"/>
    <n v="72000"/>
    <n v="80000"/>
    <x v="2"/>
    <x v="4"/>
    <x v="0"/>
    <n v="4"/>
    <x v="0"/>
  </r>
  <r>
    <x v="1678"/>
    <x v="1678"/>
    <s v="Yani Nugroho"/>
    <x v="1"/>
    <x v="10"/>
    <n v="45000"/>
    <n v="1.6"/>
    <x v="1"/>
    <n v="72000"/>
    <n v="0"/>
    <n v="72000"/>
    <n v="17000"/>
    <n v="89000"/>
    <x v="1"/>
    <x v="4"/>
    <x v="1"/>
    <n v="5"/>
    <x v="0"/>
  </r>
  <r>
    <x v="1679"/>
    <x v="1679"/>
    <s v="Hana Saputra"/>
    <x v="17"/>
    <x v="6"/>
    <n v="26000"/>
    <n v="1.7"/>
    <x v="1"/>
    <n v="44200"/>
    <n v="0"/>
    <n v="44200"/>
    <n v="72000"/>
    <n v="116200"/>
    <x v="0"/>
    <x v="0"/>
    <x v="2"/>
    <n v="4"/>
    <x v="0"/>
  </r>
  <r>
    <x v="1680"/>
    <x v="1680"/>
    <s v="Erna Fauziah"/>
    <x v="28"/>
    <x v="17"/>
    <n v="12000"/>
    <n v="1.3"/>
    <x v="1"/>
    <n v="15600"/>
    <n v="0"/>
    <n v="15600"/>
    <n v="56000"/>
    <n v="71600"/>
    <x v="1"/>
    <x v="0"/>
    <x v="0"/>
    <n v="3"/>
    <x v="0"/>
  </r>
  <r>
    <x v="1681"/>
    <x v="1681"/>
    <s v="Vina Kurniawan"/>
    <x v="19"/>
    <x v="12"/>
    <n v="9500"/>
    <n v="1.5"/>
    <x v="1"/>
    <n v="14250"/>
    <n v="0"/>
    <n v="14250"/>
    <n v="78000"/>
    <n v="92250"/>
    <x v="2"/>
    <x v="3"/>
    <x v="2"/>
    <n v="2"/>
    <x v="0"/>
  </r>
  <r>
    <x v="1682"/>
    <x v="1682"/>
    <s v="Dina Halim"/>
    <x v="0"/>
    <x v="0"/>
    <n v="10000"/>
    <n v="2.1"/>
    <x v="1"/>
    <n v="21000"/>
    <n v="0"/>
    <n v="21000"/>
    <n v="15000"/>
    <n v="36000"/>
    <x v="0"/>
    <x v="0"/>
    <x v="2"/>
    <n v="4"/>
    <x v="0"/>
  </r>
  <r>
    <x v="1683"/>
    <x v="1683"/>
    <s v="Zahra Budiman"/>
    <x v="27"/>
    <x v="0"/>
    <n v="10000"/>
    <n v="2.2999999999999998"/>
    <x v="1"/>
    <n v="23000"/>
    <n v="0"/>
    <n v="23000"/>
    <n v="49000"/>
    <n v="72000"/>
    <x v="1"/>
    <x v="4"/>
    <x v="2"/>
    <n v="2"/>
    <x v="0"/>
  </r>
  <r>
    <x v="1684"/>
    <x v="1684"/>
    <s v="Budi Saputra"/>
    <x v="28"/>
    <x v="13"/>
    <n v="10000"/>
    <n v="0.3"/>
    <x v="1"/>
    <n v="3000"/>
    <n v="0"/>
    <n v="3000"/>
    <n v="56000"/>
    <n v="59000"/>
    <x v="2"/>
    <x v="4"/>
    <x v="1"/>
    <n v="5"/>
    <x v="1"/>
  </r>
  <r>
    <x v="1685"/>
    <x v="1685"/>
    <s v="Dewi Iskandar"/>
    <x v="5"/>
    <x v="12"/>
    <n v="9500"/>
    <n v="0.9"/>
    <x v="1"/>
    <n v="8550"/>
    <n v="0"/>
    <n v="8550"/>
    <n v="18000"/>
    <n v="26550"/>
    <x v="0"/>
    <x v="3"/>
    <x v="3"/>
    <n v="4"/>
    <x v="0"/>
  </r>
  <r>
    <x v="1686"/>
    <x v="1686"/>
    <s v="Zahra Budiman"/>
    <x v="27"/>
    <x v="12"/>
    <n v="9500"/>
    <n v="1.8"/>
    <x v="1"/>
    <n v="17100"/>
    <n v="0"/>
    <n v="17100"/>
    <n v="49000"/>
    <n v="66100"/>
    <x v="2"/>
    <x v="3"/>
    <x v="1"/>
    <n v="2"/>
    <x v="0"/>
  </r>
  <r>
    <x v="1687"/>
    <x v="1687"/>
    <s v="Lestari Nugroho"/>
    <x v="4"/>
    <x v="12"/>
    <n v="9500"/>
    <n v="2.5"/>
    <x v="1"/>
    <n v="23750"/>
    <n v="0"/>
    <n v="23750"/>
    <n v="43000"/>
    <n v="66750"/>
    <x v="2"/>
    <x v="0"/>
    <x v="4"/>
    <n v="4"/>
    <x v="0"/>
  </r>
  <r>
    <x v="1688"/>
    <x v="1688"/>
    <s v="Citra Kusuma"/>
    <x v="3"/>
    <x v="8"/>
    <n v="17500"/>
    <n v="3.6"/>
    <x v="1"/>
    <n v="63000"/>
    <n v="0"/>
    <n v="63000"/>
    <n v="93000"/>
    <n v="156000"/>
    <x v="1"/>
    <x v="0"/>
    <x v="2"/>
    <n v="1"/>
    <x v="0"/>
  </r>
  <r>
    <x v="1689"/>
    <x v="1689"/>
    <s v="Aulia Kusuma"/>
    <x v="11"/>
    <x v="10"/>
    <n v="45000"/>
    <n v="1"/>
    <x v="0"/>
    <n v="45000"/>
    <n v="2250"/>
    <n v="42750"/>
    <n v="74000"/>
    <n v="116750"/>
    <x v="1"/>
    <x v="2"/>
    <x v="3"/>
    <n v="5"/>
    <x v="0"/>
  </r>
  <r>
    <x v="1690"/>
    <x v="1690"/>
    <s v="Eka Budiman"/>
    <x v="3"/>
    <x v="14"/>
    <n v="55000"/>
    <n v="0.5"/>
    <x v="0"/>
    <n v="27500"/>
    <n v="1375"/>
    <n v="26125"/>
    <n v="93000"/>
    <n v="119125"/>
    <x v="3"/>
    <x v="3"/>
    <x v="4"/>
    <n v="2"/>
    <x v="0"/>
  </r>
  <r>
    <x v="1691"/>
    <x v="1691"/>
    <s v="Yani Maulana"/>
    <x v="19"/>
    <x v="4"/>
    <n v="40000"/>
    <n v="0.6"/>
    <x v="0"/>
    <n v="24000"/>
    <n v="1200"/>
    <n v="22800"/>
    <n v="78000"/>
    <n v="100800"/>
    <x v="0"/>
    <x v="3"/>
    <x v="0"/>
    <n v="2"/>
    <x v="0"/>
  </r>
  <r>
    <x v="1692"/>
    <x v="1692"/>
    <s v="Citra Utami"/>
    <x v="29"/>
    <x v="4"/>
    <n v="40000"/>
    <n v="0.4"/>
    <x v="0"/>
    <n v="16000"/>
    <n v="800"/>
    <n v="15200"/>
    <n v="48000"/>
    <n v="63200"/>
    <x v="3"/>
    <x v="4"/>
    <x v="4"/>
    <n v="5"/>
    <x v="0"/>
  </r>
  <r>
    <x v="1693"/>
    <x v="1693"/>
    <s v="Dina Pradipta"/>
    <x v="29"/>
    <x v="2"/>
    <n v="20000"/>
    <n v="2.8"/>
    <x v="0"/>
    <n v="56000"/>
    <n v="2800"/>
    <n v="53200"/>
    <n v="48000"/>
    <n v="101200"/>
    <x v="3"/>
    <x v="4"/>
    <x v="3"/>
    <n v="3"/>
    <x v="0"/>
  </r>
  <r>
    <x v="1694"/>
    <x v="1694"/>
    <s v="Dina Rahmawati"/>
    <x v="21"/>
    <x v="4"/>
    <n v="40000"/>
    <n v="0.6"/>
    <x v="0"/>
    <n v="24000"/>
    <n v="1200"/>
    <n v="22800"/>
    <n v="59000"/>
    <n v="81800"/>
    <x v="2"/>
    <x v="0"/>
    <x v="1"/>
    <n v="1"/>
    <x v="0"/>
  </r>
  <r>
    <x v="1695"/>
    <x v="1695"/>
    <s v="Aulia Wijaya"/>
    <x v="22"/>
    <x v="18"/>
    <n v="11000"/>
    <n v="2"/>
    <x v="0"/>
    <n v="22000"/>
    <n v="1100"/>
    <n v="20900"/>
    <n v="50000"/>
    <n v="70900"/>
    <x v="2"/>
    <x v="0"/>
    <x v="1"/>
    <n v="5"/>
    <x v="0"/>
  </r>
  <r>
    <x v="1696"/>
    <x v="1696"/>
    <s v="Arif Santoso"/>
    <x v="16"/>
    <x v="5"/>
    <n v="10500"/>
    <n v="0.8"/>
    <x v="0"/>
    <n v="8400"/>
    <n v="420"/>
    <n v="7980"/>
    <n v="18000"/>
    <n v="25980"/>
    <x v="3"/>
    <x v="4"/>
    <x v="1"/>
    <n v="3"/>
    <x v="1"/>
  </r>
  <r>
    <x v="1697"/>
    <x v="1697"/>
    <s v="Sari Ananda"/>
    <x v="34"/>
    <x v="5"/>
    <n v="10500"/>
    <n v="2"/>
    <x v="0"/>
    <n v="21000"/>
    <n v="1050"/>
    <n v="19950"/>
    <n v="18000"/>
    <n v="37950"/>
    <x v="0"/>
    <x v="2"/>
    <x v="3"/>
    <n v="1"/>
    <x v="0"/>
  </r>
  <r>
    <x v="1698"/>
    <x v="1698"/>
    <s v="Sari Pradipta"/>
    <x v="5"/>
    <x v="8"/>
    <n v="17500"/>
    <n v="1.2"/>
    <x v="0"/>
    <n v="21000"/>
    <n v="1050"/>
    <n v="19950"/>
    <n v="18000"/>
    <n v="37950"/>
    <x v="1"/>
    <x v="3"/>
    <x v="1"/>
    <n v="1"/>
    <x v="0"/>
  </r>
  <r>
    <x v="1699"/>
    <x v="1699"/>
    <s v="Made Santoso"/>
    <x v="35"/>
    <x v="7"/>
    <n v="14000"/>
    <n v="1.3"/>
    <x v="0"/>
    <n v="18200"/>
    <n v="910"/>
    <n v="17290"/>
    <n v="79000"/>
    <n v="96290"/>
    <x v="1"/>
    <x v="1"/>
    <x v="3"/>
    <n v="4"/>
    <x v="1"/>
  </r>
  <r>
    <x v="1700"/>
    <x v="1700"/>
    <s v="Dewi Puspita"/>
    <x v="12"/>
    <x v="8"/>
    <n v="17500"/>
    <n v="0.8"/>
    <x v="1"/>
    <n v="14000"/>
    <n v="0"/>
    <n v="14000"/>
    <n v="30000"/>
    <n v="44000"/>
    <x v="3"/>
    <x v="2"/>
    <x v="2"/>
    <n v="5"/>
    <x v="0"/>
  </r>
  <r>
    <x v="1700"/>
    <x v="1700"/>
    <s v="Dewi Puspita"/>
    <x v="12"/>
    <x v="13"/>
    <n v="10000"/>
    <n v="0.6"/>
    <x v="1"/>
    <n v="6000"/>
    <n v="0"/>
    <n v="6000"/>
    <n v="0"/>
    <n v="6000"/>
    <x v="3"/>
    <x v="2"/>
    <x v="2"/>
    <n v="5"/>
    <x v="0"/>
  </r>
  <r>
    <x v="1701"/>
    <x v="1701"/>
    <s v="Lestari Santoso"/>
    <x v="34"/>
    <x v="1"/>
    <n v="15000"/>
    <n v="0.2"/>
    <x v="1"/>
    <n v="3000"/>
    <n v="0"/>
    <n v="3000"/>
    <n v="18000"/>
    <n v="21000"/>
    <x v="0"/>
    <x v="0"/>
    <x v="2"/>
    <n v="5"/>
    <x v="0"/>
  </r>
  <r>
    <x v="1702"/>
    <x v="1702"/>
    <s v="Indra Ananda"/>
    <x v="20"/>
    <x v="0"/>
    <n v="10000"/>
    <n v="2.2999999999999998"/>
    <x v="1"/>
    <n v="23000"/>
    <n v="0"/>
    <n v="23000"/>
    <n v="84000"/>
    <n v="107000"/>
    <x v="2"/>
    <x v="0"/>
    <x v="1"/>
    <n v="1"/>
    <x v="1"/>
  </r>
  <r>
    <x v="1703"/>
    <x v="1703"/>
    <s v="Dewi Syahputra"/>
    <x v="16"/>
    <x v="14"/>
    <n v="55000"/>
    <n v="0.5"/>
    <x v="1"/>
    <n v="27500"/>
    <n v="0"/>
    <n v="27500"/>
    <n v="18000"/>
    <n v="45500"/>
    <x v="0"/>
    <x v="3"/>
    <x v="4"/>
    <n v="4"/>
    <x v="0"/>
  </r>
  <r>
    <x v="1704"/>
    <x v="1704"/>
    <s v="Umar Setiawan"/>
    <x v="17"/>
    <x v="10"/>
    <n v="45000"/>
    <n v="2.1"/>
    <x v="1"/>
    <n v="94500"/>
    <n v="0"/>
    <n v="94500"/>
    <n v="72000"/>
    <n v="166500"/>
    <x v="0"/>
    <x v="4"/>
    <x v="4"/>
    <n v="2"/>
    <x v="1"/>
  </r>
  <r>
    <x v="1705"/>
    <x v="1705"/>
    <s v="Dina Setiawan"/>
    <x v="26"/>
    <x v="3"/>
    <n v="13500"/>
    <n v="1.5"/>
    <x v="1"/>
    <n v="20250"/>
    <n v="0"/>
    <n v="20250"/>
    <n v="46000"/>
    <n v="66250"/>
    <x v="0"/>
    <x v="0"/>
    <x v="1"/>
    <n v="2"/>
    <x v="0"/>
  </r>
  <r>
    <x v="1706"/>
    <x v="1706"/>
    <s v="Kartika Ramadhani"/>
    <x v="32"/>
    <x v="13"/>
    <n v="10000"/>
    <n v="1.3"/>
    <x v="1"/>
    <n v="13000"/>
    <n v="0"/>
    <n v="13000"/>
    <n v="28000"/>
    <n v="41000"/>
    <x v="1"/>
    <x v="4"/>
    <x v="0"/>
    <n v="1"/>
    <x v="0"/>
  </r>
  <r>
    <x v="1707"/>
    <x v="1707"/>
    <s v="Hana Halim"/>
    <x v="31"/>
    <x v="2"/>
    <n v="20000"/>
    <n v="1.8"/>
    <x v="1"/>
    <n v="36000"/>
    <n v="0"/>
    <n v="36000"/>
    <n v="87000"/>
    <n v="123000"/>
    <x v="1"/>
    <x v="4"/>
    <x v="0"/>
    <n v="4"/>
    <x v="0"/>
  </r>
  <r>
    <x v="1708"/>
    <x v="1708"/>
    <s v="Hendra Wijaya"/>
    <x v="0"/>
    <x v="9"/>
    <n v="46000"/>
    <n v="0.3"/>
    <x v="1"/>
    <n v="13800"/>
    <n v="0"/>
    <n v="13800"/>
    <n v="15000"/>
    <n v="28800"/>
    <x v="2"/>
    <x v="0"/>
    <x v="2"/>
    <n v="5"/>
    <x v="1"/>
  </r>
  <r>
    <x v="1709"/>
    <x v="1709"/>
    <s v="Ani Budiman"/>
    <x v="17"/>
    <x v="1"/>
    <n v="15000"/>
    <n v="0.6"/>
    <x v="1"/>
    <n v="9000"/>
    <n v="0"/>
    <n v="9000"/>
    <n v="72000"/>
    <n v="81000"/>
    <x v="1"/>
    <x v="0"/>
    <x v="3"/>
    <n v="4"/>
    <x v="0"/>
  </r>
  <r>
    <x v="1710"/>
    <x v="1710"/>
    <s v="Zahra Utami"/>
    <x v="25"/>
    <x v="17"/>
    <n v="12000"/>
    <n v="1.1000000000000001"/>
    <x v="1"/>
    <n v="13200.000000000002"/>
    <n v="0"/>
    <n v="13200.000000000002"/>
    <n v="50000"/>
    <n v="63200"/>
    <x v="3"/>
    <x v="3"/>
    <x v="1"/>
    <n v="5"/>
    <x v="0"/>
  </r>
  <r>
    <x v="1711"/>
    <x v="1711"/>
    <s v="Lestari Syahputra"/>
    <x v="5"/>
    <x v="7"/>
    <n v="14000"/>
    <n v="1.9"/>
    <x v="1"/>
    <n v="26600"/>
    <n v="0"/>
    <n v="26600"/>
    <n v="18000"/>
    <n v="44600"/>
    <x v="1"/>
    <x v="3"/>
    <x v="3"/>
    <n v="2"/>
    <x v="0"/>
  </r>
  <r>
    <x v="1712"/>
    <x v="1712"/>
    <s v="Rizky Ananda"/>
    <x v="10"/>
    <x v="6"/>
    <n v="26000"/>
    <n v="1.4"/>
    <x v="1"/>
    <n v="36400"/>
    <n v="0"/>
    <n v="36400"/>
    <n v="87000"/>
    <n v="123400"/>
    <x v="3"/>
    <x v="3"/>
    <x v="0"/>
    <n v="4"/>
    <x v="1"/>
  </r>
  <r>
    <x v="1713"/>
    <x v="1713"/>
    <s v="Sari Saputra"/>
    <x v="33"/>
    <x v="15"/>
    <n v="10000"/>
    <n v="0.2"/>
    <x v="1"/>
    <n v="2000"/>
    <n v="0"/>
    <n v="2000"/>
    <n v="80000"/>
    <n v="82000"/>
    <x v="2"/>
    <x v="0"/>
    <x v="4"/>
    <n v="4"/>
    <x v="0"/>
  </r>
  <r>
    <x v="1713"/>
    <x v="1713"/>
    <s v="Sari Saputra"/>
    <x v="33"/>
    <x v="6"/>
    <n v="26000"/>
    <n v="0.4"/>
    <x v="1"/>
    <n v="10400"/>
    <n v="0"/>
    <n v="10400"/>
    <n v="0"/>
    <n v="10400"/>
    <x v="2"/>
    <x v="0"/>
    <x v="4"/>
    <n v="4"/>
    <x v="0"/>
  </r>
  <r>
    <x v="1714"/>
    <x v="1714"/>
    <s v="Citra Maulana"/>
    <x v="17"/>
    <x v="6"/>
    <n v="26000"/>
    <n v="1.6"/>
    <x v="1"/>
    <n v="41600"/>
    <n v="0"/>
    <n v="41600"/>
    <n v="72000"/>
    <n v="113600"/>
    <x v="3"/>
    <x v="0"/>
    <x v="1"/>
    <n v="1"/>
    <x v="0"/>
  </r>
  <r>
    <x v="1715"/>
    <x v="1715"/>
    <s v="Yani Pradipta"/>
    <x v="1"/>
    <x v="4"/>
    <n v="40000"/>
    <n v="0.6"/>
    <x v="1"/>
    <n v="24000"/>
    <n v="0"/>
    <n v="24000"/>
    <n v="17000"/>
    <n v="41000"/>
    <x v="3"/>
    <x v="0"/>
    <x v="0"/>
    <n v="5"/>
    <x v="0"/>
  </r>
  <r>
    <x v="1716"/>
    <x v="1716"/>
    <s v="Kartika Utami"/>
    <x v="32"/>
    <x v="3"/>
    <n v="13500"/>
    <n v="2.1"/>
    <x v="1"/>
    <n v="28350"/>
    <n v="0"/>
    <n v="28350"/>
    <n v="28000"/>
    <n v="56350"/>
    <x v="0"/>
    <x v="0"/>
    <x v="1"/>
    <n v="1"/>
    <x v="0"/>
  </r>
  <r>
    <x v="1717"/>
    <x v="1717"/>
    <s v="Qori Syahputra"/>
    <x v="12"/>
    <x v="8"/>
    <n v="17500"/>
    <n v="3.4"/>
    <x v="1"/>
    <n v="59500"/>
    <n v="0"/>
    <n v="59500"/>
    <n v="30000"/>
    <n v="89500"/>
    <x v="3"/>
    <x v="3"/>
    <x v="2"/>
    <n v="5"/>
    <x v="0"/>
  </r>
  <r>
    <x v="1718"/>
    <x v="1718"/>
    <s v="Dina Setiawan"/>
    <x v="26"/>
    <x v="0"/>
    <n v="10000"/>
    <n v="1.7"/>
    <x v="1"/>
    <n v="17000"/>
    <n v="0"/>
    <n v="17000"/>
    <n v="46000"/>
    <n v="63000"/>
    <x v="0"/>
    <x v="0"/>
    <x v="3"/>
    <n v="5"/>
    <x v="0"/>
  </r>
  <r>
    <x v="1719"/>
    <x v="1719"/>
    <s v="Aulia Iskandar"/>
    <x v="11"/>
    <x v="8"/>
    <n v="17500"/>
    <n v="2.7"/>
    <x v="1"/>
    <n v="47250"/>
    <n v="0"/>
    <n v="47250"/>
    <n v="74000"/>
    <n v="121250"/>
    <x v="0"/>
    <x v="3"/>
    <x v="3"/>
    <n v="1"/>
    <x v="0"/>
  </r>
  <r>
    <x v="1720"/>
    <x v="1720"/>
    <s v="Zahra Ramadhani"/>
    <x v="20"/>
    <x v="9"/>
    <n v="46000"/>
    <n v="0.9"/>
    <x v="1"/>
    <n v="41400"/>
    <n v="0"/>
    <n v="41400"/>
    <n v="84000"/>
    <n v="125400"/>
    <x v="0"/>
    <x v="0"/>
    <x v="3"/>
    <n v="1"/>
    <x v="0"/>
  </r>
  <r>
    <x v="1721"/>
    <x v="1721"/>
    <s v="Bella Rahmawati"/>
    <x v="8"/>
    <x v="0"/>
    <n v="10000"/>
    <n v="0.8"/>
    <x v="1"/>
    <n v="8000"/>
    <n v="0"/>
    <n v="8000"/>
    <n v="59000"/>
    <n v="67000"/>
    <x v="2"/>
    <x v="4"/>
    <x v="0"/>
    <n v="1"/>
    <x v="0"/>
  </r>
  <r>
    <x v="1722"/>
    <x v="1722"/>
    <s v="Dewi Pradipta"/>
    <x v="14"/>
    <x v="2"/>
    <n v="20000"/>
    <n v="3.7"/>
    <x v="1"/>
    <n v="74000"/>
    <n v="0"/>
    <n v="74000"/>
    <n v="85000"/>
    <n v="159000"/>
    <x v="0"/>
    <x v="3"/>
    <x v="0"/>
    <n v="2"/>
    <x v="0"/>
  </r>
  <r>
    <x v="1723"/>
    <x v="1723"/>
    <s v="Bella Fauziah"/>
    <x v="3"/>
    <x v="11"/>
    <n v="15000"/>
    <n v="1.2"/>
    <x v="1"/>
    <n v="18000"/>
    <n v="0"/>
    <n v="18000"/>
    <n v="93000"/>
    <n v="111000"/>
    <x v="1"/>
    <x v="0"/>
    <x v="2"/>
    <n v="5"/>
    <x v="0"/>
  </r>
  <r>
    <x v="1724"/>
    <x v="1724"/>
    <s v="Citra Syahputra"/>
    <x v="26"/>
    <x v="10"/>
    <n v="45000"/>
    <n v="2"/>
    <x v="1"/>
    <n v="90000"/>
    <n v="0"/>
    <n v="90000"/>
    <n v="46000"/>
    <n v="136000"/>
    <x v="2"/>
    <x v="0"/>
    <x v="1"/>
    <n v="5"/>
    <x v="0"/>
  </r>
  <r>
    <x v="1725"/>
    <x v="1725"/>
    <s v="Kartika Santoso"/>
    <x v="10"/>
    <x v="0"/>
    <n v="10000"/>
    <n v="1.7"/>
    <x v="1"/>
    <n v="17000"/>
    <n v="0"/>
    <n v="17000"/>
    <n v="87000"/>
    <n v="104000"/>
    <x v="1"/>
    <x v="0"/>
    <x v="4"/>
    <n v="1"/>
    <x v="0"/>
  </r>
  <r>
    <x v="1725"/>
    <x v="1725"/>
    <s v="Kartika Santoso"/>
    <x v="10"/>
    <x v="19"/>
    <n v="15500"/>
    <n v="0.6"/>
    <x v="1"/>
    <n v="9300"/>
    <n v="0"/>
    <n v="9300"/>
    <n v="0"/>
    <n v="9300"/>
    <x v="1"/>
    <x v="0"/>
    <x v="4"/>
    <n v="1"/>
    <x v="0"/>
  </r>
  <r>
    <x v="1726"/>
    <x v="1726"/>
    <s v="Lestari Budiman"/>
    <x v="14"/>
    <x v="12"/>
    <n v="9500"/>
    <n v="1.9"/>
    <x v="1"/>
    <n v="18050"/>
    <n v="0"/>
    <n v="18050"/>
    <n v="85000"/>
    <n v="103050"/>
    <x v="3"/>
    <x v="0"/>
    <x v="0"/>
    <n v="3"/>
    <x v="0"/>
  </r>
  <r>
    <x v="1727"/>
    <x v="1727"/>
    <s v="Eka Kusuma"/>
    <x v="14"/>
    <x v="3"/>
    <n v="13500"/>
    <n v="2.6"/>
    <x v="1"/>
    <n v="35100"/>
    <n v="0"/>
    <n v="35100"/>
    <n v="85000"/>
    <n v="120100"/>
    <x v="1"/>
    <x v="4"/>
    <x v="3"/>
    <n v="5"/>
    <x v="0"/>
  </r>
  <r>
    <x v="1728"/>
    <x v="1728"/>
    <s v="Aulia Syahputra"/>
    <x v="35"/>
    <x v="18"/>
    <n v="11000"/>
    <n v="0.8"/>
    <x v="0"/>
    <n v="8800"/>
    <n v="440"/>
    <n v="8360"/>
    <n v="79000"/>
    <n v="87360"/>
    <x v="0"/>
    <x v="0"/>
    <x v="1"/>
    <n v="4"/>
    <x v="0"/>
  </r>
  <r>
    <x v="1729"/>
    <x v="1729"/>
    <s v="Nanda Iskandar"/>
    <x v="14"/>
    <x v="17"/>
    <n v="12000"/>
    <n v="1.4"/>
    <x v="0"/>
    <n v="16800"/>
    <n v="840"/>
    <n v="15960"/>
    <n v="85000"/>
    <n v="100960"/>
    <x v="1"/>
    <x v="0"/>
    <x v="0"/>
    <n v="4"/>
    <x v="1"/>
  </r>
  <r>
    <x v="1729"/>
    <x v="1729"/>
    <s v="Nanda Iskandar"/>
    <x v="14"/>
    <x v="18"/>
    <n v="11000"/>
    <n v="1.7"/>
    <x v="0"/>
    <n v="18700"/>
    <n v="935"/>
    <n v="17765"/>
    <n v="0"/>
    <n v="17765"/>
    <x v="1"/>
    <x v="0"/>
    <x v="0"/>
    <n v="4"/>
    <x v="1"/>
  </r>
  <r>
    <x v="1730"/>
    <x v="1730"/>
    <s v="Fajar Puspita"/>
    <x v="6"/>
    <x v="6"/>
    <n v="26000"/>
    <n v="0.7"/>
    <x v="0"/>
    <n v="18200"/>
    <n v="910"/>
    <n v="17290"/>
    <n v="80000"/>
    <n v="97290"/>
    <x v="2"/>
    <x v="2"/>
    <x v="1"/>
    <n v="2"/>
    <x v="1"/>
  </r>
  <r>
    <x v="1731"/>
    <x v="1731"/>
    <s v="Made Santoso"/>
    <x v="35"/>
    <x v="0"/>
    <n v="10000"/>
    <n v="1.1000000000000001"/>
    <x v="0"/>
    <n v="11000"/>
    <n v="550"/>
    <n v="10450"/>
    <n v="79000"/>
    <n v="89450"/>
    <x v="3"/>
    <x v="0"/>
    <x v="3"/>
    <n v="3"/>
    <x v="1"/>
  </r>
  <r>
    <x v="1732"/>
    <x v="1732"/>
    <s v="Eka Wijaya"/>
    <x v="7"/>
    <x v="10"/>
    <n v="45000"/>
    <n v="1.6"/>
    <x v="0"/>
    <n v="72000"/>
    <n v="3600"/>
    <n v="68400"/>
    <n v="26000"/>
    <n v="94400"/>
    <x v="0"/>
    <x v="4"/>
    <x v="2"/>
    <n v="2"/>
    <x v="0"/>
  </r>
  <r>
    <x v="1733"/>
    <x v="1733"/>
    <s v="Putri Ananda"/>
    <x v="7"/>
    <x v="19"/>
    <n v="15500"/>
    <n v="0.3"/>
    <x v="0"/>
    <n v="4650"/>
    <n v="232.5"/>
    <n v="4417.5"/>
    <n v="26000"/>
    <n v="30417.5"/>
    <x v="1"/>
    <x v="0"/>
    <x v="1"/>
    <n v="2"/>
    <x v="0"/>
  </r>
  <r>
    <x v="1734"/>
    <x v="1734"/>
    <s v="Dina Ananda"/>
    <x v="2"/>
    <x v="12"/>
    <n v="9500"/>
    <n v="1.6"/>
    <x v="0"/>
    <n v="15200"/>
    <n v="760"/>
    <n v="14440"/>
    <n v="76000"/>
    <n v="90440"/>
    <x v="3"/>
    <x v="0"/>
    <x v="4"/>
    <n v="2"/>
    <x v="0"/>
  </r>
  <r>
    <x v="1735"/>
    <x v="1735"/>
    <s v="Vina Ramadhani"/>
    <x v="10"/>
    <x v="5"/>
    <n v="10500"/>
    <n v="1.7"/>
    <x v="0"/>
    <n v="17850"/>
    <n v="892.5"/>
    <n v="16957.5"/>
    <n v="87000"/>
    <n v="103957.5"/>
    <x v="3"/>
    <x v="4"/>
    <x v="1"/>
    <n v="5"/>
    <x v="0"/>
  </r>
  <r>
    <x v="1736"/>
    <x v="1736"/>
    <s v="Wahyu Pradipta"/>
    <x v="15"/>
    <x v="0"/>
    <n v="10000"/>
    <n v="1.7"/>
    <x v="0"/>
    <n v="17000"/>
    <n v="850"/>
    <n v="16150"/>
    <n v="97000"/>
    <n v="113150"/>
    <x v="1"/>
    <x v="3"/>
    <x v="1"/>
    <n v="4"/>
    <x v="1"/>
  </r>
  <r>
    <x v="1737"/>
    <x v="1737"/>
    <s v="Gita Kurniawan"/>
    <x v="19"/>
    <x v="4"/>
    <n v="40000"/>
    <n v="1.4"/>
    <x v="0"/>
    <n v="56000"/>
    <n v="2800"/>
    <n v="53200"/>
    <n v="78000"/>
    <n v="131200"/>
    <x v="0"/>
    <x v="0"/>
    <x v="2"/>
    <n v="3"/>
    <x v="0"/>
  </r>
  <r>
    <x v="1738"/>
    <x v="1738"/>
    <s v="Hana Wijaya"/>
    <x v="31"/>
    <x v="5"/>
    <n v="10500"/>
    <n v="3.7"/>
    <x v="0"/>
    <n v="38850"/>
    <n v="1942.5"/>
    <n v="36907.5"/>
    <n v="87000"/>
    <n v="123907.5"/>
    <x v="2"/>
    <x v="0"/>
    <x v="1"/>
    <n v="5"/>
    <x v="0"/>
  </r>
  <r>
    <x v="1739"/>
    <x v="1739"/>
    <s v="Oka Kusuma"/>
    <x v="1"/>
    <x v="4"/>
    <n v="40000"/>
    <n v="0.9"/>
    <x v="0"/>
    <n v="36000"/>
    <n v="1800"/>
    <n v="34200"/>
    <n v="17000"/>
    <n v="51200"/>
    <x v="2"/>
    <x v="3"/>
    <x v="2"/>
    <n v="1"/>
    <x v="1"/>
  </r>
  <r>
    <x v="1740"/>
    <x v="1740"/>
    <s v="Hana Saputra"/>
    <x v="17"/>
    <x v="4"/>
    <n v="40000"/>
    <n v="0.2"/>
    <x v="0"/>
    <n v="8000"/>
    <n v="400"/>
    <n v="7600"/>
    <n v="72000"/>
    <n v="79600"/>
    <x v="1"/>
    <x v="3"/>
    <x v="3"/>
    <n v="2"/>
    <x v="0"/>
  </r>
  <r>
    <x v="1741"/>
    <x v="1741"/>
    <s v="Hana Fauziah"/>
    <x v="14"/>
    <x v="8"/>
    <n v="17500"/>
    <n v="2.7"/>
    <x v="0"/>
    <n v="47250"/>
    <n v="2362.5"/>
    <n v="44887.5"/>
    <n v="85000"/>
    <n v="129887.5"/>
    <x v="1"/>
    <x v="4"/>
    <x v="1"/>
    <n v="3"/>
    <x v="0"/>
  </r>
  <r>
    <x v="1742"/>
    <x v="1742"/>
    <s v="Aulia Ramadhani"/>
    <x v="2"/>
    <x v="11"/>
    <n v="15000"/>
    <n v="1.5"/>
    <x v="0"/>
    <n v="22500"/>
    <n v="1125"/>
    <n v="21375"/>
    <n v="76000"/>
    <n v="97375"/>
    <x v="2"/>
    <x v="2"/>
    <x v="0"/>
    <n v="5"/>
    <x v="0"/>
  </r>
  <r>
    <x v="1743"/>
    <x v="1743"/>
    <s v="Fitri Saputra"/>
    <x v="15"/>
    <x v="14"/>
    <n v="55000"/>
    <n v="0.7"/>
    <x v="0"/>
    <n v="38500"/>
    <n v="1925"/>
    <n v="36575"/>
    <n v="97000"/>
    <n v="133575"/>
    <x v="3"/>
    <x v="0"/>
    <x v="1"/>
    <n v="3"/>
    <x v="0"/>
  </r>
  <r>
    <x v="1744"/>
    <x v="1744"/>
    <s v="Fitri Halim"/>
    <x v="6"/>
    <x v="17"/>
    <n v="12000"/>
    <n v="1.4"/>
    <x v="0"/>
    <n v="16800"/>
    <n v="840"/>
    <n v="15960"/>
    <n v="80000"/>
    <n v="95960"/>
    <x v="2"/>
    <x v="3"/>
    <x v="1"/>
    <n v="5"/>
    <x v="0"/>
  </r>
  <r>
    <x v="1745"/>
    <x v="1745"/>
    <s v="Zahra Kurniawan"/>
    <x v="0"/>
    <x v="8"/>
    <n v="17500"/>
    <n v="4.0999999999999996"/>
    <x v="0"/>
    <n v="71750"/>
    <n v="3587.5"/>
    <n v="68162.5"/>
    <n v="15000"/>
    <n v="83162.5"/>
    <x v="2"/>
    <x v="4"/>
    <x v="4"/>
    <n v="2"/>
    <x v="0"/>
  </r>
  <r>
    <x v="1746"/>
    <x v="1746"/>
    <s v="Bayu Fauziah"/>
    <x v="11"/>
    <x v="4"/>
    <n v="40000"/>
    <n v="0.2"/>
    <x v="0"/>
    <n v="8000"/>
    <n v="400"/>
    <n v="7600"/>
    <n v="74000"/>
    <n v="81600"/>
    <x v="1"/>
    <x v="0"/>
    <x v="4"/>
    <n v="1"/>
    <x v="1"/>
  </r>
  <r>
    <x v="1747"/>
    <x v="1747"/>
    <s v="Budi Wijaya"/>
    <x v="33"/>
    <x v="8"/>
    <n v="17500"/>
    <n v="2.7"/>
    <x v="0"/>
    <n v="47250"/>
    <n v="2362.5"/>
    <n v="44887.5"/>
    <n v="80000"/>
    <n v="124887.5"/>
    <x v="0"/>
    <x v="4"/>
    <x v="1"/>
    <n v="1"/>
    <x v="1"/>
  </r>
  <r>
    <x v="1748"/>
    <x v="1748"/>
    <s v="Putri Ramadhani"/>
    <x v="34"/>
    <x v="14"/>
    <n v="55000"/>
    <n v="0.4"/>
    <x v="0"/>
    <n v="22000"/>
    <n v="1100"/>
    <n v="20900"/>
    <n v="18000"/>
    <n v="38900"/>
    <x v="3"/>
    <x v="4"/>
    <x v="0"/>
    <n v="1"/>
    <x v="0"/>
  </r>
  <r>
    <x v="1749"/>
    <x v="1749"/>
    <s v="Erna Hidayat"/>
    <x v="32"/>
    <x v="3"/>
    <n v="13500"/>
    <n v="0.8"/>
    <x v="0"/>
    <n v="10800"/>
    <n v="540"/>
    <n v="10260"/>
    <n v="28000"/>
    <n v="38260"/>
    <x v="1"/>
    <x v="0"/>
    <x v="2"/>
    <n v="2"/>
    <x v="0"/>
  </r>
  <r>
    <x v="1750"/>
    <x v="1750"/>
    <s v="Gita Santoso"/>
    <x v="26"/>
    <x v="9"/>
    <n v="46000"/>
    <n v="1.5"/>
    <x v="0"/>
    <n v="69000"/>
    <n v="3450"/>
    <n v="65550"/>
    <n v="46000"/>
    <n v="111550"/>
    <x v="2"/>
    <x v="4"/>
    <x v="4"/>
    <n v="2"/>
    <x v="0"/>
  </r>
  <r>
    <x v="1751"/>
    <x v="1751"/>
    <s v="Dina Kusuma"/>
    <x v="29"/>
    <x v="19"/>
    <n v="15500"/>
    <n v="0.3"/>
    <x v="0"/>
    <n v="4650"/>
    <n v="232.5"/>
    <n v="4417.5"/>
    <n v="48000"/>
    <n v="52417.5"/>
    <x v="2"/>
    <x v="4"/>
    <x v="4"/>
    <n v="1"/>
    <x v="0"/>
  </r>
  <r>
    <x v="1752"/>
    <x v="1752"/>
    <s v="Qori Syahputra"/>
    <x v="12"/>
    <x v="14"/>
    <n v="55000"/>
    <n v="0.6"/>
    <x v="0"/>
    <n v="33000"/>
    <n v="1650"/>
    <n v="31350"/>
    <n v="30000"/>
    <n v="61350"/>
    <x v="2"/>
    <x v="1"/>
    <x v="1"/>
    <n v="2"/>
    <x v="0"/>
  </r>
  <r>
    <x v="1753"/>
    <x v="1753"/>
    <s v="Qori Iskandar"/>
    <x v="11"/>
    <x v="18"/>
    <n v="11000"/>
    <n v="0.7"/>
    <x v="0"/>
    <n v="7699.9999999999991"/>
    <n v="385"/>
    <n v="7314.9999999999991"/>
    <n v="74000"/>
    <n v="81315"/>
    <x v="2"/>
    <x v="3"/>
    <x v="2"/>
    <n v="3"/>
    <x v="0"/>
  </r>
  <r>
    <x v="1754"/>
    <x v="1754"/>
    <s v="Vina Halim"/>
    <x v="10"/>
    <x v="19"/>
    <n v="15500"/>
    <n v="0.4"/>
    <x v="0"/>
    <n v="6200"/>
    <n v="310"/>
    <n v="5890"/>
    <n v="87000"/>
    <n v="92890"/>
    <x v="3"/>
    <x v="3"/>
    <x v="0"/>
    <n v="2"/>
    <x v="0"/>
  </r>
  <r>
    <x v="1755"/>
    <x v="1755"/>
    <s v="Dimas Maulana"/>
    <x v="28"/>
    <x v="7"/>
    <n v="14000"/>
    <n v="0.5"/>
    <x v="0"/>
    <n v="7000"/>
    <n v="350"/>
    <n v="6650"/>
    <n v="56000"/>
    <n v="62650"/>
    <x v="2"/>
    <x v="1"/>
    <x v="2"/>
    <n v="4"/>
    <x v="1"/>
  </r>
  <r>
    <x v="1755"/>
    <x v="1755"/>
    <s v="Dimas Maulana"/>
    <x v="28"/>
    <x v="11"/>
    <n v="15000"/>
    <n v="1"/>
    <x v="0"/>
    <n v="15000"/>
    <n v="750"/>
    <n v="14250"/>
    <n v="0"/>
    <n v="14250"/>
    <x v="2"/>
    <x v="1"/>
    <x v="2"/>
    <n v="4"/>
    <x v="1"/>
  </r>
  <r>
    <x v="1756"/>
    <x v="1756"/>
    <s v="Yani Santoso"/>
    <x v="14"/>
    <x v="7"/>
    <n v="14000"/>
    <n v="0.9"/>
    <x v="0"/>
    <n v="12600"/>
    <n v="630"/>
    <n v="11970"/>
    <n v="85000"/>
    <n v="96970"/>
    <x v="2"/>
    <x v="0"/>
    <x v="4"/>
    <n v="3"/>
    <x v="0"/>
  </r>
  <r>
    <x v="1757"/>
    <x v="1757"/>
    <s v="Zahra Ramadhani"/>
    <x v="20"/>
    <x v="11"/>
    <n v="15000"/>
    <n v="2"/>
    <x v="0"/>
    <n v="30000"/>
    <n v="1500"/>
    <n v="28500"/>
    <n v="84000"/>
    <n v="112500"/>
    <x v="3"/>
    <x v="0"/>
    <x v="1"/>
    <n v="5"/>
    <x v="0"/>
  </r>
  <r>
    <x v="1758"/>
    <x v="1758"/>
    <s v="Zahra Rahmawati"/>
    <x v="17"/>
    <x v="8"/>
    <n v="17500"/>
    <n v="1.9"/>
    <x v="0"/>
    <n v="33250"/>
    <n v="1662.5"/>
    <n v="31587.5"/>
    <n v="72000"/>
    <n v="103587.5"/>
    <x v="3"/>
    <x v="4"/>
    <x v="1"/>
    <n v="2"/>
    <x v="0"/>
  </r>
  <r>
    <x v="1759"/>
    <x v="1759"/>
    <s v="Indra Setiawan"/>
    <x v="28"/>
    <x v="16"/>
    <n v="115000"/>
    <n v="0.7"/>
    <x v="0"/>
    <n v="80500"/>
    <n v="4025"/>
    <n v="76475"/>
    <n v="56000"/>
    <n v="132475"/>
    <x v="2"/>
    <x v="3"/>
    <x v="2"/>
    <n v="4"/>
    <x v="1"/>
  </r>
  <r>
    <x v="1760"/>
    <x v="1760"/>
    <s v="Kartika Saputra"/>
    <x v="37"/>
    <x v="4"/>
    <n v="40000"/>
    <n v="1"/>
    <x v="0"/>
    <n v="40000"/>
    <n v="2000"/>
    <n v="38000"/>
    <n v="67000"/>
    <n v="105000"/>
    <x v="3"/>
    <x v="3"/>
    <x v="3"/>
    <n v="1"/>
    <x v="0"/>
  </r>
  <r>
    <x v="1761"/>
    <x v="1761"/>
    <s v="Hana Nugroho"/>
    <x v="11"/>
    <x v="2"/>
    <n v="20000"/>
    <n v="2.4"/>
    <x v="0"/>
    <n v="48000"/>
    <n v="2400"/>
    <n v="45600"/>
    <n v="74000"/>
    <n v="119600"/>
    <x v="1"/>
    <x v="4"/>
    <x v="2"/>
    <n v="1"/>
    <x v="0"/>
  </r>
  <r>
    <x v="1762"/>
    <x v="1762"/>
    <s v="Dewi Setiawan"/>
    <x v="15"/>
    <x v="10"/>
    <n v="45000"/>
    <n v="1.7"/>
    <x v="0"/>
    <n v="76500"/>
    <n v="3825"/>
    <n v="72675"/>
    <n v="97000"/>
    <n v="169675"/>
    <x v="1"/>
    <x v="0"/>
    <x v="1"/>
    <n v="4"/>
    <x v="0"/>
  </r>
  <r>
    <x v="1763"/>
    <x v="1763"/>
    <s v="Lestari Budiman"/>
    <x v="14"/>
    <x v="16"/>
    <n v="115000"/>
    <n v="0.8"/>
    <x v="0"/>
    <n v="92000"/>
    <n v="4600"/>
    <n v="87400"/>
    <n v="85000"/>
    <n v="172400"/>
    <x v="1"/>
    <x v="4"/>
    <x v="4"/>
    <n v="1"/>
    <x v="0"/>
  </r>
  <r>
    <x v="1764"/>
    <x v="1764"/>
    <s v="Fitri Ramadhani"/>
    <x v="11"/>
    <x v="17"/>
    <n v="12000"/>
    <n v="0.6"/>
    <x v="0"/>
    <n v="7200"/>
    <n v="360"/>
    <n v="6840"/>
    <n v="74000"/>
    <n v="80840"/>
    <x v="3"/>
    <x v="4"/>
    <x v="0"/>
    <n v="3"/>
    <x v="0"/>
  </r>
  <r>
    <x v="1765"/>
    <x v="1765"/>
    <s v="Ani Puspita"/>
    <x v="37"/>
    <x v="15"/>
    <n v="10000"/>
    <n v="0.4"/>
    <x v="0"/>
    <n v="4000"/>
    <n v="200"/>
    <n v="3800"/>
    <n v="67000"/>
    <n v="70800"/>
    <x v="3"/>
    <x v="0"/>
    <x v="0"/>
    <n v="3"/>
    <x v="0"/>
  </r>
  <r>
    <x v="1766"/>
    <x v="1766"/>
    <s v="Andi Setiawan"/>
    <x v="14"/>
    <x v="18"/>
    <n v="11000"/>
    <n v="1.5"/>
    <x v="0"/>
    <n v="16500"/>
    <n v="825"/>
    <n v="15675"/>
    <n v="85000"/>
    <n v="100675"/>
    <x v="2"/>
    <x v="4"/>
    <x v="1"/>
    <n v="4"/>
    <x v="1"/>
  </r>
  <r>
    <x v="1767"/>
    <x v="1767"/>
    <s v="Dina Hidayat"/>
    <x v="13"/>
    <x v="15"/>
    <n v="10000"/>
    <n v="1.4"/>
    <x v="0"/>
    <n v="14000"/>
    <n v="700"/>
    <n v="13300"/>
    <n v="49000"/>
    <n v="62300"/>
    <x v="1"/>
    <x v="0"/>
    <x v="4"/>
    <n v="5"/>
    <x v="0"/>
  </r>
  <r>
    <x v="1768"/>
    <x v="1768"/>
    <s v="Dewi Saputra"/>
    <x v="10"/>
    <x v="6"/>
    <n v="26000"/>
    <n v="0.6"/>
    <x v="0"/>
    <n v="15600"/>
    <n v="780"/>
    <n v="14820"/>
    <n v="87000"/>
    <n v="101820"/>
    <x v="1"/>
    <x v="3"/>
    <x v="4"/>
    <n v="2"/>
    <x v="0"/>
  </r>
  <r>
    <x v="1769"/>
    <x v="1769"/>
    <s v="Qori Halim"/>
    <x v="13"/>
    <x v="3"/>
    <n v="13500"/>
    <n v="1.2"/>
    <x v="0"/>
    <n v="16200"/>
    <n v="810"/>
    <n v="15390"/>
    <n v="49000"/>
    <n v="64390"/>
    <x v="1"/>
    <x v="4"/>
    <x v="3"/>
    <n v="2"/>
    <x v="0"/>
  </r>
  <r>
    <x v="1770"/>
    <x v="1770"/>
    <s v="Bella Saputra"/>
    <x v="5"/>
    <x v="8"/>
    <n v="17500"/>
    <n v="3.9"/>
    <x v="0"/>
    <n v="68250"/>
    <n v="3412.5"/>
    <n v="64837.5"/>
    <n v="18000"/>
    <n v="82837.5"/>
    <x v="2"/>
    <x v="0"/>
    <x v="4"/>
    <n v="3"/>
    <x v="0"/>
  </r>
  <r>
    <x v="1771"/>
    <x v="1771"/>
    <s v="Lestari Syahputra"/>
    <x v="5"/>
    <x v="16"/>
    <n v="115000"/>
    <n v="0.6"/>
    <x v="1"/>
    <n v="69000"/>
    <n v="0"/>
    <n v="69000"/>
    <n v="18000"/>
    <n v="87000"/>
    <x v="1"/>
    <x v="2"/>
    <x v="0"/>
    <n v="1"/>
    <x v="0"/>
  </r>
  <r>
    <x v="1772"/>
    <x v="1772"/>
    <s v="Nanda Utami"/>
    <x v="3"/>
    <x v="14"/>
    <n v="55000"/>
    <n v="0.4"/>
    <x v="1"/>
    <n v="22000"/>
    <n v="0"/>
    <n v="22000"/>
    <n v="93000"/>
    <n v="115000"/>
    <x v="1"/>
    <x v="0"/>
    <x v="4"/>
    <n v="1"/>
    <x v="1"/>
  </r>
  <r>
    <x v="1773"/>
    <x v="1773"/>
    <s v="Sari Puspita"/>
    <x v="15"/>
    <x v="15"/>
    <n v="10000"/>
    <n v="0.5"/>
    <x v="1"/>
    <n v="5000"/>
    <n v="0"/>
    <n v="5000"/>
    <n v="97000"/>
    <n v="102000"/>
    <x v="1"/>
    <x v="0"/>
    <x v="2"/>
    <n v="1"/>
    <x v="0"/>
  </r>
  <r>
    <x v="1773"/>
    <x v="1773"/>
    <s v="Sari Puspita"/>
    <x v="15"/>
    <x v="3"/>
    <n v="13500"/>
    <n v="2.9"/>
    <x v="1"/>
    <n v="39150"/>
    <n v="0"/>
    <n v="39150"/>
    <n v="0"/>
    <n v="39150"/>
    <x v="1"/>
    <x v="0"/>
    <x v="2"/>
    <n v="1"/>
    <x v="0"/>
  </r>
  <r>
    <x v="1774"/>
    <x v="1774"/>
    <s v="Eka Hidayat"/>
    <x v="4"/>
    <x v="3"/>
    <n v="13500"/>
    <n v="2.9"/>
    <x v="1"/>
    <n v="39150"/>
    <n v="0"/>
    <n v="39150"/>
    <n v="43000"/>
    <n v="82150"/>
    <x v="0"/>
    <x v="4"/>
    <x v="3"/>
    <n v="2"/>
    <x v="0"/>
  </r>
  <r>
    <x v="1775"/>
    <x v="1775"/>
    <s v="Aulia Saputra"/>
    <x v="8"/>
    <x v="2"/>
    <n v="20000"/>
    <n v="0.5"/>
    <x v="1"/>
    <n v="10000"/>
    <n v="0"/>
    <n v="10000"/>
    <n v="59000"/>
    <n v="69000"/>
    <x v="0"/>
    <x v="4"/>
    <x v="3"/>
    <n v="2"/>
    <x v="0"/>
  </r>
  <r>
    <x v="1776"/>
    <x v="1776"/>
    <s v="Erna Rahmawati"/>
    <x v="5"/>
    <x v="14"/>
    <n v="55000"/>
    <n v="0.4"/>
    <x v="1"/>
    <n v="22000"/>
    <n v="0"/>
    <n v="22000"/>
    <n v="18000"/>
    <n v="40000"/>
    <x v="0"/>
    <x v="0"/>
    <x v="1"/>
    <n v="5"/>
    <x v="0"/>
  </r>
  <r>
    <x v="1777"/>
    <x v="1777"/>
    <s v="Dewi Wijaya"/>
    <x v="12"/>
    <x v="8"/>
    <n v="17500"/>
    <n v="3.5"/>
    <x v="1"/>
    <n v="61250"/>
    <n v="0"/>
    <n v="61250"/>
    <n v="30000"/>
    <n v="91250"/>
    <x v="3"/>
    <x v="0"/>
    <x v="4"/>
    <n v="3"/>
    <x v="0"/>
  </r>
  <r>
    <x v="1778"/>
    <x v="1778"/>
    <s v="Budi Hidayat"/>
    <x v="0"/>
    <x v="10"/>
    <n v="45000"/>
    <n v="0.4"/>
    <x v="1"/>
    <n v="18000"/>
    <n v="0"/>
    <n v="18000"/>
    <n v="15000"/>
    <n v="33000"/>
    <x v="2"/>
    <x v="0"/>
    <x v="1"/>
    <n v="1"/>
    <x v="1"/>
  </r>
  <r>
    <x v="1779"/>
    <x v="1779"/>
    <s v="Galih Saputra"/>
    <x v="15"/>
    <x v="16"/>
    <n v="115000"/>
    <n v="0.6"/>
    <x v="1"/>
    <n v="69000"/>
    <n v="0"/>
    <n v="69000"/>
    <n v="97000"/>
    <n v="166000"/>
    <x v="0"/>
    <x v="3"/>
    <x v="1"/>
    <n v="1"/>
    <x v="1"/>
  </r>
  <r>
    <x v="1780"/>
    <x v="1780"/>
    <s v="Oka Santoso"/>
    <x v="16"/>
    <x v="17"/>
    <n v="12000"/>
    <n v="0.9"/>
    <x v="1"/>
    <n v="10800"/>
    <n v="0"/>
    <n v="10800"/>
    <n v="18000"/>
    <n v="28800"/>
    <x v="1"/>
    <x v="4"/>
    <x v="0"/>
    <n v="1"/>
    <x v="1"/>
  </r>
  <r>
    <x v="1781"/>
    <x v="1781"/>
    <s v="Zahra Rahmawati"/>
    <x v="17"/>
    <x v="14"/>
    <n v="55000"/>
    <n v="0.5"/>
    <x v="1"/>
    <n v="27500"/>
    <n v="0"/>
    <n v="27500"/>
    <n v="72000"/>
    <n v="99500"/>
    <x v="3"/>
    <x v="4"/>
    <x v="4"/>
    <n v="4"/>
    <x v="0"/>
  </r>
  <r>
    <x v="1782"/>
    <x v="1782"/>
    <s v="Yoga Nugroho"/>
    <x v="5"/>
    <x v="14"/>
    <n v="55000"/>
    <n v="0.4"/>
    <x v="1"/>
    <n v="22000"/>
    <n v="0"/>
    <n v="22000"/>
    <n v="18000"/>
    <n v="40000"/>
    <x v="3"/>
    <x v="4"/>
    <x v="0"/>
    <n v="4"/>
    <x v="1"/>
  </r>
  <r>
    <x v="1783"/>
    <x v="1783"/>
    <s v="Hana Setiawan"/>
    <x v="28"/>
    <x v="11"/>
    <n v="15000"/>
    <n v="1.1000000000000001"/>
    <x v="1"/>
    <n v="16500"/>
    <n v="0"/>
    <n v="16500"/>
    <n v="56000"/>
    <n v="72500"/>
    <x v="2"/>
    <x v="4"/>
    <x v="0"/>
    <n v="5"/>
    <x v="0"/>
  </r>
  <r>
    <x v="1784"/>
    <x v="1784"/>
    <s v="Iwan Rahmawati"/>
    <x v="18"/>
    <x v="13"/>
    <n v="10000"/>
    <n v="0.3"/>
    <x v="1"/>
    <n v="3000"/>
    <n v="0"/>
    <n v="3000"/>
    <n v="0"/>
    <n v="3000"/>
    <x v="1"/>
    <x v="3"/>
    <x v="4"/>
    <n v="3"/>
    <x v="1"/>
  </r>
  <r>
    <x v="1785"/>
    <x v="1785"/>
    <s v="Dewi Rahmawati"/>
    <x v="7"/>
    <x v="10"/>
    <n v="45000"/>
    <n v="1.5"/>
    <x v="1"/>
    <n v="67500"/>
    <n v="0"/>
    <n v="67500"/>
    <n v="26000"/>
    <n v="93500"/>
    <x v="3"/>
    <x v="1"/>
    <x v="3"/>
    <n v="4"/>
    <x v="0"/>
  </r>
  <r>
    <x v="1786"/>
    <x v="1786"/>
    <s v="Aulia Fauziah"/>
    <x v="24"/>
    <x v="2"/>
    <n v="20000"/>
    <n v="2.2999999999999998"/>
    <x v="1"/>
    <n v="46000"/>
    <n v="0"/>
    <n v="46000"/>
    <n v="68000"/>
    <n v="114000"/>
    <x v="1"/>
    <x v="0"/>
    <x v="1"/>
    <n v="2"/>
    <x v="0"/>
  </r>
  <r>
    <x v="1787"/>
    <x v="1787"/>
    <s v="Yoga Utami"/>
    <x v="23"/>
    <x v="13"/>
    <n v="10000"/>
    <n v="1"/>
    <x v="1"/>
    <n v="10000"/>
    <n v="0"/>
    <n v="10000"/>
    <n v="55000"/>
    <n v="65000"/>
    <x v="2"/>
    <x v="4"/>
    <x v="4"/>
    <n v="1"/>
    <x v="1"/>
  </r>
  <r>
    <x v="1788"/>
    <x v="1788"/>
    <s v="Fitri Hidayat"/>
    <x v="17"/>
    <x v="13"/>
    <n v="10000"/>
    <n v="0.9"/>
    <x v="1"/>
    <n v="9000"/>
    <n v="0"/>
    <n v="9000"/>
    <n v="72000"/>
    <n v="81000"/>
    <x v="2"/>
    <x v="2"/>
    <x v="0"/>
    <n v="4"/>
    <x v="0"/>
  </r>
  <r>
    <x v="1789"/>
    <x v="1789"/>
    <s v="Qori Ramadhani"/>
    <x v="21"/>
    <x v="13"/>
    <n v="10000"/>
    <n v="0.8"/>
    <x v="1"/>
    <n v="8000"/>
    <n v="0"/>
    <n v="8000"/>
    <n v="59000"/>
    <n v="67000"/>
    <x v="1"/>
    <x v="4"/>
    <x v="4"/>
    <n v="3"/>
    <x v="0"/>
  </r>
  <r>
    <x v="1790"/>
    <x v="1790"/>
    <s v="Kartika Saputra"/>
    <x v="37"/>
    <x v="9"/>
    <n v="46000"/>
    <n v="1.5"/>
    <x v="1"/>
    <n v="69000"/>
    <n v="0"/>
    <n v="69000"/>
    <n v="67000"/>
    <n v="136000"/>
    <x v="1"/>
    <x v="2"/>
    <x v="4"/>
    <n v="3"/>
    <x v="0"/>
  </r>
  <r>
    <x v="1791"/>
    <x v="1791"/>
    <s v="Gita Utami"/>
    <x v="34"/>
    <x v="14"/>
    <n v="55000"/>
    <n v="1"/>
    <x v="1"/>
    <n v="55000"/>
    <n v="0"/>
    <n v="55000"/>
    <n v="18000"/>
    <n v="73000"/>
    <x v="2"/>
    <x v="4"/>
    <x v="3"/>
    <n v="5"/>
    <x v="0"/>
  </r>
  <r>
    <x v="1792"/>
    <x v="1792"/>
    <s v="Fitri Budiman"/>
    <x v="16"/>
    <x v="10"/>
    <n v="45000"/>
    <n v="2.4"/>
    <x v="1"/>
    <n v="108000"/>
    <n v="0"/>
    <n v="108000"/>
    <n v="18000"/>
    <n v="126000"/>
    <x v="1"/>
    <x v="0"/>
    <x v="4"/>
    <n v="4"/>
    <x v="0"/>
  </r>
  <r>
    <x v="1793"/>
    <x v="1793"/>
    <s v="Clara Budiman"/>
    <x v="3"/>
    <x v="16"/>
    <n v="115000"/>
    <n v="0.3"/>
    <x v="1"/>
    <n v="34500"/>
    <n v="0"/>
    <n v="34500"/>
    <n v="93000"/>
    <n v="127500"/>
    <x v="3"/>
    <x v="3"/>
    <x v="1"/>
    <n v="4"/>
    <x v="0"/>
  </r>
  <r>
    <x v="1794"/>
    <x v="1794"/>
    <s v="Citra Ananda"/>
    <x v="16"/>
    <x v="9"/>
    <n v="46000"/>
    <n v="1.2"/>
    <x v="1"/>
    <n v="55200"/>
    <n v="0"/>
    <n v="55200"/>
    <n v="18000"/>
    <n v="73200"/>
    <x v="3"/>
    <x v="0"/>
    <x v="0"/>
    <n v="1"/>
    <x v="0"/>
  </r>
  <r>
    <x v="1795"/>
    <x v="1795"/>
    <s v="Lestari Wijaya"/>
    <x v="18"/>
    <x v="7"/>
    <n v="14000"/>
    <n v="0.9"/>
    <x v="1"/>
    <n v="12600"/>
    <n v="0"/>
    <n v="12600"/>
    <n v="0"/>
    <n v="12600"/>
    <x v="1"/>
    <x v="4"/>
    <x v="3"/>
    <n v="1"/>
    <x v="0"/>
  </r>
  <r>
    <x v="1796"/>
    <x v="1796"/>
    <s v="Yani Utami"/>
    <x v="10"/>
    <x v="3"/>
    <n v="13500"/>
    <n v="1.4"/>
    <x v="1"/>
    <n v="18900"/>
    <n v="0"/>
    <n v="18900"/>
    <n v="87000"/>
    <n v="105900"/>
    <x v="1"/>
    <x v="0"/>
    <x v="0"/>
    <n v="3"/>
    <x v="0"/>
  </r>
  <r>
    <x v="1797"/>
    <x v="1797"/>
    <s v="Sari Kurniawan"/>
    <x v="35"/>
    <x v="1"/>
    <n v="15000"/>
    <n v="0.3"/>
    <x v="1"/>
    <n v="4500"/>
    <n v="0"/>
    <n v="4500"/>
    <n v="79000"/>
    <n v="83500"/>
    <x v="0"/>
    <x v="4"/>
    <x v="0"/>
    <n v="5"/>
    <x v="0"/>
  </r>
  <r>
    <x v="1798"/>
    <x v="1798"/>
    <s v="Dimas Maulana"/>
    <x v="28"/>
    <x v="11"/>
    <n v="15000"/>
    <n v="1.2"/>
    <x v="1"/>
    <n v="18000"/>
    <n v="0"/>
    <n v="18000"/>
    <n v="56000"/>
    <n v="74000"/>
    <x v="0"/>
    <x v="0"/>
    <x v="4"/>
    <n v="4"/>
    <x v="1"/>
  </r>
  <r>
    <x v="1799"/>
    <x v="1799"/>
    <s v="Dewi Wijaya"/>
    <x v="12"/>
    <x v="17"/>
    <n v="12000"/>
    <n v="1.2"/>
    <x v="1"/>
    <n v="14400"/>
    <n v="0"/>
    <n v="14400"/>
    <n v="30000"/>
    <n v="44400"/>
    <x v="1"/>
    <x v="0"/>
    <x v="2"/>
    <n v="4"/>
    <x v="0"/>
  </r>
  <r>
    <x v="1800"/>
    <x v="1800"/>
    <s v="Dina Nugroho"/>
    <x v="15"/>
    <x v="8"/>
    <n v="17500"/>
    <n v="3.3"/>
    <x v="1"/>
    <n v="57750"/>
    <n v="0"/>
    <n v="57750"/>
    <n v="97000"/>
    <n v="154750"/>
    <x v="1"/>
    <x v="2"/>
    <x v="3"/>
    <n v="1"/>
    <x v="0"/>
  </r>
  <r>
    <x v="1801"/>
    <x v="1801"/>
    <s v="Fitri Setiawan"/>
    <x v="13"/>
    <x v="17"/>
    <n v="12000"/>
    <n v="1"/>
    <x v="1"/>
    <n v="12000"/>
    <n v="0"/>
    <n v="12000"/>
    <n v="49000"/>
    <n v="61000"/>
    <x v="3"/>
    <x v="0"/>
    <x v="0"/>
    <n v="1"/>
    <x v="0"/>
  </r>
  <r>
    <x v="1802"/>
    <x v="1802"/>
    <s v="Kartika Hidayat"/>
    <x v="20"/>
    <x v="10"/>
    <n v="45000"/>
    <n v="0.8"/>
    <x v="1"/>
    <n v="36000"/>
    <n v="0"/>
    <n v="36000"/>
    <n v="84000"/>
    <n v="120000"/>
    <x v="1"/>
    <x v="4"/>
    <x v="0"/>
    <n v="2"/>
    <x v="0"/>
  </r>
  <r>
    <x v="1803"/>
    <x v="1803"/>
    <s v="Yani Wijaya"/>
    <x v="11"/>
    <x v="14"/>
    <n v="55000"/>
    <n v="1"/>
    <x v="1"/>
    <n v="55000"/>
    <n v="0"/>
    <n v="55000"/>
    <n v="74000"/>
    <n v="129000"/>
    <x v="0"/>
    <x v="0"/>
    <x v="0"/>
    <n v="2"/>
    <x v="0"/>
  </r>
  <r>
    <x v="1804"/>
    <x v="1804"/>
    <s v="Putri Santoso"/>
    <x v="19"/>
    <x v="2"/>
    <n v="20000"/>
    <n v="1.3"/>
    <x v="1"/>
    <n v="26000"/>
    <n v="0"/>
    <n v="26000"/>
    <n v="78000"/>
    <n v="104000"/>
    <x v="3"/>
    <x v="3"/>
    <x v="2"/>
    <n v="2"/>
    <x v="0"/>
  </r>
  <r>
    <x v="1805"/>
    <x v="1805"/>
    <s v="Putri Wijaya"/>
    <x v="12"/>
    <x v="11"/>
    <n v="15000"/>
    <n v="1.1000000000000001"/>
    <x v="1"/>
    <n v="16500"/>
    <n v="0"/>
    <n v="16500"/>
    <n v="30000"/>
    <n v="46500"/>
    <x v="3"/>
    <x v="0"/>
    <x v="4"/>
    <n v="3"/>
    <x v="0"/>
  </r>
  <r>
    <x v="1806"/>
    <x v="1806"/>
    <s v="Erna Setiawan"/>
    <x v="6"/>
    <x v="17"/>
    <n v="12000"/>
    <n v="0.5"/>
    <x v="1"/>
    <n v="6000"/>
    <n v="0"/>
    <n v="6000"/>
    <n v="80000"/>
    <n v="86000"/>
    <x v="2"/>
    <x v="3"/>
    <x v="4"/>
    <n v="2"/>
    <x v="0"/>
  </r>
  <r>
    <x v="1807"/>
    <x v="1807"/>
    <s v="Eka Iskandar"/>
    <x v="11"/>
    <x v="4"/>
    <n v="40000"/>
    <n v="0.9"/>
    <x v="1"/>
    <n v="36000"/>
    <n v="0"/>
    <n v="36000"/>
    <n v="74000"/>
    <n v="110000"/>
    <x v="3"/>
    <x v="4"/>
    <x v="4"/>
    <n v="3"/>
    <x v="0"/>
  </r>
  <r>
    <x v="1808"/>
    <x v="1808"/>
    <s v="Zahra Utami"/>
    <x v="25"/>
    <x v="9"/>
    <n v="46000"/>
    <n v="1"/>
    <x v="1"/>
    <n v="46000"/>
    <n v="0"/>
    <n v="46000"/>
    <n v="50000"/>
    <n v="96000"/>
    <x v="0"/>
    <x v="0"/>
    <x v="2"/>
    <n v="1"/>
    <x v="0"/>
  </r>
  <r>
    <x v="1809"/>
    <x v="1809"/>
    <s v="Eka Kusuma"/>
    <x v="14"/>
    <x v="10"/>
    <n v="45000"/>
    <n v="1.1000000000000001"/>
    <x v="1"/>
    <n v="49500.000000000007"/>
    <n v="0"/>
    <n v="49500.000000000007"/>
    <n v="85000"/>
    <n v="134500"/>
    <x v="3"/>
    <x v="0"/>
    <x v="2"/>
    <n v="1"/>
    <x v="0"/>
  </r>
  <r>
    <x v="1810"/>
    <x v="1810"/>
    <s v="Sari Puspita"/>
    <x v="15"/>
    <x v="19"/>
    <n v="15500"/>
    <n v="0.2"/>
    <x v="1"/>
    <n v="3100"/>
    <n v="0"/>
    <n v="3100"/>
    <n v="97000"/>
    <n v="100100"/>
    <x v="0"/>
    <x v="0"/>
    <x v="2"/>
    <n v="1"/>
    <x v="0"/>
  </r>
  <r>
    <x v="1811"/>
    <x v="1811"/>
    <s v="Fitri Budiman"/>
    <x v="16"/>
    <x v="9"/>
    <n v="46000"/>
    <n v="1.3"/>
    <x v="1"/>
    <n v="59800"/>
    <n v="0"/>
    <n v="59800"/>
    <n v="18000"/>
    <n v="77800"/>
    <x v="0"/>
    <x v="3"/>
    <x v="1"/>
    <n v="2"/>
    <x v="0"/>
  </r>
  <r>
    <x v="1812"/>
    <x v="1812"/>
    <s v="Zahra Santoso"/>
    <x v="9"/>
    <x v="10"/>
    <n v="45000"/>
    <n v="2"/>
    <x v="1"/>
    <n v="90000"/>
    <n v="0"/>
    <n v="90000"/>
    <n v="89000"/>
    <n v="179000"/>
    <x v="0"/>
    <x v="0"/>
    <x v="3"/>
    <n v="4"/>
    <x v="0"/>
  </r>
  <r>
    <x v="1813"/>
    <x v="1813"/>
    <s v="Yani Nugroho"/>
    <x v="1"/>
    <x v="0"/>
    <n v="10000"/>
    <n v="2.2000000000000002"/>
    <x v="1"/>
    <n v="22000"/>
    <n v="0"/>
    <n v="22000"/>
    <n v="17000"/>
    <n v="39000"/>
    <x v="2"/>
    <x v="0"/>
    <x v="0"/>
    <n v="2"/>
    <x v="0"/>
  </r>
  <r>
    <x v="1814"/>
    <x v="1814"/>
    <s v="Erna Santoso"/>
    <x v="4"/>
    <x v="7"/>
    <n v="14000"/>
    <n v="0.6"/>
    <x v="1"/>
    <n v="8400"/>
    <n v="0"/>
    <n v="8400"/>
    <n v="43000"/>
    <n v="51400"/>
    <x v="3"/>
    <x v="0"/>
    <x v="2"/>
    <n v="1"/>
    <x v="0"/>
  </r>
  <r>
    <x v="1815"/>
    <x v="1815"/>
    <s v="Qori Syahputra"/>
    <x v="12"/>
    <x v="14"/>
    <n v="55000"/>
    <n v="0.4"/>
    <x v="1"/>
    <n v="22000"/>
    <n v="0"/>
    <n v="22000"/>
    <n v="30000"/>
    <n v="52000"/>
    <x v="1"/>
    <x v="0"/>
    <x v="4"/>
    <n v="4"/>
    <x v="0"/>
  </r>
  <r>
    <x v="1816"/>
    <x v="1816"/>
    <s v="Sari Kurniawan"/>
    <x v="35"/>
    <x v="5"/>
    <n v="10500"/>
    <n v="1.7"/>
    <x v="1"/>
    <n v="17850"/>
    <n v="0"/>
    <n v="17850"/>
    <n v="79000"/>
    <n v="96850"/>
    <x v="0"/>
    <x v="3"/>
    <x v="1"/>
    <n v="4"/>
    <x v="0"/>
  </r>
  <r>
    <x v="1817"/>
    <x v="1817"/>
    <s v="Kartika Pradipta"/>
    <x v="36"/>
    <x v="3"/>
    <n v="13500"/>
    <n v="1.9"/>
    <x v="1"/>
    <n v="25650"/>
    <n v="0"/>
    <n v="25650"/>
    <n v="21000"/>
    <n v="46650"/>
    <x v="0"/>
    <x v="3"/>
    <x v="4"/>
    <n v="4"/>
    <x v="0"/>
  </r>
  <r>
    <x v="1818"/>
    <x v="1818"/>
    <s v="Clara Ramadhani"/>
    <x v="29"/>
    <x v="2"/>
    <n v="20000"/>
    <n v="1.4"/>
    <x v="1"/>
    <n v="28000"/>
    <n v="0"/>
    <n v="28000"/>
    <n v="48000"/>
    <n v="76000"/>
    <x v="0"/>
    <x v="3"/>
    <x v="3"/>
    <n v="3"/>
    <x v="0"/>
  </r>
  <r>
    <x v="1818"/>
    <x v="1818"/>
    <s v="Clara Ramadhani"/>
    <x v="29"/>
    <x v="11"/>
    <n v="15000"/>
    <n v="0.8"/>
    <x v="1"/>
    <n v="12000"/>
    <n v="0"/>
    <n v="12000"/>
    <n v="0"/>
    <n v="12000"/>
    <x v="0"/>
    <x v="3"/>
    <x v="3"/>
    <n v="3"/>
    <x v="0"/>
  </r>
  <r>
    <x v="1819"/>
    <x v="1819"/>
    <s v="Aulia Nugroho"/>
    <x v="5"/>
    <x v="17"/>
    <n v="12000"/>
    <n v="1.4"/>
    <x v="1"/>
    <n v="16800"/>
    <n v="0"/>
    <n v="16800"/>
    <n v="18000"/>
    <n v="34800"/>
    <x v="3"/>
    <x v="0"/>
    <x v="4"/>
    <n v="4"/>
    <x v="0"/>
  </r>
  <r>
    <x v="1820"/>
    <x v="1820"/>
    <s v="Dewi Hidayat"/>
    <x v="16"/>
    <x v="14"/>
    <n v="55000"/>
    <n v="1.2"/>
    <x v="1"/>
    <n v="66000"/>
    <n v="0"/>
    <n v="66000"/>
    <n v="18000"/>
    <n v="84000"/>
    <x v="1"/>
    <x v="0"/>
    <x v="1"/>
    <n v="1"/>
    <x v="0"/>
  </r>
  <r>
    <x v="1821"/>
    <x v="1821"/>
    <s v="Eka Halim"/>
    <x v="3"/>
    <x v="8"/>
    <n v="17500"/>
    <n v="1.4"/>
    <x v="1"/>
    <n v="24500"/>
    <n v="0"/>
    <n v="24500"/>
    <n v="93000"/>
    <n v="117500"/>
    <x v="3"/>
    <x v="3"/>
    <x v="1"/>
    <n v="3"/>
    <x v="0"/>
  </r>
  <r>
    <x v="1822"/>
    <x v="1822"/>
    <s v="Kartika Utami"/>
    <x v="32"/>
    <x v="18"/>
    <n v="11000"/>
    <n v="2.2000000000000002"/>
    <x v="1"/>
    <n v="24200.000000000004"/>
    <n v="0"/>
    <n v="24200.000000000004"/>
    <n v="28000"/>
    <n v="52200"/>
    <x v="2"/>
    <x v="3"/>
    <x v="0"/>
    <n v="3"/>
    <x v="0"/>
  </r>
  <r>
    <x v="1823"/>
    <x v="1823"/>
    <s v="Citra Syahputra"/>
    <x v="26"/>
    <x v="18"/>
    <n v="11000"/>
    <n v="0.6"/>
    <x v="1"/>
    <n v="6600"/>
    <n v="0"/>
    <n v="6600"/>
    <n v="46000"/>
    <n v="52600"/>
    <x v="1"/>
    <x v="4"/>
    <x v="4"/>
    <n v="1"/>
    <x v="0"/>
  </r>
  <r>
    <x v="1824"/>
    <x v="1824"/>
    <s v="Zahra Nugroho"/>
    <x v="19"/>
    <x v="16"/>
    <n v="115000"/>
    <n v="0.5"/>
    <x v="1"/>
    <n v="57500"/>
    <n v="0"/>
    <n v="57500"/>
    <n v="78000"/>
    <n v="135500"/>
    <x v="1"/>
    <x v="0"/>
    <x v="2"/>
    <n v="3"/>
    <x v="0"/>
  </r>
  <r>
    <x v="1825"/>
    <x v="1825"/>
    <s v="Zahra Wijaya"/>
    <x v="12"/>
    <x v="14"/>
    <n v="55000"/>
    <n v="0.8"/>
    <x v="1"/>
    <n v="44000"/>
    <n v="0"/>
    <n v="44000"/>
    <n v="30000"/>
    <n v="74000"/>
    <x v="1"/>
    <x v="4"/>
    <x v="3"/>
    <n v="5"/>
    <x v="0"/>
  </r>
  <r>
    <x v="1826"/>
    <x v="1826"/>
    <s v="Putri Iskandar"/>
    <x v="29"/>
    <x v="10"/>
    <n v="45000"/>
    <n v="1.5"/>
    <x v="1"/>
    <n v="67500"/>
    <n v="0"/>
    <n v="67500"/>
    <n v="48000"/>
    <n v="115500"/>
    <x v="3"/>
    <x v="0"/>
    <x v="3"/>
    <n v="1"/>
    <x v="0"/>
  </r>
  <r>
    <x v="1827"/>
    <x v="1827"/>
    <s v="Indra Halim"/>
    <x v="7"/>
    <x v="4"/>
    <n v="40000"/>
    <n v="1"/>
    <x v="1"/>
    <n v="40000"/>
    <n v="0"/>
    <n v="40000"/>
    <n v="26000"/>
    <n v="66000"/>
    <x v="0"/>
    <x v="3"/>
    <x v="2"/>
    <n v="4"/>
    <x v="1"/>
  </r>
  <r>
    <x v="1828"/>
    <x v="1828"/>
    <s v="Bayu Ramadhani"/>
    <x v="31"/>
    <x v="7"/>
    <n v="14000"/>
    <n v="0.9"/>
    <x v="1"/>
    <n v="12600"/>
    <n v="0"/>
    <n v="12600"/>
    <n v="87000"/>
    <n v="99600"/>
    <x v="1"/>
    <x v="4"/>
    <x v="1"/>
    <n v="4"/>
    <x v="1"/>
  </r>
  <r>
    <x v="1829"/>
    <x v="1829"/>
    <s v="Fajar Kurniawan"/>
    <x v="3"/>
    <x v="6"/>
    <n v="26000"/>
    <n v="1.6"/>
    <x v="1"/>
    <n v="41600"/>
    <n v="0"/>
    <n v="41600"/>
    <n v="93000"/>
    <n v="134600"/>
    <x v="1"/>
    <x v="4"/>
    <x v="1"/>
    <n v="1"/>
    <x v="1"/>
  </r>
  <r>
    <x v="1830"/>
    <x v="1830"/>
    <s v="Yani Santoso"/>
    <x v="14"/>
    <x v="18"/>
    <n v="11000"/>
    <n v="1.8"/>
    <x v="1"/>
    <n v="19800"/>
    <n v="0"/>
    <n v="19800"/>
    <n v="85000"/>
    <n v="104800"/>
    <x v="1"/>
    <x v="0"/>
    <x v="1"/>
    <n v="1"/>
    <x v="0"/>
  </r>
  <r>
    <x v="1831"/>
    <x v="1831"/>
    <s v="Yoga Utami"/>
    <x v="23"/>
    <x v="1"/>
    <n v="15000"/>
    <n v="0.5"/>
    <x v="1"/>
    <n v="7500"/>
    <n v="0"/>
    <n v="7500"/>
    <n v="55000"/>
    <n v="62500"/>
    <x v="2"/>
    <x v="4"/>
    <x v="4"/>
    <n v="5"/>
    <x v="1"/>
  </r>
  <r>
    <x v="1832"/>
    <x v="1832"/>
    <s v="Hana Setiawan"/>
    <x v="28"/>
    <x v="2"/>
    <n v="20000"/>
    <n v="2.9"/>
    <x v="1"/>
    <n v="58000"/>
    <n v="0"/>
    <n v="58000"/>
    <n v="56000"/>
    <n v="114000"/>
    <x v="2"/>
    <x v="0"/>
    <x v="1"/>
    <n v="2"/>
    <x v="0"/>
  </r>
  <r>
    <x v="1833"/>
    <x v="1833"/>
    <s v="Hana Pradipta"/>
    <x v="12"/>
    <x v="10"/>
    <n v="45000"/>
    <n v="1.1000000000000001"/>
    <x v="1"/>
    <n v="49500.000000000007"/>
    <n v="0"/>
    <n v="49500.000000000007"/>
    <n v="30000"/>
    <n v="79500"/>
    <x v="0"/>
    <x v="2"/>
    <x v="4"/>
    <n v="4"/>
    <x v="0"/>
  </r>
  <r>
    <x v="1834"/>
    <x v="1834"/>
    <s v="Fitri Santoso"/>
    <x v="13"/>
    <x v="11"/>
    <n v="15000"/>
    <n v="1.5"/>
    <x v="1"/>
    <n v="22500"/>
    <n v="0"/>
    <n v="22500"/>
    <n v="49000"/>
    <n v="71500"/>
    <x v="1"/>
    <x v="0"/>
    <x v="3"/>
    <n v="3"/>
    <x v="0"/>
  </r>
  <r>
    <x v="1835"/>
    <x v="1835"/>
    <s v="Fitri Halim"/>
    <x v="6"/>
    <x v="3"/>
    <n v="13500"/>
    <n v="3"/>
    <x v="1"/>
    <n v="40500"/>
    <n v="0"/>
    <n v="40500"/>
    <n v="80000"/>
    <n v="120500"/>
    <x v="1"/>
    <x v="0"/>
    <x v="3"/>
    <n v="5"/>
    <x v="0"/>
  </r>
  <r>
    <x v="1836"/>
    <x v="1836"/>
    <s v="Vina Iskandar"/>
    <x v="16"/>
    <x v="6"/>
    <n v="26000"/>
    <n v="1.3"/>
    <x v="1"/>
    <n v="33800"/>
    <n v="0"/>
    <n v="33800"/>
    <n v="18000"/>
    <n v="51800"/>
    <x v="0"/>
    <x v="0"/>
    <x v="3"/>
    <n v="1"/>
    <x v="0"/>
  </r>
  <r>
    <x v="1837"/>
    <x v="1837"/>
    <s v="Ani Ramadhani"/>
    <x v="25"/>
    <x v="4"/>
    <n v="40000"/>
    <n v="0.4"/>
    <x v="1"/>
    <n v="16000"/>
    <n v="0"/>
    <n v="16000"/>
    <n v="50000"/>
    <n v="66000"/>
    <x v="3"/>
    <x v="4"/>
    <x v="2"/>
    <n v="4"/>
    <x v="0"/>
  </r>
  <r>
    <x v="1838"/>
    <x v="1838"/>
    <s v="Umar Setiawan"/>
    <x v="17"/>
    <x v="1"/>
    <n v="15000"/>
    <n v="1.4"/>
    <x v="1"/>
    <n v="21000"/>
    <n v="0"/>
    <n v="21000"/>
    <n v="72000"/>
    <n v="93000"/>
    <x v="3"/>
    <x v="0"/>
    <x v="3"/>
    <n v="1"/>
    <x v="1"/>
  </r>
  <r>
    <x v="1839"/>
    <x v="1839"/>
    <s v="Dina Puspita"/>
    <x v="18"/>
    <x v="0"/>
    <n v="10000"/>
    <n v="1.8"/>
    <x v="1"/>
    <n v="18000"/>
    <n v="0"/>
    <n v="18000"/>
    <n v="0"/>
    <n v="18000"/>
    <x v="0"/>
    <x v="0"/>
    <x v="0"/>
    <n v="2"/>
    <x v="0"/>
  </r>
  <r>
    <x v="1839"/>
    <x v="1839"/>
    <s v="Dina Puspita"/>
    <x v="18"/>
    <x v="5"/>
    <n v="10500"/>
    <n v="0.4"/>
    <x v="1"/>
    <n v="4200"/>
    <n v="0"/>
    <n v="4200"/>
    <n v="0"/>
    <n v="4200"/>
    <x v="0"/>
    <x v="0"/>
    <x v="0"/>
    <n v="2"/>
    <x v="0"/>
  </r>
  <r>
    <x v="1840"/>
    <x v="1840"/>
    <s v="Zahra Saputra"/>
    <x v="1"/>
    <x v="15"/>
    <n v="10000"/>
    <n v="0.4"/>
    <x v="1"/>
    <n v="4000"/>
    <n v="0"/>
    <n v="4000"/>
    <n v="17000"/>
    <n v="21000"/>
    <x v="2"/>
    <x v="2"/>
    <x v="4"/>
    <n v="3"/>
    <x v="0"/>
  </r>
  <r>
    <x v="1841"/>
    <x v="1841"/>
    <s v="Yani Santoso"/>
    <x v="14"/>
    <x v="18"/>
    <n v="11000"/>
    <n v="1.4"/>
    <x v="1"/>
    <n v="15399.999999999998"/>
    <n v="0"/>
    <n v="15399.999999999998"/>
    <n v="85000"/>
    <n v="100400"/>
    <x v="3"/>
    <x v="4"/>
    <x v="2"/>
    <n v="4"/>
    <x v="0"/>
  </r>
  <r>
    <x v="1842"/>
    <x v="1842"/>
    <s v="Ani Utami"/>
    <x v="23"/>
    <x v="10"/>
    <n v="45000"/>
    <n v="1.8"/>
    <x v="1"/>
    <n v="81000"/>
    <n v="0"/>
    <n v="81000"/>
    <n v="55000"/>
    <n v="136000"/>
    <x v="0"/>
    <x v="0"/>
    <x v="2"/>
    <n v="2"/>
    <x v="0"/>
  </r>
  <r>
    <x v="1843"/>
    <x v="1843"/>
    <s v="Ani Hidayat"/>
    <x v="4"/>
    <x v="11"/>
    <n v="15000"/>
    <n v="2.7"/>
    <x v="1"/>
    <n v="40500"/>
    <n v="0"/>
    <n v="40500"/>
    <n v="43000"/>
    <n v="83500"/>
    <x v="3"/>
    <x v="0"/>
    <x v="3"/>
    <n v="5"/>
    <x v="0"/>
  </r>
  <r>
    <x v="1843"/>
    <x v="1843"/>
    <s v="Ani Hidayat"/>
    <x v="4"/>
    <x v="19"/>
    <n v="15500"/>
    <n v="0.4"/>
    <x v="1"/>
    <n v="6200"/>
    <n v="0"/>
    <n v="6200"/>
    <n v="0"/>
    <n v="6200"/>
    <x v="3"/>
    <x v="0"/>
    <x v="3"/>
    <n v="5"/>
    <x v="0"/>
  </r>
  <r>
    <x v="1844"/>
    <x v="1844"/>
    <s v="Dewi Ananda"/>
    <x v="22"/>
    <x v="16"/>
    <n v="115000"/>
    <n v="0.3"/>
    <x v="1"/>
    <n v="34500"/>
    <n v="0"/>
    <n v="34500"/>
    <n v="50000"/>
    <n v="84500"/>
    <x v="3"/>
    <x v="0"/>
    <x v="3"/>
    <n v="5"/>
    <x v="0"/>
  </r>
  <r>
    <x v="1845"/>
    <x v="1845"/>
    <s v="Ani Ramadhani"/>
    <x v="25"/>
    <x v="12"/>
    <n v="9500"/>
    <n v="1.1000000000000001"/>
    <x v="1"/>
    <n v="10450"/>
    <n v="0"/>
    <n v="10450"/>
    <n v="50000"/>
    <n v="60450"/>
    <x v="2"/>
    <x v="3"/>
    <x v="1"/>
    <n v="2"/>
    <x v="0"/>
  </r>
  <r>
    <x v="1846"/>
    <x v="1846"/>
    <s v="Qori Hidayat"/>
    <x v="1"/>
    <x v="13"/>
    <n v="10000"/>
    <n v="0.5"/>
    <x v="1"/>
    <n v="5000"/>
    <n v="0"/>
    <n v="5000"/>
    <n v="17000"/>
    <n v="22000"/>
    <x v="3"/>
    <x v="0"/>
    <x v="1"/>
    <n v="4"/>
    <x v="0"/>
  </r>
  <r>
    <x v="1847"/>
    <x v="1847"/>
    <s v="Lestari Puspita"/>
    <x v="19"/>
    <x v="12"/>
    <n v="9500"/>
    <n v="1.5"/>
    <x v="1"/>
    <n v="14250"/>
    <n v="0"/>
    <n v="14250"/>
    <n v="78000"/>
    <n v="92250"/>
    <x v="1"/>
    <x v="0"/>
    <x v="2"/>
    <n v="2"/>
    <x v="0"/>
  </r>
  <r>
    <x v="1848"/>
    <x v="1848"/>
    <s v="Made Kusuma"/>
    <x v="20"/>
    <x v="10"/>
    <n v="45000"/>
    <n v="1.5"/>
    <x v="1"/>
    <n v="67500"/>
    <n v="0"/>
    <n v="67500"/>
    <n v="84000"/>
    <n v="151500"/>
    <x v="0"/>
    <x v="0"/>
    <x v="2"/>
    <n v="5"/>
    <x v="1"/>
  </r>
  <r>
    <x v="1848"/>
    <x v="1848"/>
    <s v="Made Kusuma"/>
    <x v="20"/>
    <x v="17"/>
    <n v="12000"/>
    <n v="0.3"/>
    <x v="1"/>
    <n v="3600"/>
    <n v="0"/>
    <n v="3600"/>
    <n v="0"/>
    <n v="3600"/>
    <x v="0"/>
    <x v="0"/>
    <x v="2"/>
    <n v="5"/>
    <x v="1"/>
  </r>
  <r>
    <x v="1849"/>
    <x v="1849"/>
    <s v="Ani Setiawan"/>
    <x v="26"/>
    <x v="0"/>
    <n v="10000"/>
    <n v="1.9"/>
    <x v="1"/>
    <n v="19000"/>
    <n v="0"/>
    <n v="19000"/>
    <n v="46000"/>
    <n v="65000"/>
    <x v="2"/>
    <x v="0"/>
    <x v="4"/>
    <n v="3"/>
    <x v="0"/>
  </r>
  <r>
    <x v="1849"/>
    <x v="1849"/>
    <s v="Ani Setiawan"/>
    <x v="26"/>
    <x v="7"/>
    <n v="14000"/>
    <n v="1"/>
    <x v="1"/>
    <n v="14000"/>
    <n v="0"/>
    <n v="14000"/>
    <n v="0"/>
    <n v="14000"/>
    <x v="2"/>
    <x v="0"/>
    <x v="4"/>
    <n v="3"/>
    <x v="0"/>
  </r>
  <r>
    <x v="1850"/>
    <x v="1850"/>
    <s v="Clara Halim"/>
    <x v="31"/>
    <x v="19"/>
    <n v="15500"/>
    <n v="0.3"/>
    <x v="1"/>
    <n v="4650"/>
    <n v="0"/>
    <n v="4650"/>
    <n v="87000"/>
    <n v="91650"/>
    <x v="3"/>
    <x v="0"/>
    <x v="1"/>
    <n v="2"/>
    <x v="0"/>
  </r>
  <r>
    <x v="1851"/>
    <x v="1851"/>
    <s v="Aulia Kusuma"/>
    <x v="11"/>
    <x v="10"/>
    <n v="45000"/>
    <n v="1.1000000000000001"/>
    <x v="1"/>
    <n v="49500.000000000007"/>
    <n v="0"/>
    <n v="49500.000000000007"/>
    <n v="74000"/>
    <n v="123500"/>
    <x v="3"/>
    <x v="0"/>
    <x v="1"/>
    <n v="5"/>
    <x v="0"/>
  </r>
  <r>
    <x v="1852"/>
    <x v="1852"/>
    <s v="Lestari Pradipta"/>
    <x v="28"/>
    <x v="10"/>
    <n v="45000"/>
    <n v="1"/>
    <x v="1"/>
    <n v="45000"/>
    <n v="0"/>
    <n v="45000"/>
    <n v="56000"/>
    <n v="101000"/>
    <x v="3"/>
    <x v="4"/>
    <x v="0"/>
    <n v="5"/>
    <x v="0"/>
  </r>
  <r>
    <x v="1853"/>
    <x v="1853"/>
    <s v="Zahra Ramadhani"/>
    <x v="20"/>
    <x v="11"/>
    <n v="15000"/>
    <n v="0.8"/>
    <x v="1"/>
    <n v="12000"/>
    <n v="0"/>
    <n v="12000"/>
    <n v="84000"/>
    <n v="96000"/>
    <x v="2"/>
    <x v="0"/>
    <x v="4"/>
    <n v="1"/>
    <x v="0"/>
  </r>
  <r>
    <x v="1854"/>
    <x v="1854"/>
    <s v="Zahra Halim"/>
    <x v="12"/>
    <x v="1"/>
    <n v="15000"/>
    <n v="0.4"/>
    <x v="1"/>
    <n v="6000"/>
    <n v="0"/>
    <n v="6000"/>
    <n v="30000"/>
    <n v="36000"/>
    <x v="0"/>
    <x v="0"/>
    <x v="0"/>
    <n v="1"/>
    <x v="0"/>
  </r>
  <r>
    <x v="1855"/>
    <x v="1855"/>
    <s v="Dina Maulana"/>
    <x v="36"/>
    <x v="3"/>
    <n v="13500"/>
    <n v="3"/>
    <x v="1"/>
    <n v="40500"/>
    <n v="0"/>
    <n v="40500"/>
    <n v="21000"/>
    <n v="61500"/>
    <x v="3"/>
    <x v="4"/>
    <x v="4"/>
    <n v="3"/>
    <x v="0"/>
  </r>
  <r>
    <x v="1856"/>
    <x v="1856"/>
    <s v="Andi Iskandar"/>
    <x v="10"/>
    <x v="7"/>
    <n v="14000"/>
    <n v="0.5"/>
    <x v="1"/>
    <n v="7000"/>
    <n v="0"/>
    <n v="7000"/>
    <n v="87000"/>
    <n v="94000"/>
    <x v="0"/>
    <x v="3"/>
    <x v="2"/>
    <n v="3"/>
    <x v="1"/>
  </r>
  <r>
    <x v="1856"/>
    <x v="1856"/>
    <s v="Andi Iskandar"/>
    <x v="10"/>
    <x v="10"/>
    <n v="45000"/>
    <n v="0.5"/>
    <x v="1"/>
    <n v="22500"/>
    <n v="0"/>
    <n v="22500"/>
    <n v="0"/>
    <n v="22500"/>
    <x v="0"/>
    <x v="3"/>
    <x v="2"/>
    <n v="3"/>
    <x v="1"/>
  </r>
  <r>
    <x v="1857"/>
    <x v="1857"/>
    <s v="Bella Santoso"/>
    <x v="7"/>
    <x v="8"/>
    <n v="17500"/>
    <n v="2.1"/>
    <x v="1"/>
    <n v="36750"/>
    <n v="0"/>
    <n v="36750"/>
    <n v="26000"/>
    <n v="62750"/>
    <x v="1"/>
    <x v="2"/>
    <x v="0"/>
    <n v="1"/>
    <x v="0"/>
  </r>
  <r>
    <x v="1858"/>
    <x v="1858"/>
    <s v="Dina Halim"/>
    <x v="0"/>
    <x v="9"/>
    <n v="46000"/>
    <n v="0.9"/>
    <x v="1"/>
    <n v="41400"/>
    <n v="0"/>
    <n v="41400"/>
    <n v="15000"/>
    <n v="56400"/>
    <x v="1"/>
    <x v="4"/>
    <x v="2"/>
    <n v="5"/>
    <x v="0"/>
  </r>
  <r>
    <x v="1859"/>
    <x v="1859"/>
    <s v="Dewi Wijaya"/>
    <x v="12"/>
    <x v="4"/>
    <n v="40000"/>
    <n v="0.7"/>
    <x v="1"/>
    <n v="28000"/>
    <n v="0"/>
    <n v="28000"/>
    <n v="30000"/>
    <n v="58000"/>
    <x v="3"/>
    <x v="0"/>
    <x v="0"/>
    <n v="4"/>
    <x v="0"/>
  </r>
  <r>
    <x v="1860"/>
    <x v="1860"/>
    <s v="Aulia Utami"/>
    <x v="19"/>
    <x v="6"/>
    <n v="26000"/>
    <n v="1.1000000000000001"/>
    <x v="1"/>
    <n v="28600.000000000004"/>
    <n v="0"/>
    <n v="28600.000000000004"/>
    <n v="78000"/>
    <n v="106600"/>
    <x v="0"/>
    <x v="0"/>
    <x v="3"/>
    <n v="2"/>
    <x v="0"/>
  </r>
  <r>
    <x v="1861"/>
    <x v="1861"/>
    <s v="Eka Pradipta"/>
    <x v="18"/>
    <x v="19"/>
    <n v="15500"/>
    <n v="0.5"/>
    <x v="1"/>
    <n v="7750"/>
    <n v="0"/>
    <n v="7750"/>
    <n v="0"/>
    <n v="7750"/>
    <x v="0"/>
    <x v="4"/>
    <x v="3"/>
    <n v="3"/>
    <x v="0"/>
  </r>
  <r>
    <x v="1862"/>
    <x v="1862"/>
    <s v="Oka Santoso"/>
    <x v="16"/>
    <x v="9"/>
    <n v="46000"/>
    <n v="0.2"/>
    <x v="1"/>
    <n v="9200"/>
    <n v="0"/>
    <n v="9200"/>
    <n v="18000"/>
    <n v="27200"/>
    <x v="2"/>
    <x v="0"/>
    <x v="2"/>
    <n v="1"/>
    <x v="1"/>
  </r>
  <r>
    <x v="1863"/>
    <x v="1863"/>
    <s v="Qori Pradipta"/>
    <x v="7"/>
    <x v="10"/>
    <n v="45000"/>
    <n v="0.5"/>
    <x v="1"/>
    <n v="22500"/>
    <n v="0"/>
    <n v="22500"/>
    <n v="26000"/>
    <n v="48500"/>
    <x v="0"/>
    <x v="3"/>
    <x v="1"/>
    <n v="3"/>
    <x v="0"/>
  </r>
  <r>
    <x v="1864"/>
    <x v="1864"/>
    <s v="Yani Kusuma"/>
    <x v="8"/>
    <x v="19"/>
    <n v="15500"/>
    <n v="0.4"/>
    <x v="1"/>
    <n v="6200"/>
    <n v="0"/>
    <n v="6200"/>
    <n v="59000"/>
    <n v="65200"/>
    <x v="2"/>
    <x v="4"/>
    <x v="1"/>
    <n v="2"/>
    <x v="0"/>
  </r>
  <r>
    <x v="1865"/>
    <x v="1865"/>
    <s v="Kartika Saputra"/>
    <x v="37"/>
    <x v="17"/>
    <n v="12000"/>
    <n v="1.1000000000000001"/>
    <x v="1"/>
    <n v="13200.000000000002"/>
    <n v="0"/>
    <n v="13200.000000000002"/>
    <n v="67000"/>
    <n v="80200"/>
    <x v="0"/>
    <x v="3"/>
    <x v="4"/>
    <n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A883E7-3A27-4703-A2F4-6D556222DF29}"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Q3:R16" firstHeaderRow="1" firstDataRow="1" firstDataCol="1"/>
  <pivotFields count="19">
    <pivotField showAll="0"/>
    <pivotField numFmtId="164" showAll="0"/>
    <pivotField showAll="0"/>
    <pivotField showAll="0"/>
    <pivotField showAll="0"/>
    <pivotField numFmtId="165" showAll="0"/>
    <pivotField numFmtId="166" showAll="0"/>
    <pivotField numFmtId="1" showAll="0"/>
    <pivotField numFmtId="165" showAll="0"/>
    <pivotField numFmtId="165" showAll="0"/>
    <pivotField numFmtId="165" showAll="0"/>
    <pivotField numFmtId="165" showAll="0"/>
    <pivotField dataField="1" numFmtId="165"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s>
  <rowFields count="1">
    <field x="18"/>
  </rowFields>
  <rowItems count="13">
    <i>
      <x v="1"/>
    </i>
    <i>
      <x v="2"/>
    </i>
    <i>
      <x v="3"/>
    </i>
    <i>
      <x v="4"/>
    </i>
    <i>
      <x v="5"/>
    </i>
    <i>
      <x v="6"/>
    </i>
    <i>
      <x v="7"/>
    </i>
    <i>
      <x v="8"/>
    </i>
    <i>
      <x v="9"/>
    </i>
    <i>
      <x v="10"/>
    </i>
    <i>
      <x v="11"/>
    </i>
    <i>
      <x v="12"/>
    </i>
    <i t="grand">
      <x/>
    </i>
  </rowItems>
  <colItems count="1">
    <i/>
  </colItems>
  <dataFields count="1">
    <dataField name="Sum of Grand Total" fld="12" baseField="18" baseItem="1" numFmtId="169"/>
  </dataFields>
  <formats count="8">
    <format dxfId="74">
      <pivotArea type="all" dataOnly="0" outline="0" fieldPosition="0"/>
    </format>
    <format dxfId="73">
      <pivotArea outline="0" fieldPosition="0">
        <references count="1">
          <reference field="4294967294" count="1">
            <x v="0"/>
          </reference>
        </references>
      </pivotArea>
    </format>
    <format dxfId="72">
      <pivotArea type="all" dataOnly="0" outline="0" fieldPosition="0"/>
    </format>
    <format dxfId="71">
      <pivotArea outline="0" collapsedLevelsAreSubtotals="1" fieldPosition="0"/>
    </format>
    <format dxfId="70">
      <pivotArea field="18" type="button" dataOnly="0" labelOnly="1" outline="0" axis="axisRow" fieldPosition="0"/>
    </format>
    <format dxfId="69">
      <pivotArea dataOnly="0" labelOnly="1" fieldPosition="0">
        <references count="1">
          <reference field="18" count="12">
            <x v="1"/>
            <x v="2"/>
            <x v="3"/>
            <x v="4"/>
            <x v="5"/>
            <x v="6"/>
            <x v="7"/>
            <x v="8"/>
            <x v="9"/>
            <x v="10"/>
            <x v="11"/>
            <x v="12"/>
          </reference>
        </references>
      </pivotArea>
    </format>
    <format dxfId="68">
      <pivotArea dataOnly="0" labelOnly="1" grandRow="1" outline="0" fieldPosition="0"/>
    </format>
    <format dxfId="67">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1"/>
          </reference>
        </references>
      </pivotArea>
    </chartFormat>
    <chartFormat chart="0" format="2">
      <pivotArea type="data" outline="0" fieldPosition="0">
        <references count="2">
          <reference field="4294967294" count="1" selected="0">
            <x v="0"/>
          </reference>
          <reference field="18" count="1" selected="0">
            <x v="2"/>
          </reference>
        </references>
      </pivotArea>
    </chartFormat>
    <chartFormat chart="0" format="3">
      <pivotArea type="data" outline="0" fieldPosition="0">
        <references count="2">
          <reference field="4294967294" count="1" selected="0">
            <x v="0"/>
          </reference>
          <reference field="18" count="1" selected="0">
            <x v="3"/>
          </reference>
        </references>
      </pivotArea>
    </chartFormat>
    <chartFormat chart="0" format="4">
      <pivotArea type="data" outline="0" fieldPosition="0">
        <references count="2">
          <reference field="4294967294" count="1" selected="0">
            <x v="0"/>
          </reference>
          <reference field="18" count="1" selected="0">
            <x v="4"/>
          </reference>
        </references>
      </pivotArea>
    </chartFormat>
    <chartFormat chart="0" format="5">
      <pivotArea type="data" outline="0" fieldPosition="0">
        <references count="2">
          <reference field="4294967294" count="1" selected="0">
            <x v="0"/>
          </reference>
          <reference field="18" count="1" selected="0">
            <x v="5"/>
          </reference>
        </references>
      </pivotArea>
    </chartFormat>
    <chartFormat chart="0" format="6">
      <pivotArea type="data" outline="0" fieldPosition="0">
        <references count="2">
          <reference field="4294967294" count="1" selected="0">
            <x v="0"/>
          </reference>
          <reference field="18" count="1" selected="0">
            <x v="6"/>
          </reference>
        </references>
      </pivotArea>
    </chartFormat>
    <chartFormat chart="0" format="7">
      <pivotArea type="data" outline="0" fieldPosition="0">
        <references count="2">
          <reference field="4294967294" count="1" selected="0">
            <x v="0"/>
          </reference>
          <reference field="18" count="1" selected="0">
            <x v="7"/>
          </reference>
        </references>
      </pivotArea>
    </chartFormat>
    <chartFormat chart="0" format="8">
      <pivotArea type="data" outline="0" fieldPosition="0">
        <references count="2">
          <reference field="4294967294" count="1" selected="0">
            <x v="0"/>
          </reference>
          <reference field="18" count="1" selected="0">
            <x v="8"/>
          </reference>
        </references>
      </pivotArea>
    </chartFormat>
    <chartFormat chart="0" format="9">
      <pivotArea type="data" outline="0" fieldPosition="0">
        <references count="2">
          <reference field="4294967294" count="1" selected="0">
            <x v="0"/>
          </reference>
          <reference field="18" count="1" selected="0">
            <x v="9"/>
          </reference>
        </references>
      </pivotArea>
    </chartFormat>
    <chartFormat chart="0" format="10">
      <pivotArea type="data" outline="0" fieldPosition="0">
        <references count="2">
          <reference field="4294967294" count="1" selected="0">
            <x v="0"/>
          </reference>
          <reference field="18" count="1" selected="0">
            <x v="10"/>
          </reference>
        </references>
      </pivotArea>
    </chartFormat>
    <chartFormat chart="0" format="11">
      <pivotArea type="data" outline="0" fieldPosition="0">
        <references count="2">
          <reference field="4294967294" count="1" selected="0">
            <x v="0"/>
          </reference>
          <reference field="18" count="1" selected="0">
            <x v="11"/>
          </reference>
        </references>
      </pivotArea>
    </chartFormat>
    <chartFormat chart="0" format="12">
      <pivotArea type="data" outline="0" fieldPosition="0">
        <references count="2">
          <reference field="4294967294" count="1" selected="0">
            <x v="0"/>
          </reference>
          <reference field="18"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9108C6-4A89-4E94-B440-B8CC25678BDD}" name="total_order"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C4" firstHeaderRow="1" firstDataRow="1" firstDataCol="0"/>
  <pivotFields count="19">
    <pivotField dataField="1" showAll="0">
      <items count="1867">
        <item x="1755"/>
        <item x="1354"/>
        <item x="933"/>
        <item x="1630"/>
        <item x="601"/>
        <item x="614"/>
        <item x="1746"/>
        <item x="869"/>
        <item x="561"/>
        <item x="1509"/>
        <item x="828"/>
        <item x="229"/>
        <item x="62"/>
        <item x="141"/>
        <item x="763"/>
        <item x="2"/>
        <item x="383"/>
        <item x="1544"/>
        <item x="1299"/>
        <item x="1636"/>
        <item x="920"/>
        <item x="75"/>
        <item x="136"/>
        <item x="183"/>
        <item x="367"/>
        <item x="622"/>
        <item x="1848"/>
        <item x="406"/>
        <item x="105"/>
        <item x="463"/>
        <item x="485"/>
        <item x="1167"/>
        <item x="1560"/>
        <item x="204"/>
        <item x="590"/>
        <item x="1736"/>
        <item x="192"/>
        <item x="358"/>
        <item x="1856"/>
        <item x="898"/>
        <item x="1466"/>
        <item x="787"/>
        <item x="716"/>
        <item x="524"/>
        <item x="692"/>
        <item x="1609"/>
        <item x="1536"/>
        <item x="1199"/>
        <item x="9"/>
        <item x="618"/>
        <item x="14"/>
        <item x="1587"/>
        <item x="896"/>
        <item x="1586"/>
        <item x="1319"/>
        <item x="1328"/>
        <item x="1259"/>
        <item x="262"/>
        <item x="363"/>
        <item x="1182"/>
        <item x="675"/>
        <item x="88"/>
        <item x="569"/>
        <item x="1551"/>
        <item x="1286"/>
        <item x="1231"/>
        <item x="1569"/>
        <item x="874"/>
        <item x="224"/>
        <item x="1730"/>
        <item x="504"/>
        <item x="268"/>
        <item x="1125"/>
        <item x="765"/>
        <item x="781"/>
        <item x="1412"/>
        <item x="909"/>
        <item x="1712"/>
        <item x="1146"/>
        <item x="1445"/>
        <item x="557"/>
        <item x="682"/>
        <item x="885"/>
        <item x="361"/>
        <item x="1014"/>
        <item x="521"/>
        <item x="1558"/>
        <item x="272"/>
        <item x="1505"/>
        <item x="325"/>
        <item x="1384"/>
        <item x="1274"/>
        <item x="1729"/>
        <item x="834"/>
        <item x="889"/>
        <item x="213"/>
        <item x="1219"/>
        <item x="481"/>
        <item x="1111"/>
        <item x="1772"/>
        <item x="1345"/>
        <item x="633"/>
        <item x="1562"/>
        <item x="84"/>
        <item x="349"/>
        <item x="1714"/>
        <item x="753"/>
        <item x="517"/>
        <item x="1081"/>
        <item x="739"/>
        <item x="175"/>
        <item x="1706"/>
        <item x="1603"/>
        <item x="112"/>
        <item x="1378"/>
        <item x="1228"/>
        <item x="1693"/>
        <item x="1475"/>
        <item x="1700"/>
        <item x="506"/>
        <item x="1443"/>
        <item x="1209"/>
        <item x="1616"/>
        <item x="664"/>
        <item x="1655"/>
        <item x="1477"/>
        <item x="1138"/>
        <item x="123"/>
        <item x="647"/>
        <item x="1238"/>
        <item x="177"/>
        <item x="1129"/>
        <item x="755"/>
        <item x="1476"/>
        <item x="1260"/>
        <item x="1409"/>
        <item x="1118"/>
        <item x="746"/>
        <item x="855"/>
        <item x="1789"/>
        <item x="927"/>
        <item x="1814"/>
        <item x="188"/>
        <item x="298"/>
        <item x="519"/>
        <item x="1390"/>
        <item x="1852"/>
        <item x="594"/>
        <item x="786"/>
        <item x="1794"/>
        <item x="913"/>
        <item x="766"/>
        <item x="807"/>
        <item x="1833"/>
        <item x="129"/>
        <item x="145"/>
        <item x="1069"/>
        <item x="1207"/>
        <item x="1002"/>
        <item x="976"/>
        <item x="1295"/>
        <item x="314"/>
        <item x="956"/>
        <item x="1456"/>
        <item x="1279"/>
        <item x="688"/>
        <item x="398"/>
        <item x="1845"/>
        <item x="579"/>
        <item x="613"/>
        <item x="882"/>
        <item x="940"/>
        <item x="602"/>
        <item x="830"/>
        <item x="378"/>
        <item x="1834"/>
        <item x="1136"/>
        <item x="1795"/>
        <item x="31"/>
        <item x="1765"/>
        <item x="19"/>
        <item x="905"/>
        <item x="1610"/>
        <item x="551"/>
        <item x="644"/>
        <item x="114"/>
        <item x="636"/>
        <item x="1289"/>
        <item x="32"/>
        <item x="1397"/>
        <item x="345"/>
        <item x="1850"/>
        <item x="70"/>
        <item x="892"/>
        <item x="1196"/>
        <item x="936"/>
        <item x="92"/>
        <item x="100"/>
        <item x="600"/>
        <item x="104"/>
        <item x="1526"/>
        <item x="1045"/>
        <item x="1517"/>
        <item x="653"/>
        <item x="1513"/>
        <item x="693"/>
        <item x="595"/>
        <item x="873"/>
        <item x="1188"/>
        <item x="1109"/>
        <item x="879"/>
        <item x="544"/>
        <item x="338"/>
        <item x="475"/>
        <item x="119"/>
        <item x="915"/>
        <item x="804"/>
        <item x="45"/>
        <item x="189"/>
        <item x="354"/>
        <item x="547"/>
        <item x="876"/>
        <item x="533"/>
        <item x="702"/>
        <item x="201"/>
        <item x="608"/>
        <item x="1050"/>
        <item x="190"/>
        <item x="143"/>
        <item x="179"/>
        <item x="856"/>
        <item x="900"/>
        <item x="529"/>
        <item x="471"/>
        <item x="770"/>
        <item x="1808"/>
        <item x="97"/>
        <item x="216"/>
        <item x="24"/>
        <item x="902"/>
        <item x="1383"/>
        <item x="1372"/>
        <item x="1826"/>
        <item x="710"/>
        <item x="1725"/>
        <item x="1713"/>
        <item x="1262"/>
        <item x="735"/>
        <item x="342"/>
        <item x="1090"/>
        <item x="999"/>
        <item x="1333"/>
        <item x="1323"/>
        <item x="678"/>
        <item x="1711"/>
        <item x="620"/>
        <item x="1031"/>
        <item x="1160"/>
        <item x="1243"/>
        <item x="841"/>
        <item x="401"/>
        <item x="526"/>
        <item x="1540"/>
        <item x="690"/>
        <item x="932"/>
        <item x="1818"/>
        <item x="1266"/>
        <item x="1515"/>
        <item x="159"/>
        <item x="1537"/>
        <item x="1732"/>
        <item x="155"/>
        <item x="372"/>
        <item x="1667"/>
        <item x="895"/>
        <item x="751"/>
        <item x="197"/>
        <item x="174"/>
        <item x="1524"/>
        <item x="1055"/>
        <item x="632"/>
        <item x="1543"/>
        <item x="842"/>
        <item x="1528"/>
        <item x="1644"/>
        <item x="138"/>
        <item x="819"/>
        <item x="1415"/>
        <item x="446"/>
        <item x="1346"/>
        <item x="732"/>
        <item x="1446"/>
        <item x="1594"/>
        <item x="1773"/>
        <item x="1626"/>
        <item x="1003"/>
        <item x="300"/>
        <item x="1529"/>
        <item x="1851"/>
        <item x="455"/>
        <item x="1451"/>
        <item x="835"/>
        <item x="1849"/>
        <item x="1853"/>
        <item x="163"/>
        <item x="946"/>
        <item x="180"/>
        <item x="1479"/>
        <item x="1194"/>
        <item x="1401"/>
        <item x="707"/>
        <item x="1491"/>
        <item x="822"/>
        <item x="1327"/>
        <item x="385"/>
        <item x="502"/>
        <item x="1234"/>
        <item x="1348"/>
        <item x="1245"/>
        <item x="441"/>
        <item x="1508"/>
        <item x="1788"/>
        <item x="942"/>
        <item x="1568"/>
        <item x="1120"/>
        <item x="4"/>
        <item x="850"/>
        <item x="210"/>
        <item x="1165"/>
        <item x="376"/>
        <item x="564"/>
        <item x="1815"/>
        <item x="1628"/>
        <item x="278"/>
        <item x="1437"/>
        <item x="120"/>
        <item x="638"/>
        <item x="1643"/>
        <item x="1694"/>
        <item x="1512"/>
        <item x="971"/>
        <item x="1436"/>
        <item x="1256"/>
        <item x="1472"/>
        <item x="1727"/>
        <item x="326"/>
        <item x="1750"/>
        <item x="1301"/>
        <item x="983"/>
        <item x="1190"/>
        <item x="1153"/>
        <item x="462"/>
        <item x="778"/>
        <item x="1025"/>
        <item x="457"/>
        <item x="1690"/>
        <item x="1718"/>
        <item x="311"/>
        <item x="1657"/>
        <item x="1614"/>
        <item x="480"/>
        <item x="583"/>
        <item x="972"/>
        <item x="1097"/>
        <item x="381"/>
        <item x="305"/>
        <item x="1752"/>
        <item x="1152"/>
        <item x="47"/>
        <item x="1499"/>
        <item x="609"/>
        <item x="454"/>
        <item x="1677"/>
        <item x="1033"/>
        <item x="742"/>
        <item x="333"/>
        <item x="1698"/>
        <item x="118"/>
        <item x="340"/>
        <item x="309"/>
        <item x="1622"/>
        <item x="1405"/>
        <item x="165"/>
        <item x="1173"/>
        <item x="1171"/>
        <item x="394"/>
        <item x="1461"/>
        <item x="1101"/>
        <item x="1839"/>
        <item x="33"/>
        <item x="249"/>
        <item x="1776"/>
        <item x="574"/>
        <item x="339"/>
        <item x="580"/>
        <item x="1144"/>
        <item x="341"/>
        <item x="883"/>
        <item x="1612"/>
        <item x="458"/>
        <item x="1748"/>
        <item x="348"/>
        <item x="25"/>
        <item x="365"/>
        <item x="810"/>
        <item x="528"/>
        <item x="1062"/>
        <item x="1673"/>
        <item x="319"/>
        <item x="605"/>
        <item x="3"/>
        <item x="908"/>
        <item x="542"/>
        <item x="938"/>
        <item x="1326"/>
        <item x="1552"/>
        <item x="1206"/>
        <item x="1591"/>
        <item x="639"/>
        <item x="808"/>
        <item x="586"/>
        <item x="103"/>
        <item x="1239"/>
        <item x="1502"/>
        <item x="1447"/>
        <item x="1373"/>
        <item x="744"/>
        <item x="306"/>
        <item x="1559"/>
        <item x="558"/>
        <item x="419"/>
        <item x="754"/>
        <item x="64"/>
        <item x="496"/>
        <item x="806"/>
        <item x="974"/>
        <item x="1072"/>
        <item x="279"/>
        <item x="416"/>
        <item x="1335"/>
        <item x="851"/>
        <item x="532"/>
        <item x="771"/>
        <item x="330"/>
        <item x="566"/>
        <item x="1463"/>
        <item x="1855"/>
        <item x="1486"/>
        <item x="788"/>
        <item x="797"/>
        <item x="364"/>
        <item x="37"/>
        <item x="284"/>
        <item x="1647"/>
        <item x="127"/>
        <item x="1163"/>
        <item x="776"/>
        <item x="375"/>
        <item x="1229"/>
        <item x="1661"/>
        <item x="1100"/>
        <item x="683"/>
        <item x="1400"/>
        <item x="700"/>
        <item x="59"/>
        <item x="1843"/>
        <item x="1786"/>
        <item x="1332"/>
        <item x="1481"/>
        <item x="978"/>
        <item x="294"/>
        <item x="1469"/>
        <item x="917"/>
        <item x="811"/>
        <item x="503"/>
        <item x="1549"/>
        <item x="662"/>
        <item x="1802"/>
        <item x="661"/>
        <item x="646"/>
        <item x="1534"/>
        <item x="1439"/>
        <item x="154"/>
        <item x="1218"/>
        <item x="1561"/>
        <item x="714"/>
        <item x="1132"/>
        <item x="1313"/>
        <item x="1139"/>
        <item x="1406"/>
        <item x="1179"/>
        <item x="1148"/>
        <item x="498"/>
        <item x="697"/>
        <item x="853"/>
        <item x="846"/>
        <item x="1047"/>
        <item x="43"/>
        <item x="1638"/>
        <item x="871"/>
        <item x="1232"/>
        <item x="1159"/>
        <item x="73"/>
        <item x="323"/>
        <item x="1157"/>
        <item x="1599"/>
        <item x="777"/>
        <item x="512"/>
        <item x="509"/>
        <item x="211"/>
        <item x="321"/>
        <item x="486"/>
        <item x="301"/>
        <item x="858"/>
        <item x="347"/>
        <item x="1482"/>
        <item x="747"/>
        <item x="1253"/>
        <item x="206"/>
        <item x="490"/>
        <item x="76"/>
        <item x="157"/>
        <item x="629"/>
        <item x="818"/>
        <item x="768"/>
        <item x="733"/>
        <item x="1835"/>
        <item x="540"/>
        <item x="854"/>
        <item x="1023"/>
        <item x="643"/>
        <item x="1106"/>
        <item x="122"/>
        <item x="631"/>
        <item x="336"/>
        <item x="413"/>
        <item x="949"/>
        <item x="351"/>
        <item x="388"/>
        <item x="1743"/>
        <item x="288"/>
        <item x="402"/>
        <item x="38"/>
        <item x="161"/>
        <item x="1716"/>
        <item x="582"/>
        <item x="1516"/>
        <item x="322"/>
        <item x="1021"/>
        <item x="1506"/>
        <item x="741"/>
        <item x="1756"/>
        <item x="1865"/>
        <item x="1217"/>
        <item x="1829"/>
        <item x="546"/>
        <item x="1658"/>
        <item x="1640"/>
        <item x="15"/>
        <item x="1435"/>
        <item x="1613"/>
        <item x="54"/>
        <item x="1749"/>
        <item x="430"/>
        <item x="930"/>
        <item x="410"/>
        <item x="1720"/>
        <item x="1572"/>
        <item x="596"/>
        <item x="1267"/>
        <item x="1296"/>
        <item x="1639"/>
        <item x="451"/>
        <item x="704"/>
        <item x="231"/>
        <item x="287"/>
        <item x="1584"/>
        <item x="1395"/>
        <item x="1168"/>
        <item x="335"/>
        <item x="1742"/>
        <item x="1187"/>
        <item x="1635"/>
        <item x="439"/>
        <item x="133"/>
        <item x="680"/>
        <item x="1500"/>
        <item x="749"/>
        <item x="209"/>
        <item x="568"/>
        <item x="449"/>
        <item x="659"/>
        <item x="1860"/>
        <item x="1420"/>
        <item x="1252"/>
        <item x="961"/>
        <item x="1600"/>
        <item x="1709"/>
        <item x="598"/>
        <item x="63"/>
        <item x="572"/>
        <item x="1652"/>
        <item x="998"/>
        <item x="1542"/>
        <item x="878"/>
        <item x="992"/>
        <item x="1318"/>
        <item x="925"/>
        <item x="689"/>
        <item x="1842"/>
        <item x="1691"/>
        <item x="106"/>
        <item x="1380"/>
        <item x="637"/>
        <item x="1678"/>
        <item x="539"/>
        <item x="1601"/>
        <item x="304"/>
        <item x="58"/>
        <item x="907"/>
        <item x="1474"/>
        <item x="1704"/>
        <item x="606"/>
        <item x="87"/>
        <item x="1006"/>
        <item x="1674"/>
        <item x="267"/>
        <item x="8"/>
        <item x="1837"/>
        <item x="1174"/>
        <item x="1645"/>
        <item x="98"/>
        <item x="40"/>
        <item x="10"/>
        <item x="1320"/>
        <item x="1242"/>
        <item x="1226"/>
        <item x="459"/>
        <item x="1150"/>
        <item x="146"/>
        <item x="587"/>
        <item x="537"/>
        <item x="779"/>
        <item x="7"/>
        <item x="379"/>
        <item x="334"/>
        <item x="1825"/>
        <item x="1184"/>
        <item x="182"/>
        <item x="1387"/>
        <item x="934"/>
        <item x="1659"/>
        <item x="241"/>
        <item x="1539"/>
        <item x="1734"/>
        <item x="552"/>
        <item x="317"/>
        <item x="612"/>
        <item x="1844"/>
        <item x="185"/>
        <item x="289"/>
        <item x="328"/>
        <item x="511"/>
        <item x="1703"/>
        <item x="1589"/>
        <item x="1082"/>
        <item x="467"/>
        <item x="1431"/>
        <item x="1632"/>
        <item x="545"/>
        <item x="1407"/>
        <item x="1180"/>
        <item x="1178"/>
        <item x="263"/>
        <item x="711"/>
        <item x="1859"/>
        <item x="543"/>
        <item x="408"/>
        <item x="113"/>
        <item x="1737"/>
        <item x="236"/>
        <item x="1257"/>
        <item x="1342"/>
        <item x="290"/>
        <item x="1251"/>
        <item x="68"/>
        <item x="1862"/>
        <item x="1164"/>
        <item x="50"/>
        <item x="1331"/>
        <item x="1403"/>
        <item x="1351"/>
        <item x="1338"/>
        <item x="1364"/>
        <item x="41"/>
        <item x="219"/>
        <item x="264"/>
        <item x="1135"/>
        <item x="115"/>
        <item x="1864"/>
        <item x="66"/>
        <item x="750"/>
        <item x="1553"/>
        <item x="565"/>
        <item x="1099"/>
        <item x="299"/>
        <item x="1216"/>
        <item x="1840"/>
        <item x="1134"/>
        <item x="508"/>
        <item x="1648"/>
        <item x="642"/>
        <item x="870"/>
        <item x="1078"/>
        <item x="1288"/>
        <item x="130"/>
        <item x="1625"/>
        <item x="1738"/>
        <item x="1391"/>
        <item x="1633"/>
        <item x="1582"/>
        <item x="1590"/>
        <item x="1779"/>
        <item x="534"/>
        <item x="493"/>
        <item x="1696"/>
        <item x="748"/>
        <item x="996"/>
        <item x="1085"/>
        <item x="1126"/>
        <item x="1836"/>
        <item x="1105"/>
        <item x="160"/>
        <item x="760"/>
        <item x="217"/>
        <item x="1470"/>
        <item x="1425"/>
        <item x="1651"/>
        <item x="1792"/>
        <item x="1369"/>
        <item x="94"/>
        <item x="1195"/>
        <item x="1127"/>
        <item x="1044"/>
        <item x="1607"/>
        <item x="142"/>
        <item x="173"/>
        <item x="523"/>
        <item x="640"/>
        <item x="967"/>
        <item x="1116"/>
        <item x="1254"/>
        <item x="248"/>
        <item x="140"/>
        <item x="1861"/>
        <item x="1656"/>
        <item x="1686"/>
        <item x="1307"/>
        <item x="911"/>
        <item x="1812"/>
        <item x="352"/>
        <item x="433"/>
        <item x="630"/>
        <item x="1115"/>
        <item x="1571"/>
        <item x="1290"/>
        <item x="1605"/>
        <item x="1340"/>
        <item x="1396"/>
        <item x="1426"/>
        <item x="1036"/>
        <item x="1010"/>
        <item x="677"/>
        <item x="1240"/>
        <item x="759"/>
        <item x="1574"/>
        <item x="859"/>
        <item x="1225"/>
        <item x="421"/>
        <item x="362"/>
        <item x="276"/>
        <item x="194"/>
        <item x="1793"/>
        <item x="928"/>
        <item x="518"/>
        <item x="1538"/>
        <item x="1000"/>
        <item x="865"/>
        <item x="371"/>
        <item x="887"/>
        <item x="1796"/>
        <item x="1578"/>
        <item x="805"/>
        <item x="258"/>
        <item x="254"/>
        <item x="202"/>
        <item x="1166"/>
        <item x="848"/>
        <item x="860"/>
        <item x="96"/>
        <item x="187"/>
        <item x="1189"/>
        <item x="685"/>
        <item x="1220"/>
        <item x="910"/>
        <item x="977"/>
        <item x="158"/>
        <item x="437"/>
        <item x="541"/>
        <item x="1820"/>
        <item x="29"/>
        <item x="623"/>
        <item x="964"/>
        <item x="1805"/>
        <item x="1747"/>
        <item x="232"/>
        <item x="1114"/>
        <item x="1399"/>
        <item x="1304"/>
        <item x="1767"/>
        <item x="245"/>
        <item x="1719"/>
        <item x="497"/>
        <item x="513"/>
        <item x="1375"/>
        <item x="720"/>
        <item x="275"/>
        <item x="80"/>
        <item x="1349"/>
        <item x="610"/>
        <item x="1063"/>
        <item x="324"/>
        <item x="1664"/>
        <item x="1030"/>
        <item x="214"/>
        <item x="230"/>
        <item x="769"/>
        <item x="994"/>
        <item x="1654"/>
        <item x="1077"/>
        <item x="1004"/>
        <item x="1611"/>
        <item x="315"/>
        <item x="12"/>
        <item x="570"/>
        <item x="1787"/>
        <item x="1385"/>
        <item x="1175"/>
        <item x="1417"/>
        <item x="764"/>
        <item x="554"/>
        <item x="1027"/>
        <item x="1821"/>
        <item x="721"/>
        <item x="1065"/>
        <item x="952"/>
        <item x="42"/>
        <item x="1564"/>
        <item x="215"/>
        <item x="1854"/>
        <item x="516"/>
        <item x="69"/>
        <item x="1137"/>
        <item x="1270"/>
        <item x="491"/>
        <item x="875"/>
        <item x="1800"/>
        <item x="150"/>
        <item x="1810"/>
        <item x="296"/>
        <item x="434"/>
        <item x="660"/>
        <item x="1766"/>
        <item x="108"/>
        <item x="280"/>
        <item x="407"/>
        <item x="1215"/>
        <item x="1422"/>
        <item x="356"/>
        <item x="1666"/>
        <item x="1161"/>
        <item x="500"/>
        <item x="1087"/>
        <item x="1577"/>
        <item x="91"/>
        <item x="958"/>
        <item x="435"/>
        <item x="329"/>
        <item x="813"/>
        <item x="1365"/>
        <item x="1057"/>
        <item x="815"/>
        <item x="899"/>
        <item x="1414"/>
        <item x="762"/>
        <item x="1155"/>
        <item x="1123"/>
        <item x="1642"/>
        <item x="1162"/>
        <item x="837"/>
        <item x="1102"/>
        <item x="1832"/>
        <item x="359"/>
        <item x="277"/>
        <item x="208"/>
        <item x="1801"/>
        <item x="726"/>
        <item x="283"/>
        <item x="233"/>
        <item x="162"/>
        <item x="1726"/>
        <item x="1705"/>
        <item x="1627"/>
        <item x="1554"/>
        <item x="921"/>
        <item x="514"/>
        <item x="1341"/>
        <item x="412"/>
        <item x="745"/>
        <item x="1623"/>
        <item x="1041"/>
        <item x="444"/>
        <item x="1467"/>
        <item x="1208"/>
        <item x="611"/>
        <item x="798"/>
        <item x="139"/>
        <item x="89"/>
        <item x="1402"/>
        <item x="271"/>
        <item x="626"/>
        <item x="405"/>
        <item x="26"/>
        <item x="1278"/>
        <item x="1763"/>
        <item x="445"/>
        <item x="1806"/>
        <item x="1618"/>
        <item x="257"/>
        <item x="420"/>
        <item x="1074"/>
        <item x="1112"/>
        <item x="472"/>
        <item x="1393"/>
        <item x="1098"/>
        <item x="13"/>
        <item x="1357"/>
        <item x="645"/>
        <item x="989"/>
        <item x="1325"/>
        <item x="560"/>
        <item x="221"/>
        <item x="1758"/>
        <item x="11"/>
        <item x="935"/>
        <item x="124"/>
        <item x="881"/>
        <item x="49"/>
        <item x="186"/>
        <item x="575"/>
        <item x="525"/>
        <item x="1453"/>
        <item x="1531"/>
        <item x="863"/>
        <item x="1147"/>
        <item x="780"/>
        <item x="260"/>
        <item x="656"/>
        <item x="1061"/>
        <item x="825"/>
        <item x="1029"/>
        <item x="237"/>
        <item x="1054"/>
        <item x="573"/>
        <item x="743"/>
        <item x="691"/>
        <item x="588"/>
        <item x="1492"/>
        <item x="1110"/>
        <item x="607"/>
        <item x="1798"/>
        <item x="826"/>
        <item x="1075"/>
        <item x="1649"/>
        <item x="1067"/>
        <item x="1547"/>
        <item x="176"/>
        <item x="701"/>
        <item x="494"/>
        <item x="1183"/>
        <item x="436"/>
        <item x="1048"/>
        <item x="226"/>
        <item x="888"/>
        <item x="178"/>
        <item x="510"/>
        <item x="1428"/>
        <item x="1200"/>
        <item x="679"/>
        <item x="1359"/>
        <item x="482"/>
        <item x="1841"/>
        <item x="261"/>
        <item x="756"/>
        <item x="1046"/>
        <item x="424"/>
        <item x="1546"/>
        <item x="655"/>
        <item x="950"/>
        <item x="415"/>
        <item x="1823"/>
        <item x="1484"/>
        <item x="1473"/>
        <item x="131"/>
        <item x="1059"/>
        <item x="943"/>
        <item x="473"/>
        <item x="1370"/>
        <item x="1503"/>
        <item x="1068"/>
        <item x="991"/>
        <item x="571"/>
        <item x="484"/>
        <item x="1012"/>
        <item x="906"/>
        <item x="1312"/>
        <item x="1292"/>
        <item x="864"/>
        <item x="522"/>
        <item x="191"/>
        <item x="1495"/>
        <item x="1778"/>
        <item x="1392"/>
        <item x="492"/>
        <item x="1483"/>
        <item x="460"/>
        <item x="1624"/>
        <item x="1355"/>
        <item x="1374"/>
        <item x="954"/>
        <item x="1376"/>
        <item x="61"/>
        <item x="1721"/>
        <item x="452"/>
        <item x="474"/>
        <item x="199"/>
        <item x="44"/>
        <item x="1803"/>
        <item x="1838"/>
        <item x="239"/>
        <item x="567"/>
        <item x="128"/>
        <item x="650"/>
        <item x="562"/>
        <item x="821"/>
        <item x="1566"/>
        <item x="297"/>
        <item x="868"/>
        <item x="71"/>
        <item x="18"/>
        <item x="1478"/>
        <item x="624"/>
        <item x="125"/>
        <item x="1258"/>
        <item x="530"/>
        <item x="585"/>
        <item x="774"/>
        <item x="1235"/>
        <item x="1083"/>
        <item x="1588"/>
        <item x="563"/>
        <item x="1043"/>
        <item x="816"/>
        <item x="1026"/>
        <item x="1193"/>
        <item x="975"/>
        <item x="666"/>
        <item x="464"/>
        <item x="81"/>
        <item x="1204"/>
        <item x="712"/>
        <item x="1281"/>
        <item x="970"/>
        <item x="83"/>
        <item x="1757"/>
        <item x="1263"/>
        <item x="794"/>
        <item x="207"/>
        <item x="1799"/>
        <item x="1084"/>
        <item x="686"/>
        <item x="1522"/>
        <item x="1580"/>
        <item x="1596"/>
        <item x="725"/>
        <item x="1530"/>
        <item x="1811"/>
        <item x="1604"/>
        <item x="422"/>
        <item x="1347"/>
        <item x="265"/>
        <item x="1039"/>
        <item x="1471"/>
        <item x="156"/>
        <item x="227"/>
        <item x="147"/>
        <item x="1001"/>
        <item x="308"/>
        <item x="373"/>
        <item x="1329"/>
        <item x="1142"/>
        <item x="1197"/>
        <item x="65"/>
        <item x="1637"/>
        <item x="1337"/>
        <item x="281"/>
        <item x="1535"/>
        <item x="867"/>
        <item x="266"/>
        <item x="1723"/>
        <item x="548"/>
        <item x="767"/>
        <item x="380"/>
        <item x="247"/>
        <item x="250"/>
        <item x="713"/>
        <item x="658"/>
        <item x="34"/>
        <item x="1498"/>
        <item x="1202"/>
        <item x="386"/>
        <item x="897"/>
        <item x="576"/>
        <item x="1298"/>
        <item x="861"/>
        <item x="1518"/>
        <item x="1398"/>
        <item x="429"/>
        <item x="505"/>
        <item x="1185"/>
        <item x="1028"/>
        <item x="1441"/>
        <item x="1507"/>
        <item x="489"/>
        <item x="51"/>
        <item x="470"/>
        <item x="809"/>
        <item x="1363"/>
        <item x="151"/>
        <item x="960"/>
        <item x="67"/>
        <item x="1273"/>
        <item x="1688"/>
        <item x="838"/>
        <item x="1264"/>
        <item x="172"/>
        <item x="1108"/>
        <item x="1764"/>
        <item x="1679"/>
        <item x="17"/>
        <item x="1140"/>
        <item x="1597"/>
        <item x="111"/>
        <item x="1143"/>
        <item x="1093"/>
        <item x="1681"/>
        <item x="1248"/>
        <item x="695"/>
        <item x="86"/>
        <item x="1113"/>
        <item x="738"/>
        <item x="1040"/>
        <item x="728"/>
        <item x="1224"/>
        <item x="919"/>
        <item x="1352"/>
        <item x="295"/>
        <item x="918"/>
        <item x="1287"/>
        <item x="684"/>
        <item x="1336"/>
        <item x="584"/>
        <item x="1831"/>
        <item x="1438"/>
        <item x="1682"/>
        <item x="1427"/>
        <item x="456"/>
        <item x="953"/>
        <item x="699"/>
        <item x="48"/>
        <item x="740"/>
        <item x="414"/>
        <item x="393"/>
        <item x="995"/>
        <item x="1212"/>
        <item x="1442"/>
        <item x="57"/>
        <item x="357"/>
        <item x="1774"/>
        <item x="273"/>
        <item x="144"/>
        <item x="181"/>
        <item x="1201"/>
        <item x="1158"/>
        <item x="350"/>
        <item x="238"/>
        <item x="1344"/>
        <item x="5"/>
        <item x="796"/>
        <item x="1247"/>
        <item x="947"/>
        <item x="411"/>
        <item x="1244"/>
        <item x="310"/>
        <item x="1662"/>
        <item x="1487"/>
        <item x="931"/>
        <item x="251"/>
        <item x="981"/>
        <item x="827"/>
        <item x="1024"/>
        <item x="1488"/>
        <item x="752"/>
        <item x="1308"/>
        <item x="1297"/>
        <item x="914"/>
        <item x="1246"/>
        <item x="1464"/>
        <item x="1386"/>
        <item x="1367"/>
        <item x="1249"/>
        <item x="168"/>
        <item x="85"/>
        <item x="604"/>
        <item x="671"/>
        <item x="1687"/>
        <item x="843"/>
        <item x="668"/>
        <item x="657"/>
        <item x="670"/>
        <item x="1710"/>
        <item x="1735"/>
        <item x="1759"/>
        <item x="795"/>
        <item x="1448"/>
        <item x="399"/>
        <item x="1322"/>
        <item x="450"/>
        <item x="1816"/>
        <item x="1556"/>
        <item x="591"/>
        <item x="1293"/>
        <item x="1504"/>
        <item x="948"/>
        <item x="916"/>
        <item x="1676"/>
        <item x="1514"/>
        <item x="1005"/>
        <item x="235"/>
        <item x="1780"/>
        <item x="1485"/>
        <item x="1563"/>
        <item x="193"/>
        <item x="1291"/>
        <item x="495"/>
        <item x="708"/>
        <item x="1261"/>
        <item x="1619"/>
        <item x="1017"/>
        <item x="1731"/>
        <item x="891"/>
        <item x="1280"/>
        <item x="1671"/>
        <item x="979"/>
        <item x="801"/>
        <item x="962"/>
        <item x="1382"/>
        <item x="390"/>
        <item x="969"/>
        <item x="196"/>
        <item x="791"/>
        <item x="820"/>
        <item x="79"/>
        <item x="1565"/>
        <item x="1683"/>
        <item x="1053"/>
        <item x="1761"/>
        <item x="663"/>
        <item x="1724"/>
        <item x="465"/>
        <item x="581"/>
        <item x="621"/>
        <item x="256"/>
        <item x="1042"/>
        <item x="1133"/>
        <item x="993"/>
        <item x="1455"/>
        <item x="1809"/>
        <item x="1813"/>
        <item x="718"/>
        <item x="965"/>
        <item x="1121"/>
        <item x="1131"/>
        <item x="395"/>
        <item x="1585"/>
        <item x="730"/>
        <item x="252"/>
        <item x="132"/>
        <item x="1775"/>
        <item x="479"/>
        <item x="783"/>
        <item x="1092"/>
        <item x="1035"/>
        <item x="1857"/>
        <item x="1460"/>
        <item x="259"/>
        <item x="968"/>
        <item x="676"/>
        <item x="1051"/>
        <item x="648"/>
        <item x="1672"/>
        <item x="1722"/>
        <item x="220"/>
        <item x="1695"/>
        <item x="212"/>
        <item x="1230"/>
        <item x="270"/>
        <item x="234"/>
        <item x="1532"/>
        <item x="370"/>
        <item x="1418"/>
        <item x="1753"/>
        <item x="1186"/>
        <item x="164"/>
        <item x="681"/>
        <item x="1018"/>
        <item x="559"/>
        <item x="1680"/>
        <item x="1151"/>
        <item x="285"/>
        <item x="698"/>
        <item x="619"/>
        <item x="1660"/>
        <item x="1557"/>
        <item x="478"/>
        <item x="1827"/>
        <item x="225"/>
        <item x="973"/>
        <item x="775"/>
        <item x="1744"/>
        <item x="1250"/>
        <item x="538"/>
        <item x="320"/>
        <item x="1198"/>
        <item x="1007"/>
        <item x="60"/>
        <item x="501"/>
        <item x="1416"/>
        <item x="1433"/>
        <item x="1459"/>
        <item x="903"/>
        <item x="1191"/>
        <item x="654"/>
        <item x="904"/>
        <item x="1497"/>
        <item x="1468"/>
        <item x="1545"/>
        <item x="1555"/>
        <item x="628"/>
        <item x="1089"/>
        <item x="672"/>
        <item x="1076"/>
        <item x="442"/>
        <item x="901"/>
        <item x="418"/>
        <item x="674"/>
        <item x="77"/>
        <item x="1149"/>
        <item x="1141"/>
        <item x="466"/>
        <item x="1576"/>
        <item x="1361"/>
        <item x="1038"/>
        <item x="1339"/>
        <item x="1782"/>
        <item x="1675"/>
        <item x="1309"/>
        <item x="941"/>
        <item x="823"/>
        <item x="1579"/>
        <item x="1804"/>
        <item x="831"/>
        <item x="1210"/>
        <item x="549"/>
        <item x="74"/>
        <item x="1321"/>
        <item x="1404"/>
        <item x="1745"/>
        <item x="1521"/>
        <item x="1617"/>
        <item x="833"/>
        <item x="966"/>
        <item x="343"/>
        <item x="447"/>
        <item x="1620"/>
        <item x="337"/>
        <item x="694"/>
        <item x="1192"/>
        <item x="169"/>
        <item x="244"/>
        <item x="1227"/>
        <item x="1615"/>
        <item x="291"/>
        <item x="28"/>
        <item x="849"/>
        <item x="988"/>
        <item x="1056"/>
        <item x="1305"/>
        <item x="1269"/>
        <item x="90"/>
        <item x="1233"/>
        <item x="240"/>
        <item x="1362"/>
        <item x="616"/>
        <item x="1223"/>
        <item x="1271"/>
        <item x="824"/>
        <item x="428"/>
        <item x="1689"/>
        <item x="729"/>
        <item x="1122"/>
        <item x="1389"/>
        <item x="555"/>
        <item x="1785"/>
        <item x="170"/>
        <item x="1595"/>
        <item x="857"/>
        <item x="318"/>
        <item x="368"/>
        <item x="1646"/>
        <item x="1066"/>
        <item x="1434"/>
        <item x="1388"/>
        <item x="1790"/>
        <item x="982"/>
        <item x="1172"/>
        <item x="722"/>
        <item x="1071"/>
        <item x="488"/>
        <item x="984"/>
        <item x="593"/>
        <item x="1073"/>
        <item x="852"/>
        <item x="36"/>
        <item x="99"/>
        <item x="1751"/>
        <item x="1282"/>
        <item x="1449"/>
        <item x="937"/>
        <item x="313"/>
        <item x="625"/>
        <item x="802"/>
        <item x="1368"/>
        <item x="404"/>
        <item x="499"/>
        <item x="1379"/>
        <item x="1550"/>
        <item x="1791"/>
        <item x="1211"/>
        <item x="1450"/>
        <item x="790"/>
        <item x="1817"/>
        <item x="1019"/>
        <item x="1284"/>
        <item x="757"/>
        <item x="715"/>
        <item x="167"/>
        <item x="959"/>
        <item x="1830"/>
        <item x="705"/>
        <item x="82"/>
        <item x="1824"/>
        <item x="886"/>
        <item x="987"/>
        <item x="149"/>
        <item x="1177"/>
        <item x="468"/>
        <item x="939"/>
        <item x="669"/>
        <item x="839"/>
        <item x="531"/>
        <item x="1091"/>
        <item x="817"/>
        <item x="1707"/>
        <item x="377"/>
        <item x="1699"/>
        <item x="483"/>
        <item x="403"/>
        <item x="1022"/>
        <item x="617"/>
        <item x="1653"/>
        <item x="951"/>
        <item x="1771"/>
        <item x="703"/>
        <item x="303"/>
        <item x="366"/>
        <item x="27"/>
        <item x="1575"/>
        <item x="1080"/>
        <item x="1602"/>
        <item x="384"/>
        <item x="1060"/>
        <item x="1377"/>
        <item x="417"/>
        <item x="487"/>
        <item x="651"/>
        <item x="1356"/>
        <item x="599"/>
        <item x="397"/>
        <item x="553"/>
        <item x="737"/>
        <item x="1430"/>
        <item x="1350"/>
        <item x="1095"/>
        <item x="1754"/>
        <item x="1015"/>
        <item x="980"/>
        <item x="1567"/>
        <item x="22"/>
        <item x="16"/>
        <item x="1310"/>
        <item x="1255"/>
        <item x="1454"/>
        <item x="1070"/>
        <item x="409"/>
        <item x="890"/>
        <item x="862"/>
        <item x="438"/>
        <item x="355"/>
        <item x="773"/>
        <item x="717"/>
        <item x="1684"/>
        <item x="198"/>
        <item x="95"/>
        <item x="803"/>
        <item x="1629"/>
        <item x="205"/>
        <item x="719"/>
        <item x="535"/>
        <item x="30"/>
        <item x="1715"/>
        <item x="1037"/>
        <item x="1770"/>
        <item x="253"/>
        <item x="1784"/>
        <item x="101"/>
        <item x="761"/>
        <item x="107"/>
        <item x="35"/>
        <item x="46"/>
        <item x="432"/>
        <item x="1088"/>
        <item x="1013"/>
        <item x="1510"/>
        <item x="195"/>
        <item x="1863"/>
        <item x="667"/>
        <item x="926"/>
        <item x="652"/>
        <item x="1353"/>
        <item x="1781"/>
        <item x="840"/>
        <item x="709"/>
        <item x="448"/>
        <item x="799"/>
        <item x="72"/>
        <item x="985"/>
        <item x="894"/>
        <item x="344"/>
        <item x="312"/>
        <item x="877"/>
        <item x="443"/>
        <item x="847"/>
        <item x="316"/>
        <item x="222"/>
        <item x="369"/>
        <item x="1847"/>
        <item x="1828"/>
        <item x="1762"/>
        <item x="1366"/>
        <item x="1408"/>
        <item x="1064"/>
        <item x="1424"/>
        <item x="1128"/>
        <item x="1265"/>
        <item x="782"/>
        <item x="1527"/>
        <item x="1702"/>
        <item x="1739"/>
        <item x="469"/>
        <item x="166"/>
        <item x="1283"/>
        <item x="884"/>
        <item x="1272"/>
        <item x="292"/>
        <item x="673"/>
        <item x="400"/>
        <item x="997"/>
        <item x="1214"/>
        <item x="110"/>
        <item x="1104"/>
        <item x="1525"/>
        <item x="1669"/>
        <item x="1697"/>
        <item x="1496"/>
        <item x="353"/>
        <item x="792"/>
        <item x="1760"/>
        <item x="274"/>
        <item x="1315"/>
        <item x="1371"/>
        <item x="1768"/>
        <item x="1324"/>
        <item x="1490"/>
        <item x="1634"/>
        <item x="772"/>
        <item x="1663"/>
        <item x="1523"/>
        <item x="1145"/>
        <item x="148"/>
        <item x="1494"/>
        <item x="963"/>
        <item x="832"/>
        <item x="1783"/>
        <item x="1316"/>
        <item x="332"/>
        <item x="1583"/>
        <item x="134"/>
        <item x="592"/>
        <item x="1107"/>
        <item x="1237"/>
        <item x="1573"/>
        <item x="102"/>
        <item x="453"/>
        <item x="1480"/>
        <item x="56"/>
        <item x="836"/>
        <item x="1465"/>
        <item x="431"/>
        <item x="1086"/>
        <item x="1343"/>
        <item x="520"/>
        <item x="724"/>
        <item x="1311"/>
        <item x="440"/>
        <item x="929"/>
        <item x="789"/>
        <item x="427"/>
        <item x="389"/>
        <item x="736"/>
        <item x="461"/>
        <item x="793"/>
        <item x="1176"/>
        <item x="6"/>
        <item x="1276"/>
        <item x="1685"/>
        <item x="346"/>
        <item x="21"/>
        <item x="845"/>
        <item x="382"/>
        <item x="23"/>
        <item x="282"/>
        <item x="649"/>
        <item x="121"/>
        <item x="578"/>
        <item x="1520"/>
        <item x="269"/>
        <item x="426"/>
        <item x="1079"/>
        <item x="1692"/>
        <item x="634"/>
        <item x="1268"/>
        <item x="1665"/>
        <item x="1457"/>
        <item x="1740"/>
        <item x="1009"/>
        <item x="1156"/>
        <item x="1822"/>
        <item x="1381"/>
        <item x="1641"/>
        <item x="696"/>
        <item x="1034"/>
        <item x="39"/>
        <item x="1511"/>
        <item x="392"/>
        <item x="814"/>
        <item x="153"/>
        <item x="1314"/>
        <item x="1728"/>
        <item x="243"/>
        <item x="1846"/>
        <item x="627"/>
        <item x="880"/>
        <item x="293"/>
        <item x="1011"/>
        <item x="723"/>
        <item x="152"/>
        <item x="200"/>
        <item x="1241"/>
        <item x="396"/>
        <item x="387"/>
        <item x="218"/>
        <item x="1277"/>
        <item x="1124"/>
        <item x="603"/>
        <item x="55"/>
        <item x="1205"/>
        <item x="1650"/>
        <item x="1154"/>
        <item x="203"/>
        <item x="955"/>
        <item x="1302"/>
        <item x="137"/>
        <item x="1541"/>
        <item x="307"/>
        <item x="78"/>
        <item x="1411"/>
        <item x="515"/>
        <item x="635"/>
        <item x="20"/>
        <item x="800"/>
        <item x="242"/>
        <item x="1221"/>
        <item x="872"/>
        <item x="784"/>
        <item x="1533"/>
        <item x="1421"/>
        <item x="866"/>
        <item x="184"/>
        <item x="1358"/>
        <item x="1"/>
        <item x="1670"/>
        <item x="1807"/>
        <item x="1334"/>
        <item x="1598"/>
        <item x="1052"/>
        <item x="1236"/>
        <item x="1717"/>
        <item x="1444"/>
        <item x="1275"/>
        <item x="116"/>
        <item x="1016"/>
        <item x="477"/>
        <item x="1213"/>
        <item x="1094"/>
        <item x="1413"/>
        <item x="1119"/>
        <item x="550"/>
        <item x="1008"/>
        <item x="1733"/>
        <item x="758"/>
        <item x="687"/>
        <item x="53"/>
        <item x="527"/>
        <item x="1570"/>
        <item x="1360"/>
        <item x="423"/>
        <item x="327"/>
        <item x="331"/>
        <item x="126"/>
        <item x="1621"/>
        <item x="986"/>
        <item x="391"/>
        <item x="1032"/>
        <item x="255"/>
        <item x="945"/>
        <item x="1300"/>
        <item x="706"/>
        <item x="1181"/>
        <item x="1303"/>
        <item x="93"/>
        <item x="665"/>
        <item x="1608"/>
        <item x="1203"/>
        <item x="1592"/>
        <item x="1462"/>
        <item x="1489"/>
        <item x="1432"/>
        <item x="829"/>
        <item x="1410"/>
        <item x="1741"/>
        <item x="1020"/>
        <item x="1096"/>
        <item x="912"/>
        <item x="893"/>
        <item x="52"/>
        <item x="1858"/>
        <item x="302"/>
        <item x="785"/>
        <item x="1103"/>
        <item x="1394"/>
        <item x="1701"/>
        <item x="556"/>
        <item x="171"/>
        <item x="597"/>
        <item x="944"/>
        <item x="1285"/>
        <item x="1606"/>
        <item x="1458"/>
        <item x="727"/>
        <item x="1668"/>
        <item x="1170"/>
        <item x="507"/>
        <item x="1769"/>
        <item x="425"/>
        <item x="109"/>
        <item x="641"/>
        <item x="990"/>
        <item x="844"/>
        <item x="1777"/>
        <item x="577"/>
        <item x="223"/>
        <item x="731"/>
        <item x="1429"/>
        <item x="1501"/>
        <item x="1058"/>
        <item x="360"/>
        <item x="1708"/>
        <item x="812"/>
        <item x="1130"/>
        <item x="476"/>
        <item x="734"/>
        <item x="117"/>
        <item x="922"/>
        <item x="246"/>
        <item x="1493"/>
        <item x="1593"/>
        <item x="1330"/>
        <item x="1222"/>
        <item x="1423"/>
        <item x="924"/>
        <item x="1797"/>
        <item x="957"/>
        <item x="135"/>
        <item x="1452"/>
        <item x="1819"/>
        <item x="1049"/>
        <item x="589"/>
        <item x="923"/>
        <item x="615"/>
        <item x="286"/>
        <item x="1440"/>
        <item x="228"/>
        <item x="536"/>
        <item x="0"/>
        <item x="1548"/>
        <item x="374"/>
        <item x="1631"/>
        <item x="1117"/>
        <item x="1581"/>
        <item x="1317"/>
        <item x="1169"/>
        <item x="1519"/>
        <item x="1419"/>
        <item x="1294"/>
        <item x="1306"/>
        <item t="default"/>
      </items>
    </pivotField>
    <pivotField numFmtId="164" showAll="0"/>
    <pivotField showAll="0"/>
    <pivotField showAll="0"/>
    <pivotField showAll="0"/>
    <pivotField numFmtId="165" showAll="0"/>
    <pivotField numFmtId="166" showAll="0"/>
    <pivotField numFmtId="1" showAll="0"/>
    <pivotField numFmtId="165" showAll="0"/>
    <pivotField numFmtId="165" showAll="0"/>
    <pivotField numFmtId="165" showAll="0"/>
    <pivotField numFmtId="165" showAll="0"/>
    <pivotField numFmtId="165"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Count of Order ID" fld="0" subtotal="count" baseField="0" baseItem="0"/>
  </dataFields>
  <formats count="4">
    <format dxfId="75">
      <pivotArea outline="0" collapsedLevelsAreSubtotals="1" fieldPosition="0"/>
    </format>
    <format dxfId="66">
      <pivotArea type="all" dataOnly="0" outline="0" fieldPosition="0"/>
    </format>
    <format dxfId="65">
      <pivotArea outline="0" collapsedLevelsAreSubtotals="1" fieldPosition="0"/>
    </format>
    <format dxfId="6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675753-7B53-4DDE-9455-6A276082F277}" name="total_quantit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12:C13" firstHeaderRow="1" firstDataRow="1" firstDataCol="0" rowPageCount="1" colPageCount="1"/>
  <pivotFields count="19">
    <pivotField showAll="0">
      <items count="1867">
        <item x="1755"/>
        <item x="1354"/>
        <item x="933"/>
        <item x="1630"/>
        <item x="601"/>
        <item x="614"/>
        <item x="1746"/>
        <item x="869"/>
        <item x="561"/>
        <item x="1509"/>
        <item x="828"/>
        <item x="229"/>
        <item x="62"/>
        <item x="141"/>
        <item x="763"/>
        <item x="2"/>
        <item x="383"/>
        <item x="1544"/>
        <item x="1299"/>
        <item x="1636"/>
        <item x="920"/>
        <item x="75"/>
        <item x="136"/>
        <item x="183"/>
        <item x="367"/>
        <item x="622"/>
        <item x="1848"/>
        <item x="406"/>
        <item x="105"/>
        <item x="463"/>
        <item x="485"/>
        <item x="1167"/>
        <item x="1560"/>
        <item x="204"/>
        <item x="590"/>
        <item x="1736"/>
        <item x="192"/>
        <item x="358"/>
        <item x="1856"/>
        <item x="898"/>
        <item x="1466"/>
        <item x="787"/>
        <item x="716"/>
        <item x="524"/>
        <item x="692"/>
        <item x="1609"/>
        <item x="1536"/>
        <item x="1199"/>
        <item x="9"/>
        <item x="618"/>
        <item x="14"/>
        <item x="1587"/>
        <item x="896"/>
        <item x="1586"/>
        <item x="1319"/>
        <item x="1328"/>
        <item x="1259"/>
        <item x="262"/>
        <item x="363"/>
        <item x="1182"/>
        <item x="675"/>
        <item x="88"/>
        <item x="569"/>
        <item x="1551"/>
        <item x="1286"/>
        <item x="1231"/>
        <item x="1569"/>
        <item x="874"/>
        <item x="224"/>
        <item x="1730"/>
        <item x="504"/>
        <item x="268"/>
        <item x="1125"/>
        <item x="765"/>
        <item x="781"/>
        <item x="1412"/>
        <item x="909"/>
        <item x="1712"/>
        <item x="1146"/>
        <item x="1445"/>
        <item x="557"/>
        <item x="682"/>
        <item x="885"/>
        <item x="361"/>
        <item x="1014"/>
        <item x="521"/>
        <item x="1558"/>
        <item x="272"/>
        <item x="1505"/>
        <item x="325"/>
        <item x="1384"/>
        <item x="1274"/>
        <item x="1729"/>
        <item x="834"/>
        <item x="889"/>
        <item x="213"/>
        <item x="1219"/>
        <item x="481"/>
        <item x="1111"/>
        <item x="1772"/>
        <item x="1345"/>
        <item x="633"/>
        <item x="1562"/>
        <item x="84"/>
        <item x="349"/>
        <item x="1714"/>
        <item x="753"/>
        <item x="517"/>
        <item x="1081"/>
        <item x="739"/>
        <item x="175"/>
        <item x="1706"/>
        <item x="1603"/>
        <item x="112"/>
        <item x="1378"/>
        <item x="1228"/>
        <item x="1693"/>
        <item x="1475"/>
        <item x="1700"/>
        <item x="506"/>
        <item x="1443"/>
        <item x="1209"/>
        <item x="1616"/>
        <item x="664"/>
        <item x="1655"/>
        <item x="1477"/>
        <item x="1138"/>
        <item x="123"/>
        <item x="647"/>
        <item x="1238"/>
        <item x="177"/>
        <item x="1129"/>
        <item x="755"/>
        <item x="1476"/>
        <item x="1260"/>
        <item x="1409"/>
        <item x="1118"/>
        <item x="746"/>
        <item x="855"/>
        <item x="1789"/>
        <item x="927"/>
        <item x="1814"/>
        <item x="188"/>
        <item x="298"/>
        <item x="519"/>
        <item x="1390"/>
        <item x="1852"/>
        <item x="594"/>
        <item x="786"/>
        <item x="1794"/>
        <item x="913"/>
        <item x="766"/>
        <item x="807"/>
        <item x="1833"/>
        <item x="129"/>
        <item x="145"/>
        <item x="1069"/>
        <item x="1207"/>
        <item x="1002"/>
        <item x="976"/>
        <item x="1295"/>
        <item x="314"/>
        <item x="956"/>
        <item x="1456"/>
        <item x="1279"/>
        <item x="688"/>
        <item x="398"/>
        <item x="1845"/>
        <item x="579"/>
        <item x="613"/>
        <item x="882"/>
        <item x="940"/>
        <item x="602"/>
        <item x="830"/>
        <item x="378"/>
        <item x="1834"/>
        <item x="1136"/>
        <item x="1795"/>
        <item x="31"/>
        <item x="1765"/>
        <item x="19"/>
        <item x="905"/>
        <item x="1610"/>
        <item x="551"/>
        <item x="644"/>
        <item x="114"/>
        <item x="636"/>
        <item x="1289"/>
        <item x="32"/>
        <item x="1397"/>
        <item x="345"/>
        <item x="1850"/>
        <item x="70"/>
        <item x="892"/>
        <item x="1196"/>
        <item x="936"/>
        <item x="92"/>
        <item x="100"/>
        <item x="600"/>
        <item x="104"/>
        <item x="1526"/>
        <item x="1045"/>
        <item x="1517"/>
        <item x="653"/>
        <item x="1513"/>
        <item x="693"/>
        <item x="595"/>
        <item x="873"/>
        <item x="1188"/>
        <item x="1109"/>
        <item x="879"/>
        <item x="544"/>
        <item x="338"/>
        <item x="475"/>
        <item x="119"/>
        <item x="915"/>
        <item x="804"/>
        <item x="45"/>
        <item x="189"/>
        <item x="354"/>
        <item x="547"/>
        <item x="876"/>
        <item x="533"/>
        <item x="702"/>
        <item x="201"/>
        <item x="608"/>
        <item x="1050"/>
        <item x="190"/>
        <item x="143"/>
        <item x="179"/>
        <item x="856"/>
        <item x="900"/>
        <item x="529"/>
        <item x="471"/>
        <item x="770"/>
        <item x="1808"/>
        <item x="97"/>
        <item x="216"/>
        <item x="24"/>
        <item x="902"/>
        <item x="1383"/>
        <item x="1372"/>
        <item x="1826"/>
        <item x="710"/>
        <item x="1725"/>
        <item x="1713"/>
        <item x="1262"/>
        <item x="735"/>
        <item x="342"/>
        <item x="1090"/>
        <item x="999"/>
        <item x="1333"/>
        <item x="1323"/>
        <item x="678"/>
        <item x="1711"/>
        <item x="620"/>
        <item x="1031"/>
        <item x="1160"/>
        <item x="1243"/>
        <item x="841"/>
        <item x="401"/>
        <item x="526"/>
        <item x="1540"/>
        <item x="690"/>
        <item x="932"/>
        <item x="1818"/>
        <item x="1266"/>
        <item x="1515"/>
        <item x="159"/>
        <item x="1537"/>
        <item x="1732"/>
        <item x="155"/>
        <item x="372"/>
        <item x="1667"/>
        <item x="895"/>
        <item x="751"/>
        <item x="197"/>
        <item x="174"/>
        <item x="1524"/>
        <item x="1055"/>
        <item x="632"/>
        <item x="1543"/>
        <item x="842"/>
        <item x="1528"/>
        <item x="1644"/>
        <item x="138"/>
        <item x="819"/>
        <item x="1415"/>
        <item x="446"/>
        <item x="1346"/>
        <item x="732"/>
        <item x="1446"/>
        <item x="1594"/>
        <item x="1773"/>
        <item x="1626"/>
        <item x="1003"/>
        <item x="300"/>
        <item x="1529"/>
        <item x="1851"/>
        <item x="455"/>
        <item x="1451"/>
        <item x="835"/>
        <item x="1849"/>
        <item x="1853"/>
        <item x="163"/>
        <item x="946"/>
        <item x="180"/>
        <item x="1479"/>
        <item x="1194"/>
        <item x="1401"/>
        <item x="707"/>
        <item x="1491"/>
        <item x="822"/>
        <item x="1327"/>
        <item x="385"/>
        <item x="502"/>
        <item x="1234"/>
        <item x="1348"/>
        <item x="1245"/>
        <item x="441"/>
        <item x="1508"/>
        <item x="1788"/>
        <item x="942"/>
        <item x="1568"/>
        <item x="1120"/>
        <item x="4"/>
        <item x="850"/>
        <item x="210"/>
        <item x="1165"/>
        <item x="376"/>
        <item x="564"/>
        <item x="1815"/>
        <item x="1628"/>
        <item x="278"/>
        <item x="1437"/>
        <item x="120"/>
        <item x="638"/>
        <item x="1643"/>
        <item x="1694"/>
        <item x="1512"/>
        <item x="971"/>
        <item x="1436"/>
        <item x="1256"/>
        <item x="1472"/>
        <item x="1727"/>
        <item x="326"/>
        <item x="1750"/>
        <item x="1301"/>
        <item x="983"/>
        <item x="1190"/>
        <item x="1153"/>
        <item x="462"/>
        <item x="778"/>
        <item x="1025"/>
        <item x="457"/>
        <item x="1690"/>
        <item x="1718"/>
        <item x="311"/>
        <item x="1657"/>
        <item x="1614"/>
        <item x="480"/>
        <item x="583"/>
        <item x="972"/>
        <item x="1097"/>
        <item x="381"/>
        <item x="305"/>
        <item x="1752"/>
        <item x="1152"/>
        <item x="47"/>
        <item x="1499"/>
        <item x="609"/>
        <item x="454"/>
        <item x="1677"/>
        <item x="1033"/>
        <item x="742"/>
        <item x="333"/>
        <item x="1698"/>
        <item x="118"/>
        <item x="340"/>
        <item x="309"/>
        <item x="1622"/>
        <item x="1405"/>
        <item x="165"/>
        <item x="1173"/>
        <item x="1171"/>
        <item x="394"/>
        <item x="1461"/>
        <item x="1101"/>
        <item x="1839"/>
        <item x="33"/>
        <item x="249"/>
        <item x="1776"/>
        <item x="574"/>
        <item x="339"/>
        <item x="580"/>
        <item x="1144"/>
        <item x="341"/>
        <item x="883"/>
        <item x="1612"/>
        <item x="458"/>
        <item x="1748"/>
        <item x="348"/>
        <item x="25"/>
        <item x="365"/>
        <item x="810"/>
        <item x="528"/>
        <item x="1062"/>
        <item x="1673"/>
        <item x="319"/>
        <item x="605"/>
        <item x="3"/>
        <item x="908"/>
        <item x="542"/>
        <item x="938"/>
        <item x="1326"/>
        <item x="1552"/>
        <item x="1206"/>
        <item x="1591"/>
        <item x="639"/>
        <item x="808"/>
        <item x="586"/>
        <item x="103"/>
        <item x="1239"/>
        <item x="1502"/>
        <item x="1447"/>
        <item x="1373"/>
        <item x="744"/>
        <item x="306"/>
        <item x="1559"/>
        <item x="558"/>
        <item x="419"/>
        <item x="754"/>
        <item x="64"/>
        <item x="496"/>
        <item x="806"/>
        <item x="974"/>
        <item x="1072"/>
        <item x="279"/>
        <item x="416"/>
        <item x="1335"/>
        <item x="851"/>
        <item x="532"/>
        <item x="771"/>
        <item x="330"/>
        <item x="566"/>
        <item x="1463"/>
        <item x="1855"/>
        <item x="1486"/>
        <item x="788"/>
        <item x="797"/>
        <item x="364"/>
        <item x="37"/>
        <item x="284"/>
        <item x="1647"/>
        <item x="127"/>
        <item x="1163"/>
        <item x="776"/>
        <item x="375"/>
        <item x="1229"/>
        <item x="1661"/>
        <item x="1100"/>
        <item x="683"/>
        <item x="1400"/>
        <item x="700"/>
        <item x="59"/>
        <item x="1843"/>
        <item x="1786"/>
        <item x="1332"/>
        <item x="1481"/>
        <item x="978"/>
        <item x="294"/>
        <item x="1469"/>
        <item x="917"/>
        <item x="811"/>
        <item x="503"/>
        <item x="1549"/>
        <item x="662"/>
        <item x="1802"/>
        <item x="661"/>
        <item x="646"/>
        <item x="1534"/>
        <item x="1439"/>
        <item x="154"/>
        <item x="1218"/>
        <item x="1561"/>
        <item x="714"/>
        <item x="1132"/>
        <item x="1313"/>
        <item x="1139"/>
        <item x="1406"/>
        <item x="1179"/>
        <item x="1148"/>
        <item x="498"/>
        <item x="697"/>
        <item x="853"/>
        <item x="846"/>
        <item x="1047"/>
        <item x="43"/>
        <item x="1638"/>
        <item x="871"/>
        <item x="1232"/>
        <item x="1159"/>
        <item x="73"/>
        <item x="323"/>
        <item x="1157"/>
        <item x="1599"/>
        <item x="777"/>
        <item x="512"/>
        <item x="509"/>
        <item x="211"/>
        <item x="321"/>
        <item x="486"/>
        <item x="301"/>
        <item x="858"/>
        <item x="347"/>
        <item x="1482"/>
        <item x="747"/>
        <item x="1253"/>
        <item x="206"/>
        <item x="490"/>
        <item x="76"/>
        <item x="157"/>
        <item x="629"/>
        <item x="818"/>
        <item x="768"/>
        <item x="733"/>
        <item x="1835"/>
        <item x="540"/>
        <item x="854"/>
        <item x="1023"/>
        <item x="643"/>
        <item x="1106"/>
        <item x="122"/>
        <item x="631"/>
        <item x="336"/>
        <item x="413"/>
        <item x="949"/>
        <item x="351"/>
        <item x="388"/>
        <item x="1743"/>
        <item x="288"/>
        <item x="402"/>
        <item x="38"/>
        <item x="161"/>
        <item x="1716"/>
        <item x="582"/>
        <item x="1516"/>
        <item x="322"/>
        <item x="1021"/>
        <item x="1506"/>
        <item x="741"/>
        <item x="1756"/>
        <item x="1865"/>
        <item x="1217"/>
        <item x="1829"/>
        <item x="546"/>
        <item x="1658"/>
        <item x="1640"/>
        <item x="15"/>
        <item x="1435"/>
        <item x="1613"/>
        <item x="54"/>
        <item x="1749"/>
        <item x="430"/>
        <item x="930"/>
        <item x="410"/>
        <item x="1720"/>
        <item x="1572"/>
        <item x="596"/>
        <item x="1267"/>
        <item x="1296"/>
        <item x="1639"/>
        <item x="451"/>
        <item x="704"/>
        <item x="231"/>
        <item x="287"/>
        <item x="1584"/>
        <item x="1395"/>
        <item x="1168"/>
        <item x="335"/>
        <item x="1742"/>
        <item x="1187"/>
        <item x="1635"/>
        <item x="439"/>
        <item x="133"/>
        <item x="680"/>
        <item x="1500"/>
        <item x="749"/>
        <item x="209"/>
        <item x="568"/>
        <item x="449"/>
        <item x="659"/>
        <item x="1860"/>
        <item x="1420"/>
        <item x="1252"/>
        <item x="961"/>
        <item x="1600"/>
        <item x="1709"/>
        <item x="598"/>
        <item x="63"/>
        <item x="572"/>
        <item x="1652"/>
        <item x="998"/>
        <item x="1542"/>
        <item x="878"/>
        <item x="992"/>
        <item x="1318"/>
        <item x="925"/>
        <item x="689"/>
        <item x="1842"/>
        <item x="1691"/>
        <item x="106"/>
        <item x="1380"/>
        <item x="637"/>
        <item x="1678"/>
        <item x="539"/>
        <item x="1601"/>
        <item x="304"/>
        <item x="58"/>
        <item x="907"/>
        <item x="1474"/>
        <item x="1704"/>
        <item x="606"/>
        <item x="87"/>
        <item x="1006"/>
        <item x="1674"/>
        <item x="267"/>
        <item x="8"/>
        <item x="1837"/>
        <item x="1174"/>
        <item x="1645"/>
        <item x="98"/>
        <item x="40"/>
        <item x="10"/>
        <item x="1320"/>
        <item x="1242"/>
        <item x="1226"/>
        <item x="459"/>
        <item x="1150"/>
        <item x="146"/>
        <item x="587"/>
        <item x="537"/>
        <item x="779"/>
        <item x="7"/>
        <item x="379"/>
        <item x="334"/>
        <item x="1825"/>
        <item x="1184"/>
        <item x="182"/>
        <item x="1387"/>
        <item x="934"/>
        <item x="1659"/>
        <item x="241"/>
        <item x="1539"/>
        <item x="1734"/>
        <item x="552"/>
        <item x="317"/>
        <item x="612"/>
        <item x="1844"/>
        <item x="185"/>
        <item x="289"/>
        <item x="328"/>
        <item x="511"/>
        <item x="1703"/>
        <item x="1589"/>
        <item x="1082"/>
        <item x="467"/>
        <item x="1431"/>
        <item x="1632"/>
        <item x="545"/>
        <item x="1407"/>
        <item x="1180"/>
        <item x="1178"/>
        <item x="263"/>
        <item x="711"/>
        <item x="1859"/>
        <item x="543"/>
        <item x="408"/>
        <item x="113"/>
        <item x="1737"/>
        <item x="236"/>
        <item x="1257"/>
        <item x="1342"/>
        <item x="290"/>
        <item x="1251"/>
        <item x="68"/>
        <item x="1862"/>
        <item x="1164"/>
        <item x="50"/>
        <item x="1331"/>
        <item x="1403"/>
        <item x="1351"/>
        <item x="1338"/>
        <item x="1364"/>
        <item x="41"/>
        <item x="219"/>
        <item x="264"/>
        <item x="1135"/>
        <item x="115"/>
        <item x="1864"/>
        <item x="66"/>
        <item x="750"/>
        <item x="1553"/>
        <item x="565"/>
        <item x="1099"/>
        <item x="299"/>
        <item x="1216"/>
        <item x="1840"/>
        <item x="1134"/>
        <item x="508"/>
        <item x="1648"/>
        <item x="642"/>
        <item x="870"/>
        <item x="1078"/>
        <item x="1288"/>
        <item x="130"/>
        <item x="1625"/>
        <item x="1738"/>
        <item x="1391"/>
        <item x="1633"/>
        <item x="1582"/>
        <item x="1590"/>
        <item x="1779"/>
        <item x="534"/>
        <item x="493"/>
        <item x="1696"/>
        <item x="748"/>
        <item x="996"/>
        <item x="1085"/>
        <item x="1126"/>
        <item x="1836"/>
        <item x="1105"/>
        <item x="160"/>
        <item x="760"/>
        <item x="217"/>
        <item x="1470"/>
        <item x="1425"/>
        <item x="1651"/>
        <item x="1792"/>
        <item x="1369"/>
        <item x="94"/>
        <item x="1195"/>
        <item x="1127"/>
        <item x="1044"/>
        <item x="1607"/>
        <item x="142"/>
        <item x="173"/>
        <item x="523"/>
        <item x="640"/>
        <item x="967"/>
        <item x="1116"/>
        <item x="1254"/>
        <item x="248"/>
        <item x="140"/>
        <item x="1861"/>
        <item x="1656"/>
        <item x="1686"/>
        <item x="1307"/>
        <item x="911"/>
        <item x="1812"/>
        <item x="352"/>
        <item x="433"/>
        <item x="630"/>
        <item x="1115"/>
        <item x="1571"/>
        <item x="1290"/>
        <item x="1605"/>
        <item x="1340"/>
        <item x="1396"/>
        <item x="1426"/>
        <item x="1036"/>
        <item x="1010"/>
        <item x="677"/>
        <item x="1240"/>
        <item x="759"/>
        <item x="1574"/>
        <item x="859"/>
        <item x="1225"/>
        <item x="421"/>
        <item x="362"/>
        <item x="276"/>
        <item x="194"/>
        <item x="1793"/>
        <item x="928"/>
        <item x="518"/>
        <item x="1538"/>
        <item x="1000"/>
        <item x="865"/>
        <item x="371"/>
        <item x="887"/>
        <item x="1796"/>
        <item x="1578"/>
        <item x="805"/>
        <item x="258"/>
        <item x="254"/>
        <item x="202"/>
        <item x="1166"/>
        <item x="848"/>
        <item x="860"/>
        <item x="96"/>
        <item x="187"/>
        <item x="1189"/>
        <item x="685"/>
        <item x="1220"/>
        <item x="910"/>
        <item x="977"/>
        <item x="158"/>
        <item x="437"/>
        <item x="541"/>
        <item x="1820"/>
        <item x="29"/>
        <item x="623"/>
        <item x="964"/>
        <item x="1805"/>
        <item x="1747"/>
        <item x="232"/>
        <item x="1114"/>
        <item x="1399"/>
        <item x="1304"/>
        <item x="1767"/>
        <item x="245"/>
        <item x="1719"/>
        <item x="497"/>
        <item x="513"/>
        <item x="1375"/>
        <item x="720"/>
        <item x="275"/>
        <item x="80"/>
        <item x="1349"/>
        <item x="610"/>
        <item x="1063"/>
        <item x="324"/>
        <item x="1664"/>
        <item x="1030"/>
        <item x="214"/>
        <item x="230"/>
        <item x="769"/>
        <item x="994"/>
        <item x="1654"/>
        <item x="1077"/>
        <item x="1004"/>
        <item x="1611"/>
        <item x="315"/>
        <item x="12"/>
        <item x="570"/>
        <item x="1787"/>
        <item x="1385"/>
        <item x="1175"/>
        <item x="1417"/>
        <item x="764"/>
        <item x="554"/>
        <item x="1027"/>
        <item x="1821"/>
        <item x="721"/>
        <item x="1065"/>
        <item x="952"/>
        <item x="42"/>
        <item x="1564"/>
        <item x="215"/>
        <item x="1854"/>
        <item x="516"/>
        <item x="69"/>
        <item x="1137"/>
        <item x="1270"/>
        <item x="491"/>
        <item x="875"/>
        <item x="1800"/>
        <item x="150"/>
        <item x="1810"/>
        <item x="296"/>
        <item x="434"/>
        <item x="660"/>
        <item x="1766"/>
        <item x="108"/>
        <item x="280"/>
        <item x="407"/>
        <item x="1215"/>
        <item x="1422"/>
        <item x="356"/>
        <item x="1666"/>
        <item x="1161"/>
        <item x="500"/>
        <item x="1087"/>
        <item x="1577"/>
        <item x="91"/>
        <item x="958"/>
        <item x="435"/>
        <item x="329"/>
        <item x="813"/>
        <item x="1365"/>
        <item x="1057"/>
        <item x="815"/>
        <item x="899"/>
        <item x="1414"/>
        <item x="762"/>
        <item x="1155"/>
        <item x="1123"/>
        <item x="1642"/>
        <item x="1162"/>
        <item x="837"/>
        <item x="1102"/>
        <item x="1832"/>
        <item x="359"/>
        <item x="277"/>
        <item x="208"/>
        <item x="1801"/>
        <item x="726"/>
        <item x="283"/>
        <item x="233"/>
        <item x="162"/>
        <item x="1726"/>
        <item x="1705"/>
        <item x="1627"/>
        <item x="1554"/>
        <item x="921"/>
        <item x="514"/>
        <item x="1341"/>
        <item x="412"/>
        <item x="745"/>
        <item x="1623"/>
        <item x="1041"/>
        <item x="444"/>
        <item x="1467"/>
        <item x="1208"/>
        <item x="611"/>
        <item x="798"/>
        <item x="139"/>
        <item x="89"/>
        <item x="1402"/>
        <item x="271"/>
        <item x="626"/>
        <item x="405"/>
        <item x="26"/>
        <item x="1278"/>
        <item x="1763"/>
        <item x="445"/>
        <item x="1806"/>
        <item x="1618"/>
        <item x="257"/>
        <item x="420"/>
        <item x="1074"/>
        <item x="1112"/>
        <item x="472"/>
        <item x="1393"/>
        <item x="1098"/>
        <item x="13"/>
        <item x="1357"/>
        <item x="645"/>
        <item x="989"/>
        <item x="1325"/>
        <item x="560"/>
        <item x="221"/>
        <item x="1758"/>
        <item x="11"/>
        <item x="935"/>
        <item x="124"/>
        <item x="881"/>
        <item x="49"/>
        <item x="186"/>
        <item x="575"/>
        <item x="525"/>
        <item x="1453"/>
        <item x="1531"/>
        <item x="863"/>
        <item x="1147"/>
        <item x="780"/>
        <item x="260"/>
        <item x="656"/>
        <item x="1061"/>
        <item x="825"/>
        <item x="1029"/>
        <item x="237"/>
        <item x="1054"/>
        <item x="573"/>
        <item x="743"/>
        <item x="691"/>
        <item x="588"/>
        <item x="1492"/>
        <item x="1110"/>
        <item x="607"/>
        <item x="1798"/>
        <item x="826"/>
        <item x="1075"/>
        <item x="1649"/>
        <item x="1067"/>
        <item x="1547"/>
        <item x="176"/>
        <item x="701"/>
        <item x="494"/>
        <item x="1183"/>
        <item x="436"/>
        <item x="1048"/>
        <item x="226"/>
        <item x="888"/>
        <item x="178"/>
        <item x="510"/>
        <item x="1428"/>
        <item x="1200"/>
        <item x="679"/>
        <item x="1359"/>
        <item x="482"/>
        <item x="1841"/>
        <item x="261"/>
        <item x="756"/>
        <item x="1046"/>
        <item x="424"/>
        <item x="1546"/>
        <item x="655"/>
        <item x="950"/>
        <item x="415"/>
        <item x="1823"/>
        <item x="1484"/>
        <item x="1473"/>
        <item x="131"/>
        <item x="1059"/>
        <item x="943"/>
        <item x="473"/>
        <item x="1370"/>
        <item x="1503"/>
        <item x="1068"/>
        <item x="991"/>
        <item x="571"/>
        <item x="484"/>
        <item x="1012"/>
        <item x="906"/>
        <item x="1312"/>
        <item x="1292"/>
        <item x="864"/>
        <item x="522"/>
        <item x="191"/>
        <item x="1495"/>
        <item x="1778"/>
        <item x="1392"/>
        <item x="492"/>
        <item x="1483"/>
        <item x="460"/>
        <item x="1624"/>
        <item x="1355"/>
        <item x="1374"/>
        <item x="954"/>
        <item x="1376"/>
        <item x="61"/>
        <item x="1721"/>
        <item x="452"/>
        <item x="474"/>
        <item x="199"/>
        <item x="44"/>
        <item x="1803"/>
        <item x="1838"/>
        <item x="239"/>
        <item x="567"/>
        <item x="128"/>
        <item x="650"/>
        <item x="562"/>
        <item x="821"/>
        <item x="1566"/>
        <item x="297"/>
        <item x="868"/>
        <item x="71"/>
        <item x="18"/>
        <item x="1478"/>
        <item x="624"/>
        <item x="125"/>
        <item x="1258"/>
        <item x="530"/>
        <item x="585"/>
        <item x="774"/>
        <item x="1235"/>
        <item x="1083"/>
        <item x="1588"/>
        <item x="563"/>
        <item x="1043"/>
        <item x="816"/>
        <item x="1026"/>
        <item x="1193"/>
        <item x="975"/>
        <item x="666"/>
        <item x="464"/>
        <item x="81"/>
        <item x="1204"/>
        <item x="712"/>
        <item x="1281"/>
        <item x="970"/>
        <item x="83"/>
        <item x="1757"/>
        <item x="1263"/>
        <item x="794"/>
        <item x="207"/>
        <item x="1799"/>
        <item x="1084"/>
        <item x="686"/>
        <item x="1522"/>
        <item x="1580"/>
        <item x="1596"/>
        <item x="725"/>
        <item x="1530"/>
        <item x="1811"/>
        <item x="1604"/>
        <item x="422"/>
        <item x="1347"/>
        <item x="265"/>
        <item x="1039"/>
        <item x="1471"/>
        <item x="156"/>
        <item x="227"/>
        <item x="147"/>
        <item x="1001"/>
        <item x="308"/>
        <item x="373"/>
        <item x="1329"/>
        <item x="1142"/>
        <item x="1197"/>
        <item x="65"/>
        <item x="1637"/>
        <item x="1337"/>
        <item x="281"/>
        <item x="1535"/>
        <item x="867"/>
        <item x="266"/>
        <item x="1723"/>
        <item x="548"/>
        <item x="767"/>
        <item x="380"/>
        <item x="247"/>
        <item x="250"/>
        <item x="713"/>
        <item x="658"/>
        <item x="34"/>
        <item x="1498"/>
        <item x="1202"/>
        <item x="386"/>
        <item x="897"/>
        <item x="576"/>
        <item x="1298"/>
        <item x="861"/>
        <item x="1518"/>
        <item x="1398"/>
        <item x="429"/>
        <item x="505"/>
        <item x="1185"/>
        <item x="1028"/>
        <item x="1441"/>
        <item x="1507"/>
        <item x="489"/>
        <item x="51"/>
        <item x="470"/>
        <item x="809"/>
        <item x="1363"/>
        <item x="151"/>
        <item x="960"/>
        <item x="67"/>
        <item x="1273"/>
        <item x="1688"/>
        <item x="838"/>
        <item x="1264"/>
        <item x="172"/>
        <item x="1108"/>
        <item x="1764"/>
        <item x="1679"/>
        <item x="17"/>
        <item x="1140"/>
        <item x="1597"/>
        <item x="111"/>
        <item x="1143"/>
        <item x="1093"/>
        <item x="1681"/>
        <item x="1248"/>
        <item x="695"/>
        <item x="86"/>
        <item x="1113"/>
        <item x="738"/>
        <item x="1040"/>
        <item x="728"/>
        <item x="1224"/>
        <item x="919"/>
        <item x="1352"/>
        <item x="295"/>
        <item x="918"/>
        <item x="1287"/>
        <item x="684"/>
        <item x="1336"/>
        <item x="584"/>
        <item x="1831"/>
        <item x="1438"/>
        <item x="1682"/>
        <item x="1427"/>
        <item x="456"/>
        <item x="953"/>
        <item x="699"/>
        <item x="48"/>
        <item x="740"/>
        <item x="414"/>
        <item x="393"/>
        <item x="995"/>
        <item x="1212"/>
        <item x="1442"/>
        <item x="57"/>
        <item x="357"/>
        <item x="1774"/>
        <item x="273"/>
        <item x="144"/>
        <item x="181"/>
        <item x="1201"/>
        <item x="1158"/>
        <item x="350"/>
        <item x="238"/>
        <item x="1344"/>
        <item x="5"/>
        <item x="796"/>
        <item x="1247"/>
        <item x="947"/>
        <item x="411"/>
        <item x="1244"/>
        <item x="310"/>
        <item x="1662"/>
        <item x="1487"/>
        <item x="931"/>
        <item x="251"/>
        <item x="981"/>
        <item x="827"/>
        <item x="1024"/>
        <item x="1488"/>
        <item x="752"/>
        <item x="1308"/>
        <item x="1297"/>
        <item x="914"/>
        <item x="1246"/>
        <item x="1464"/>
        <item x="1386"/>
        <item x="1367"/>
        <item x="1249"/>
        <item x="168"/>
        <item x="85"/>
        <item x="604"/>
        <item x="671"/>
        <item x="1687"/>
        <item x="843"/>
        <item x="668"/>
        <item x="657"/>
        <item x="670"/>
        <item x="1710"/>
        <item x="1735"/>
        <item x="1759"/>
        <item x="795"/>
        <item x="1448"/>
        <item x="399"/>
        <item x="1322"/>
        <item x="450"/>
        <item x="1816"/>
        <item x="1556"/>
        <item x="591"/>
        <item x="1293"/>
        <item x="1504"/>
        <item x="948"/>
        <item x="916"/>
        <item x="1676"/>
        <item x="1514"/>
        <item x="1005"/>
        <item x="235"/>
        <item x="1780"/>
        <item x="1485"/>
        <item x="1563"/>
        <item x="193"/>
        <item x="1291"/>
        <item x="495"/>
        <item x="708"/>
        <item x="1261"/>
        <item x="1619"/>
        <item x="1017"/>
        <item x="1731"/>
        <item x="891"/>
        <item x="1280"/>
        <item x="1671"/>
        <item x="979"/>
        <item x="801"/>
        <item x="962"/>
        <item x="1382"/>
        <item x="390"/>
        <item x="969"/>
        <item x="196"/>
        <item x="791"/>
        <item x="820"/>
        <item x="79"/>
        <item x="1565"/>
        <item x="1683"/>
        <item x="1053"/>
        <item x="1761"/>
        <item x="663"/>
        <item x="1724"/>
        <item x="465"/>
        <item x="581"/>
        <item x="621"/>
        <item x="256"/>
        <item x="1042"/>
        <item x="1133"/>
        <item x="993"/>
        <item x="1455"/>
        <item x="1809"/>
        <item x="1813"/>
        <item x="718"/>
        <item x="965"/>
        <item x="1121"/>
        <item x="1131"/>
        <item x="395"/>
        <item x="1585"/>
        <item x="730"/>
        <item x="252"/>
        <item x="132"/>
        <item x="1775"/>
        <item x="479"/>
        <item x="783"/>
        <item x="1092"/>
        <item x="1035"/>
        <item x="1857"/>
        <item x="1460"/>
        <item x="259"/>
        <item x="968"/>
        <item x="676"/>
        <item x="1051"/>
        <item x="648"/>
        <item x="1672"/>
        <item x="1722"/>
        <item x="220"/>
        <item x="1695"/>
        <item x="212"/>
        <item x="1230"/>
        <item x="270"/>
        <item x="234"/>
        <item x="1532"/>
        <item x="370"/>
        <item x="1418"/>
        <item x="1753"/>
        <item x="1186"/>
        <item x="164"/>
        <item x="681"/>
        <item x="1018"/>
        <item x="559"/>
        <item x="1680"/>
        <item x="1151"/>
        <item x="285"/>
        <item x="698"/>
        <item x="619"/>
        <item x="1660"/>
        <item x="1557"/>
        <item x="478"/>
        <item x="1827"/>
        <item x="225"/>
        <item x="973"/>
        <item x="775"/>
        <item x="1744"/>
        <item x="1250"/>
        <item x="538"/>
        <item x="320"/>
        <item x="1198"/>
        <item x="1007"/>
        <item x="60"/>
        <item x="501"/>
        <item x="1416"/>
        <item x="1433"/>
        <item x="1459"/>
        <item x="903"/>
        <item x="1191"/>
        <item x="654"/>
        <item x="904"/>
        <item x="1497"/>
        <item x="1468"/>
        <item x="1545"/>
        <item x="1555"/>
        <item x="628"/>
        <item x="1089"/>
        <item x="672"/>
        <item x="1076"/>
        <item x="442"/>
        <item x="901"/>
        <item x="418"/>
        <item x="674"/>
        <item x="77"/>
        <item x="1149"/>
        <item x="1141"/>
        <item x="466"/>
        <item x="1576"/>
        <item x="1361"/>
        <item x="1038"/>
        <item x="1339"/>
        <item x="1782"/>
        <item x="1675"/>
        <item x="1309"/>
        <item x="941"/>
        <item x="823"/>
        <item x="1579"/>
        <item x="1804"/>
        <item x="831"/>
        <item x="1210"/>
        <item x="549"/>
        <item x="74"/>
        <item x="1321"/>
        <item x="1404"/>
        <item x="1745"/>
        <item x="1521"/>
        <item x="1617"/>
        <item x="833"/>
        <item x="966"/>
        <item x="343"/>
        <item x="447"/>
        <item x="1620"/>
        <item x="337"/>
        <item x="694"/>
        <item x="1192"/>
        <item x="169"/>
        <item x="244"/>
        <item x="1227"/>
        <item x="1615"/>
        <item x="291"/>
        <item x="28"/>
        <item x="849"/>
        <item x="988"/>
        <item x="1056"/>
        <item x="1305"/>
        <item x="1269"/>
        <item x="90"/>
        <item x="1233"/>
        <item x="240"/>
        <item x="1362"/>
        <item x="616"/>
        <item x="1223"/>
        <item x="1271"/>
        <item x="824"/>
        <item x="428"/>
        <item x="1689"/>
        <item x="729"/>
        <item x="1122"/>
        <item x="1389"/>
        <item x="555"/>
        <item x="1785"/>
        <item x="170"/>
        <item x="1595"/>
        <item x="857"/>
        <item x="318"/>
        <item x="368"/>
        <item x="1646"/>
        <item x="1066"/>
        <item x="1434"/>
        <item x="1388"/>
        <item x="1790"/>
        <item x="982"/>
        <item x="1172"/>
        <item x="722"/>
        <item x="1071"/>
        <item x="488"/>
        <item x="984"/>
        <item x="593"/>
        <item x="1073"/>
        <item x="852"/>
        <item x="36"/>
        <item x="99"/>
        <item x="1751"/>
        <item x="1282"/>
        <item x="1449"/>
        <item x="937"/>
        <item x="313"/>
        <item x="625"/>
        <item x="802"/>
        <item x="1368"/>
        <item x="404"/>
        <item x="499"/>
        <item x="1379"/>
        <item x="1550"/>
        <item x="1791"/>
        <item x="1211"/>
        <item x="1450"/>
        <item x="790"/>
        <item x="1817"/>
        <item x="1019"/>
        <item x="1284"/>
        <item x="757"/>
        <item x="715"/>
        <item x="167"/>
        <item x="959"/>
        <item x="1830"/>
        <item x="705"/>
        <item x="82"/>
        <item x="1824"/>
        <item x="886"/>
        <item x="987"/>
        <item x="149"/>
        <item x="1177"/>
        <item x="468"/>
        <item x="939"/>
        <item x="669"/>
        <item x="839"/>
        <item x="531"/>
        <item x="1091"/>
        <item x="817"/>
        <item x="1707"/>
        <item x="377"/>
        <item x="1699"/>
        <item x="483"/>
        <item x="403"/>
        <item x="1022"/>
        <item x="617"/>
        <item x="1653"/>
        <item x="951"/>
        <item x="1771"/>
        <item x="703"/>
        <item x="303"/>
        <item x="366"/>
        <item x="27"/>
        <item x="1575"/>
        <item x="1080"/>
        <item x="1602"/>
        <item x="384"/>
        <item x="1060"/>
        <item x="1377"/>
        <item x="417"/>
        <item x="487"/>
        <item x="651"/>
        <item x="1356"/>
        <item x="599"/>
        <item x="397"/>
        <item x="553"/>
        <item x="737"/>
        <item x="1430"/>
        <item x="1350"/>
        <item x="1095"/>
        <item x="1754"/>
        <item x="1015"/>
        <item x="980"/>
        <item x="1567"/>
        <item x="22"/>
        <item x="16"/>
        <item x="1310"/>
        <item x="1255"/>
        <item x="1454"/>
        <item x="1070"/>
        <item x="409"/>
        <item x="890"/>
        <item x="862"/>
        <item x="438"/>
        <item x="355"/>
        <item x="773"/>
        <item x="717"/>
        <item x="1684"/>
        <item x="198"/>
        <item x="95"/>
        <item x="803"/>
        <item x="1629"/>
        <item x="205"/>
        <item x="719"/>
        <item x="535"/>
        <item x="30"/>
        <item x="1715"/>
        <item x="1037"/>
        <item x="1770"/>
        <item x="253"/>
        <item x="1784"/>
        <item x="101"/>
        <item x="761"/>
        <item x="107"/>
        <item x="35"/>
        <item x="46"/>
        <item x="432"/>
        <item x="1088"/>
        <item x="1013"/>
        <item x="1510"/>
        <item x="195"/>
        <item x="1863"/>
        <item x="667"/>
        <item x="926"/>
        <item x="652"/>
        <item x="1353"/>
        <item x="1781"/>
        <item x="840"/>
        <item x="709"/>
        <item x="448"/>
        <item x="799"/>
        <item x="72"/>
        <item x="985"/>
        <item x="894"/>
        <item x="344"/>
        <item x="312"/>
        <item x="877"/>
        <item x="443"/>
        <item x="847"/>
        <item x="316"/>
        <item x="222"/>
        <item x="369"/>
        <item x="1847"/>
        <item x="1828"/>
        <item x="1762"/>
        <item x="1366"/>
        <item x="1408"/>
        <item x="1064"/>
        <item x="1424"/>
        <item x="1128"/>
        <item x="1265"/>
        <item x="782"/>
        <item x="1527"/>
        <item x="1702"/>
        <item x="1739"/>
        <item x="469"/>
        <item x="166"/>
        <item x="1283"/>
        <item x="884"/>
        <item x="1272"/>
        <item x="292"/>
        <item x="673"/>
        <item x="400"/>
        <item x="997"/>
        <item x="1214"/>
        <item x="110"/>
        <item x="1104"/>
        <item x="1525"/>
        <item x="1669"/>
        <item x="1697"/>
        <item x="1496"/>
        <item x="353"/>
        <item x="792"/>
        <item x="1760"/>
        <item x="274"/>
        <item x="1315"/>
        <item x="1371"/>
        <item x="1768"/>
        <item x="1324"/>
        <item x="1490"/>
        <item x="1634"/>
        <item x="772"/>
        <item x="1663"/>
        <item x="1523"/>
        <item x="1145"/>
        <item x="148"/>
        <item x="1494"/>
        <item x="963"/>
        <item x="832"/>
        <item x="1783"/>
        <item x="1316"/>
        <item x="332"/>
        <item x="1583"/>
        <item x="134"/>
        <item x="592"/>
        <item x="1107"/>
        <item x="1237"/>
        <item x="1573"/>
        <item x="102"/>
        <item x="453"/>
        <item x="1480"/>
        <item x="56"/>
        <item x="836"/>
        <item x="1465"/>
        <item x="431"/>
        <item x="1086"/>
        <item x="1343"/>
        <item x="520"/>
        <item x="724"/>
        <item x="1311"/>
        <item x="440"/>
        <item x="929"/>
        <item x="789"/>
        <item x="427"/>
        <item x="389"/>
        <item x="736"/>
        <item x="461"/>
        <item x="793"/>
        <item x="1176"/>
        <item x="6"/>
        <item x="1276"/>
        <item x="1685"/>
        <item x="346"/>
        <item x="21"/>
        <item x="845"/>
        <item x="382"/>
        <item x="23"/>
        <item x="282"/>
        <item x="649"/>
        <item x="121"/>
        <item x="578"/>
        <item x="1520"/>
        <item x="269"/>
        <item x="426"/>
        <item x="1079"/>
        <item x="1692"/>
        <item x="634"/>
        <item x="1268"/>
        <item x="1665"/>
        <item x="1457"/>
        <item x="1740"/>
        <item x="1009"/>
        <item x="1156"/>
        <item x="1822"/>
        <item x="1381"/>
        <item x="1641"/>
        <item x="696"/>
        <item x="1034"/>
        <item x="39"/>
        <item x="1511"/>
        <item x="392"/>
        <item x="814"/>
        <item x="153"/>
        <item x="1314"/>
        <item x="1728"/>
        <item x="243"/>
        <item x="1846"/>
        <item x="627"/>
        <item x="880"/>
        <item x="293"/>
        <item x="1011"/>
        <item x="723"/>
        <item x="152"/>
        <item x="200"/>
        <item x="1241"/>
        <item x="396"/>
        <item x="387"/>
        <item x="218"/>
        <item x="1277"/>
        <item x="1124"/>
        <item x="603"/>
        <item x="55"/>
        <item x="1205"/>
        <item x="1650"/>
        <item x="1154"/>
        <item x="203"/>
        <item x="955"/>
        <item x="1302"/>
        <item x="137"/>
        <item x="1541"/>
        <item x="307"/>
        <item x="78"/>
        <item x="1411"/>
        <item x="515"/>
        <item x="635"/>
        <item x="20"/>
        <item x="800"/>
        <item x="242"/>
        <item x="1221"/>
        <item x="872"/>
        <item x="784"/>
        <item x="1533"/>
        <item x="1421"/>
        <item x="866"/>
        <item x="184"/>
        <item x="1358"/>
        <item x="1"/>
        <item x="1670"/>
        <item x="1807"/>
        <item x="1334"/>
        <item x="1598"/>
        <item x="1052"/>
        <item x="1236"/>
        <item x="1717"/>
        <item x="1444"/>
        <item x="1275"/>
        <item x="116"/>
        <item x="1016"/>
        <item x="477"/>
        <item x="1213"/>
        <item x="1094"/>
        <item x="1413"/>
        <item x="1119"/>
        <item x="550"/>
        <item x="1008"/>
        <item x="1733"/>
        <item x="758"/>
        <item x="687"/>
        <item x="53"/>
        <item x="527"/>
        <item x="1570"/>
        <item x="1360"/>
        <item x="423"/>
        <item x="327"/>
        <item x="331"/>
        <item x="126"/>
        <item x="1621"/>
        <item x="986"/>
        <item x="391"/>
        <item x="1032"/>
        <item x="255"/>
        <item x="945"/>
        <item x="1300"/>
        <item x="706"/>
        <item x="1181"/>
        <item x="1303"/>
        <item x="93"/>
        <item x="665"/>
        <item x="1608"/>
        <item x="1203"/>
        <item x="1592"/>
        <item x="1462"/>
        <item x="1489"/>
        <item x="1432"/>
        <item x="829"/>
        <item x="1410"/>
        <item x="1741"/>
        <item x="1020"/>
        <item x="1096"/>
        <item x="912"/>
        <item x="893"/>
        <item x="52"/>
        <item x="1858"/>
        <item x="302"/>
        <item x="785"/>
        <item x="1103"/>
        <item x="1394"/>
        <item x="1701"/>
        <item x="556"/>
        <item x="171"/>
        <item x="597"/>
        <item x="944"/>
        <item x="1285"/>
        <item x="1606"/>
        <item x="1458"/>
        <item x="727"/>
        <item x="1668"/>
        <item x="1170"/>
        <item x="507"/>
        <item x="1769"/>
        <item x="425"/>
        <item x="109"/>
        <item x="641"/>
        <item x="990"/>
        <item x="844"/>
        <item x="1777"/>
        <item x="577"/>
        <item x="223"/>
        <item x="731"/>
        <item x="1429"/>
        <item x="1501"/>
        <item x="1058"/>
        <item x="360"/>
        <item x="1708"/>
        <item x="812"/>
        <item x="1130"/>
        <item x="476"/>
        <item x="734"/>
        <item x="117"/>
        <item x="922"/>
        <item x="246"/>
        <item x="1493"/>
        <item x="1593"/>
        <item x="1330"/>
        <item x="1222"/>
        <item x="1423"/>
        <item x="924"/>
        <item x="1797"/>
        <item x="957"/>
        <item x="135"/>
        <item x="1452"/>
        <item x="1819"/>
        <item x="1049"/>
        <item x="589"/>
        <item x="923"/>
        <item x="615"/>
        <item x="286"/>
        <item x="1440"/>
        <item x="228"/>
        <item x="536"/>
        <item x="0"/>
        <item x="1548"/>
        <item x="374"/>
        <item x="1631"/>
        <item x="1117"/>
        <item x="1581"/>
        <item x="1317"/>
        <item x="1169"/>
        <item x="1519"/>
        <item x="1419"/>
        <item x="1294"/>
        <item x="1306"/>
        <item t="default"/>
      </items>
    </pivotField>
    <pivotField numFmtId="164" showAll="0"/>
    <pivotField showAll="0"/>
    <pivotField showAll="0"/>
    <pivotField showAll="0"/>
    <pivotField numFmtId="165" showAll="0"/>
    <pivotField dataField="1" numFmtId="166" showAll="0"/>
    <pivotField numFmtId="1" showAll="0"/>
    <pivotField numFmtId="165" showAll="0"/>
    <pivotField numFmtId="165" showAll="0"/>
    <pivotField numFmtId="165" showAll="0"/>
    <pivotField numFmtId="165" showAll="0"/>
    <pivotField numFmtId="165" showAll="0"/>
    <pivotField showAll="0"/>
    <pivotField axis="axisPage" showAll="0">
      <items count="6">
        <item x="2"/>
        <item x="0"/>
        <item x="4"/>
        <item x="1"/>
        <item x="3"/>
        <item t="default"/>
      </items>
    </pivotField>
    <pivotField showAll="0"/>
    <pivotField showAll="0"/>
    <pivotField showAll="0"/>
    <pivotField showAll="0" defaultSubtotal="0">
      <items count="14">
        <item x="0"/>
        <item x="1"/>
        <item x="2"/>
        <item x="3"/>
        <item x="4"/>
        <item x="5"/>
        <item x="6"/>
        <item x="7"/>
        <item x="8"/>
        <item x="9"/>
        <item x="10"/>
        <item x="11"/>
        <item x="12"/>
        <item x="13"/>
      </items>
    </pivotField>
  </pivotFields>
  <rowItems count="1">
    <i/>
  </rowItems>
  <colItems count="1">
    <i/>
  </colItems>
  <pageFields count="1">
    <pageField fld="14" item="1" hier="-1"/>
  </pageFields>
  <dataFields count="1">
    <dataField name="Sum of Quantity (kg)" fld="6" baseField="0" baseItem="0"/>
  </dataFields>
  <formats count="4">
    <format dxfId="76">
      <pivotArea outline="0" collapsedLevelsAreSubtotals="1" fieldPosition="0"/>
    </format>
    <format dxfId="63">
      <pivotArea type="all" dataOnly="0" outline="0" fieldPosition="0"/>
    </format>
    <format dxfId="62">
      <pivotArea outline="0" collapsedLevelsAreSubtotals="1" fieldPosition="0"/>
    </format>
    <format dxfId="6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1842A1-91FA-4254-9E75-9F75C996D014}" name="total_revenue" cacheId="0" applyNumberFormats="0" applyBorderFormats="0" applyFontFormats="0" applyPatternFormats="0" applyAlignmentFormats="0" applyWidthHeightFormats="1" dataCaption="Values" updatedVersion="6" minRefreshableVersion="3" preserveFormatting="0" useAutoFormatting="1" itemPrintTitles="1" createdVersion="6" indent="0" outline="1" outlineData="1" multipleFieldFilters="0">
  <location ref="A3:A4" firstHeaderRow="1" firstDataRow="1" firstDataCol="0"/>
  <pivotFields count="19">
    <pivotField showAll="0"/>
    <pivotField numFmtId="164" showAll="0"/>
    <pivotField showAll="0"/>
    <pivotField showAll="0"/>
    <pivotField showAll="0"/>
    <pivotField numFmtId="165" showAll="0"/>
    <pivotField numFmtId="166" showAll="0"/>
    <pivotField numFmtId="1" showAll="0"/>
    <pivotField numFmtId="165" showAll="0"/>
    <pivotField numFmtId="165" showAll="0"/>
    <pivotField numFmtId="165" showAll="0"/>
    <pivotField numFmtId="165" showAll="0"/>
    <pivotField dataField="1" numFmtId="165"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Grand Total" fld="12" baseField="0"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E5639F-190D-47AE-8A0A-D7C49CED6ADB}" name="order_statu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AR3:AS9" firstHeaderRow="1" firstDataRow="1" firstDataCol="1"/>
  <pivotFields count="19">
    <pivotField dataField="1" showAll="0">
      <items count="1867">
        <item x="1755"/>
        <item x="1354"/>
        <item x="933"/>
        <item x="1630"/>
        <item x="601"/>
        <item x="614"/>
        <item x="1746"/>
        <item x="869"/>
        <item x="561"/>
        <item x="1509"/>
        <item x="828"/>
        <item x="229"/>
        <item x="62"/>
        <item x="141"/>
        <item x="763"/>
        <item x="2"/>
        <item x="383"/>
        <item x="1544"/>
        <item x="1299"/>
        <item x="1636"/>
        <item x="920"/>
        <item x="75"/>
        <item x="136"/>
        <item x="183"/>
        <item x="367"/>
        <item x="622"/>
        <item x="1848"/>
        <item x="406"/>
        <item x="105"/>
        <item x="463"/>
        <item x="485"/>
        <item x="1167"/>
        <item x="1560"/>
        <item x="204"/>
        <item x="590"/>
        <item x="1736"/>
        <item x="192"/>
        <item x="358"/>
        <item x="1856"/>
        <item x="898"/>
        <item x="1466"/>
        <item x="787"/>
        <item x="716"/>
        <item x="524"/>
        <item x="692"/>
        <item x="1609"/>
        <item x="1536"/>
        <item x="1199"/>
        <item x="9"/>
        <item x="618"/>
        <item x="14"/>
        <item x="1587"/>
        <item x="896"/>
        <item x="1586"/>
        <item x="1319"/>
        <item x="1328"/>
        <item x="1259"/>
        <item x="262"/>
        <item x="363"/>
        <item x="1182"/>
        <item x="675"/>
        <item x="88"/>
        <item x="569"/>
        <item x="1551"/>
        <item x="1286"/>
        <item x="1231"/>
        <item x="1569"/>
        <item x="874"/>
        <item x="224"/>
        <item x="1730"/>
        <item x="504"/>
        <item x="268"/>
        <item x="1125"/>
        <item x="765"/>
        <item x="781"/>
        <item x="1412"/>
        <item x="909"/>
        <item x="1712"/>
        <item x="1146"/>
        <item x="1445"/>
        <item x="557"/>
        <item x="682"/>
        <item x="885"/>
        <item x="361"/>
        <item x="1014"/>
        <item x="521"/>
        <item x="1558"/>
        <item x="272"/>
        <item x="1505"/>
        <item x="325"/>
        <item x="1384"/>
        <item x="1274"/>
        <item x="1729"/>
        <item x="834"/>
        <item x="889"/>
        <item x="213"/>
        <item x="1219"/>
        <item x="481"/>
        <item x="1111"/>
        <item x="1772"/>
        <item x="1345"/>
        <item x="633"/>
        <item x="1562"/>
        <item x="84"/>
        <item x="349"/>
        <item x="1714"/>
        <item x="753"/>
        <item x="517"/>
        <item x="1081"/>
        <item x="739"/>
        <item x="175"/>
        <item x="1706"/>
        <item x="1603"/>
        <item x="112"/>
        <item x="1378"/>
        <item x="1228"/>
        <item x="1693"/>
        <item x="1475"/>
        <item x="1700"/>
        <item x="506"/>
        <item x="1443"/>
        <item x="1209"/>
        <item x="1616"/>
        <item x="664"/>
        <item x="1655"/>
        <item x="1477"/>
        <item x="1138"/>
        <item x="123"/>
        <item x="647"/>
        <item x="1238"/>
        <item x="177"/>
        <item x="1129"/>
        <item x="755"/>
        <item x="1476"/>
        <item x="1260"/>
        <item x="1409"/>
        <item x="1118"/>
        <item x="746"/>
        <item x="855"/>
        <item x="1789"/>
        <item x="927"/>
        <item x="1814"/>
        <item x="188"/>
        <item x="298"/>
        <item x="519"/>
        <item x="1390"/>
        <item x="1852"/>
        <item x="594"/>
        <item x="786"/>
        <item x="1794"/>
        <item x="913"/>
        <item x="766"/>
        <item x="807"/>
        <item x="1833"/>
        <item x="129"/>
        <item x="145"/>
        <item x="1069"/>
        <item x="1207"/>
        <item x="1002"/>
        <item x="976"/>
        <item x="1295"/>
        <item x="314"/>
        <item x="956"/>
        <item x="1456"/>
        <item x="1279"/>
        <item x="688"/>
        <item x="398"/>
        <item x="1845"/>
        <item x="579"/>
        <item x="613"/>
        <item x="882"/>
        <item x="940"/>
        <item x="602"/>
        <item x="830"/>
        <item x="378"/>
        <item x="1834"/>
        <item x="1136"/>
        <item x="1795"/>
        <item x="31"/>
        <item x="1765"/>
        <item x="19"/>
        <item x="905"/>
        <item x="1610"/>
        <item x="551"/>
        <item x="644"/>
        <item x="114"/>
        <item x="636"/>
        <item x="1289"/>
        <item x="32"/>
        <item x="1397"/>
        <item x="345"/>
        <item x="1850"/>
        <item x="70"/>
        <item x="892"/>
        <item x="1196"/>
        <item x="936"/>
        <item x="92"/>
        <item x="100"/>
        <item x="600"/>
        <item x="104"/>
        <item x="1526"/>
        <item x="1045"/>
        <item x="1517"/>
        <item x="653"/>
        <item x="1513"/>
        <item x="693"/>
        <item x="595"/>
        <item x="873"/>
        <item x="1188"/>
        <item x="1109"/>
        <item x="879"/>
        <item x="544"/>
        <item x="338"/>
        <item x="475"/>
        <item x="119"/>
        <item x="915"/>
        <item x="804"/>
        <item x="45"/>
        <item x="189"/>
        <item x="354"/>
        <item x="547"/>
        <item x="876"/>
        <item x="533"/>
        <item x="702"/>
        <item x="201"/>
        <item x="608"/>
        <item x="1050"/>
        <item x="190"/>
        <item x="143"/>
        <item x="179"/>
        <item x="856"/>
        <item x="900"/>
        <item x="529"/>
        <item x="471"/>
        <item x="770"/>
        <item x="1808"/>
        <item x="97"/>
        <item x="216"/>
        <item x="24"/>
        <item x="902"/>
        <item x="1383"/>
        <item x="1372"/>
        <item x="1826"/>
        <item x="710"/>
        <item x="1725"/>
        <item x="1713"/>
        <item x="1262"/>
        <item x="735"/>
        <item x="342"/>
        <item x="1090"/>
        <item x="999"/>
        <item x="1333"/>
        <item x="1323"/>
        <item x="678"/>
        <item x="1711"/>
        <item x="620"/>
        <item x="1031"/>
        <item x="1160"/>
        <item x="1243"/>
        <item x="841"/>
        <item x="401"/>
        <item x="526"/>
        <item x="1540"/>
        <item x="690"/>
        <item x="932"/>
        <item x="1818"/>
        <item x="1266"/>
        <item x="1515"/>
        <item x="159"/>
        <item x="1537"/>
        <item x="1732"/>
        <item x="155"/>
        <item x="372"/>
        <item x="1667"/>
        <item x="895"/>
        <item x="751"/>
        <item x="197"/>
        <item x="174"/>
        <item x="1524"/>
        <item x="1055"/>
        <item x="632"/>
        <item x="1543"/>
        <item x="842"/>
        <item x="1528"/>
        <item x="1644"/>
        <item x="138"/>
        <item x="819"/>
        <item x="1415"/>
        <item x="446"/>
        <item x="1346"/>
        <item x="732"/>
        <item x="1446"/>
        <item x="1594"/>
        <item x="1773"/>
        <item x="1626"/>
        <item x="1003"/>
        <item x="300"/>
        <item x="1529"/>
        <item x="1851"/>
        <item x="455"/>
        <item x="1451"/>
        <item x="835"/>
        <item x="1849"/>
        <item x="1853"/>
        <item x="163"/>
        <item x="946"/>
        <item x="180"/>
        <item x="1479"/>
        <item x="1194"/>
        <item x="1401"/>
        <item x="707"/>
        <item x="1491"/>
        <item x="822"/>
        <item x="1327"/>
        <item x="385"/>
        <item x="502"/>
        <item x="1234"/>
        <item x="1348"/>
        <item x="1245"/>
        <item x="441"/>
        <item x="1508"/>
        <item x="1788"/>
        <item x="942"/>
        <item x="1568"/>
        <item x="1120"/>
        <item x="4"/>
        <item x="850"/>
        <item x="210"/>
        <item x="1165"/>
        <item x="376"/>
        <item x="564"/>
        <item x="1815"/>
        <item x="1628"/>
        <item x="278"/>
        <item x="1437"/>
        <item x="120"/>
        <item x="638"/>
        <item x="1643"/>
        <item x="1694"/>
        <item x="1512"/>
        <item x="971"/>
        <item x="1436"/>
        <item x="1256"/>
        <item x="1472"/>
        <item x="1727"/>
        <item x="326"/>
        <item x="1750"/>
        <item x="1301"/>
        <item x="983"/>
        <item x="1190"/>
        <item x="1153"/>
        <item x="462"/>
        <item x="778"/>
        <item x="1025"/>
        <item x="457"/>
        <item x="1690"/>
        <item x="1718"/>
        <item x="311"/>
        <item x="1657"/>
        <item x="1614"/>
        <item x="480"/>
        <item x="583"/>
        <item x="972"/>
        <item x="1097"/>
        <item x="381"/>
        <item x="305"/>
        <item x="1752"/>
        <item x="1152"/>
        <item x="47"/>
        <item x="1499"/>
        <item x="609"/>
        <item x="454"/>
        <item x="1677"/>
        <item x="1033"/>
        <item x="742"/>
        <item x="333"/>
        <item x="1698"/>
        <item x="118"/>
        <item x="340"/>
        <item x="309"/>
        <item x="1622"/>
        <item x="1405"/>
        <item x="165"/>
        <item x="1173"/>
        <item x="1171"/>
        <item x="394"/>
        <item x="1461"/>
        <item x="1101"/>
        <item x="1839"/>
        <item x="33"/>
        <item x="249"/>
        <item x="1776"/>
        <item x="574"/>
        <item x="339"/>
        <item x="580"/>
        <item x="1144"/>
        <item x="341"/>
        <item x="883"/>
        <item x="1612"/>
        <item x="458"/>
        <item x="1748"/>
        <item x="348"/>
        <item x="25"/>
        <item x="365"/>
        <item x="810"/>
        <item x="528"/>
        <item x="1062"/>
        <item x="1673"/>
        <item x="319"/>
        <item x="605"/>
        <item x="3"/>
        <item x="908"/>
        <item x="542"/>
        <item x="938"/>
        <item x="1326"/>
        <item x="1552"/>
        <item x="1206"/>
        <item x="1591"/>
        <item x="639"/>
        <item x="808"/>
        <item x="586"/>
        <item x="103"/>
        <item x="1239"/>
        <item x="1502"/>
        <item x="1447"/>
        <item x="1373"/>
        <item x="744"/>
        <item x="306"/>
        <item x="1559"/>
        <item x="558"/>
        <item x="419"/>
        <item x="754"/>
        <item x="64"/>
        <item x="496"/>
        <item x="806"/>
        <item x="974"/>
        <item x="1072"/>
        <item x="279"/>
        <item x="416"/>
        <item x="1335"/>
        <item x="851"/>
        <item x="532"/>
        <item x="771"/>
        <item x="330"/>
        <item x="566"/>
        <item x="1463"/>
        <item x="1855"/>
        <item x="1486"/>
        <item x="788"/>
        <item x="797"/>
        <item x="364"/>
        <item x="37"/>
        <item x="284"/>
        <item x="1647"/>
        <item x="127"/>
        <item x="1163"/>
        <item x="776"/>
        <item x="375"/>
        <item x="1229"/>
        <item x="1661"/>
        <item x="1100"/>
        <item x="683"/>
        <item x="1400"/>
        <item x="700"/>
        <item x="59"/>
        <item x="1843"/>
        <item x="1786"/>
        <item x="1332"/>
        <item x="1481"/>
        <item x="978"/>
        <item x="294"/>
        <item x="1469"/>
        <item x="917"/>
        <item x="811"/>
        <item x="503"/>
        <item x="1549"/>
        <item x="662"/>
        <item x="1802"/>
        <item x="661"/>
        <item x="646"/>
        <item x="1534"/>
        <item x="1439"/>
        <item x="154"/>
        <item x="1218"/>
        <item x="1561"/>
        <item x="714"/>
        <item x="1132"/>
        <item x="1313"/>
        <item x="1139"/>
        <item x="1406"/>
        <item x="1179"/>
        <item x="1148"/>
        <item x="498"/>
        <item x="697"/>
        <item x="853"/>
        <item x="846"/>
        <item x="1047"/>
        <item x="43"/>
        <item x="1638"/>
        <item x="871"/>
        <item x="1232"/>
        <item x="1159"/>
        <item x="73"/>
        <item x="323"/>
        <item x="1157"/>
        <item x="1599"/>
        <item x="777"/>
        <item x="512"/>
        <item x="509"/>
        <item x="211"/>
        <item x="321"/>
        <item x="486"/>
        <item x="301"/>
        <item x="858"/>
        <item x="347"/>
        <item x="1482"/>
        <item x="747"/>
        <item x="1253"/>
        <item x="206"/>
        <item x="490"/>
        <item x="76"/>
        <item x="157"/>
        <item x="629"/>
        <item x="818"/>
        <item x="768"/>
        <item x="733"/>
        <item x="1835"/>
        <item x="540"/>
        <item x="854"/>
        <item x="1023"/>
        <item x="643"/>
        <item x="1106"/>
        <item x="122"/>
        <item x="631"/>
        <item x="336"/>
        <item x="413"/>
        <item x="949"/>
        <item x="351"/>
        <item x="388"/>
        <item x="1743"/>
        <item x="288"/>
        <item x="402"/>
        <item x="38"/>
        <item x="161"/>
        <item x="1716"/>
        <item x="582"/>
        <item x="1516"/>
        <item x="322"/>
        <item x="1021"/>
        <item x="1506"/>
        <item x="741"/>
        <item x="1756"/>
        <item x="1865"/>
        <item x="1217"/>
        <item x="1829"/>
        <item x="546"/>
        <item x="1658"/>
        <item x="1640"/>
        <item x="15"/>
        <item x="1435"/>
        <item x="1613"/>
        <item x="54"/>
        <item x="1749"/>
        <item x="430"/>
        <item x="930"/>
        <item x="410"/>
        <item x="1720"/>
        <item x="1572"/>
        <item x="596"/>
        <item x="1267"/>
        <item x="1296"/>
        <item x="1639"/>
        <item x="451"/>
        <item x="704"/>
        <item x="231"/>
        <item x="287"/>
        <item x="1584"/>
        <item x="1395"/>
        <item x="1168"/>
        <item x="335"/>
        <item x="1742"/>
        <item x="1187"/>
        <item x="1635"/>
        <item x="439"/>
        <item x="133"/>
        <item x="680"/>
        <item x="1500"/>
        <item x="749"/>
        <item x="209"/>
        <item x="568"/>
        <item x="449"/>
        <item x="659"/>
        <item x="1860"/>
        <item x="1420"/>
        <item x="1252"/>
        <item x="961"/>
        <item x="1600"/>
        <item x="1709"/>
        <item x="598"/>
        <item x="63"/>
        <item x="572"/>
        <item x="1652"/>
        <item x="998"/>
        <item x="1542"/>
        <item x="878"/>
        <item x="992"/>
        <item x="1318"/>
        <item x="925"/>
        <item x="689"/>
        <item x="1842"/>
        <item x="1691"/>
        <item x="106"/>
        <item x="1380"/>
        <item x="637"/>
        <item x="1678"/>
        <item x="539"/>
        <item x="1601"/>
        <item x="304"/>
        <item x="58"/>
        <item x="907"/>
        <item x="1474"/>
        <item x="1704"/>
        <item x="606"/>
        <item x="87"/>
        <item x="1006"/>
        <item x="1674"/>
        <item x="267"/>
        <item x="8"/>
        <item x="1837"/>
        <item x="1174"/>
        <item x="1645"/>
        <item x="98"/>
        <item x="40"/>
        <item x="10"/>
        <item x="1320"/>
        <item x="1242"/>
        <item x="1226"/>
        <item x="459"/>
        <item x="1150"/>
        <item x="146"/>
        <item x="587"/>
        <item x="537"/>
        <item x="779"/>
        <item x="7"/>
        <item x="379"/>
        <item x="334"/>
        <item x="1825"/>
        <item x="1184"/>
        <item x="182"/>
        <item x="1387"/>
        <item x="934"/>
        <item x="1659"/>
        <item x="241"/>
        <item x="1539"/>
        <item x="1734"/>
        <item x="552"/>
        <item x="317"/>
        <item x="612"/>
        <item x="1844"/>
        <item x="185"/>
        <item x="289"/>
        <item x="328"/>
        <item x="511"/>
        <item x="1703"/>
        <item x="1589"/>
        <item x="1082"/>
        <item x="467"/>
        <item x="1431"/>
        <item x="1632"/>
        <item x="545"/>
        <item x="1407"/>
        <item x="1180"/>
        <item x="1178"/>
        <item x="263"/>
        <item x="711"/>
        <item x="1859"/>
        <item x="543"/>
        <item x="408"/>
        <item x="113"/>
        <item x="1737"/>
        <item x="236"/>
        <item x="1257"/>
        <item x="1342"/>
        <item x="290"/>
        <item x="1251"/>
        <item x="68"/>
        <item x="1862"/>
        <item x="1164"/>
        <item x="50"/>
        <item x="1331"/>
        <item x="1403"/>
        <item x="1351"/>
        <item x="1338"/>
        <item x="1364"/>
        <item x="41"/>
        <item x="219"/>
        <item x="264"/>
        <item x="1135"/>
        <item x="115"/>
        <item x="1864"/>
        <item x="66"/>
        <item x="750"/>
        <item x="1553"/>
        <item x="565"/>
        <item x="1099"/>
        <item x="299"/>
        <item x="1216"/>
        <item x="1840"/>
        <item x="1134"/>
        <item x="508"/>
        <item x="1648"/>
        <item x="642"/>
        <item x="870"/>
        <item x="1078"/>
        <item x="1288"/>
        <item x="130"/>
        <item x="1625"/>
        <item x="1738"/>
        <item x="1391"/>
        <item x="1633"/>
        <item x="1582"/>
        <item x="1590"/>
        <item x="1779"/>
        <item x="534"/>
        <item x="493"/>
        <item x="1696"/>
        <item x="748"/>
        <item x="996"/>
        <item x="1085"/>
        <item x="1126"/>
        <item x="1836"/>
        <item x="1105"/>
        <item x="160"/>
        <item x="760"/>
        <item x="217"/>
        <item x="1470"/>
        <item x="1425"/>
        <item x="1651"/>
        <item x="1792"/>
        <item x="1369"/>
        <item x="94"/>
        <item x="1195"/>
        <item x="1127"/>
        <item x="1044"/>
        <item x="1607"/>
        <item x="142"/>
        <item x="173"/>
        <item x="523"/>
        <item x="640"/>
        <item x="967"/>
        <item x="1116"/>
        <item x="1254"/>
        <item x="248"/>
        <item x="140"/>
        <item x="1861"/>
        <item x="1656"/>
        <item x="1686"/>
        <item x="1307"/>
        <item x="911"/>
        <item x="1812"/>
        <item x="352"/>
        <item x="433"/>
        <item x="630"/>
        <item x="1115"/>
        <item x="1571"/>
        <item x="1290"/>
        <item x="1605"/>
        <item x="1340"/>
        <item x="1396"/>
        <item x="1426"/>
        <item x="1036"/>
        <item x="1010"/>
        <item x="677"/>
        <item x="1240"/>
        <item x="759"/>
        <item x="1574"/>
        <item x="859"/>
        <item x="1225"/>
        <item x="421"/>
        <item x="362"/>
        <item x="276"/>
        <item x="194"/>
        <item x="1793"/>
        <item x="928"/>
        <item x="518"/>
        <item x="1538"/>
        <item x="1000"/>
        <item x="865"/>
        <item x="371"/>
        <item x="887"/>
        <item x="1796"/>
        <item x="1578"/>
        <item x="805"/>
        <item x="258"/>
        <item x="254"/>
        <item x="202"/>
        <item x="1166"/>
        <item x="848"/>
        <item x="860"/>
        <item x="96"/>
        <item x="187"/>
        <item x="1189"/>
        <item x="685"/>
        <item x="1220"/>
        <item x="910"/>
        <item x="977"/>
        <item x="158"/>
        <item x="437"/>
        <item x="541"/>
        <item x="1820"/>
        <item x="29"/>
        <item x="623"/>
        <item x="964"/>
        <item x="1805"/>
        <item x="1747"/>
        <item x="232"/>
        <item x="1114"/>
        <item x="1399"/>
        <item x="1304"/>
        <item x="1767"/>
        <item x="245"/>
        <item x="1719"/>
        <item x="497"/>
        <item x="513"/>
        <item x="1375"/>
        <item x="720"/>
        <item x="275"/>
        <item x="80"/>
        <item x="1349"/>
        <item x="610"/>
        <item x="1063"/>
        <item x="324"/>
        <item x="1664"/>
        <item x="1030"/>
        <item x="214"/>
        <item x="230"/>
        <item x="769"/>
        <item x="994"/>
        <item x="1654"/>
        <item x="1077"/>
        <item x="1004"/>
        <item x="1611"/>
        <item x="315"/>
        <item x="12"/>
        <item x="570"/>
        <item x="1787"/>
        <item x="1385"/>
        <item x="1175"/>
        <item x="1417"/>
        <item x="764"/>
        <item x="554"/>
        <item x="1027"/>
        <item x="1821"/>
        <item x="721"/>
        <item x="1065"/>
        <item x="952"/>
        <item x="42"/>
        <item x="1564"/>
        <item x="215"/>
        <item x="1854"/>
        <item x="516"/>
        <item x="69"/>
        <item x="1137"/>
        <item x="1270"/>
        <item x="491"/>
        <item x="875"/>
        <item x="1800"/>
        <item x="150"/>
        <item x="1810"/>
        <item x="296"/>
        <item x="434"/>
        <item x="660"/>
        <item x="1766"/>
        <item x="108"/>
        <item x="280"/>
        <item x="407"/>
        <item x="1215"/>
        <item x="1422"/>
        <item x="356"/>
        <item x="1666"/>
        <item x="1161"/>
        <item x="500"/>
        <item x="1087"/>
        <item x="1577"/>
        <item x="91"/>
        <item x="958"/>
        <item x="435"/>
        <item x="329"/>
        <item x="813"/>
        <item x="1365"/>
        <item x="1057"/>
        <item x="815"/>
        <item x="899"/>
        <item x="1414"/>
        <item x="762"/>
        <item x="1155"/>
        <item x="1123"/>
        <item x="1642"/>
        <item x="1162"/>
        <item x="837"/>
        <item x="1102"/>
        <item x="1832"/>
        <item x="359"/>
        <item x="277"/>
        <item x="208"/>
        <item x="1801"/>
        <item x="726"/>
        <item x="283"/>
        <item x="233"/>
        <item x="162"/>
        <item x="1726"/>
        <item x="1705"/>
        <item x="1627"/>
        <item x="1554"/>
        <item x="921"/>
        <item x="514"/>
        <item x="1341"/>
        <item x="412"/>
        <item x="745"/>
        <item x="1623"/>
        <item x="1041"/>
        <item x="444"/>
        <item x="1467"/>
        <item x="1208"/>
        <item x="611"/>
        <item x="798"/>
        <item x="139"/>
        <item x="89"/>
        <item x="1402"/>
        <item x="271"/>
        <item x="626"/>
        <item x="405"/>
        <item x="26"/>
        <item x="1278"/>
        <item x="1763"/>
        <item x="445"/>
        <item x="1806"/>
        <item x="1618"/>
        <item x="257"/>
        <item x="420"/>
        <item x="1074"/>
        <item x="1112"/>
        <item x="472"/>
        <item x="1393"/>
        <item x="1098"/>
        <item x="13"/>
        <item x="1357"/>
        <item x="645"/>
        <item x="989"/>
        <item x="1325"/>
        <item x="560"/>
        <item x="221"/>
        <item x="1758"/>
        <item x="11"/>
        <item x="935"/>
        <item x="124"/>
        <item x="881"/>
        <item x="49"/>
        <item x="186"/>
        <item x="575"/>
        <item x="525"/>
        <item x="1453"/>
        <item x="1531"/>
        <item x="863"/>
        <item x="1147"/>
        <item x="780"/>
        <item x="260"/>
        <item x="656"/>
        <item x="1061"/>
        <item x="825"/>
        <item x="1029"/>
        <item x="237"/>
        <item x="1054"/>
        <item x="573"/>
        <item x="743"/>
        <item x="691"/>
        <item x="588"/>
        <item x="1492"/>
        <item x="1110"/>
        <item x="607"/>
        <item x="1798"/>
        <item x="826"/>
        <item x="1075"/>
        <item x="1649"/>
        <item x="1067"/>
        <item x="1547"/>
        <item x="176"/>
        <item x="701"/>
        <item x="494"/>
        <item x="1183"/>
        <item x="436"/>
        <item x="1048"/>
        <item x="226"/>
        <item x="888"/>
        <item x="178"/>
        <item x="510"/>
        <item x="1428"/>
        <item x="1200"/>
        <item x="679"/>
        <item x="1359"/>
        <item x="482"/>
        <item x="1841"/>
        <item x="261"/>
        <item x="756"/>
        <item x="1046"/>
        <item x="424"/>
        <item x="1546"/>
        <item x="655"/>
        <item x="950"/>
        <item x="415"/>
        <item x="1823"/>
        <item x="1484"/>
        <item x="1473"/>
        <item x="131"/>
        <item x="1059"/>
        <item x="943"/>
        <item x="473"/>
        <item x="1370"/>
        <item x="1503"/>
        <item x="1068"/>
        <item x="991"/>
        <item x="571"/>
        <item x="484"/>
        <item x="1012"/>
        <item x="906"/>
        <item x="1312"/>
        <item x="1292"/>
        <item x="864"/>
        <item x="522"/>
        <item x="191"/>
        <item x="1495"/>
        <item x="1778"/>
        <item x="1392"/>
        <item x="492"/>
        <item x="1483"/>
        <item x="460"/>
        <item x="1624"/>
        <item x="1355"/>
        <item x="1374"/>
        <item x="954"/>
        <item x="1376"/>
        <item x="61"/>
        <item x="1721"/>
        <item x="452"/>
        <item x="474"/>
        <item x="199"/>
        <item x="44"/>
        <item x="1803"/>
        <item x="1838"/>
        <item x="239"/>
        <item x="567"/>
        <item x="128"/>
        <item x="650"/>
        <item x="562"/>
        <item x="821"/>
        <item x="1566"/>
        <item x="297"/>
        <item x="868"/>
        <item x="71"/>
        <item x="18"/>
        <item x="1478"/>
        <item x="624"/>
        <item x="125"/>
        <item x="1258"/>
        <item x="530"/>
        <item x="585"/>
        <item x="774"/>
        <item x="1235"/>
        <item x="1083"/>
        <item x="1588"/>
        <item x="563"/>
        <item x="1043"/>
        <item x="816"/>
        <item x="1026"/>
        <item x="1193"/>
        <item x="975"/>
        <item x="666"/>
        <item x="464"/>
        <item x="81"/>
        <item x="1204"/>
        <item x="712"/>
        <item x="1281"/>
        <item x="970"/>
        <item x="83"/>
        <item x="1757"/>
        <item x="1263"/>
        <item x="794"/>
        <item x="207"/>
        <item x="1799"/>
        <item x="1084"/>
        <item x="686"/>
        <item x="1522"/>
        <item x="1580"/>
        <item x="1596"/>
        <item x="725"/>
        <item x="1530"/>
        <item x="1811"/>
        <item x="1604"/>
        <item x="422"/>
        <item x="1347"/>
        <item x="265"/>
        <item x="1039"/>
        <item x="1471"/>
        <item x="156"/>
        <item x="227"/>
        <item x="147"/>
        <item x="1001"/>
        <item x="308"/>
        <item x="373"/>
        <item x="1329"/>
        <item x="1142"/>
        <item x="1197"/>
        <item x="65"/>
        <item x="1637"/>
        <item x="1337"/>
        <item x="281"/>
        <item x="1535"/>
        <item x="867"/>
        <item x="266"/>
        <item x="1723"/>
        <item x="548"/>
        <item x="767"/>
        <item x="380"/>
        <item x="247"/>
        <item x="250"/>
        <item x="713"/>
        <item x="658"/>
        <item x="34"/>
        <item x="1498"/>
        <item x="1202"/>
        <item x="386"/>
        <item x="897"/>
        <item x="576"/>
        <item x="1298"/>
        <item x="861"/>
        <item x="1518"/>
        <item x="1398"/>
        <item x="429"/>
        <item x="505"/>
        <item x="1185"/>
        <item x="1028"/>
        <item x="1441"/>
        <item x="1507"/>
        <item x="489"/>
        <item x="51"/>
        <item x="470"/>
        <item x="809"/>
        <item x="1363"/>
        <item x="151"/>
        <item x="960"/>
        <item x="67"/>
        <item x="1273"/>
        <item x="1688"/>
        <item x="838"/>
        <item x="1264"/>
        <item x="172"/>
        <item x="1108"/>
        <item x="1764"/>
        <item x="1679"/>
        <item x="17"/>
        <item x="1140"/>
        <item x="1597"/>
        <item x="111"/>
        <item x="1143"/>
        <item x="1093"/>
        <item x="1681"/>
        <item x="1248"/>
        <item x="695"/>
        <item x="86"/>
        <item x="1113"/>
        <item x="738"/>
        <item x="1040"/>
        <item x="728"/>
        <item x="1224"/>
        <item x="919"/>
        <item x="1352"/>
        <item x="295"/>
        <item x="918"/>
        <item x="1287"/>
        <item x="684"/>
        <item x="1336"/>
        <item x="584"/>
        <item x="1831"/>
        <item x="1438"/>
        <item x="1682"/>
        <item x="1427"/>
        <item x="456"/>
        <item x="953"/>
        <item x="699"/>
        <item x="48"/>
        <item x="740"/>
        <item x="414"/>
        <item x="393"/>
        <item x="995"/>
        <item x="1212"/>
        <item x="1442"/>
        <item x="57"/>
        <item x="357"/>
        <item x="1774"/>
        <item x="273"/>
        <item x="144"/>
        <item x="181"/>
        <item x="1201"/>
        <item x="1158"/>
        <item x="350"/>
        <item x="238"/>
        <item x="1344"/>
        <item x="5"/>
        <item x="796"/>
        <item x="1247"/>
        <item x="947"/>
        <item x="411"/>
        <item x="1244"/>
        <item x="310"/>
        <item x="1662"/>
        <item x="1487"/>
        <item x="931"/>
        <item x="251"/>
        <item x="981"/>
        <item x="827"/>
        <item x="1024"/>
        <item x="1488"/>
        <item x="752"/>
        <item x="1308"/>
        <item x="1297"/>
        <item x="914"/>
        <item x="1246"/>
        <item x="1464"/>
        <item x="1386"/>
        <item x="1367"/>
        <item x="1249"/>
        <item x="168"/>
        <item x="85"/>
        <item x="604"/>
        <item x="671"/>
        <item x="1687"/>
        <item x="843"/>
        <item x="668"/>
        <item x="657"/>
        <item x="670"/>
        <item x="1710"/>
        <item x="1735"/>
        <item x="1759"/>
        <item x="795"/>
        <item x="1448"/>
        <item x="399"/>
        <item x="1322"/>
        <item x="450"/>
        <item x="1816"/>
        <item x="1556"/>
        <item x="591"/>
        <item x="1293"/>
        <item x="1504"/>
        <item x="948"/>
        <item x="916"/>
        <item x="1676"/>
        <item x="1514"/>
        <item x="1005"/>
        <item x="235"/>
        <item x="1780"/>
        <item x="1485"/>
        <item x="1563"/>
        <item x="193"/>
        <item x="1291"/>
        <item x="495"/>
        <item x="708"/>
        <item x="1261"/>
        <item x="1619"/>
        <item x="1017"/>
        <item x="1731"/>
        <item x="891"/>
        <item x="1280"/>
        <item x="1671"/>
        <item x="979"/>
        <item x="801"/>
        <item x="962"/>
        <item x="1382"/>
        <item x="390"/>
        <item x="969"/>
        <item x="196"/>
        <item x="791"/>
        <item x="820"/>
        <item x="79"/>
        <item x="1565"/>
        <item x="1683"/>
        <item x="1053"/>
        <item x="1761"/>
        <item x="663"/>
        <item x="1724"/>
        <item x="465"/>
        <item x="581"/>
        <item x="621"/>
        <item x="256"/>
        <item x="1042"/>
        <item x="1133"/>
        <item x="993"/>
        <item x="1455"/>
        <item x="1809"/>
        <item x="1813"/>
        <item x="718"/>
        <item x="965"/>
        <item x="1121"/>
        <item x="1131"/>
        <item x="395"/>
        <item x="1585"/>
        <item x="730"/>
        <item x="252"/>
        <item x="132"/>
        <item x="1775"/>
        <item x="479"/>
        <item x="783"/>
        <item x="1092"/>
        <item x="1035"/>
        <item x="1857"/>
        <item x="1460"/>
        <item x="259"/>
        <item x="968"/>
        <item x="676"/>
        <item x="1051"/>
        <item x="648"/>
        <item x="1672"/>
        <item x="1722"/>
        <item x="220"/>
        <item x="1695"/>
        <item x="212"/>
        <item x="1230"/>
        <item x="270"/>
        <item x="234"/>
        <item x="1532"/>
        <item x="370"/>
        <item x="1418"/>
        <item x="1753"/>
        <item x="1186"/>
        <item x="164"/>
        <item x="681"/>
        <item x="1018"/>
        <item x="559"/>
        <item x="1680"/>
        <item x="1151"/>
        <item x="285"/>
        <item x="698"/>
        <item x="619"/>
        <item x="1660"/>
        <item x="1557"/>
        <item x="478"/>
        <item x="1827"/>
        <item x="225"/>
        <item x="973"/>
        <item x="775"/>
        <item x="1744"/>
        <item x="1250"/>
        <item x="538"/>
        <item x="320"/>
        <item x="1198"/>
        <item x="1007"/>
        <item x="60"/>
        <item x="501"/>
        <item x="1416"/>
        <item x="1433"/>
        <item x="1459"/>
        <item x="903"/>
        <item x="1191"/>
        <item x="654"/>
        <item x="904"/>
        <item x="1497"/>
        <item x="1468"/>
        <item x="1545"/>
        <item x="1555"/>
        <item x="628"/>
        <item x="1089"/>
        <item x="672"/>
        <item x="1076"/>
        <item x="442"/>
        <item x="901"/>
        <item x="418"/>
        <item x="674"/>
        <item x="77"/>
        <item x="1149"/>
        <item x="1141"/>
        <item x="466"/>
        <item x="1576"/>
        <item x="1361"/>
        <item x="1038"/>
        <item x="1339"/>
        <item x="1782"/>
        <item x="1675"/>
        <item x="1309"/>
        <item x="941"/>
        <item x="823"/>
        <item x="1579"/>
        <item x="1804"/>
        <item x="831"/>
        <item x="1210"/>
        <item x="549"/>
        <item x="74"/>
        <item x="1321"/>
        <item x="1404"/>
        <item x="1745"/>
        <item x="1521"/>
        <item x="1617"/>
        <item x="833"/>
        <item x="966"/>
        <item x="343"/>
        <item x="447"/>
        <item x="1620"/>
        <item x="337"/>
        <item x="694"/>
        <item x="1192"/>
        <item x="169"/>
        <item x="244"/>
        <item x="1227"/>
        <item x="1615"/>
        <item x="291"/>
        <item x="28"/>
        <item x="849"/>
        <item x="988"/>
        <item x="1056"/>
        <item x="1305"/>
        <item x="1269"/>
        <item x="90"/>
        <item x="1233"/>
        <item x="240"/>
        <item x="1362"/>
        <item x="616"/>
        <item x="1223"/>
        <item x="1271"/>
        <item x="824"/>
        <item x="428"/>
        <item x="1689"/>
        <item x="729"/>
        <item x="1122"/>
        <item x="1389"/>
        <item x="555"/>
        <item x="1785"/>
        <item x="170"/>
        <item x="1595"/>
        <item x="857"/>
        <item x="318"/>
        <item x="368"/>
        <item x="1646"/>
        <item x="1066"/>
        <item x="1434"/>
        <item x="1388"/>
        <item x="1790"/>
        <item x="982"/>
        <item x="1172"/>
        <item x="722"/>
        <item x="1071"/>
        <item x="488"/>
        <item x="984"/>
        <item x="593"/>
        <item x="1073"/>
        <item x="852"/>
        <item x="36"/>
        <item x="99"/>
        <item x="1751"/>
        <item x="1282"/>
        <item x="1449"/>
        <item x="937"/>
        <item x="313"/>
        <item x="625"/>
        <item x="802"/>
        <item x="1368"/>
        <item x="404"/>
        <item x="499"/>
        <item x="1379"/>
        <item x="1550"/>
        <item x="1791"/>
        <item x="1211"/>
        <item x="1450"/>
        <item x="790"/>
        <item x="1817"/>
        <item x="1019"/>
        <item x="1284"/>
        <item x="757"/>
        <item x="715"/>
        <item x="167"/>
        <item x="959"/>
        <item x="1830"/>
        <item x="705"/>
        <item x="82"/>
        <item x="1824"/>
        <item x="886"/>
        <item x="987"/>
        <item x="149"/>
        <item x="1177"/>
        <item x="468"/>
        <item x="939"/>
        <item x="669"/>
        <item x="839"/>
        <item x="531"/>
        <item x="1091"/>
        <item x="817"/>
        <item x="1707"/>
        <item x="377"/>
        <item x="1699"/>
        <item x="483"/>
        <item x="403"/>
        <item x="1022"/>
        <item x="617"/>
        <item x="1653"/>
        <item x="951"/>
        <item x="1771"/>
        <item x="703"/>
        <item x="303"/>
        <item x="366"/>
        <item x="27"/>
        <item x="1575"/>
        <item x="1080"/>
        <item x="1602"/>
        <item x="384"/>
        <item x="1060"/>
        <item x="1377"/>
        <item x="417"/>
        <item x="487"/>
        <item x="651"/>
        <item x="1356"/>
        <item x="599"/>
        <item x="397"/>
        <item x="553"/>
        <item x="737"/>
        <item x="1430"/>
        <item x="1350"/>
        <item x="1095"/>
        <item x="1754"/>
        <item x="1015"/>
        <item x="980"/>
        <item x="1567"/>
        <item x="22"/>
        <item x="16"/>
        <item x="1310"/>
        <item x="1255"/>
        <item x="1454"/>
        <item x="1070"/>
        <item x="409"/>
        <item x="890"/>
        <item x="862"/>
        <item x="438"/>
        <item x="355"/>
        <item x="773"/>
        <item x="717"/>
        <item x="1684"/>
        <item x="198"/>
        <item x="95"/>
        <item x="803"/>
        <item x="1629"/>
        <item x="205"/>
        <item x="719"/>
        <item x="535"/>
        <item x="30"/>
        <item x="1715"/>
        <item x="1037"/>
        <item x="1770"/>
        <item x="253"/>
        <item x="1784"/>
        <item x="101"/>
        <item x="761"/>
        <item x="107"/>
        <item x="35"/>
        <item x="46"/>
        <item x="432"/>
        <item x="1088"/>
        <item x="1013"/>
        <item x="1510"/>
        <item x="195"/>
        <item x="1863"/>
        <item x="667"/>
        <item x="926"/>
        <item x="652"/>
        <item x="1353"/>
        <item x="1781"/>
        <item x="840"/>
        <item x="709"/>
        <item x="448"/>
        <item x="799"/>
        <item x="72"/>
        <item x="985"/>
        <item x="894"/>
        <item x="344"/>
        <item x="312"/>
        <item x="877"/>
        <item x="443"/>
        <item x="847"/>
        <item x="316"/>
        <item x="222"/>
        <item x="369"/>
        <item x="1847"/>
        <item x="1828"/>
        <item x="1762"/>
        <item x="1366"/>
        <item x="1408"/>
        <item x="1064"/>
        <item x="1424"/>
        <item x="1128"/>
        <item x="1265"/>
        <item x="782"/>
        <item x="1527"/>
        <item x="1702"/>
        <item x="1739"/>
        <item x="469"/>
        <item x="166"/>
        <item x="1283"/>
        <item x="884"/>
        <item x="1272"/>
        <item x="292"/>
        <item x="673"/>
        <item x="400"/>
        <item x="997"/>
        <item x="1214"/>
        <item x="110"/>
        <item x="1104"/>
        <item x="1525"/>
        <item x="1669"/>
        <item x="1697"/>
        <item x="1496"/>
        <item x="353"/>
        <item x="792"/>
        <item x="1760"/>
        <item x="274"/>
        <item x="1315"/>
        <item x="1371"/>
        <item x="1768"/>
        <item x="1324"/>
        <item x="1490"/>
        <item x="1634"/>
        <item x="772"/>
        <item x="1663"/>
        <item x="1523"/>
        <item x="1145"/>
        <item x="148"/>
        <item x="1494"/>
        <item x="963"/>
        <item x="832"/>
        <item x="1783"/>
        <item x="1316"/>
        <item x="332"/>
        <item x="1583"/>
        <item x="134"/>
        <item x="592"/>
        <item x="1107"/>
        <item x="1237"/>
        <item x="1573"/>
        <item x="102"/>
        <item x="453"/>
        <item x="1480"/>
        <item x="56"/>
        <item x="836"/>
        <item x="1465"/>
        <item x="431"/>
        <item x="1086"/>
        <item x="1343"/>
        <item x="520"/>
        <item x="724"/>
        <item x="1311"/>
        <item x="440"/>
        <item x="929"/>
        <item x="789"/>
        <item x="427"/>
        <item x="389"/>
        <item x="736"/>
        <item x="461"/>
        <item x="793"/>
        <item x="1176"/>
        <item x="6"/>
        <item x="1276"/>
        <item x="1685"/>
        <item x="346"/>
        <item x="21"/>
        <item x="845"/>
        <item x="382"/>
        <item x="23"/>
        <item x="282"/>
        <item x="649"/>
        <item x="121"/>
        <item x="578"/>
        <item x="1520"/>
        <item x="269"/>
        <item x="426"/>
        <item x="1079"/>
        <item x="1692"/>
        <item x="634"/>
        <item x="1268"/>
        <item x="1665"/>
        <item x="1457"/>
        <item x="1740"/>
        <item x="1009"/>
        <item x="1156"/>
        <item x="1822"/>
        <item x="1381"/>
        <item x="1641"/>
        <item x="696"/>
        <item x="1034"/>
        <item x="39"/>
        <item x="1511"/>
        <item x="392"/>
        <item x="814"/>
        <item x="153"/>
        <item x="1314"/>
        <item x="1728"/>
        <item x="243"/>
        <item x="1846"/>
        <item x="627"/>
        <item x="880"/>
        <item x="293"/>
        <item x="1011"/>
        <item x="723"/>
        <item x="152"/>
        <item x="200"/>
        <item x="1241"/>
        <item x="396"/>
        <item x="387"/>
        <item x="218"/>
        <item x="1277"/>
        <item x="1124"/>
        <item x="603"/>
        <item x="55"/>
        <item x="1205"/>
        <item x="1650"/>
        <item x="1154"/>
        <item x="203"/>
        <item x="955"/>
        <item x="1302"/>
        <item x="137"/>
        <item x="1541"/>
        <item x="307"/>
        <item x="78"/>
        <item x="1411"/>
        <item x="515"/>
        <item x="635"/>
        <item x="20"/>
        <item x="800"/>
        <item x="242"/>
        <item x="1221"/>
        <item x="872"/>
        <item x="784"/>
        <item x="1533"/>
        <item x="1421"/>
        <item x="866"/>
        <item x="184"/>
        <item x="1358"/>
        <item x="1"/>
        <item x="1670"/>
        <item x="1807"/>
        <item x="1334"/>
        <item x="1598"/>
        <item x="1052"/>
        <item x="1236"/>
        <item x="1717"/>
        <item x="1444"/>
        <item x="1275"/>
        <item x="116"/>
        <item x="1016"/>
        <item x="477"/>
        <item x="1213"/>
        <item x="1094"/>
        <item x="1413"/>
        <item x="1119"/>
        <item x="550"/>
        <item x="1008"/>
        <item x="1733"/>
        <item x="758"/>
        <item x="687"/>
        <item x="53"/>
        <item x="527"/>
        <item x="1570"/>
        <item x="1360"/>
        <item x="423"/>
        <item x="327"/>
        <item x="331"/>
        <item x="126"/>
        <item x="1621"/>
        <item x="986"/>
        <item x="391"/>
        <item x="1032"/>
        <item x="255"/>
        <item x="945"/>
        <item x="1300"/>
        <item x="706"/>
        <item x="1181"/>
        <item x="1303"/>
        <item x="93"/>
        <item x="665"/>
        <item x="1608"/>
        <item x="1203"/>
        <item x="1592"/>
        <item x="1462"/>
        <item x="1489"/>
        <item x="1432"/>
        <item x="829"/>
        <item x="1410"/>
        <item x="1741"/>
        <item x="1020"/>
        <item x="1096"/>
        <item x="912"/>
        <item x="893"/>
        <item x="52"/>
        <item x="1858"/>
        <item x="302"/>
        <item x="785"/>
        <item x="1103"/>
        <item x="1394"/>
        <item x="1701"/>
        <item x="556"/>
        <item x="171"/>
        <item x="597"/>
        <item x="944"/>
        <item x="1285"/>
        <item x="1606"/>
        <item x="1458"/>
        <item x="727"/>
        <item x="1668"/>
        <item x="1170"/>
        <item x="507"/>
        <item x="1769"/>
        <item x="425"/>
        <item x="109"/>
        <item x="641"/>
        <item x="990"/>
        <item x="844"/>
        <item x="1777"/>
        <item x="577"/>
        <item x="223"/>
        <item x="731"/>
        <item x="1429"/>
        <item x="1501"/>
        <item x="1058"/>
        <item x="360"/>
        <item x="1708"/>
        <item x="812"/>
        <item x="1130"/>
        <item x="476"/>
        <item x="734"/>
        <item x="117"/>
        <item x="922"/>
        <item x="246"/>
        <item x="1493"/>
        <item x="1593"/>
        <item x="1330"/>
        <item x="1222"/>
        <item x="1423"/>
        <item x="924"/>
        <item x="1797"/>
        <item x="957"/>
        <item x="135"/>
        <item x="1452"/>
        <item x="1819"/>
        <item x="1049"/>
        <item x="589"/>
        <item x="923"/>
        <item x="615"/>
        <item x="286"/>
        <item x="1440"/>
        <item x="228"/>
        <item x="536"/>
        <item x="0"/>
        <item x="1548"/>
        <item x="374"/>
        <item x="1631"/>
        <item x="1117"/>
        <item x="1581"/>
        <item x="1317"/>
        <item x="1169"/>
        <item x="1519"/>
        <item x="1419"/>
        <item x="1294"/>
        <item x="1306"/>
        <item t="default"/>
      </items>
    </pivotField>
    <pivotField numFmtId="164" showAll="0"/>
    <pivotField showAll="0"/>
    <pivotField showAll="0"/>
    <pivotField showAll="0"/>
    <pivotField numFmtId="165" showAll="0"/>
    <pivotField numFmtId="166" showAll="0"/>
    <pivotField numFmtId="1" showAll="0"/>
    <pivotField numFmtId="165" showAll="0"/>
    <pivotField numFmtId="165" showAll="0"/>
    <pivotField numFmtId="165" showAll="0"/>
    <pivotField numFmtId="165" showAll="0"/>
    <pivotField numFmtId="165" showAll="0"/>
    <pivotField showAll="0"/>
    <pivotField axis="axisRow" showAll="0" sortType="descending">
      <items count="6">
        <item x="2"/>
        <item x="0"/>
        <item x="4"/>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14"/>
  </rowFields>
  <rowItems count="6">
    <i>
      <x v="1"/>
    </i>
    <i>
      <x v="3"/>
    </i>
    <i>
      <x/>
    </i>
    <i>
      <x v="2"/>
    </i>
    <i>
      <x v="4"/>
    </i>
    <i t="grand">
      <x/>
    </i>
  </rowItems>
  <colItems count="1">
    <i/>
  </colItems>
  <dataFields count="1">
    <dataField name="Count of Order ID" fld="0" subtotal="count" baseField="0" baseItem="0"/>
  </dataFields>
  <formats count="6">
    <format dxfId="60">
      <pivotArea type="all" dataOnly="0" outline="0" fieldPosition="0"/>
    </format>
    <format dxfId="59">
      <pivotArea outline="0" collapsedLevelsAreSubtotals="1" fieldPosition="0"/>
    </format>
    <format dxfId="58">
      <pivotArea field="14" type="button" dataOnly="0" labelOnly="1" outline="0" axis="axisRow" fieldPosition="0"/>
    </format>
    <format dxfId="57">
      <pivotArea dataOnly="0" labelOnly="1" fieldPosition="0">
        <references count="1">
          <reference field="14" count="0"/>
        </references>
      </pivotArea>
    </format>
    <format dxfId="56">
      <pivotArea dataOnly="0" labelOnly="1" grandRow="1" outline="0" fieldPosition="0"/>
    </format>
    <format dxfId="5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F147CB-58DA-49C4-8A23-BE9B55AE6450}" name="revenue_contr"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3:L24" firstHeaderRow="1" firstDataRow="1" firstDataCol="1"/>
  <pivotFields count="19">
    <pivotField showAll="0"/>
    <pivotField numFmtId="164" showAll="0"/>
    <pivotField showAll="0"/>
    <pivotField showAll="0"/>
    <pivotField axis="axisRow" showAll="0" sortType="descending">
      <items count="21">
        <item x="10"/>
        <item x="4"/>
        <item x="15"/>
        <item x="6"/>
        <item x="7"/>
        <item x="9"/>
        <item x="14"/>
        <item x="16"/>
        <item x="19"/>
        <item x="0"/>
        <item x="17"/>
        <item x="13"/>
        <item x="8"/>
        <item x="3"/>
        <item x="5"/>
        <item x="1"/>
        <item x="12"/>
        <item x="18"/>
        <item x="11"/>
        <item x="2"/>
        <item t="default"/>
      </items>
      <autoSortScope>
        <pivotArea dataOnly="0" outline="0" fieldPosition="0">
          <references count="1">
            <reference field="4294967294" count="1" selected="0">
              <x v="0"/>
            </reference>
          </references>
        </pivotArea>
      </autoSortScope>
    </pivotField>
    <pivotField numFmtId="165" showAll="0"/>
    <pivotField numFmtId="166" showAll="0"/>
    <pivotField numFmtId="1" showAll="0"/>
    <pivotField numFmtId="165" showAll="0"/>
    <pivotField numFmtId="165" showAll="0"/>
    <pivotField numFmtId="165" showAll="0"/>
    <pivotField numFmtId="165" showAll="0"/>
    <pivotField dataField="1" numFmtId="165"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4"/>
  </rowFields>
  <rowItems count="21">
    <i>
      <x/>
    </i>
    <i>
      <x v="1"/>
    </i>
    <i>
      <x v="12"/>
    </i>
    <i>
      <x v="7"/>
    </i>
    <i>
      <x v="5"/>
    </i>
    <i>
      <x v="18"/>
    </i>
    <i>
      <x v="19"/>
    </i>
    <i>
      <x v="13"/>
    </i>
    <i>
      <x v="6"/>
    </i>
    <i>
      <x v="9"/>
    </i>
    <i>
      <x v="10"/>
    </i>
    <i>
      <x v="17"/>
    </i>
    <i>
      <x v="3"/>
    </i>
    <i>
      <x v="14"/>
    </i>
    <i>
      <x v="15"/>
    </i>
    <i>
      <x v="4"/>
    </i>
    <i>
      <x v="16"/>
    </i>
    <i>
      <x v="2"/>
    </i>
    <i>
      <x v="11"/>
    </i>
    <i>
      <x v="8"/>
    </i>
    <i t="grand">
      <x/>
    </i>
  </rowItems>
  <colItems count="1">
    <i/>
  </colItems>
  <dataFields count="1">
    <dataField name="Sum of Grand Total" fld="12" baseField="4" baseItem="0" numFmtId="169"/>
  </dataFields>
  <formats count="6">
    <format dxfId="54">
      <pivotArea type="all" dataOnly="0" outline="0" fieldPosition="0"/>
    </format>
    <format dxfId="53">
      <pivotArea outline="0" collapsedLevelsAreSubtotals="1" fieldPosition="0"/>
    </format>
    <format dxfId="52">
      <pivotArea field="4" type="button" dataOnly="0" labelOnly="1" outline="0" axis="axisRow" fieldPosition="0"/>
    </format>
    <format dxfId="51">
      <pivotArea dataOnly="0" labelOnly="1" fieldPosition="0">
        <references count="1">
          <reference field="4" count="0"/>
        </references>
      </pivotArea>
    </format>
    <format dxfId="50">
      <pivotArea dataOnly="0" labelOnly="1" grandRow="1" outline="0" fieldPosition="0"/>
    </format>
    <format dxfId="4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1015C4-9A48-4255-8807-E6D2A1157847}" name="sales_gender"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8">
  <location ref="AF3:AG9" firstHeaderRow="1" firstDataRow="1" firstDataCol="1"/>
  <pivotFields count="19">
    <pivotField showAll="0"/>
    <pivotField numFmtId="164" showAll="0"/>
    <pivotField showAll="0"/>
    <pivotField axis="axisRow" showAll="0" measureFilter="1">
      <items count="39">
        <item x="27"/>
        <item x="5"/>
        <item x="32"/>
        <item x="18"/>
        <item x="23"/>
        <item x="17"/>
        <item x="6"/>
        <item x="33"/>
        <item x="15"/>
        <item x="10"/>
        <item x="12"/>
        <item x="8"/>
        <item x="36"/>
        <item x="20"/>
        <item x="26"/>
        <item x="3"/>
        <item x="16"/>
        <item x="28"/>
        <item x="35"/>
        <item x="21"/>
        <item x="9"/>
        <item x="24"/>
        <item x="22"/>
        <item x="1"/>
        <item x="37"/>
        <item x="34"/>
        <item x="13"/>
        <item x="14"/>
        <item x="4"/>
        <item x="2"/>
        <item x="30"/>
        <item x="25"/>
        <item x="31"/>
        <item x="11"/>
        <item x="7"/>
        <item x="29"/>
        <item x="0"/>
        <item x="19"/>
        <item t="default"/>
      </items>
    </pivotField>
    <pivotField showAll="0"/>
    <pivotField numFmtId="165" showAll="0"/>
    <pivotField numFmtId="166" showAll="0"/>
    <pivotField numFmtId="1" showAll="0"/>
    <pivotField numFmtId="165" showAll="0"/>
    <pivotField numFmtId="165" showAll="0"/>
    <pivotField numFmtId="165" showAll="0"/>
    <pivotField numFmtId="165" showAll="0"/>
    <pivotField dataField="1" numFmtId="165" showAll="0"/>
    <pivotField showAll="0"/>
    <pivotField showAll="0"/>
    <pivotField showAll="0"/>
    <pivotField showAll="0"/>
    <pivotField showAll="0">
      <items count="3">
        <item x="1"/>
        <item x="0"/>
        <item t="default"/>
      </items>
    </pivotField>
    <pivotField showAll="0" defaultSubtotal="0">
      <items count="14">
        <item x="0"/>
        <item x="1"/>
        <item x="2"/>
        <item x="3"/>
        <item x="4"/>
        <item x="5"/>
        <item x="6"/>
        <item x="7"/>
        <item x="8"/>
        <item x="9"/>
        <item x="10"/>
        <item x="11"/>
        <item x="12"/>
        <item x="13"/>
      </items>
    </pivotField>
  </pivotFields>
  <rowFields count="1">
    <field x="3"/>
  </rowFields>
  <rowItems count="6">
    <i>
      <x v="8"/>
    </i>
    <i>
      <x v="27"/>
    </i>
    <i>
      <x v="32"/>
    </i>
    <i>
      <x v="33"/>
    </i>
    <i>
      <x v="37"/>
    </i>
    <i t="grand">
      <x/>
    </i>
  </rowItems>
  <colItems count="1">
    <i/>
  </colItems>
  <dataFields count="1">
    <dataField name="Sum of Grand Total" fld="12" baseField="17" baseItem="0" numFmtId="169"/>
  </dataFields>
  <formats count="5">
    <format dxfId="48">
      <pivotArea type="all" dataOnly="0" outline="0" fieldPosition="0"/>
    </format>
    <format dxfId="47">
      <pivotArea outline="0" collapsedLevelsAreSubtotals="1" fieldPosition="0"/>
    </format>
    <format dxfId="46">
      <pivotArea field="17" type="button" dataOnly="0" labelOnly="1" outline="0"/>
    </format>
    <format dxfId="45">
      <pivotArea dataOnly="0" labelOnly="1" grandRow="1" outline="0" fieldPosition="0"/>
    </format>
    <format dxfId="44">
      <pivotArea dataOnly="0" labelOnly="1" outline="0" axis="axisValues" fieldPosition="0"/>
    </format>
  </formats>
  <chartFormats count="24">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3" count="1" selected="0">
            <x v="8"/>
          </reference>
        </references>
      </pivotArea>
    </chartFormat>
    <chartFormat chart="3" format="10">
      <pivotArea type="data" outline="0" fieldPosition="0">
        <references count="2">
          <reference field="4294967294" count="1" selected="0">
            <x v="0"/>
          </reference>
          <reference field="3" count="1" selected="0">
            <x v="27"/>
          </reference>
        </references>
      </pivotArea>
    </chartFormat>
    <chartFormat chart="3" format="11">
      <pivotArea type="data" outline="0" fieldPosition="0">
        <references count="2">
          <reference field="4294967294" count="1" selected="0">
            <x v="0"/>
          </reference>
          <reference field="3" count="1" selected="0">
            <x v="32"/>
          </reference>
        </references>
      </pivotArea>
    </chartFormat>
    <chartFormat chart="3" format="12">
      <pivotArea type="data" outline="0" fieldPosition="0">
        <references count="2">
          <reference field="4294967294" count="1" selected="0">
            <x v="0"/>
          </reference>
          <reference field="3" count="1" selected="0">
            <x v="33"/>
          </reference>
        </references>
      </pivotArea>
    </chartFormat>
    <chartFormat chart="3" format="13">
      <pivotArea type="data" outline="0" fieldPosition="0">
        <references count="2">
          <reference field="4294967294" count="1" selected="0">
            <x v="0"/>
          </reference>
          <reference field="3" count="1" selected="0">
            <x v="37"/>
          </reference>
        </references>
      </pivotArea>
    </chartFormat>
    <chartFormat chart="0" format="3">
      <pivotArea type="data" outline="0" fieldPosition="0">
        <references count="2">
          <reference field="4294967294" count="1" selected="0">
            <x v="0"/>
          </reference>
          <reference field="3" count="1" selected="0">
            <x v="8"/>
          </reference>
        </references>
      </pivotArea>
    </chartFormat>
    <chartFormat chart="0" format="4">
      <pivotArea type="data" outline="0" fieldPosition="0">
        <references count="2">
          <reference field="4294967294" count="1" selected="0">
            <x v="0"/>
          </reference>
          <reference field="3" count="1" selected="0">
            <x v="27"/>
          </reference>
        </references>
      </pivotArea>
    </chartFormat>
    <chartFormat chart="0" format="5">
      <pivotArea type="data" outline="0" fieldPosition="0">
        <references count="2">
          <reference field="4294967294" count="1" selected="0">
            <x v="0"/>
          </reference>
          <reference field="3" count="1" selected="0">
            <x v="32"/>
          </reference>
        </references>
      </pivotArea>
    </chartFormat>
    <chartFormat chart="0" format="6">
      <pivotArea type="data" outline="0" fieldPosition="0">
        <references count="2">
          <reference field="4294967294" count="1" selected="0">
            <x v="0"/>
          </reference>
          <reference field="3" count="1" selected="0">
            <x v="33"/>
          </reference>
        </references>
      </pivotArea>
    </chartFormat>
    <chartFormat chart="0" format="7">
      <pivotArea type="data" outline="0" fieldPosition="0">
        <references count="2">
          <reference field="4294967294" count="1" selected="0">
            <x v="0"/>
          </reference>
          <reference field="3" count="1" selected="0">
            <x v="37"/>
          </reference>
        </references>
      </pivotArea>
    </chartFormat>
    <chartFormat chart="24" format="0" series="1">
      <pivotArea type="data" outline="0" fieldPosition="0">
        <references count="1">
          <reference field="4294967294" count="1" selected="0">
            <x v="0"/>
          </reference>
        </references>
      </pivotArea>
    </chartFormat>
    <chartFormat chart="24" format="1">
      <pivotArea type="data" outline="0" fieldPosition="0">
        <references count="2">
          <reference field="4294967294" count="1" selected="0">
            <x v="0"/>
          </reference>
          <reference field="3" count="1" selected="0">
            <x v="8"/>
          </reference>
        </references>
      </pivotArea>
    </chartFormat>
    <chartFormat chart="24" format="2">
      <pivotArea type="data" outline="0" fieldPosition="0">
        <references count="2">
          <reference field="4294967294" count="1" selected="0">
            <x v="0"/>
          </reference>
          <reference field="3" count="1" selected="0">
            <x v="27"/>
          </reference>
        </references>
      </pivotArea>
    </chartFormat>
    <chartFormat chart="24" format="3">
      <pivotArea type="data" outline="0" fieldPosition="0">
        <references count="2">
          <reference field="4294967294" count="1" selected="0">
            <x v="0"/>
          </reference>
          <reference field="3" count="1" selected="0">
            <x v="32"/>
          </reference>
        </references>
      </pivotArea>
    </chartFormat>
    <chartFormat chart="24" format="4">
      <pivotArea type="data" outline="0" fieldPosition="0">
        <references count="2">
          <reference field="4294967294" count="1" selected="0">
            <x v="0"/>
          </reference>
          <reference field="3" count="1" selected="0">
            <x v="33"/>
          </reference>
        </references>
      </pivotArea>
    </chartFormat>
    <chartFormat chart="24" format="5">
      <pivotArea type="data" outline="0" fieldPosition="0">
        <references count="2">
          <reference field="4294967294" count="1" selected="0">
            <x v="0"/>
          </reference>
          <reference field="3" count="1" selected="0">
            <x v="37"/>
          </reference>
        </references>
      </pivotArea>
    </chartFormat>
    <chartFormat chart="27" format="12" series="1">
      <pivotArea type="data" outline="0" fieldPosition="0">
        <references count="1">
          <reference field="4294967294" count="1" selected="0">
            <x v="0"/>
          </reference>
        </references>
      </pivotArea>
    </chartFormat>
    <chartFormat chart="27" format="13">
      <pivotArea type="data" outline="0" fieldPosition="0">
        <references count="2">
          <reference field="4294967294" count="1" selected="0">
            <x v="0"/>
          </reference>
          <reference field="3" count="1" selected="0">
            <x v="8"/>
          </reference>
        </references>
      </pivotArea>
    </chartFormat>
    <chartFormat chart="27" format="14">
      <pivotArea type="data" outline="0" fieldPosition="0">
        <references count="2">
          <reference field="4294967294" count="1" selected="0">
            <x v="0"/>
          </reference>
          <reference field="3" count="1" selected="0">
            <x v="27"/>
          </reference>
        </references>
      </pivotArea>
    </chartFormat>
    <chartFormat chart="27" format="15">
      <pivotArea type="data" outline="0" fieldPosition="0">
        <references count="2">
          <reference field="4294967294" count="1" selected="0">
            <x v="0"/>
          </reference>
          <reference field="3" count="1" selected="0">
            <x v="32"/>
          </reference>
        </references>
      </pivotArea>
    </chartFormat>
    <chartFormat chart="27" format="16">
      <pivotArea type="data" outline="0" fieldPosition="0">
        <references count="2">
          <reference field="4294967294" count="1" selected="0">
            <x v="0"/>
          </reference>
          <reference field="3" count="1" selected="0">
            <x v="33"/>
          </reference>
        </references>
      </pivotArea>
    </chartFormat>
    <chartFormat chart="27" format="17">
      <pivotArea type="data" outline="0" fieldPosition="0">
        <references count="2">
          <reference field="4294967294" count="1" selected="0">
            <x v="0"/>
          </reference>
          <reference field="3" count="1" selected="0">
            <x v="37"/>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5A576F-2AF0-4BE1-8339-58729C0ED9C8}" name="platform_performanc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location ref="AA3:AB9" firstHeaderRow="1" firstDataRow="1" firstDataCol="1"/>
  <pivotFields count="19">
    <pivotField showAll="0"/>
    <pivotField numFmtId="164" showAll="0"/>
    <pivotField showAll="0"/>
    <pivotField showAll="0"/>
    <pivotField showAll="0"/>
    <pivotField numFmtId="165" showAll="0"/>
    <pivotField numFmtId="166" showAll="0"/>
    <pivotField numFmtId="1" showAll="0"/>
    <pivotField numFmtId="165" showAll="0"/>
    <pivotField numFmtId="165" showAll="0"/>
    <pivotField numFmtId="165" showAll="0"/>
    <pivotField numFmtId="165" showAll="0"/>
    <pivotField dataField="1" numFmtId="165" showAll="0"/>
    <pivotField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defaultSubtotal="0">
      <items count="14">
        <item x="0"/>
        <item x="1"/>
        <item x="2"/>
        <item x="3"/>
        <item x="4"/>
        <item x="5"/>
        <item x="6"/>
        <item x="7"/>
        <item x="8"/>
        <item x="9"/>
        <item x="10"/>
        <item x="11"/>
        <item x="12"/>
        <item x="13"/>
      </items>
    </pivotField>
  </pivotFields>
  <rowFields count="1">
    <field x="15"/>
  </rowFields>
  <rowItems count="6">
    <i>
      <x v="4"/>
    </i>
    <i>
      <x v="2"/>
    </i>
    <i>
      <x v="3"/>
    </i>
    <i>
      <x/>
    </i>
    <i>
      <x v="1"/>
    </i>
    <i t="grand">
      <x/>
    </i>
  </rowItems>
  <colItems count="1">
    <i/>
  </colItems>
  <dataFields count="1">
    <dataField name="Sum of Grand Total" fld="12" baseField="15" baseItem="0" numFmtId="169"/>
  </dataFields>
  <formats count="6">
    <format dxfId="43">
      <pivotArea type="all" dataOnly="0" outline="0" fieldPosition="0"/>
    </format>
    <format dxfId="42">
      <pivotArea outline="0" collapsedLevelsAreSubtotals="1" fieldPosition="0"/>
    </format>
    <format dxfId="41">
      <pivotArea field="15" type="button" dataOnly="0" labelOnly="1" outline="0" axis="axisRow" fieldPosition="0"/>
    </format>
    <format dxfId="40">
      <pivotArea dataOnly="0" labelOnly="1" fieldPosition="0">
        <references count="1">
          <reference field="15" count="0"/>
        </references>
      </pivotArea>
    </format>
    <format dxfId="39">
      <pivotArea dataOnly="0" labelOnly="1" grandRow="1" outline="0" fieldPosition="0"/>
    </format>
    <format dxfId="38">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4"/>
          </reference>
        </references>
      </pivotArea>
    </chartFormat>
    <chartFormat chart="3" format="3">
      <pivotArea type="data" outline="0" fieldPosition="0">
        <references count="2">
          <reference field="4294967294" count="1" selected="0">
            <x v="0"/>
          </reference>
          <reference field="15" count="1" selected="0">
            <x v="2"/>
          </reference>
        </references>
      </pivotArea>
    </chartFormat>
    <chartFormat chart="3" format="4">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FED638E-4B1B-47DD-A633-7FCE7B380129}" name="sales_trend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Q21:S34" firstHeaderRow="0" firstDataRow="1" firstDataCol="1"/>
  <pivotFields count="19">
    <pivotField showAll="0"/>
    <pivotField numFmtId="164" showAll="0"/>
    <pivotField showAll="0"/>
    <pivotField showAll="0"/>
    <pivotField showAll="0"/>
    <pivotField numFmtId="165" showAll="0"/>
    <pivotField dataField="1" numFmtId="166" showAll="0"/>
    <pivotField numFmtId="1" showAll="0"/>
    <pivotField numFmtId="165" showAll="0"/>
    <pivotField numFmtId="165" showAll="0"/>
    <pivotField numFmtId="165" showAll="0"/>
    <pivotField numFmtId="165" showAll="0"/>
    <pivotField dataField="1" numFmtId="165"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s>
  <rowFields count="1">
    <field x="18"/>
  </rowFields>
  <rowItems count="13">
    <i>
      <x v="1"/>
    </i>
    <i>
      <x v="2"/>
    </i>
    <i>
      <x v="3"/>
    </i>
    <i>
      <x v="4"/>
    </i>
    <i>
      <x v="5"/>
    </i>
    <i>
      <x v="6"/>
    </i>
    <i>
      <x v="7"/>
    </i>
    <i>
      <x v="8"/>
    </i>
    <i>
      <x v="9"/>
    </i>
    <i>
      <x v="10"/>
    </i>
    <i>
      <x v="11"/>
    </i>
    <i>
      <x v="12"/>
    </i>
    <i t="grand">
      <x/>
    </i>
  </rowItems>
  <colFields count="1">
    <field x="-2"/>
  </colFields>
  <colItems count="2">
    <i>
      <x/>
    </i>
    <i i="1">
      <x v="1"/>
    </i>
  </colItems>
  <dataFields count="2">
    <dataField name="Sum of Grand Total" fld="12" baseField="0" baseItem="0"/>
    <dataField name="Sum of Quantity (kg)" fld="6" baseField="0" baseItem="0"/>
  </dataFields>
  <formats count="8">
    <format dxfId="78">
      <pivotArea type="all" dataOnly="0" outline="0" fieldPosition="0"/>
    </format>
    <format dxfId="77">
      <pivotArea collapsedLevelsAreSubtotals="1" fieldPosition="0">
        <references count="2">
          <reference field="4294967294" count="1" selected="0">
            <x v="0"/>
          </reference>
          <reference field="18" count="12">
            <x v="1"/>
            <x v="2"/>
            <x v="3"/>
            <x v="4"/>
            <x v="5"/>
            <x v="6"/>
            <x v="7"/>
            <x v="8"/>
            <x v="9"/>
            <x v="10"/>
            <x v="11"/>
            <x v="12"/>
          </reference>
        </references>
      </pivotArea>
    </format>
    <format dxfId="37">
      <pivotArea type="all" dataOnly="0" outline="0" fieldPosition="0"/>
    </format>
    <format dxfId="36">
      <pivotArea outline="0" collapsedLevelsAreSubtotals="1" fieldPosition="0"/>
    </format>
    <format dxfId="35">
      <pivotArea field="18" type="button" dataOnly="0" labelOnly="1" outline="0" axis="axisRow" fieldPosition="0"/>
    </format>
    <format dxfId="34">
      <pivotArea dataOnly="0" labelOnly="1" fieldPosition="0">
        <references count="1">
          <reference field="18" count="12">
            <x v="1"/>
            <x v="2"/>
            <x v="3"/>
            <x v="4"/>
            <x v="5"/>
            <x v="6"/>
            <x v="7"/>
            <x v="8"/>
            <x v="9"/>
            <x v="10"/>
            <x v="11"/>
            <x v="12"/>
          </reference>
        </references>
      </pivotArea>
    </format>
    <format dxfId="33">
      <pivotArea dataOnly="0" labelOnly="1" grandRow="1" outline="0" fieldPosition="0"/>
    </format>
    <format dxfId="3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D67060D-646B-457A-BCD1-9D3E9D7BC456}" name="payment_method"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4">
  <location ref="AL3:AM8" firstHeaderRow="1" firstDataRow="1" firstDataCol="1"/>
  <pivotFields count="19">
    <pivotField showAll="0"/>
    <pivotField numFmtId="164" showAll="0"/>
    <pivotField showAll="0"/>
    <pivotField showAll="0"/>
    <pivotField showAll="0"/>
    <pivotField numFmtId="165" showAll="0"/>
    <pivotField numFmtId="166" showAll="0"/>
    <pivotField numFmtId="1" showAll="0"/>
    <pivotField numFmtId="165" showAll="0"/>
    <pivotField numFmtId="165" showAll="0"/>
    <pivotField numFmtId="165" showAll="0"/>
    <pivotField numFmtId="165" showAll="0"/>
    <pivotField dataField="1" numFmtId="165"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13"/>
  </rowFields>
  <rowItems count="5">
    <i>
      <x v="2"/>
    </i>
    <i>
      <x v="3"/>
    </i>
    <i>
      <x v="1"/>
    </i>
    <i>
      <x/>
    </i>
    <i t="grand">
      <x/>
    </i>
  </rowItems>
  <colItems count="1">
    <i/>
  </colItems>
  <dataFields count="1">
    <dataField name="Sum of Grand Total" fld="12" baseField="13" baseItem="0" numFmtId="169"/>
  </dataFields>
  <formats count="6">
    <format dxfId="31">
      <pivotArea type="all" dataOnly="0" outline="0" fieldPosition="0"/>
    </format>
    <format dxfId="30">
      <pivotArea outline="0" collapsedLevelsAreSubtotals="1" fieldPosition="0"/>
    </format>
    <format dxfId="29">
      <pivotArea field="13" type="button" dataOnly="0" labelOnly="1" outline="0" axis="axisRow" fieldPosition="0"/>
    </format>
    <format dxfId="28">
      <pivotArea dataOnly="0" labelOnly="1" fieldPosition="0">
        <references count="1">
          <reference field="13" count="0"/>
        </references>
      </pivotArea>
    </format>
    <format dxfId="27">
      <pivotArea dataOnly="0" labelOnly="1" grandRow="1" outline="0" fieldPosition="0"/>
    </format>
    <format dxfId="26">
      <pivotArea dataOnly="0" labelOnly="1" outline="0" axis="axisValues" fieldPosition="0"/>
    </format>
  </format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3" count="1" selected="0">
            <x v="2"/>
          </reference>
        </references>
      </pivotArea>
    </chartFormat>
    <chartFormat chart="2" format="2">
      <pivotArea type="data" outline="0" fieldPosition="0">
        <references count="2">
          <reference field="4294967294" count="1" selected="0">
            <x v="0"/>
          </reference>
          <reference field="13" count="1" selected="0">
            <x v="3"/>
          </reference>
        </references>
      </pivotArea>
    </chartFormat>
    <chartFormat chart="2" format="3">
      <pivotArea type="data" outline="0" fieldPosition="0">
        <references count="2">
          <reference field="4294967294" count="1" selected="0">
            <x v="0"/>
          </reference>
          <reference field="13" count="1" selected="0">
            <x v="1"/>
          </reference>
        </references>
      </pivotArea>
    </chartFormat>
    <chartFormat chart="2" format="4">
      <pivotArea type="data" outline="0" fieldPosition="0">
        <references count="2">
          <reference field="4294967294" count="1" selected="0">
            <x v="0"/>
          </reference>
          <reference field="13" count="1" selected="0">
            <x v="0"/>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3" count="1" selected="0">
            <x v="2"/>
          </reference>
        </references>
      </pivotArea>
    </chartFormat>
    <chartFormat chart="5" format="12">
      <pivotArea type="data" outline="0" fieldPosition="0">
        <references count="2">
          <reference field="4294967294" count="1" selected="0">
            <x v="0"/>
          </reference>
          <reference field="13" count="1" selected="0">
            <x v="3"/>
          </reference>
        </references>
      </pivotArea>
    </chartFormat>
    <chartFormat chart="5" format="13">
      <pivotArea type="data" outline="0" fieldPosition="0">
        <references count="2">
          <reference field="4294967294" count="1" selected="0">
            <x v="0"/>
          </reference>
          <reference field="13" count="1" selected="0">
            <x v="1"/>
          </reference>
        </references>
      </pivotArea>
    </chartFormat>
    <chartFormat chart="5" format="14">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10B5480-6AEF-4D59-B3E1-85B444F57D29}" name="avg_rating"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0:A11" firstHeaderRow="1" firstDataRow="1" firstDataCol="0"/>
  <pivotFields count="19">
    <pivotField showAll="0">
      <items count="1867">
        <item x="1755"/>
        <item x="1354"/>
        <item x="933"/>
        <item x="1630"/>
        <item x="601"/>
        <item x="614"/>
        <item x="1746"/>
        <item x="869"/>
        <item x="561"/>
        <item x="1509"/>
        <item x="828"/>
        <item x="229"/>
        <item x="62"/>
        <item x="141"/>
        <item x="763"/>
        <item x="2"/>
        <item x="383"/>
        <item x="1544"/>
        <item x="1299"/>
        <item x="1636"/>
        <item x="920"/>
        <item x="75"/>
        <item x="136"/>
        <item x="183"/>
        <item x="367"/>
        <item x="622"/>
        <item x="1848"/>
        <item x="406"/>
        <item x="105"/>
        <item x="463"/>
        <item x="485"/>
        <item x="1167"/>
        <item x="1560"/>
        <item x="204"/>
        <item x="590"/>
        <item x="1736"/>
        <item x="192"/>
        <item x="358"/>
        <item x="1856"/>
        <item x="898"/>
        <item x="1466"/>
        <item x="787"/>
        <item x="716"/>
        <item x="524"/>
        <item x="692"/>
        <item x="1609"/>
        <item x="1536"/>
        <item x="1199"/>
        <item x="9"/>
        <item x="618"/>
        <item x="14"/>
        <item x="1587"/>
        <item x="896"/>
        <item x="1586"/>
        <item x="1319"/>
        <item x="1328"/>
        <item x="1259"/>
        <item x="262"/>
        <item x="363"/>
        <item x="1182"/>
        <item x="675"/>
        <item x="88"/>
        <item x="569"/>
        <item x="1551"/>
        <item x="1286"/>
        <item x="1231"/>
        <item x="1569"/>
        <item x="874"/>
        <item x="224"/>
        <item x="1730"/>
        <item x="504"/>
        <item x="268"/>
        <item x="1125"/>
        <item x="765"/>
        <item x="781"/>
        <item x="1412"/>
        <item x="909"/>
        <item x="1712"/>
        <item x="1146"/>
        <item x="1445"/>
        <item x="557"/>
        <item x="682"/>
        <item x="885"/>
        <item x="361"/>
        <item x="1014"/>
        <item x="521"/>
        <item x="1558"/>
        <item x="272"/>
        <item x="1505"/>
        <item x="325"/>
        <item x="1384"/>
        <item x="1274"/>
        <item x="1729"/>
        <item x="834"/>
        <item x="889"/>
        <item x="213"/>
        <item x="1219"/>
        <item x="481"/>
        <item x="1111"/>
        <item x="1772"/>
        <item x="1345"/>
        <item x="633"/>
        <item x="1562"/>
        <item x="84"/>
        <item x="349"/>
        <item x="1714"/>
        <item x="753"/>
        <item x="517"/>
        <item x="1081"/>
        <item x="739"/>
        <item x="175"/>
        <item x="1706"/>
        <item x="1603"/>
        <item x="112"/>
        <item x="1378"/>
        <item x="1228"/>
        <item x="1693"/>
        <item x="1475"/>
        <item x="1700"/>
        <item x="506"/>
        <item x="1443"/>
        <item x="1209"/>
        <item x="1616"/>
        <item x="664"/>
        <item x="1655"/>
        <item x="1477"/>
        <item x="1138"/>
        <item x="123"/>
        <item x="647"/>
        <item x="1238"/>
        <item x="177"/>
        <item x="1129"/>
        <item x="755"/>
        <item x="1476"/>
        <item x="1260"/>
        <item x="1409"/>
        <item x="1118"/>
        <item x="746"/>
        <item x="855"/>
        <item x="1789"/>
        <item x="927"/>
        <item x="1814"/>
        <item x="188"/>
        <item x="298"/>
        <item x="519"/>
        <item x="1390"/>
        <item x="1852"/>
        <item x="594"/>
        <item x="786"/>
        <item x="1794"/>
        <item x="913"/>
        <item x="766"/>
        <item x="807"/>
        <item x="1833"/>
        <item x="129"/>
        <item x="145"/>
        <item x="1069"/>
        <item x="1207"/>
        <item x="1002"/>
        <item x="976"/>
        <item x="1295"/>
        <item x="314"/>
        <item x="956"/>
        <item x="1456"/>
        <item x="1279"/>
        <item x="688"/>
        <item x="398"/>
        <item x="1845"/>
        <item x="579"/>
        <item x="613"/>
        <item x="882"/>
        <item x="940"/>
        <item x="602"/>
        <item x="830"/>
        <item x="378"/>
        <item x="1834"/>
        <item x="1136"/>
        <item x="1795"/>
        <item x="31"/>
        <item x="1765"/>
        <item x="19"/>
        <item x="905"/>
        <item x="1610"/>
        <item x="551"/>
        <item x="644"/>
        <item x="114"/>
        <item x="636"/>
        <item x="1289"/>
        <item x="32"/>
        <item x="1397"/>
        <item x="345"/>
        <item x="1850"/>
        <item x="70"/>
        <item x="892"/>
        <item x="1196"/>
        <item x="936"/>
        <item x="92"/>
        <item x="100"/>
        <item x="600"/>
        <item x="104"/>
        <item x="1526"/>
        <item x="1045"/>
        <item x="1517"/>
        <item x="653"/>
        <item x="1513"/>
        <item x="693"/>
        <item x="595"/>
        <item x="873"/>
        <item x="1188"/>
        <item x="1109"/>
        <item x="879"/>
        <item x="544"/>
        <item x="338"/>
        <item x="475"/>
        <item x="119"/>
        <item x="915"/>
        <item x="804"/>
        <item x="45"/>
        <item x="189"/>
        <item x="354"/>
        <item x="547"/>
        <item x="876"/>
        <item x="533"/>
        <item x="702"/>
        <item x="201"/>
        <item x="608"/>
        <item x="1050"/>
        <item x="190"/>
        <item x="143"/>
        <item x="179"/>
        <item x="856"/>
        <item x="900"/>
        <item x="529"/>
        <item x="471"/>
        <item x="770"/>
        <item x="1808"/>
        <item x="97"/>
        <item x="216"/>
        <item x="24"/>
        <item x="902"/>
        <item x="1383"/>
        <item x="1372"/>
        <item x="1826"/>
        <item x="710"/>
        <item x="1725"/>
        <item x="1713"/>
        <item x="1262"/>
        <item x="735"/>
        <item x="342"/>
        <item x="1090"/>
        <item x="999"/>
        <item x="1333"/>
        <item x="1323"/>
        <item x="678"/>
        <item x="1711"/>
        <item x="620"/>
        <item x="1031"/>
        <item x="1160"/>
        <item x="1243"/>
        <item x="841"/>
        <item x="401"/>
        <item x="526"/>
        <item x="1540"/>
        <item x="690"/>
        <item x="932"/>
        <item x="1818"/>
        <item x="1266"/>
        <item x="1515"/>
        <item x="159"/>
        <item x="1537"/>
        <item x="1732"/>
        <item x="155"/>
        <item x="372"/>
        <item x="1667"/>
        <item x="895"/>
        <item x="751"/>
        <item x="197"/>
        <item x="174"/>
        <item x="1524"/>
        <item x="1055"/>
        <item x="632"/>
        <item x="1543"/>
        <item x="842"/>
        <item x="1528"/>
        <item x="1644"/>
        <item x="138"/>
        <item x="819"/>
        <item x="1415"/>
        <item x="446"/>
        <item x="1346"/>
        <item x="732"/>
        <item x="1446"/>
        <item x="1594"/>
        <item x="1773"/>
        <item x="1626"/>
        <item x="1003"/>
        <item x="300"/>
        <item x="1529"/>
        <item x="1851"/>
        <item x="455"/>
        <item x="1451"/>
        <item x="835"/>
        <item x="1849"/>
        <item x="1853"/>
        <item x="163"/>
        <item x="946"/>
        <item x="180"/>
        <item x="1479"/>
        <item x="1194"/>
        <item x="1401"/>
        <item x="707"/>
        <item x="1491"/>
        <item x="822"/>
        <item x="1327"/>
        <item x="385"/>
        <item x="502"/>
        <item x="1234"/>
        <item x="1348"/>
        <item x="1245"/>
        <item x="441"/>
        <item x="1508"/>
        <item x="1788"/>
        <item x="942"/>
        <item x="1568"/>
        <item x="1120"/>
        <item x="4"/>
        <item x="850"/>
        <item x="210"/>
        <item x="1165"/>
        <item x="376"/>
        <item x="564"/>
        <item x="1815"/>
        <item x="1628"/>
        <item x="278"/>
        <item x="1437"/>
        <item x="120"/>
        <item x="638"/>
        <item x="1643"/>
        <item x="1694"/>
        <item x="1512"/>
        <item x="971"/>
        <item x="1436"/>
        <item x="1256"/>
        <item x="1472"/>
        <item x="1727"/>
        <item x="326"/>
        <item x="1750"/>
        <item x="1301"/>
        <item x="983"/>
        <item x="1190"/>
        <item x="1153"/>
        <item x="462"/>
        <item x="778"/>
        <item x="1025"/>
        <item x="457"/>
        <item x="1690"/>
        <item x="1718"/>
        <item x="311"/>
        <item x="1657"/>
        <item x="1614"/>
        <item x="480"/>
        <item x="583"/>
        <item x="972"/>
        <item x="1097"/>
        <item x="381"/>
        <item x="305"/>
        <item x="1752"/>
        <item x="1152"/>
        <item x="47"/>
        <item x="1499"/>
        <item x="609"/>
        <item x="454"/>
        <item x="1677"/>
        <item x="1033"/>
        <item x="742"/>
        <item x="333"/>
        <item x="1698"/>
        <item x="118"/>
        <item x="340"/>
        <item x="309"/>
        <item x="1622"/>
        <item x="1405"/>
        <item x="165"/>
        <item x="1173"/>
        <item x="1171"/>
        <item x="394"/>
        <item x="1461"/>
        <item x="1101"/>
        <item x="1839"/>
        <item x="33"/>
        <item x="249"/>
        <item x="1776"/>
        <item x="574"/>
        <item x="339"/>
        <item x="580"/>
        <item x="1144"/>
        <item x="341"/>
        <item x="883"/>
        <item x="1612"/>
        <item x="458"/>
        <item x="1748"/>
        <item x="348"/>
        <item x="25"/>
        <item x="365"/>
        <item x="810"/>
        <item x="528"/>
        <item x="1062"/>
        <item x="1673"/>
        <item x="319"/>
        <item x="605"/>
        <item x="3"/>
        <item x="908"/>
        <item x="542"/>
        <item x="938"/>
        <item x="1326"/>
        <item x="1552"/>
        <item x="1206"/>
        <item x="1591"/>
        <item x="639"/>
        <item x="808"/>
        <item x="586"/>
        <item x="103"/>
        <item x="1239"/>
        <item x="1502"/>
        <item x="1447"/>
        <item x="1373"/>
        <item x="744"/>
        <item x="306"/>
        <item x="1559"/>
        <item x="558"/>
        <item x="419"/>
        <item x="754"/>
        <item x="64"/>
        <item x="496"/>
        <item x="806"/>
        <item x="974"/>
        <item x="1072"/>
        <item x="279"/>
        <item x="416"/>
        <item x="1335"/>
        <item x="851"/>
        <item x="532"/>
        <item x="771"/>
        <item x="330"/>
        <item x="566"/>
        <item x="1463"/>
        <item x="1855"/>
        <item x="1486"/>
        <item x="788"/>
        <item x="797"/>
        <item x="364"/>
        <item x="37"/>
        <item x="284"/>
        <item x="1647"/>
        <item x="127"/>
        <item x="1163"/>
        <item x="776"/>
        <item x="375"/>
        <item x="1229"/>
        <item x="1661"/>
        <item x="1100"/>
        <item x="683"/>
        <item x="1400"/>
        <item x="700"/>
        <item x="59"/>
        <item x="1843"/>
        <item x="1786"/>
        <item x="1332"/>
        <item x="1481"/>
        <item x="978"/>
        <item x="294"/>
        <item x="1469"/>
        <item x="917"/>
        <item x="811"/>
        <item x="503"/>
        <item x="1549"/>
        <item x="662"/>
        <item x="1802"/>
        <item x="661"/>
        <item x="646"/>
        <item x="1534"/>
        <item x="1439"/>
        <item x="154"/>
        <item x="1218"/>
        <item x="1561"/>
        <item x="714"/>
        <item x="1132"/>
        <item x="1313"/>
        <item x="1139"/>
        <item x="1406"/>
        <item x="1179"/>
        <item x="1148"/>
        <item x="498"/>
        <item x="697"/>
        <item x="853"/>
        <item x="846"/>
        <item x="1047"/>
        <item x="43"/>
        <item x="1638"/>
        <item x="871"/>
        <item x="1232"/>
        <item x="1159"/>
        <item x="73"/>
        <item x="323"/>
        <item x="1157"/>
        <item x="1599"/>
        <item x="777"/>
        <item x="512"/>
        <item x="509"/>
        <item x="211"/>
        <item x="321"/>
        <item x="486"/>
        <item x="301"/>
        <item x="858"/>
        <item x="347"/>
        <item x="1482"/>
        <item x="747"/>
        <item x="1253"/>
        <item x="206"/>
        <item x="490"/>
        <item x="76"/>
        <item x="157"/>
        <item x="629"/>
        <item x="818"/>
        <item x="768"/>
        <item x="733"/>
        <item x="1835"/>
        <item x="540"/>
        <item x="854"/>
        <item x="1023"/>
        <item x="643"/>
        <item x="1106"/>
        <item x="122"/>
        <item x="631"/>
        <item x="336"/>
        <item x="413"/>
        <item x="949"/>
        <item x="351"/>
        <item x="388"/>
        <item x="1743"/>
        <item x="288"/>
        <item x="402"/>
        <item x="38"/>
        <item x="161"/>
        <item x="1716"/>
        <item x="582"/>
        <item x="1516"/>
        <item x="322"/>
        <item x="1021"/>
        <item x="1506"/>
        <item x="741"/>
        <item x="1756"/>
        <item x="1865"/>
        <item x="1217"/>
        <item x="1829"/>
        <item x="546"/>
        <item x="1658"/>
        <item x="1640"/>
        <item x="15"/>
        <item x="1435"/>
        <item x="1613"/>
        <item x="54"/>
        <item x="1749"/>
        <item x="430"/>
        <item x="930"/>
        <item x="410"/>
        <item x="1720"/>
        <item x="1572"/>
        <item x="596"/>
        <item x="1267"/>
        <item x="1296"/>
        <item x="1639"/>
        <item x="451"/>
        <item x="704"/>
        <item x="231"/>
        <item x="287"/>
        <item x="1584"/>
        <item x="1395"/>
        <item x="1168"/>
        <item x="335"/>
        <item x="1742"/>
        <item x="1187"/>
        <item x="1635"/>
        <item x="439"/>
        <item x="133"/>
        <item x="680"/>
        <item x="1500"/>
        <item x="749"/>
        <item x="209"/>
        <item x="568"/>
        <item x="449"/>
        <item x="659"/>
        <item x="1860"/>
        <item x="1420"/>
        <item x="1252"/>
        <item x="961"/>
        <item x="1600"/>
        <item x="1709"/>
        <item x="598"/>
        <item x="63"/>
        <item x="572"/>
        <item x="1652"/>
        <item x="998"/>
        <item x="1542"/>
        <item x="878"/>
        <item x="992"/>
        <item x="1318"/>
        <item x="925"/>
        <item x="689"/>
        <item x="1842"/>
        <item x="1691"/>
        <item x="106"/>
        <item x="1380"/>
        <item x="637"/>
        <item x="1678"/>
        <item x="539"/>
        <item x="1601"/>
        <item x="304"/>
        <item x="58"/>
        <item x="907"/>
        <item x="1474"/>
        <item x="1704"/>
        <item x="606"/>
        <item x="87"/>
        <item x="1006"/>
        <item x="1674"/>
        <item x="267"/>
        <item x="8"/>
        <item x="1837"/>
        <item x="1174"/>
        <item x="1645"/>
        <item x="98"/>
        <item x="40"/>
        <item x="10"/>
        <item x="1320"/>
        <item x="1242"/>
        <item x="1226"/>
        <item x="459"/>
        <item x="1150"/>
        <item x="146"/>
        <item x="587"/>
        <item x="537"/>
        <item x="779"/>
        <item x="7"/>
        <item x="379"/>
        <item x="334"/>
        <item x="1825"/>
        <item x="1184"/>
        <item x="182"/>
        <item x="1387"/>
        <item x="934"/>
        <item x="1659"/>
        <item x="241"/>
        <item x="1539"/>
        <item x="1734"/>
        <item x="552"/>
        <item x="317"/>
        <item x="612"/>
        <item x="1844"/>
        <item x="185"/>
        <item x="289"/>
        <item x="328"/>
        <item x="511"/>
        <item x="1703"/>
        <item x="1589"/>
        <item x="1082"/>
        <item x="467"/>
        <item x="1431"/>
        <item x="1632"/>
        <item x="545"/>
        <item x="1407"/>
        <item x="1180"/>
        <item x="1178"/>
        <item x="263"/>
        <item x="711"/>
        <item x="1859"/>
        <item x="543"/>
        <item x="408"/>
        <item x="113"/>
        <item x="1737"/>
        <item x="236"/>
        <item x="1257"/>
        <item x="1342"/>
        <item x="290"/>
        <item x="1251"/>
        <item x="68"/>
        <item x="1862"/>
        <item x="1164"/>
        <item x="50"/>
        <item x="1331"/>
        <item x="1403"/>
        <item x="1351"/>
        <item x="1338"/>
        <item x="1364"/>
        <item x="41"/>
        <item x="219"/>
        <item x="264"/>
        <item x="1135"/>
        <item x="115"/>
        <item x="1864"/>
        <item x="66"/>
        <item x="750"/>
        <item x="1553"/>
        <item x="565"/>
        <item x="1099"/>
        <item x="299"/>
        <item x="1216"/>
        <item x="1840"/>
        <item x="1134"/>
        <item x="508"/>
        <item x="1648"/>
        <item x="642"/>
        <item x="870"/>
        <item x="1078"/>
        <item x="1288"/>
        <item x="130"/>
        <item x="1625"/>
        <item x="1738"/>
        <item x="1391"/>
        <item x="1633"/>
        <item x="1582"/>
        <item x="1590"/>
        <item x="1779"/>
        <item x="534"/>
        <item x="493"/>
        <item x="1696"/>
        <item x="748"/>
        <item x="996"/>
        <item x="1085"/>
        <item x="1126"/>
        <item x="1836"/>
        <item x="1105"/>
        <item x="160"/>
        <item x="760"/>
        <item x="217"/>
        <item x="1470"/>
        <item x="1425"/>
        <item x="1651"/>
        <item x="1792"/>
        <item x="1369"/>
        <item x="94"/>
        <item x="1195"/>
        <item x="1127"/>
        <item x="1044"/>
        <item x="1607"/>
        <item x="142"/>
        <item x="173"/>
        <item x="523"/>
        <item x="640"/>
        <item x="967"/>
        <item x="1116"/>
        <item x="1254"/>
        <item x="248"/>
        <item x="140"/>
        <item x="1861"/>
        <item x="1656"/>
        <item x="1686"/>
        <item x="1307"/>
        <item x="911"/>
        <item x="1812"/>
        <item x="352"/>
        <item x="433"/>
        <item x="630"/>
        <item x="1115"/>
        <item x="1571"/>
        <item x="1290"/>
        <item x="1605"/>
        <item x="1340"/>
        <item x="1396"/>
        <item x="1426"/>
        <item x="1036"/>
        <item x="1010"/>
        <item x="677"/>
        <item x="1240"/>
        <item x="759"/>
        <item x="1574"/>
        <item x="859"/>
        <item x="1225"/>
        <item x="421"/>
        <item x="362"/>
        <item x="276"/>
        <item x="194"/>
        <item x="1793"/>
        <item x="928"/>
        <item x="518"/>
        <item x="1538"/>
        <item x="1000"/>
        <item x="865"/>
        <item x="371"/>
        <item x="887"/>
        <item x="1796"/>
        <item x="1578"/>
        <item x="805"/>
        <item x="258"/>
        <item x="254"/>
        <item x="202"/>
        <item x="1166"/>
        <item x="848"/>
        <item x="860"/>
        <item x="96"/>
        <item x="187"/>
        <item x="1189"/>
        <item x="685"/>
        <item x="1220"/>
        <item x="910"/>
        <item x="977"/>
        <item x="158"/>
        <item x="437"/>
        <item x="541"/>
        <item x="1820"/>
        <item x="29"/>
        <item x="623"/>
        <item x="964"/>
        <item x="1805"/>
        <item x="1747"/>
        <item x="232"/>
        <item x="1114"/>
        <item x="1399"/>
        <item x="1304"/>
        <item x="1767"/>
        <item x="245"/>
        <item x="1719"/>
        <item x="497"/>
        <item x="513"/>
        <item x="1375"/>
        <item x="720"/>
        <item x="275"/>
        <item x="80"/>
        <item x="1349"/>
        <item x="610"/>
        <item x="1063"/>
        <item x="324"/>
        <item x="1664"/>
        <item x="1030"/>
        <item x="214"/>
        <item x="230"/>
        <item x="769"/>
        <item x="994"/>
        <item x="1654"/>
        <item x="1077"/>
        <item x="1004"/>
        <item x="1611"/>
        <item x="315"/>
        <item x="12"/>
        <item x="570"/>
        <item x="1787"/>
        <item x="1385"/>
        <item x="1175"/>
        <item x="1417"/>
        <item x="764"/>
        <item x="554"/>
        <item x="1027"/>
        <item x="1821"/>
        <item x="721"/>
        <item x="1065"/>
        <item x="952"/>
        <item x="42"/>
        <item x="1564"/>
        <item x="215"/>
        <item x="1854"/>
        <item x="516"/>
        <item x="69"/>
        <item x="1137"/>
        <item x="1270"/>
        <item x="491"/>
        <item x="875"/>
        <item x="1800"/>
        <item x="150"/>
        <item x="1810"/>
        <item x="296"/>
        <item x="434"/>
        <item x="660"/>
        <item x="1766"/>
        <item x="108"/>
        <item x="280"/>
        <item x="407"/>
        <item x="1215"/>
        <item x="1422"/>
        <item x="356"/>
        <item x="1666"/>
        <item x="1161"/>
        <item x="500"/>
        <item x="1087"/>
        <item x="1577"/>
        <item x="91"/>
        <item x="958"/>
        <item x="435"/>
        <item x="329"/>
        <item x="813"/>
        <item x="1365"/>
        <item x="1057"/>
        <item x="815"/>
        <item x="899"/>
        <item x="1414"/>
        <item x="762"/>
        <item x="1155"/>
        <item x="1123"/>
        <item x="1642"/>
        <item x="1162"/>
        <item x="837"/>
        <item x="1102"/>
        <item x="1832"/>
        <item x="359"/>
        <item x="277"/>
        <item x="208"/>
        <item x="1801"/>
        <item x="726"/>
        <item x="283"/>
        <item x="233"/>
        <item x="162"/>
        <item x="1726"/>
        <item x="1705"/>
        <item x="1627"/>
        <item x="1554"/>
        <item x="921"/>
        <item x="514"/>
        <item x="1341"/>
        <item x="412"/>
        <item x="745"/>
        <item x="1623"/>
        <item x="1041"/>
        <item x="444"/>
        <item x="1467"/>
        <item x="1208"/>
        <item x="611"/>
        <item x="798"/>
        <item x="139"/>
        <item x="89"/>
        <item x="1402"/>
        <item x="271"/>
        <item x="626"/>
        <item x="405"/>
        <item x="26"/>
        <item x="1278"/>
        <item x="1763"/>
        <item x="445"/>
        <item x="1806"/>
        <item x="1618"/>
        <item x="257"/>
        <item x="420"/>
        <item x="1074"/>
        <item x="1112"/>
        <item x="472"/>
        <item x="1393"/>
        <item x="1098"/>
        <item x="13"/>
        <item x="1357"/>
        <item x="645"/>
        <item x="989"/>
        <item x="1325"/>
        <item x="560"/>
        <item x="221"/>
        <item x="1758"/>
        <item x="11"/>
        <item x="935"/>
        <item x="124"/>
        <item x="881"/>
        <item x="49"/>
        <item x="186"/>
        <item x="575"/>
        <item x="525"/>
        <item x="1453"/>
        <item x="1531"/>
        <item x="863"/>
        <item x="1147"/>
        <item x="780"/>
        <item x="260"/>
        <item x="656"/>
        <item x="1061"/>
        <item x="825"/>
        <item x="1029"/>
        <item x="237"/>
        <item x="1054"/>
        <item x="573"/>
        <item x="743"/>
        <item x="691"/>
        <item x="588"/>
        <item x="1492"/>
        <item x="1110"/>
        <item x="607"/>
        <item x="1798"/>
        <item x="826"/>
        <item x="1075"/>
        <item x="1649"/>
        <item x="1067"/>
        <item x="1547"/>
        <item x="176"/>
        <item x="701"/>
        <item x="494"/>
        <item x="1183"/>
        <item x="436"/>
        <item x="1048"/>
        <item x="226"/>
        <item x="888"/>
        <item x="178"/>
        <item x="510"/>
        <item x="1428"/>
        <item x="1200"/>
        <item x="679"/>
        <item x="1359"/>
        <item x="482"/>
        <item x="1841"/>
        <item x="261"/>
        <item x="756"/>
        <item x="1046"/>
        <item x="424"/>
        <item x="1546"/>
        <item x="655"/>
        <item x="950"/>
        <item x="415"/>
        <item x="1823"/>
        <item x="1484"/>
        <item x="1473"/>
        <item x="131"/>
        <item x="1059"/>
        <item x="943"/>
        <item x="473"/>
        <item x="1370"/>
        <item x="1503"/>
        <item x="1068"/>
        <item x="991"/>
        <item x="571"/>
        <item x="484"/>
        <item x="1012"/>
        <item x="906"/>
        <item x="1312"/>
        <item x="1292"/>
        <item x="864"/>
        <item x="522"/>
        <item x="191"/>
        <item x="1495"/>
        <item x="1778"/>
        <item x="1392"/>
        <item x="492"/>
        <item x="1483"/>
        <item x="460"/>
        <item x="1624"/>
        <item x="1355"/>
        <item x="1374"/>
        <item x="954"/>
        <item x="1376"/>
        <item x="61"/>
        <item x="1721"/>
        <item x="452"/>
        <item x="474"/>
        <item x="199"/>
        <item x="44"/>
        <item x="1803"/>
        <item x="1838"/>
        <item x="239"/>
        <item x="567"/>
        <item x="128"/>
        <item x="650"/>
        <item x="562"/>
        <item x="821"/>
        <item x="1566"/>
        <item x="297"/>
        <item x="868"/>
        <item x="71"/>
        <item x="18"/>
        <item x="1478"/>
        <item x="624"/>
        <item x="125"/>
        <item x="1258"/>
        <item x="530"/>
        <item x="585"/>
        <item x="774"/>
        <item x="1235"/>
        <item x="1083"/>
        <item x="1588"/>
        <item x="563"/>
        <item x="1043"/>
        <item x="816"/>
        <item x="1026"/>
        <item x="1193"/>
        <item x="975"/>
        <item x="666"/>
        <item x="464"/>
        <item x="81"/>
        <item x="1204"/>
        <item x="712"/>
        <item x="1281"/>
        <item x="970"/>
        <item x="83"/>
        <item x="1757"/>
        <item x="1263"/>
        <item x="794"/>
        <item x="207"/>
        <item x="1799"/>
        <item x="1084"/>
        <item x="686"/>
        <item x="1522"/>
        <item x="1580"/>
        <item x="1596"/>
        <item x="725"/>
        <item x="1530"/>
        <item x="1811"/>
        <item x="1604"/>
        <item x="422"/>
        <item x="1347"/>
        <item x="265"/>
        <item x="1039"/>
        <item x="1471"/>
        <item x="156"/>
        <item x="227"/>
        <item x="147"/>
        <item x="1001"/>
        <item x="308"/>
        <item x="373"/>
        <item x="1329"/>
        <item x="1142"/>
        <item x="1197"/>
        <item x="65"/>
        <item x="1637"/>
        <item x="1337"/>
        <item x="281"/>
        <item x="1535"/>
        <item x="867"/>
        <item x="266"/>
        <item x="1723"/>
        <item x="548"/>
        <item x="767"/>
        <item x="380"/>
        <item x="247"/>
        <item x="250"/>
        <item x="713"/>
        <item x="658"/>
        <item x="34"/>
        <item x="1498"/>
        <item x="1202"/>
        <item x="386"/>
        <item x="897"/>
        <item x="576"/>
        <item x="1298"/>
        <item x="861"/>
        <item x="1518"/>
        <item x="1398"/>
        <item x="429"/>
        <item x="505"/>
        <item x="1185"/>
        <item x="1028"/>
        <item x="1441"/>
        <item x="1507"/>
        <item x="489"/>
        <item x="51"/>
        <item x="470"/>
        <item x="809"/>
        <item x="1363"/>
        <item x="151"/>
        <item x="960"/>
        <item x="67"/>
        <item x="1273"/>
        <item x="1688"/>
        <item x="838"/>
        <item x="1264"/>
        <item x="172"/>
        <item x="1108"/>
        <item x="1764"/>
        <item x="1679"/>
        <item x="17"/>
        <item x="1140"/>
        <item x="1597"/>
        <item x="111"/>
        <item x="1143"/>
        <item x="1093"/>
        <item x="1681"/>
        <item x="1248"/>
        <item x="695"/>
        <item x="86"/>
        <item x="1113"/>
        <item x="738"/>
        <item x="1040"/>
        <item x="728"/>
        <item x="1224"/>
        <item x="919"/>
        <item x="1352"/>
        <item x="295"/>
        <item x="918"/>
        <item x="1287"/>
        <item x="684"/>
        <item x="1336"/>
        <item x="584"/>
        <item x="1831"/>
        <item x="1438"/>
        <item x="1682"/>
        <item x="1427"/>
        <item x="456"/>
        <item x="953"/>
        <item x="699"/>
        <item x="48"/>
        <item x="740"/>
        <item x="414"/>
        <item x="393"/>
        <item x="995"/>
        <item x="1212"/>
        <item x="1442"/>
        <item x="57"/>
        <item x="357"/>
        <item x="1774"/>
        <item x="273"/>
        <item x="144"/>
        <item x="181"/>
        <item x="1201"/>
        <item x="1158"/>
        <item x="350"/>
        <item x="238"/>
        <item x="1344"/>
        <item x="5"/>
        <item x="796"/>
        <item x="1247"/>
        <item x="947"/>
        <item x="411"/>
        <item x="1244"/>
        <item x="310"/>
        <item x="1662"/>
        <item x="1487"/>
        <item x="931"/>
        <item x="251"/>
        <item x="981"/>
        <item x="827"/>
        <item x="1024"/>
        <item x="1488"/>
        <item x="752"/>
        <item x="1308"/>
        <item x="1297"/>
        <item x="914"/>
        <item x="1246"/>
        <item x="1464"/>
        <item x="1386"/>
        <item x="1367"/>
        <item x="1249"/>
        <item x="168"/>
        <item x="85"/>
        <item x="604"/>
        <item x="671"/>
        <item x="1687"/>
        <item x="843"/>
        <item x="668"/>
        <item x="657"/>
        <item x="670"/>
        <item x="1710"/>
        <item x="1735"/>
        <item x="1759"/>
        <item x="795"/>
        <item x="1448"/>
        <item x="399"/>
        <item x="1322"/>
        <item x="450"/>
        <item x="1816"/>
        <item x="1556"/>
        <item x="591"/>
        <item x="1293"/>
        <item x="1504"/>
        <item x="948"/>
        <item x="916"/>
        <item x="1676"/>
        <item x="1514"/>
        <item x="1005"/>
        <item x="235"/>
        <item x="1780"/>
        <item x="1485"/>
        <item x="1563"/>
        <item x="193"/>
        <item x="1291"/>
        <item x="495"/>
        <item x="708"/>
        <item x="1261"/>
        <item x="1619"/>
        <item x="1017"/>
        <item x="1731"/>
        <item x="891"/>
        <item x="1280"/>
        <item x="1671"/>
        <item x="979"/>
        <item x="801"/>
        <item x="962"/>
        <item x="1382"/>
        <item x="390"/>
        <item x="969"/>
        <item x="196"/>
        <item x="791"/>
        <item x="820"/>
        <item x="79"/>
        <item x="1565"/>
        <item x="1683"/>
        <item x="1053"/>
        <item x="1761"/>
        <item x="663"/>
        <item x="1724"/>
        <item x="465"/>
        <item x="581"/>
        <item x="621"/>
        <item x="256"/>
        <item x="1042"/>
        <item x="1133"/>
        <item x="993"/>
        <item x="1455"/>
        <item x="1809"/>
        <item x="1813"/>
        <item x="718"/>
        <item x="965"/>
        <item x="1121"/>
        <item x="1131"/>
        <item x="395"/>
        <item x="1585"/>
        <item x="730"/>
        <item x="252"/>
        <item x="132"/>
        <item x="1775"/>
        <item x="479"/>
        <item x="783"/>
        <item x="1092"/>
        <item x="1035"/>
        <item x="1857"/>
        <item x="1460"/>
        <item x="259"/>
        <item x="968"/>
        <item x="676"/>
        <item x="1051"/>
        <item x="648"/>
        <item x="1672"/>
        <item x="1722"/>
        <item x="220"/>
        <item x="1695"/>
        <item x="212"/>
        <item x="1230"/>
        <item x="270"/>
        <item x="234"/>
        <item x="1532"/>
        <item x="370"/>
        <item x="1418"/>
        <item x="1753"/>
        <item x="1186"/>
        <item x="164"/>
        <item x="681"/>
        <item x="1018"/>
        <item x="559"/>
        <item x="1680"/>
        <item x="1151"/>
        <item x="285"/>
        <item x="698"/>
        <item x="619"/>
        <item x="1660"/>
        <item x="1557"/>
        <item x="478"/>
        <item x="1827"/>
        <item x="225"/>
        <item x="973"/>
        <item x="775"/>
        <item x="1744"/>
        <item x="1250"/>
        <item x="538"/>
        <item x="320"/>
        <item x="1198"/>
        <item x="1007"/>
        <item x="60"/>
        <item x="501"/>
        <item x="1416"/>
        <item x="1433"/>
        <item x="1459"/>
        <item x="903"/>
        <item x="1191"/>
        <item x="654"/>
        <item x="904"/>
        <item x="1497"/>
        <item x="1468"/>
        <item x="1545"/>
        <item x="1555"/>
        <item x="628"/>
        <item x="1089"/>
        <item x="672"/>
        <item x="1076"/>
        <item x="442"/>
        <item x="901"/>
        <item x="418"/>
        <item x="674"/>
        <item x="77"/>
        <item x="1149"/>
        <item x="1141"/>
        <item x="466"/>
        <item x="1576"/>
        <item x="1361"/>
        <item x="1038"/>
        <item x="1339"/>
        <item x="1782"/>
        <item x="1675"/>
        <item x="1309"/>
        <item x="941"/>
        <item x="823"/>
        <item x="1579"/>
        <item x="1804"/>
        <item x="831"/>
        <item x="1210"/>
        <item x="549"/>
        <item x="74"/>
        <item x="1321"/>
        <item x="1404"/>
        <item x="1745"/>
        <item x="1521"/>
        <item x="1617"/>
        <item x="833"/>
        <item x="966"/>
        <item x="343"/>
        <item x="447"/>
        <item x="1620"/>
        <item x="337"/>
        <item x="694"/>
        <item x="1192"/>
        <item x="169"/>
        <item x="244"/>
        <item x="1227"/>
        <item x="1615"/>
        <item x="291"/>
        <item x="28"/>
        <item x="849"/>
        <item x="988"/>
        <item x="1056"/>
        <item x="1305"/>
        <item x="1269"/>
        <item x="90"/>
        <item x="1233"/>
        <item x="240"/>
        <item x="1362"/>
        <item x="616"/>
        <item x="1223"/>
        <item x="1271"/>
        <item x="824"/>
        <item x="428"/>
        <item x="1689"/>
        <item x="729"/>
        <item x="1122"/>
        <item x="1389"/>
        <item x="555"/>
        <item x="1785"/>
        <item x="170"/>
        <item x="1595"/>
        <item x="857"/>
        <item x="318"/>
        <item x="368"/>
        <item x="1646"/>
        <item x="1066"/>
        <item x="1434"/>
        <item x="1388"/>
        <item x="1790"/>
        <item x="982"/>
        <item x="1172"/>
        <item x="722"/>
        <item x="1071"/>
        <item x="488"/>
        <item x="984"/>
        <item x="593"/>
        <item x="1073"/>
        <item x="852"/>
        <item x="36"/>
        <item x="99"/>
        <item x="1751"/>
        <item x="1282"/>
        <item x="1449"/>
        <item x="937"/>
        <item x="313"/>
        <item x="625"/>
        <item x="802"/>
        <item x="1368"/>
        <item x="404"/>
        <item x="499"/>
        <item x="1379"/>
        <item x="1550"/>
        <item x="1791"/>
        <item x="1211"/>
        <item x="1450"/>
        <item x="790"/>
        <item x="1817"/>
        <item x="1019"/>
        <item x="1284"/>
        <item x="757"/>
        <item x="715"/>
        <item x="167"/>
        <item x="959"/>
        <item x="1830"/>
        <item x="705"/>
        <item x="82"/>
        <item x="1824"/>
        <item x="886"/>
        <item x="987"/>
        <item x="149"/>
        <item x="1177"/>
        <item x="468"/>
        <item x="939"/>
        <item x="669"/>
        <item x="839"/>
        <item x="531"/>
        <item x="1091"/>
        <item x="817"/>
        <item x="1707"/>
        <item x="377"/>
        <item x="1699"/>
        <item x="483"/>
        <item x="403"/>
        <item x="1022"/>
        <item x="617"/>
        <item x="1653"/>
        <item x="951"/>
        <item x="1771"/>
        <item x="703"/>
        <item x="303"/>
        <item x="366"/>
        <item x="27"/>
        <item x="1575"/>
        <item x="1080"/>
        <item x="1602"/>
        <item x="384"/>
        <item x="1060"/>
        <item x="1377"/>
        <item x="417"/>
        <item x="487"/>
        <item x="651"/>
        <item x="1356"/>
        <item x="599"/>
        <item x="397"/>
        <item x="553"/>
        <item x="737"/>
        <item x="1430"/>
        <item x="1350"/>
        <item x="1095"/>
        <item x="1754"/>
        <item x="1015"/>
        <item x="980"/>
        <item x="1567"/>
        <item x="22"/>
        <item x="16"/>
        <item x="1310"/>
        <item x="1255"/>
        <item x="1454"/>
        <item x="1070"/>
        <item x="409"/>
        <item x="890"/>
        <item x="862"/>
        <item x="438"/>
        <item x="355"/>
        <item x="773"/>
        <item x="717"/>
        <item x="1684"/>
        <item x="198"/>
        <item x="95"/>
        <item x="803"/>
        <item x="1629"/>
        <item x="205"/>
        <item x="719"/>
        <item x="535"/>
        <item x="30"/>
        <item x="1715"/>
        <item x="1037"/>
        <item x="1770"/>
        <item x="253"/>
        <item x="1784"/>
        <item x="101"/>
        <item x="761"/>
        <item x="107"/>
        <item x="35"/>
        <item x="46"/>
        <item x="432"/>
        <item x="1088"/>
        <item x="1013"/>
        <item x="1510"/>
        <item x="195"/>
        <item x="1863"/>
        <item x="667"/>
        <item x="926"/>
        <item x="652"/>
        <item x="1353"/>
        <item x="1781"/>
        <item x="840"/>
        <item x="709"/>
        <item x="448"/>
        <item x="799"/>
        <item x="72"/>
        <item x="985"/>
        <item x="894"/>
        <item x="344"/>
        <item x="312"/>
        <item x="877"/>
        <item x="443"/>
        <item x="847"/>
        <item x="316"/>
        <item x="222"/>
        <item x="369"/>
        <item x="1847"/>
        <item x="1828"/>
        <item x="1762"/>
        <item x="1366"/>
        <item x="1408"/>
        <item x="1064"/>
        <item x="1424"/>
        <item x="1128"/>
        <item x="1265"/>
        <item x="782"/>
        <item x="1527"/>
        <item x="1702"/>
        <item x="1739"/>
        <item x="469"/>
        <item x="166"/>
        <item x="1283"/>
        <item x="884"/>
        <item x="1272"/>
        <item x="292"/>
        <item x="673"/>
        <item x="400"/>
        <item x="997"/>
        <item x="1214"/>
        <item x="110"/>
        <item x="1104"/>
        <item x="1525"/>
        <item x="1669"/>
        <item x="1697"/>
        <item x="1496"/>
        <item x="353"/>
        <item x="792"/>
        <item x="1760"/>
        <item x="274"/>
        <item x="1315"/>
        <item x="1371"/>
        <item x="1768"/>
        <item x="1324"/>
        <item x="1490"/>
        <item x="1634"/>
        <item x="772"/>
        <item x="1663"/>
        <item x="1523"/>
        <item x="1145"/>
        <item x="148"/>
        <item x="1494"/>
        <item x="963"/>
        <item x="832"/>
        <item x="1783"/>
        <item x="1316"/>
        <item x="332"/>
        <item x="1583"/>
        <item x="134"/>
        <item x="592"/>
        <item x="1107"/>
        <item x="1237"/>
        <item x="1573"/>
        <item x="102"/>
        <item x="453"/>
        <item x="1480"/>
        <item x="56"/>
        <item x="836"/>
        <item x="1465"/>
        <item x="431"/>
        <item x="1086"/>
        <item x="1343"/>
        <item x="520"/>
        <item x="724"/>
        <item x="1311"/>
        <item x="440"/>
        <item x="929"/>
        <item x="789"/>
        <item x="427"/>
        <item x="389"/>
        <item x="736"/>
        <item x="461"/>
        <item x="793"/>
        <item x="1176"/>
        <item x="6"/>
        <item x="1276"/>
        <item x="1685"/>
        <item x="346"/>
        <item x="21"/>
        <item x="845"/>
        <item x="382"/>
        <item x="23"/>
        <item x="282"/>
        <item x="649"/>
        <item x="121"/>
        <item x="578"/>
        <item x="1520"/>
        <item x="269"/>
        <item x="426"/>
        <item x="1079"/>
        <item x="1692"/>
        <item x="634"/>
        <item x="1268"/>
        <item x="1665"/>
        <item x="1457"/>
        <item x="1740"/>
        <item x="1009"/>
        <item x="1156"/>
        <item x="1822"/>
        <item x="1381"/>
        <item x="1641"/>
        <item x="696"/>
        <item x="1034"/>
        <item x="39"/>
        <item x="1511"/>
        <item x="392"/>
        <item x="814"/>
        <item x="153"/>
        <item x="1314"/>
        <item x="1728"/>
        <item x="243"/>
        <item x="1846"/>
        <item x="627"/>
        <item x="880"/>
        <item x="293"/>
        <item x="1011"/>
        <item x="723"/>
        <item x="152"/>
        <item x="200"/>
        <item x="1241"/>
        <item x="396"/>
        <item x="387"/>
        <item x="218"/>
        <item x="1277"/>
        <item x="1124"/>
        <item x="603"/>
        <item x="55"/>
        <item x="1205"/>
        <item x="1650"/>
        <item x="1154"/>
        <item x="203"/>
        <item x="955"/>
        <item x="1302"/>
        <item x="137"/>
        <item x="1541"/>
        <item x="307"/>
        <item x="78"/>
        <item x="1411"/>
        <item x="515"/>
        <item x="635"/>
        <item x="20"/>
        <item x="800"/>
        <item x="242"/>
        <item x="1221"/>
        <item x="872"/>
        <item x="784"/>
        <item x="1533"/>
        <item x="1421"/>
        <item x="866"/>
        <item x="184"/>
        <item x="1358"/>
        <item x="1"/>
        <item x="1670"/>
        <item x="1807"/>
        <item x="1334"/>
        <item x="1598"/>
        <item x="1052"/>
        <item x="1236"/>
        <item x="1717"/>
        <item x="1444"/>
        <item x="1275"/>
        <item x="116"/>
        <item x="1016"/>
        <item x="477"/>
        <item x="1213"/>
        <item x="1094"/>
        <item x="1413"/>
        <item x="1119"/>
        <item x="550"/>
        <item x="1008"/>
        <item x="1733"/>
        <item x="758"/>
        <item x="687"/>
        <item x="53"/>
        <item x="527"/>
        <item x="1570"/>
        <item x="1360"/>
        <item x="423"/>
        <item x="327"/>
        <item x="331"/>
        <item x="126"/>
        <item x="1621"/>
        <item x="986"/>
        <item x="391"/>
        <item x="1032"/>
        <item x="255"/>
        <item x="945"/>
        <item x="1300"/>
        <item x="706"/>
        <item x="1181"/>
        <item x="1303"/>
        <item x="93"/>
        <item x="665"/>
        <item x="1608"/>
        <item x="1203"/>
        <item x="1592"/>
        <item x="1462"/>
        <item x="1489"/>
        <item x="1432"/>
        <item x="829"/>
        <item x="1410"/>
        <item x="1741"/>
        <item x="1020"/>
        <item x="1096"/>
        <item x="912"/>
        <item x="893"/>
        <item x="52"/>
        <item x="1858"/>
        <item x="302"/>
        <item x="785"/>
        <item x="1103"/>
        <item x="1394"/>
        <item x="1701"/>
        <item x="556"/>
        <item x="171"/>
        <item x="597"/>
        <item x="944"/>
        <item x="1285"/>
        <item x="1606"/>
        <item x="1458"/>
        <item x="727"/>
        <item x="1668"/>
        <item x="1170"/>
        <item x="507"/>
        <item x="1769"/>
        <item x="425"/>
        <item x="109"/>
        <item x="641"/>
        <item x="990"/>
        <item x="844"/>
        <item x="1777"/>
        <item x="577"/>
        <item x="223"/>
        <item x="731"/>
        <item x="1429"/>
        <item x="1501"/>
        <item x="1058"/>
        <item x="360"/>
        <item x="1708"/>
        <item x="812"/>
        <item x="1130"/>
        <item x="476"/>
        <item x="734"/>
        <item x="117"/>
        <item x="922"/>
        <item x="246"/>
        <item x="1493"/>
        <item x="1593"/>
        <item x="1330"/>
        <item x="1222"/>
        <item x="1423"/>
        <item x="924"/>
        <item x="1797"/>
        <item x="957"/>
        <item x="135"/>
        <item x="1452"/>
        <item x="1819"/>
        <item x="1049"/>
        <item x="589"/>
        <item x="923"/>
        <item x="615"/>
        <item x="286"/>
        <item x="1440"/>
        <item x="228"/>
        <item x="536"/>
        <item x="0"/>
        <item x="1548"/>
        <item x="374"/>
        <item x="1631"/>
        <item x="1117"/>
        <item x="1581"/>
        <item x="1317"/>
        <item x="1169"/>
        <item x="1519"/>
        <item x="1419"/>
        <item x="1294"/>
        <item x="1306"/>
        <item t="default"/>
      </items>
    </pivotField>
    <pivotField numFmtId="164" showAll="0"/>
    <pivotField showAll="0"/>
    <pivotField showAll="0"/>
    <pivotField showAll="0"/>
    <pivotField numFmtId="165" showAll="0"/>
    <pivotField numFmtId="166" showAll="0"/>
    <pivotField numFmtId="1" showAll="0"/>
    <pivotField numFmtId="165" showAll="0"/>
    <pivotField numFmtId="165" showAll="0"/>
    <pivotField numFmtId="165" showAll="0"/>
    <pivotField numFmtId="165" showAll="0"/>
    <pivotField numFmtId="165" showAll="0"/>
    <pivotField showAll="0"/>
    <pivotField showAll="0"/>
    <pivotField showAll="0"/>
    <pivotField dataField="1" showAll="0"/>
    <pivotField showAl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Customer Rating" fld="16" subtotal="average" baseField="0" baseItem="10" numFmtId="1"/>
  </dataFields>
  <formats count="4">
    <format dxfId="79">
      <pivotArea outline="0" collapsedLevelsAreSubtotals="1" fieldPosition="0"/>
    </format>
    <format dxfId="25">
      <pivotArea type="all" dataOnly="0" outline="0" fieldPosition="0"/>
    </format>
    <format dxfId="24">
      <pivotArea outline="0" collapsedLevelsAreSubtotals="1" fieldPosition="0"/>
    </format>
    <format dxfId="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F8CC517-D141-45AB-AF96-AE6DD065269E}" name="bestseller_produc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3:G24" firstHeaderRow="1" firstDataRow="1" firstDataCol="1"/>
  <pivotFields count="19">
    <pivotField showAll="0"/>
    <pivotField numFmtId="164" showAll="0"/>
    <pivotField showAll="0"/>
    <pivotField showAll="0"/>
    <pivotField axis="axisRow" showAll="0" sortType="descending">
      <items count="21">
        <item x="10"/>
        <item x="4"/>
        <item x="15"/>
        <item x="6"/>
        <item x="7"/>
        <item x="9"/>
        <item x="14"/>
        <item x="16"/>
        <item x="19"/>
        <item x="0"/>
        <item x="17"/>
        <item x="13"/>
        <item x="8"/>
        <item x="3"/>
        <item x="5"/>
        <item x="1"/>
        <item x="12"/>
        <item x="18"/>
        <item x="11"/>
        <item x="2"/>
        <item t="default"/>
      </items>
      <autoSortScope>
        <pivotArea dataOnly="0" outline="0" fieldPosition="0">
          <references count="1">
            <reference field="4294967294" count="1" selected="0">
              <x v="0"/>
            </reference>
          </references>
        </pivotArea>
      </autoSortScope>
    </pivotField>
    <pivotField numFmtId="165" showAll="0"/>
    <pivotField dataField="1" numFmtId="166" showAll="0"/>
    <pivotField numFmtId="1" showAll="0"/>
    <pivotField numFmtId="165" showAll="0"/>
    <pivotField numFmtId="165" showAll="0"/>
    <pivotField numFmtId="165" showAll="0"/>
    <pivotField numFmtId="165" showAll="0"/>
    <pivotField numFmtId="165"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4"/>
  </rowFields>
  <rowItems count="21">
    <i>
      <x v="12"/>
    </i>
    <i>
      <x v="13"/>
    </i>
    <i>
      <x v="9"/>
    </i>
    <i>
      <x v="19"/>
    </i>
    <i>
      <x v="18"/>
    </i>
    <i>
      <x/>
    </i>
    <i>
      <x v="1"/>
    </i>
    <i>
      <x v="14"/>
    </i>
    <i>
      <x v="17"/>
    </i>
    <i>
      <x v="16"/>
    </i>
    <i>
      <x v="5"/>
    </i>
    <i>
      <x v="10"/>
    </i>
    <i>
      <x v="3"/>
    </i>
    <i>
      <x v="4"/>
    </i>
    <i>
      <x v="11"/>
    </i>
    <i>
      <x v="7"/>
    </i>
    <i>
      <x v="6"/>
    </i>
    <i>
      <x v="2"/>
    </i>
    <i>
      <x v="15"/>
    </i>
    <i>
      <x v="8"/>
    </i>
    <i t="grand">
      <x/>
    </i>
  </rowItems>
  <colItems count="1">
    <i/>
  </colItems>
  <dataFields count="1">
    <dataField name="Sum of Quantity (kg)" fld="6" baseField="0" baseItem="0"/>
  </dataFields>
  <formats count="6">
    <format dxfId="22">
      <pivotArea type="all" dataOnly="0" outline="0" fieldPosition="0"/>
    </format>
    <format dxfId="21">
      <pivotArea outline="0" collapsedLevelsAreSubtotals="1" fieldPosition="0"/>
    </format>
    <format dxfId="20">
      <pivotArea field="4" type="button" dataOnly="0" labelOnly="1" outline="0" axis="axisRow" fieldPosition="0"/>
    </format>
    <format dxfId="19">
      <pivotArea dataOnly="0" labelOnly="1" fieldPosition="0">
        <references count="1">
          <reference field="4" count="0"/>
        </references>
      </pivotArea>
    </format>
    <format dxfId="18">
      <pivotArea dataOnly="0" labelOnly="1" grandRow="1" outline="0" fieldPosition="0"/>
    </format>
    <format dxfId="1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28F46293-3EDA-4BC0-A46B-F59D852E0F6B}" sourceName="Months">
  <pivotTables>
    <pivotTable tabId="8" name="PivotTable2"/>
    <pivotTable tabId="8" name="avg_rating"/>
    <pivotTable tabId="8" name="total_order"/>
    <pivotTable tabId="8" name="total_revenue"/>
    <pivotTable tabId="8" name="bestseller_product"/>
    <pivotTable tabId="8" name="order_status"/>
    <pivotTable tabId="8" name="payment_method"/>
    <pivotTable tabId="8" name="platform_performance"/>
    <pivotTable tabId="8" name="revenue_contr"/>
    <pivotTable tabId="8" name="sales_gender"/>
    <pivotTable tabId="8" name="total_quantity"/>
    <pivotTable tabId="8" name="sales_trend2"/>
  </pivotTables>
  <data>
    <tabular pivotCacheId="645180304">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1" xr10:uid="{51B91CB6-759F-48EC-8AF6-C64374AEBFD8}" cache="Slicer_Months" caption="Month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B93628C9-30C9-4461-88BB-B4A0D7956C12}" cache="Slicer_Months" caption="Months" style="SlicerStyleLight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6419D7-07C9-4141-86EF-0EFA09E59DE6}" name="data" displayName="data" ref="A3:X2003" totalsRowShown="0" headerRowDxfId="106" dataDxfId="104" headerRowBorderDxfId="105" tableBorderDxfId="103">
  <autoFilter ref="A3:X2003" xr:uid="{8BA2557C-0AFD-4D2E-B241-68679F923933}"/>
  <tableColumns count="24">
    <tableColumn id="1" xr3:uid="{6BD2ED46-1DA2-46CE-BB45-C016D9EFC30B}" name="Order ID" dataDxfId="102"/>
    <tableColumn id="2" xr3:uid="{209744C3-58E2-4F1A-929B-124F56FFFB70}" name="Order Date" dataDxfId="101"/>
    <tableColumn id="3" xr3:uid="{68B0974D-775B-494B-858A-6D3716D28DC9}" name="Customer Name" dataDxfId="100"/>
    <tableColumn id="4" xr3:uid="{8C6ABDFA-3EC1-4675-B373-A1F74551ECD8}" name="City" dataDxfId="99"/>
    <tableColumn id="5" xr3:uid="{29107D67-74F2-4D14-BBD4-63C2E45F51AB}" name="ProductName" dataDxfId="98"/>
    <tableColumn id="6" xr3:uid="{C6772DE2-6F49-40DF-A85B-909E3B046215}" name="Unit Price" dataDxfId="97"/>
    <tableColumn id="7" xr3:uid="{1541F2F4-E575-412F-ADFF-0B2EC850E4D2}" name="Quantity (kg)" dataDxfId="96"/>
    <tableColumn id="8" xr3:uid="{69DE7ECF-BE05-430F-98EF-3D89EE63E4D6}" name="Discount (%)" dataDxfId="95"/>
    <tableColumn id="9" xr3:uid="{8C461390-2A17-4522-A318-1DEE84865E90}" name="Subtotal" dataDxfId="94">
      <calculatedColumnFormula>F4*G4</calculatedColumnFormula>
    </tableColumn>
    <tableColumn id="10" xr3:uid="{85765C13-2770-4BDB-9E03-BBBFD570E995}" name="Discount Amount" dataDxfId="93">
      <calculatedColumnFormula>I4*(H4/100)</calculatedColumnFormula>
    </tableColumn>
    <tableColumn id="11" xr3:uid="{6F4A3306-9896-4280-90AD-45913304C7FC}" name="Total Sales" dataDxfId="92">
      <calculatedColumnFormula>I4-J4</calculatedColumnFormula>
    </tableColumn>
    <tableColumn id="12" xr3:uid="{97792B50-27E8-4C51-804F-995B93BA1E35}" name="Shipping Fee" dataDxfId="91"/>
    <tableColumn id="13" xr3:uid="{1D5EA5CE-78F2-4C18-947B-215341396707}" name="Grand Total" dataDxfId="90">
      <calculatedColumnFormula>K4+L4</calculatedColumnFormula>
    </tableColumn>
    <tableColumn id="14" xr3:uid="{E7BDE306-CF41-4349-9788-8A3C4F6826F6}" name="Payment Method" dataDxfId="89"/>
    <tableColumn id="15" xr3:uid="{ABC1C1BE-1128-4425-9127-18FA1E783944}" name="Order Status"/>
    <tableColumn id="16" xr3:uid="{9CB58468-54D0-4C61-BC5E-CFFF2881A485}" name="Platform" dataDxfId="88"/>
    <tableColumn id="17" xr3:uid="{9FCACEE3-0FFB-4DD0-9370-83092B2899A8}" name="Customer Rating" dataDxfId="87"/>
    <tableColumn id="18" xr3:uid="{F7CD3CF5-C0A8-4EA2-A474-FA67B3628396}" name="Jenis Kelamin" dataDxfId="86"/>
    <tableColumn id="19" xr3:uid="{9650A9A5-3464-4F2F-A5EE-D3084EC5978A}" name="KategoriTransaksi" dataDxfId="85">
      <calculatedColumnFormula>IF(M4&lt;=50000,"Sangat Rendah",IF(M4&lt;=100000,"Rendah",IF(M4&lt;=150000,"Standar",IF(M4&lt;=200000,"Tinggi","Sangat Tinggi"))))</calculatedColumnFormula>
    </tableColumn>
    <tableColumn id="20" xr3:uid="{FA22B894-48B2-4853-8448-D71DD721FEB0}" name="Nomor 1" dataDxfId="84">
      <calculatedColumnFormula>IF(AND(S4="Rendah",D4="Yogyakarta"),"TRUE","FALSE")</calculatedColumnFormula>
    </tableColumn>
    <tableColumn id="21" xr3:uid="{E691579C-6C5B-4BB9-8EB8-1F649CC0F9E1}" name="Nomor 2" dataDxfId="83">
      <calculatedColumnFormula>IF(OR(S4="Tinggi",E4="Bayam"),"TRUE","FALSE")</calculatedColumnFormula>
    </tableColumn>
    <tableColumn id="22" xr3:uid="{2E0F598F-F73F-4F89-8B3F-5273A0870986}" name="Nomor 3" dataDxfId="82">
      <calculatedColumnFormula>IF(AND(S4="Standar",N4="Transef Bank"),TRUE,FALSE)</calculatedColumnFormula>
    </tableColumn>
    <tableColumn id="23" xr3:uid="{979CFEE2-926B-4F44-9131-E82442ACDEA4}" name="Nomor 4" dataDxfId="81">
      <calculatedColumnFormula>IF(OR(S4="Sangat Tinggi",P4="FoodMart"),TRUE,FALSE)</calculatedColumnFormula>
    </tableColumn>
    <tableColumn id="24" xr3:uid="{40C0F2A9-8FD2-4FA3-957D-7F9E2D38CA0F}" name="Nomor 5" dataDxfId="80">
      <calculatedColumnFormula>IF(AND(S4="Sangat Rendah",R4="Perempuan"),TRUE,FALSE)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07/relationships/slicer" Target="../slicers/slicer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18" Type="http://schemas.openxmlformats.org/officeDocument/2006/relationships/ctrlProp" Target="../ctrlProps/ctrlProp5.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ctrlProp" Target="../ctrlProps/ctrlProp4.xml"/><Relationship Id="rId2" Type="http://schemas.openxmlformats.org/officeDocument/2006/relationships/pivotTable" Target="../pivotTables/pivotTable2.xml"/><Relationship Id="rId16" Type="http://schemas.openxmlformats.org/officeDocument/2006/relationships/ctrlProp" Target="../ctrlProps/ctrlProp3.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vmlDrawing" Target="../drawings/vmlDrawing2.vml"/><Relationship Id="rId10" Type="http://schemas.openxmlformats.org/officeDocument/2006/relationships/pivotTable" Target="../pivotTables/pivotTable10.xml"/><Relationship Id="rId19"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Z2003"/>
  <sheetViews>
    <sheetView topLeftCell="A4" zoomScale="54" zoomScaleNormal="54" workbookViewId="0">
      <selection activeCell="D22" sqref="D22"/>
    </sheetView>
  </sheetViews>
  <sheetFormatPr defaultColWidth="14.453125" defaultRowHeight="14.5"/>
  <cols>
    <col min="1" max="1" width="10.08984375" customWidth="1"/>
    <col min="2" max="2" width="19" customWidth="1"/>
    <col min="3" max="3" width="16.453125" customWidth="1"/>
    <col min="4" max="4" width="13.81640625" customWidth="1"/>
    <col min="5" max="5" width="18" customWidth="1"/>
    <col min="6" max="6" width="14" customWidth="1"/>
    <col min="7" max="7" width="14.1796875" customWidth="1"/>
    <col min="8" max="8" width="13.54296875" customWidth="1"/>
    <col min="9" max="9" width="14" customWidth="1"/>
    <col min="10" max="10" width="17.81640625" customWidth="1"/>
    <col min="11" max="11" width="14" customWidth="1"/>
    <col min="12" max="12" width="13.7265625" customWidth="1"/>
    <col min="13" max="13" width="14" customWidth="1"/>
    <col min="14" max="14" width="17.81640625" customWidth="1"/>
    <col min="15" max="15" width="13.7265625" customWidth="1"/>
    <col min="16" max="16" width="10.453125" customWidth="1"/>
    <col min="17" max="17" width="16.90625" customWidth="1"/>
    <col min="18" max="18" width="14.1796875" customWidth="1"/>
    <col min="19" max="19" width="22.7265625" bestFit="1" customWidth="1"/>
  </cols>
  <sheetData>
    <row r="1" spans="1:26" ht="18.5">
      <c r="A1" s="13" t="s">
        <v>2370</v>
      </c>
      <c r="B1" s="13"/>
      <c r="C1" s="13"/>
      <c r="D1" s="13"/>
      <c r="E1" s="13"/>
      <c r="F1" s="13"/>
      <c r="G1" s="13"/>
      <c r="H1" s="13"/>
      <c r="I1" s="13"/>
      <c r="J1" s="13"/>
      <c r="K1" s="13"/>
      <c r="L1" s="13"/>
      <c r="M1" s="13"/>
      <c r="N1" s="13"/>
      <c r="O1" s="13"/>
      <c r="P1" s="13"/>
      <c r="Q1" s="13"/>
      <c r="R1" s="13"/>
    </row>
    <row r="2" spans="1:26" ht="18.5">
      <c r="A2" s="13" t="s">
        <v>2369</v>
      </c>
      <c r="B2" s="13"/>
      <c r="C2" s="13"/>
      <c r="D2" s="13"/>
      <c r="E2" s="13"/>
      <c r="F2" s="13"/>
      <c r="G2" s="13"/>
      <c r="H2" s="13"/>
      <c r="I2" s="13"/>
      <c r="J2" s="13"/>
      <c r="K2" s="13"/>
      <c r="L2" s="13"/>
      <c r="M2" s="13"/>
      <c r="N2" s="13"/>
      <c r="O2" s="13"/>
      <c r="P2" s="13"/>
      <c r="Q2" s="13"/>
      <c r="R2" s="13"/>
    </row>
    <row r="3" spans="1:26">
      <c r="A3" s="10" t="s">
        <v>0</v>
      </c>
      <c r="B3" s="10" t="s">
        <v>1</v>
      </c>
      <c r="C3" s="10" t="s">
        <v>2</v>
      </c>
      <c r="D3" s="10" t="s">
        <v>3</v>
      </c>
      <c r="E3" s="10" t="s">
        <v>2378</v>
      </c>
      <c r="F3" s="10" t="s">
        <v>4</v>
      </c>
      <c r="G3" s="10" t="s">
        <v>5</v>
      </c>
      <c r="H3" s="10" t="s">
        <v>6</v>
      </c>
      <c r="I3" s="10" t="s">
        <v>7</v>
      </c>
      <c r="J3" s="10" t="s">
        <v>8</v>
      </c>
      <c r="K3" s="10" t="s">
        <v>9</v>
      </c>
      <c r="L3" s="10" t="s">
        <v>10</v>
      </c>
      <c r="M3" s="10" t="s">
        <v>11</v>
      </c>
      <c r="N3" s="10" t="s">
        <v>12</v>
      </c>
      <c r="O3" s="10" t="s">
        <v>13</v>
      </c>
      <c r="P3" s="10" t="s">
        <v>14</v>
      </c>
      <c r="Q3" s="10" t="s">
        <v>15</v>
      </c>
      <c r="R3" s="10" t="s">
        <v>16</v>
      </c>
      <c r="S3" s="10" t="s">
        <v>2377</v>
      </c>
      <c r="T3" s="10" t="s">
        <v>2376</v>
      </c>
      <c r="U3" s="10" t="s">
        <v>2379</v>
      </c>
      <c r="V3" s="10" t="s">
        <v>2380</v>
      </c>
      <c r="W3" s="10" t="s">
        <v>2381</v>
      </c>
      <c r="X3" s="10" t="s">
        <v>2382</v>
      </c>
    </row>
    <row r="4" spans="1:26">
      <c r="A4" s="2" t="s">
        <v>17</v>
      </c>
      <c r="B4" s="3">
        <v>45658.384444444448</v>
      </c>
      <c r="C4" s="2" t="s">
        <v>18</v>
      </c>
      <c r="D4" s="2" t="s">
        <v>19</v>
      </c>
      <c r="E4" s="2" t="s">
        <v>20</v>
      </c>
      <c r="F4" s="4">
        <v>10000</v>
      </c>
      <c r="G4" s="5">
        <v>1.1000000000000001</v>
      </c>
      <c r="H4" s="6">
        <v>5</v>
      </c>
      <c r="I4" s="7">
        <f t="shared" ref="I4:I67" si="0">F4*G4</f>
        <v>11000</v>
      </c>
      <c r="J4" s="7">
        <f t="shared" ref="J4:J67" si="1">I4*(H4/100)</f>
        <v>550</v>
      </c>
      <c r="K4" s="7">
        <f t="shared" ref="K4:K67" si="2">I4-J4</f>
        <v>10450</v>
      </c>
      <c r="L4" s="4">
        <v>15000</v>
      </c>
      <c r="M4" s="7">
        <f t="shared" ref="M4:M67" si="3">K4+L4</f>
        <v>25450</v>
      </c>
      <c r="N4" s="2" t="s">
        <v>21</v>
      </c>
      <c r="O4" t="s">
        <v>22</v>
      </c>
      <c r="P4" s="2" t="s">
        <v>2365</v>
      </c>
      <c r="Q4" s="2">
        <v>3</v>
      </c>
      <c r="R4" s="2" t="s">
        <v>23</v>
      </c>
      <c r="S4" s="2" t="str">
        <f>IF(M4&lt;=50000,"Sangat Rendah",IF(M4&lt;=100000,"Rendah",IF(M4&lt;=150000,"Standar",IF(M4&lt;=200000,"Tinggi","Sangat Tinggi"))))</f>
        <v>Sangat Rendah</v>
      </c>
      <c r="T4" s="2" t="str">
        <f t="shared" ref="T4:T67" si="4">IF(AND(S4="Rendah",D4="Yogyakarta"),"TRUE","FALSE")</f>
        <v>FALSE</v>
      </c>
      <c r="U4" s="2" t="str">
        <f t="shared" ref="U4:U67" si="5">IF(OR(S4="Tinggi",E4="Bayam"),"TRUE","FALSE")</f>
        <v>FALSE</v>
      </c>
      <c r="V4" s="2" t="b">
        <f t="shared" ref="V4:V67" si="6">IF(AND(S4="Standar",N4="Transef Bank"),TRUE,FALSE)</f>
        <v>0</v>
      </c>
      <c r="W4" s="2" t="b">
        <f>IF(OR(S4="Sangat Tinggi",P4="FoodMart"),TRUE,FALSE)</f>
        <v>0</v>
      </c>
      <c r="X4" s="2" t="b">
        <f t="shared" ref="X4:X67" si="7">IF(AND(S4="Sangat Rendah",R4="Perempuan"),TRUE,FALSE)</f>
        <v>1</v>
      </c>
      <c r="Z4" t="s">
        <v>2376</v>
      </c>
    </row>
    <row r="5" spans="1:26">
      <c r="A5" s="2" t="s">
        <v>24</v>
      </c>
      <c r="B5" s="3">
        <v>45658.423483796287</v>
      </c>
      <c r="C5" s="2" t="s">
        <v>25</v>
      </c>
      <c r="D5" s="2" t="s">
        <v>26</v>
      </c>
      <c r="E5" s="2" t="s">
        <v>27</v>
      </c>
      <c r="F5" s="4">
        <v>15000</v>
      </c>
      <c r="G5" s="5">
        <v>0.7</v>
      </c>
      <c r="H5" s="6">
        <v>5</v>
      </c>
      <c r="I5" s="7">
        <f t="shared" si="0"/>
        <v>10500</v>
      </c>
      <c r="J5" s="7">
        <f t="shared" si="1"/>
        <v>525</v>
      </c>
      <c r="K5" s="7">
        <f t="shared" si="2"/>
        <v>9975</v>
      </c>
      <c r="L5" s="4">
        <v>17000</v>
      </c>
      <c r="M5" s="7">
        <f t="shared" si="3"/>
        <v>26975</v>
      </c>
      <c r="N5" s="2" t="s">
        <v>28</v>
      </c>
      <c r="O5" t="s">
        <v>22</v>
      </c>
      <c r="P5" s="2" t="s">
        <v>2366</v>
      </c>
      <c r="Q5" s="2">
        <v>5</v>
      </c>
      <c r="R5" s="2" t="s">
        <v>23</v>
      </c>
      <c r="S5" s="2" t="str">
        <f>IF(M5&lt;=50000,"Sangat Rendah",IF(M5&lt;=100000,"Rendah",IF(M5&lt;=150000,"Standar",IF(M5&lt;=200000,"Tinggi","Sangat Tinggi"))))</f>
        <v>Sangat Rendah</v>
      </c>
      <c r="T5" s="2" t="str">
        <f t="shared" si="4"/>
        <v>FALSE</v>
      </c>
      <c r="U5" s="2" t="str">
        <f t="shared" si="5"/>
        <v>FALSE</v>
      </c>
      <c r="V5" s="2" t="b">
        <f t="shared" si="6"/>
        <v>0</v>
      </c>
      <c r="W5" s="2" t="b">
        <f t="shared" ref="W5:W67" si="8">IF(OR(S5="Sangat Tinggi",P5="FoodMart"),TRUE,FALSE)</f>
        <v>0</v>
      </c>
      <c r="X5" s="2" t="b">
        <f>IF(AND(S5="Sangat Rendah",R5="Perempuan"),TRUE,FALSE)</f>
        <v>1</v>
      </c>
      <c r="Z5">
        <f>SUMPRODUCT(--(T4:T2003="TRUE"))</f>
        <v>33</v>
      </c>
    </row>
    <row r="6" spans="1:26">
      <c r="A6" s="2" t="s">
        <v>29</v>
      </c>
      <c r="B6" s="3">
        <v>45658.51054398148</v>
      </c>
      <c r="C6" s="2" t="s">
        <v>30</v>
      </c>
      <c r="D6" s="2" t="s">
        <v>31</v>
      </c>
      <c r="E6" s="2" t="s">
        <v>32</v>
      </c>
      <c r="F6" s="4">
        <v>20000</v>
      </c>
      <c r="G6" s="5">
        <v>0.4</v>
      </c>
      <c r="H6" s="6">
        <v>5</v>
      </c>
      <c r="I6" s="7">
        <f t="shared" si="0"/>
        <v>8000</v>
      </c>
      <c r="J6" s="7">
        <f t="shared" si="1"/>
        <v>400</v>
      </c>
      <c r="K6" s="7">
        <f t="shared" si="2"/>
        <v>7600</v>
      </c>
      <c r="L6" s="4">
        <v>76000</v>
      </c>
      <c r="M6" s="7">
        <f t="shared" si="3"/>
        <v>83600</v>
      </c>
      <c r="N6" s="2" t="s">
        <v>33</v>
      </c>
      <c r="O6" t="s">
        <v>22</v>
      </c>
      <c r="P6" s="2" t="s">
        <v>2367</v>
      </c>
      <c r="Q6" s="2">
        <v>1</v>
      </c>
      <c r="R6" s="2" t="s">
        <v>34</v>
      </c>
      <c r="S6" s="2" t="str">
        <f t="shared" ref="S6:S67" si="9">IF(M6&lt;=50000,"Sangat Rendah",IF(M6&lt;=100000,"Rendah",IF(M6&lt;=150000,"Standar",IF(M6&lt;=200000,"Tinggi","Sangat Tinggi"))))</f>
        <v>Rendah</v>
      </c>
      <c r="T6" s="2" t="str">
        <f t="shared" si="4"/>
        <v>FALSE</v>
      </c>
      <c r="U6" s="2" t="str">
        <f t="shared" si="5"/>
        <v>FALSE</v>
      </c>
      <c r="V6" s="2" t="b">
        <f t="shared" si="6"/>
        <v>0</v>
      </c>
      <c r="W6" s="2" t="b">
        <f t="shared" si="8"/>
        <v>1</v>
      </c>
      <c r="X6" s="2" t="b">
        <f t="shared" si="7"/>
        <v>0</v>
      </c>
      <c r="Z6" t="s">
        <v>2379</v>
      </c>
    </row>
    <row r="7" spans="1:26">
      <c r="A7" s="2" t="s">
        <v>29</v>
      </c>
      <c r="B7" s="3">
        <v>45658.51054398148</v>
      </c>
      <c r="C7" s="2" t="s">
        <v>30</v>
      </c>
      <c r="D7" s="2" t="s">
        <v>31</v>
      </c>
      <c r="E7" s="2" t="s">
        <v>35</v>
      </c>
      <c r="F7" s="4">
        <v>13500</v>
      </c>
      <c r="G7" s="5">
        <v>0.9</v>
      </c>
      <c r="H7" s="6">
        <v>5</v>
      </c>
      <c r="I7" s="7">
        <f t="shared" si="0"/>
        <v>12150</v>
      </c>
      <c r="J7" s="7">
        <f t="shared" si="1"/>
        <v>607.5</v>
      </c>
      <c r="K7" s="7">
        <f t="shared" si="2"/>
        <v>11542.5</v>
      </c>
      <c r="L7" s="4">
        <v>0</v>
      </c>
      <c r="M7" s="7">
        <f t="shared" si="3"/>
        <v>11542.5</v>
      </c>
      <c r="N7" s="2" t="s">
        <v>33</v>
      </c>
      <c r="O7" t="s">
        <v>22</v>
      </c>
      <c r="P7" s="2" t="s">
        <v>2367</v>
      </c>
      <c r="Q7" s="2">
        <v>1</v>
      </c>
      <c r="R7" s="2" t="s">
        <v>34</v>
      </c>
      <c r="S7" s="2" t="str">
        <f t="shared" si="9"/>
        <v>Sangat Rendah</v>
      </c>
      <c r="T7" s="2" t="str">
        <f t="shared" si="4"/>
        <v>FALSE</v>
      </c>
      <c r="U7" s="2" t="str">
        <f t="shared" si="5"/>
        <v>FALSE</v>
      </c>
      <c r="V7" s="2" t="b">
        <f t="shared" si="6"/>
        <v>0</v>
      </c>
      <c r="W7" s="2" t="b">
        <f t="shared" si="8"/>
        <v>1</v>
      </c>
      <c r="X7" s="2" t="b">
        <f t="shared" si="7"/>
        <v>0</v>
      </c>
      <c r="Z7">
        <f>SUMPRODUCT(--(U4:U2003="FALSE"))</f>
        <v>1863</v>
      </c>
    </row>
    <row r="8" spans="1:26">
      <c r="A8" s="2" t="s">
        <v>36</v>
      </c>
      <c r="B8" s="3">
        <v>45658.533715277779</v>
      </c>
      <c r="C8" s="2" t="s">
        <v>37</v>
      </c>
      <c r="D8" s="2" t="s">
        <v>26</v>
      </c>
      <c r="E8" s="2" t="s">
        <v>35</v>
      </c>
      <c r="F8" s="4">
        <v>13500</v>
      </c>
      <c r="G8" s="5">
        <v>2.9</v>
      </c>
      <c r="H8" s="6">
        <v>5</v>
      </c>
      <c r="I8" s="7">
        <f t="shared" si="0"/>
        <v>39150</v>
      </c>
      <c r="J8" s="7">
        <f t="shared" si="1"/>
        <v>1957.5</v>
      </c>
      <c r="K8" s="7">
        <f t="shared" si="2"/>
        <v>37192.5</v>
      </c>
      <c r="L8" s="4">
        <v>17000</v>
      </c>
      <c r="M8" s="7">
        <f t="shared" si="3"/>
        <v>54192.5</v>
      </c>
      <c r="N8" s="2" t="s">
        <v>28</v>
      </c>
      <c r="O8" t="s">
        <v>22</v>
      </c>
      <c r="P8" s="2" t="s">
        <v>2366</v>
      </c>
      <c r="Q8" s="2">
        <v>2</v>
      </c>
      <c r="R8" s="2" t="s">
        <v>23</v>
      </c>
      <c r="S8" s="2" t="str">
        <f t="shared" si="9"/>
        <v>Rendah</v>
      </c>
      <c r="T8" s="2" t="str">
        <f t="shared" si="4"/>
        <v>FALSE</v>
      </c>
      <c r="U8" s="2" t="str">
        <f t="shared" si="5"/>
        <v>FALSE</v>
      </c>
      <c r="V8" s="2" t="b">
        <f t="shared" si="6"/>
        <v>0</v>
      </c>
      <c r="W8" s="2" t="b">
        <f t="shared" si="8"/>
        <v>0</v>
      </c>
      <c r="X8" s="2" t="b">
        <f t="shared" si="7"/>
        <v>0</v>
      </c>
      <c r="Z8" t="s">
        <v>2380</v>
      </c>
    </row>
    <row r="9" spans="1:26">
      <c r="A9" s="2" t="s">
        <v>38</v>
      </c>
      <c r="B9" s="3">
        <v>45658.686226851853</v>
      </c>
      <c r="C9" s="2" t="s">
        <v>39</v>
      </c>
      <c r="D9" s="2" t="s">
        <v>40</v>
      </c>
      <c r="E9" s="2" t="s">
        <v>41</v>
      </c>
      <c r="F9" s="4">
        <v>40000</v>
      </c>
      <c r="G9" s="5">
        <v>1.2</v>
      </c>
      <c r="H9" s="6">
        <v>5</v>
      </c>
      <c r="I9" s="7">
        <f t="shared" si="0"/>
        <v>48000</v>
      </c>
      <c r="J9" s="7">
        <f t="shared" si="1"/>
        <v>2400</v>
      </c>
      <c r="K9" s="7">
        <f t="shared" si="2"/>
        <v>45600</v>
      </c>
      <c r="L9" s="4">
        <v>93000</v>
      </c>
      <c r="M9" s="7">
        <f t="shared" si="3"/>
        <v>138600</v>
      </c>
      <c r="N9" s="2" t="s">
        <v>33</v>
      </c>
      <c r="O9" t="s">
        <v>22</v>
      </c>
      <c r="P9" s="2" t="s">
        <v>2370</v>
      </c>
      <c r="Q9" s="2">
        <v>2</v>
      </c>
      <c r="R9" s="2" t="s">
        <v>23</v>
      </c>
      <c r="S9" s="2" t="str">
        <f t="shared" si="9"/>
        <v>Standar</v>
      </c>
      <c r="T9" s="2" t="str">
        <f t="shared" si="4"/>
        <v>FALSE</v>
      </c>
      <c r="U9" s="2" t="str">
        <f t="shared" si="5"/>
        <v>FALSE</v>
      </c>
      <c r="V9" s="2" t="b">
        <f t="shared" si="6"/>
        <v>0</v>
      </c>
      <c r="W9" s="2" t="b">
        <f t="shared" si="8"/>
        <v>0</v>
      </c>
      <c r="X9" s="2" t="b">
        <f t="shared" si="7"/>
        <v>0</v>
      </c>
      <c r="Z9">
        <f>COUNTIF(V4:V2003,"TRUE")</f>
        <v>0</v>
      </c>
    </row>
    <row r="10" spans="1:26">
      <c r="A10" s="2" t="s">
        <v>42</v>
      </c>
      <c r="B10" s="3">
        <v>45658.736284722218</v>
      </c>
      <c r="C10" s="2" t="s">
        <v>43</v>
      </c>
      <c r="D10" s="2" t="s">
        <v>44</v>
      </c>
      <c r="E10" s="2" t="s">
        <v>45</v>
      </c>
      <c r="F10" s="4">
        <v>10500</v>
      </c>
      <c r="G10" s="5">
        <v>2.2000000000000002</v>
      </c>
      <c r="H10" s="6">
        <v>5</v>
      </c>
      <c r="I10" s="7">
        <f t="shared" si="0"/>
        <v>23100.000000000004</v>
      </c>
      <c r="J10" s="7">
        <f t="shared" si="1"/>
        <v>1155.0000000000002</v>
      </c>
      <c r="K10" s="7">
        <f t="shared" si="2"/>
        <v>21945.000000000004</v>
      </c>
      <c r="L10" s="4">
        <v>43000</v>
      </c>
      <c r="M10" s="7">
        <f t="shared" si="3"/>
        <v>64945</v>
      </c>
      <c r="N10" s="2" t="s">
        <v>21</v>
      </c>
      <c r="O10" t="s">
        <v>22</v>
      </c>
      <c r="P10" s="2" t="s">
        <v>2366</v>
      </c>
      <c r="Q10" s="2">
        <v>4</v>
      </c>
      <c r="R10" s="2" t="s">
        <v>23</v>
      </c>
      <c r="S10" s="2" t="str">
        <f t="shared" si="9"/>
        <v>Rendah</v>
      </c>
      <c r="T10" s="2" t="str">
        <f t="shared" si="4"/>
        <v>FALSE</v>
      </c>
      <c r="U10" s="2" t="str">
        <f t="shared" si="5"/>
        <v>FALSE</v>
      </c>
      <c r="V10" s="2" t="b">
        <f t="shared" si="6"/>
        <v>0</v>
      </c>
      <c r="W10" s="2" t="b">
        <f t="shared" si="8"/>
        <v>0</v>
      </c>
      <c r="X10" s="2" t="b">
        <f t="shared" si="7"/>
        <v>0</v>
      </c>
      <c r="Z10" t="s">
        <v>2381</v>
      </c>
    </row>
    <row r="11" spans="1:26">
      <c r="A11" s="2" t="s">
        <v>46</v>
      </c>
      <c r="B11" s="3">
        <v>45658.79583333333</v>
      </c>
      <c r="C11" s="2" t="s">
        <v>47</v>
      </c>
      <c r="D11" s="2" t="s">
        <v>48</v>
      </c>
      <c r="E11" s="2" t="s">
        <v>49</v>
      </c>
      <c r="F11" s="4">
        <v>26000</v>
      </c>
      <c r="G11" s="5">
        <v>1.2</v>
      </c>
      <c r="H11" s="6">
        <v>5</v>
      </c>
      <c r="I11" s="7">
        <f t="shared" si="0"/>
        <v>31200</v>
      </c>
      <c r="J11" s="7">
        <f t="shared" si="1"/>
        <v>1560</v>
      </c>
      <c r="K11" s="7">
        <f t="shared" si="2"/>
        <v>29640</v>
      </c>
      <c r="L11" s="4">
        <v>18000</v>
      </c>
      <c r="M11" s="7">
        <f t="shared" si="3"/>
        <v>47640</v>
      </c>
      <c r="N11" s="2" t="s">
        <v>28</v>
      </c>
      <c r="O11" t="s">
        <v>22</v>
      </c>
      <c r="P11" s="2" t="s">
        <v>2366</v>
      </c>
      <c r="Q11" s="2">
        <v>5</v>
      </c>
      <c r="R11" s="2" t="s">
        <v>23</v>
      </c>
      <c r="S11" s="2" t="str">
        <f t="shared" si="9"/>
        <v>Sangat Rendah</v>
      </c>
      <c r="T11" s="2" t="str">
        <f t="shared" si="4"/>
        <v>FALSE</v>
      </c>
      <c r="U11" s="2" t="str">
        <f t="shared" si="5"/>
        <v>FALSE</v>
      </c>
      <c r="V11" s="2" t="b">
        <f t="shared" si="6"/>
        <v>0</v>
      </c>
      <c r="W11" s="2" t="b">
        <f t="shared" si="8"/>
        <v>0</v>
      </c>
      <c r="X11" s="2" t="b">
        <f t="shared" si="7"/>
        <v>1</v>
      </c>
      <c r="Z11">
        <f>COUNTIF(W4:W2003,"TRUE")</f>
        <v>399</v>
      </c>
    </row>
    <row r="12" spans="1:26">
      <c r="A12" s="2" t="s">
        <v>50</v>
      </c>
      <c r="B12" s="3">
        <v>45658.805023148147</v>
      </c>
      <c r="C12" s="2" t="s">
        <v>51</v>
      </c>
      <c r="D12" s="2" t="s">
        <v>52</v>
      </c>
      <c r="E12" s="2" t="s">
        <v>53</v>
      </c>
      <c r="F12" s="4">
        <v>14000</v>
      </c>
      <c r="G12" s="5">
        <v>1.6</v>
      </c>
      <c r="H12" s="6">
        <v>5</v>
      </c>
      <c r="I12" s="7">
        <f t="shared" si="0"/>
        <v>22400</v>
      </c>
      <c r="J12" s="7">
        <f t="shared" si="1"/>
        <v>1120</v>
      </c>
      <c r="K12" s="7">
        <f t="shared" si="2"/>
        <v>21280</v>
      </c>
      <c r="L12" s="4">
        <v>80000</v>
      </c>
      <c r="M12" s="7">
        <f t="shared" si="3"/>
        <v>101280</v>
      </c>
      <c r="N12" s="2" t="s">
        <v>33</v>
      </c>
      <c r="O12" t="s">
        <v>22</v>
      </c>
      <c r="P12" s="2" t="s">
        <v>2367</v>
      </c>
      <c r="Q12" s="2">
        <v>5</v>
      </c>
      <c r="R12" s="2" t="s">
        <v>23</v>
      </c>
      <c r="S12" s="2" t="str">
        <f t="shared" si="9"/>
        <v>Standar</v>
      </c>
      <c r="T12" s="2" t="str">
        <f t="shared" si="4"/>
        <v>FALSE</v>
      </c>
      <c r="U12" s="2" t="str">
        <f t="shared" si="5"/>
        <v>FALSE</v>
      </c>
      <c r="V12" s="2" t="b">
        <f t="shared" si="6"/>
        <v>0</v>
      </c>
      <c r="W12" s="2" t="b">
        <f t="shared" si="8"/>
        <v>1</v>
      </c>
      <c r="X12" s="2" t="b">
        <f t="shared" si="7"/>
        <v>0</v>
      </c>
      <c r="Z12" t="s">
        <v>2382</v>
      </c>
    </row>
    <row r="13" spans="1:26">
      <c r="A13" s="2" t="s">
        <v>54</v>
      </c>
      <c r="B13" s="3">
        <v>45659.472870370373</v>
      </c>
      <c r="C13" s="2" t="s">
        <v>55</v>
      </c>
      <c r="D13" s="2" t="s">
        <v>56</v>
      </c>
      <c r="E13" s="2" t="s">
        <v>57</v>
      </c>
      <c r="F13" s="4">
        <v>17500</v>
      </c>
      <c r="G13" s="5">
        <v>3.7</v>
      </c>
      <c r="H13" s="6">
        <v>0</v>
      </c>
      <c r="I13" s="7">
        <f t="shared" si="0"/>
        <v>64750</v>
      </c>
      <c r="J13" s="7">
        <f t="shared" si="1"/>
        <v>0</v>
      </c>
      <c r="K13" s="7">
        <f t="shared" si="2"/>
        <v>64750</v>
      </c>
      <c r="L13" s="4">
        <v>26000</v>
      </c>
      <c r="M13" s="7">
        <f t="shared" si="3"/>
        <v>90750</v>
      </c>
      <c r="N13" s="2" t="s">
        <v>58</v>
      </c>
      <c r="O13" t="s">
        <v>22</v>
      </c>
      <c r="P13" s="2" t="s">
        <v>2367</v>
      </c>
      <c r="Q13" s="2">
        <v>2</v>
      </c>
      <c r="R13" s="2" t="s">
        <v>23</v>
      </c>
      <c r="S13" s="2" t="str">
        <f t="shared" si="9"/>
        <v>Rendah</v>
      </c>
      <c r="T13" s="2" t="str">
        <f t="shared" si="4"/>
        <v>FALSE</v>
      </c>
      <c r="U13" s="2" t="str">
        <f t="shared" si="5"/>
        <v>FALSE</v>
      </c>
      <c r="V13" s="2" t="b">
        <f t="shared" si="6"/>
        <v>0</v>
      </c>
      <c r="W13" s="2" t="b">
        <f t="shared" si="8"/>
        <v>1</v>
      </c>
      <c r="X13" s="2" t="b">
        <f t="shared" si="7"/>
        <v>0</v>
      </c>
      <c r="Z13">
        <f>COUNTIF(X4:X2003,"FALSE")</f>
        <v>1656</v>
      </c>
    </row>
    <row r="14" spans="1:26">
      <c r="A14" s="2" t="s">
        <v>59</v>
      </c>
      <c r="B14" s="3">
        <v>45659.51425925926</v>
      </c>
      <c r="C14" s="2" t="s">
        <v>60</v>
      </c>
      <c r="D14" s="2" t="s">
        <v>61</v>
      </c>
      <c r="E14" s="2" t="s">
        <v>20</v>
      </c>
      <c r="F14" s="4">
        <v>10000</v>
      </c>
      <c r="G14" s="5">
        <v>2.1</v>
      </c>
      <c r="H14" s="6">
        <v>0</v>
      </c>
      <c r="I14" s="7">
        <f t="shared" si="0"/>
        <v>21000</v>
      </c>
      <c r="J14" s="7">
        <f t="shared" si="1"/>
        <v>0</v>
      </c>
      <c r="K14" s="7">
        <f t="shared" si="2"/>
        <v>21000</v>
      </c>
      <c r="L14" s="4">
        <v>59000</v>
      </c>
      <c r="M14" s="7">
        <f t="shared" si="3"/>
        <v>80000</v>
      </c>
      <c r="N14" s="2" t="s">
        <v>58</v>
      </c>
      <c r="O14" t="s">
        <v>22</v>
      </c>
      <c r="P14" s="2" t="s">
        <v>2367</v>
      </c>
      <c r="Q14" s="2">
        <v>1</v>
      </c>
      <c r="R14" s="2" t="s">
        <v>34</v>
      </c>
      <c r="S14" s="2" t="str">
        <f t="shared" si="9"/>
        <v>Rendah</v>
      </c>
      <c r="T14" s="2" t="str">
        <f t="shared" si="4"/>
        <v>FALSE</v>
      </c>
      <c r="U14" s="2" t="str">
        <f t="shared" si="5"/>
        <v>FALSE</v>
      </c>
      <c r="V14" s="2" t="b">
        <f t="shared" si="6"/>
        <v>0</v>
      </c>
      <c r="W14" s="2" t="b">
        <f t="shared" si="8"/>
        <v>1</v>
      </c>
      <c r="X14" s="2" t="b">
        <f t="shared" si="7"/>
        <v>0</v>
      </c>
    </row>
    <row r="15" spans="1:26">
      <c r="A15" s="2" t="s">
        <v>62</v>
      </c>
      <c r="B15" s="3">
        <v>45659.656145833331</v>
      </c>
      <c r="C15" s="2" t="s">
        <v>63</v>
      </c>
      <c r="D15" s="2" t="s">
        <v>64</v>
      </c>
      <c r="E15" s="2" t="s">
        <v>65</v>
      </c>
      <c r="F15" s="4">
        <v>46000</v>
      </c>
      <c r="G15" s="5">
        <v>1.3</v>
      </c>
      <c r="H15" s="6">
        <v>0</v>
      </c>
      <c r="I15" s="7">
        <f t="shared" si="0"/>
        <v>59800</v>
      </c>
      <c r="J15" s="7">
        <f t="shared" si="1"/>
        <v>0</v>
      </c>
      <c r="K15" s="7">
        <f t="shared" si="2"/>
        <v>59800</v>
      </c>
      <c r="L15" s="4">
        <v>89000</v>
      </c>
      <c r="M15" s="7">
        <f t="shared" si="3"/>
        <v>148800</v>
      </c>
      <c r="N15" s="2" t="s">
        <v>33</v>
      </c>
      <c r="O15" t="s">
        <v>22</v>
      </c>
      <c r="P15" s="2" t="s">
        <v>2370</v>
      </c>
      <c r="Q15" s="2">
        <v>1</v>
      </c>
      <c r="R15" s="2" t="s">
        <v>34</v>
      </c>
      <c r="S15" s="2" t="str">
        <f t="shared" si="9"/>
        <v>Standar</v>
      </c>
      <c r="T15" s="2" t="str">
        <f t="shared" si="4"/>
        <v>FALSE</v>
      </c>
      <c r="U15" s="2" t="str">
        <f t="shared" si="5"/>
        <v>FALSE</v>
      </c>
      <c r="V15" s="2" t="b">
        <f t="shared" si="6"/>
        <v>0</v>
      </c>
      <c r="W15" s="2" t="b">
        <f t="shared" si="8"/>
        <v>0</v>
      </c>
      <c r="X15" s="2" t="b">
        <f t="shared" si="7"/>
        <v>0</v>
      </c>
    </row>
    <row r="16" spans="1:26">
      <c r="A16" s="2" t="s">
        <v>66</v>
      </c>
      <c r="B16" s="3">
        <v>45660.14980324074</v>
      </c>
      <c r="C16" s="2" t="s">
        <v>67</v>
      </c>
      <c r="D16" s="2" t="s">
        <v>68</v>
      </c>
      <c r="E16" s="2" t="s">
        <v>20</v>
      </c>
      <c r="F16" s="4">
        <v>10000</v>
      </c>
      <c r="G16" s="5">
        <v>2.5</v>
      </c>
      <c r="H16" s="6">
        <v>0</v>
      </c>
      <c r="I16" s="7">
        <f t="shared" si="0"/>
        <v>25000</v>
      </c>
      <c r="J16" s="7">
        <f t="shared" si="1"/>
        <v>0</v>
      </c>
      <c r="K16" s="7">
        <f t="shared" si="2"/>
        <v>25000</v>
      </c>
      <c r="L16" s="4">
        <v>87000</v>
      </c>
      <c r="M16" s="7">
        <f t="shared" si="3"/>
        <v>112000</v>
      </c>
      <c r="N16" s="2" t="s">
        <v>33</v>
      </c>
      <c r="O16" t="s">
        <v>69</v>
      </c>
      <c r="P16" s="2" t="s">
        <v>2366</v>
      </c>
      <c r="Q16" s="2">
        <v>4</v>
      </c>
      <c r="R16" s="2" t="s">
        <v>23</v>
      </c>
      <c r="S16" s="2" t="str">
        <f t="shared" si="9"/>
        <v>Standar</v>
      </c>
      <c r="T16" s="2" t="str">
        <f t="shared" si="4"/>
        <v>FALSE</v>
      </c>
      <c r="U16" s="2" t="str">
        <f t="shared" si="5"/>
        <v>FALSE</v>
      </c>
      <c r="V16" s="2" t="b">
        <f t="shared" si="6"/>
        <v>0</v>
      </c>
      <c r="W16" s="2" t="b">
        <f t="shared" si="8"/>
        <v>0</v>
      </c>
      <c r="X16" s="2" t="b">
        <f t="shared" si="7"/>
        <v>0</v>
      </c>
    </row>
    <row r="17" spans="1:24">
      <c r="A17" s="2" t="s">
        <v>70</v>
      </c>
      <c r="B17" s="3">
        <v>45660.671168981477</v>
      </c>
      <c r="C17" s="2" t="s">
        <v>71</v>
      </c>
      <c r="D17" s="2" t="s">
        <v>56</v>
      </c>
      <c r="E17" s="2" t="s">
        <v>32</v>
      </c>
      <c r="F17" s="4">
        <v>20000</v>
      </c>
      <c r="G17" s="5">
        <v>1.3</v>
      </c>
      <c r="H17" s="6">
        <v>0</v>
      </c>
      <c r="I17" s="7">
        <f t="shared" si="0"/>
        <v>26000</v>
      </c>
      <c r="J17" s="7">
        <f t="shared" si="1"/>
        <v>0</v>
      </c>
      <c r="K17" s="7">
        <f t="shared" si="2"/>
        <v>26000</v>
      </c>
      <c r="L17" s="4">
        <v>26000</v>
      </c>
      <c r="M17" s="7">
        <f t="shared" si="3"/>
        <v>52000</v>
      </c>
      <c r="N17" s="2" t="s">
        <v>33</v>
      </c>
      <c r="O17" t="s">
        <v>22</v>
      </c>
      <c r="P17" s="2" t="s">
        <v>2370</v>
      </c>
      <c r="Q17" s="2">
        <v>4</v>
      </c>
      <c r="R17" s="2" t="s">
        <v>23</v>
      </c>
      <c r="S17" s="2" t="str">
        <f t="shared" si="9"/>
        <v>Rendah</v>
      </c>
      <c r="T17" s="2" t="str">
        <f t="shared" si="4"/>
        <v>FALSE</v>
      </c>
      <c r="U17" s="2" t="str">
        <f t="shared" si="5"/>
        <v>FALSE</v>
      </c>
      <c r="V17" s="2" t="b">
        <f t="shared" si="6"/>
        <v>0</v>
      </c>
      <c r="W17" s="2" t="b">
        <f t="shared" si="8"/>
        <v>0</v>
      </c>
      <c r="X17" s="2" t="b">
        <f t="shared" si="7"/>
        <v>0</v>
      </c>
    </row>
    <row r="18" spans="1:24">
      <c r="A18" s="2" t="s">
        <v>72</v>
      </c>
      <c r="B18" s="3">
        <v>45661.406412037039</v>
      </c>
      <c r="C18" s="2" t="s">
        <v>73</v>
      </c>
      <c r="D18" s="2" t="s">
        <v>74</v>
      </c>
      <c r="E18" s="2" t="s">
        <v>75</v>
      </c>
      <c r="F18" s="4">
        <v>45000</v>
      </c>
      <c r="G18" s="5">
        <v>0.6</v>
      </c>
      <c r="H18" s="6">
        <v>0</v>
      </c>
      <c r="I18" s="7">
        <f t="shared" si="0"/>
        <v>27000</v>
      </c>
      <c r="J18" s="7">
        <f t="shared" si="1"/>
        <v>0</v>
      </c>
      <c r="K18" s="7">
        <f t="shared" si="2"/>
        <v>27000</v>
      </c>
      <c r="L18" s="4">
        <v>74000</v>
      </c>
      <c r="M18" s="7">
        <f t="shared" si="3"/>
        <v>101000</v>
      </c>
      <c r="N18" s="2" t="s">
        <v>28</v>
      </c>
      <c r="O18" t="s">
        <v>22</v>
      </c>
      <c r="P18" s="2" t="s">
        <v>2368</v>
      </c>
      <c r="Q18" s="2">
        <v>2</v>
      </c>
      <c r="R18" s="2" t="s">
        <v>23</v>
      </c>
      <c r="S18" s="2" t="str">
        <f t="shared" si="9"/>
        <v>Standar</v>
      </c>
      <c r="T18" s="2" t="str">
        <f t="shared" si="4"/>
        <v>FALSE</v>
      </c>
      <c r="U18" s="2" t="str">
        <f t="shared" si="5"/>
        <v>FALSE</v>
      </c>
      <c r="V18" s="2" t="b">
        <f t="shared" si="6"/>
        <v>0</v>
      </c>
      <c r="W18" s="2" t="b">
        <f t="shared" si="8"/>
        <v>0</v>
      </c>
      <c r="X18" s="2" t="b">
        <f t="shared" si="7"/>
        <v>0</v>
      </c>
    </row>
    <row r="19" spans="1:24">
      <c r="A19" s="2" t="s">
        <v>76</v>
      </c>
      <c r="B19" s="3">
        <v>45661.448194444441</v>
      </c>
      <c r="C19" s="2" t="s">
        <v>77</v>
      </c>
      <c r="D19" s="2" t="s">
        <v>52</v>
      </c>
      <c r="E19" s="2" t="s">
        <v>41</v>
      </c>
      <c r="F19" s="4">
        <v>40000</v>
      </c>
      <c r="G19" s="5">
        <v>0.5</v>
      </c>
      <c r="H19" s="6">
        <v>0</v>
      </c>
      <c r="I19" s="7">
        <f t="shared" si="0"/>
        <v>20000</v>
      </c>
      <c r="J19" s="7">
        <f t="shared" si="1"/>
        <v>0</v>
      </c>
      <c r="K19" s="7">
        <f t="shared" si="2"/>
        <v>20000</v>
      </c>
      <c r="L19" s="4">
        <v>80000</v>
      </c>
      <c r="M19" s="7">
        <f t="shared" si="3"/>
        <v>100000</v>
      </c>
      <c r="N19" s="2" t="s">
        <v>21</v>
      </c>
      <c r="O19" t="s">
        <v>22</v>
      </c>
      <c r="P19" s="2" t="s">
        <v>2366</v>
      </c>
      <c r="Q19" s="2">
        <v>2</v>
      </c>
      <c r="R19" s="2" t="s">
        <v>34</v>
      </c>
      <c r="S19" s="2" t="str">
        <f t="shared" si="9"/>
        <v>Rendah</v>
      </c>
      <c r="T19" s="2" t="str">
        <f t="shared" si="4"/>
        <v>FALSE</v>
      </c>
      <c r="U19" s="2" t="str">
        <f t="shared" si="5"/>
        <v>FALSE</v>
      </c>
      <c r="V19" s="2" t="b">
        <f t="shared" si="6"/>
        <v>0</v>
      </c>
      <c r="W19" s="2" t="b">
        <f t="shared" si="8"/>
        <v>0</v>
      </c>
      <c r="X19" s="2" t="b">
        <f t="shared" si="7"/>
        <v>0</v>
      </c>
    </row>
    <row r="20" spans="1:24">
      <c r="A20" s="2" t="s">
        <v>78</v>
      </c>
      <c r="B20" s="3">
        <v>45661.490555555552</v>
      </c>
      <c r="C20" s="2" t="s">
        <v>79</v>
      </c>
      <c r="D20" s="2" t="s">
        <v>74</v>
      </c>
      <c r="E20" s="2" t="s">
        <v>80</v>
      </c>
      <c r="F20" s="4">
        <v>15000</v>
      </c>
      <c r="G20" s="5">
        <v>1.3</v>
      </c>
      <c r="H20" s="6">
        <v>0</v>
      </c>
      <c r="I20" s="7">
        <f t="shared" si="0"/>
        <v>19500</v>
      </c>
      <c r="J20" s="7">
        <f t="shared" si="1"/>
        <v>0</v>
      </c>
      <c r="K20" s="7">
        <f t="shared" si="2"/>
        <v>19500</v>
      </c>
      <c r="L20" s="4">
        <v>74000</v>
      </c>
      <c r="M20" s="7">
        <f t="shared" si="3"/>
        <v>93500</v>
      </c>
      <c r="N20" s="2" t="s">
        <v>33</v>
      </c>
      <c r="O20" t="s">
        <v>22</v>
      </c>
      <c r="P20" s="2" t="s">
        <v>2368</v>
      </c>
      <c r="Q20" s="2">
        <v>4</v>
      </c>
      <c r="R20" s="2" t="s">
        <v>23</v>
      </c>
      <c r="S20" s="2" t="str">
        <f t="shared" si="9"/>
        <v>Rendah</v>
      </c>
      <c r="T20" s="2" t="str">
        <f t="shared" si="4"/>
        <v>FALSE</v>
      </c>
      <c r="U20" s="2" t="str">
        <f t="shared" si="5"/>
        <v>FALSE</v>
      </c>
      <c r="V20" s="2" t="b">
        <f t="shared" si="6"/>
        <v>0</v>
      </c>
      <c r="W20" s="2" t="b">
        <f t="shared" si="8"/>
        <v>0</v>
      </c>
      <c r="X20" s="2" t="b">
        <f t="shared" si="7"/>
        <v>0</v>
      </c>
    </row>
    <row r="21" spans="1:24">
      <c r="A21" s="2" t="s">
        <v>81</v>
      </c>
      <c r="B21" s="3">
        <v>45661.7503125</v>
      </c>
      <c r="C21" s="2" t="s">
        <v>71</v>
      </c>
      <c r="D21" s="2" t="s">
        <v>56</v>
      </c>
      <c r="E21" s="2" t="s">
        <v>80</v>
      </c>
      <c r="F21" s="4">
        <v>15000</v>
      </c>
      <c r="G21" s="5">
        <v>0.5</v>
      </c>
      <c r="H21" s="6">
        <v>0</v>
      </c>
      <c r="I21" s="7">
        <f t="shared" si="0"/>
        <v>7500</v>
      </c>
      <c r="J21" s="7">
        <f t="shared" si="1"/>
        <v>0</v>
      </c>
      <c r="K21" s="7">
        <f t="shared" si="2"/>
        <v>7500</v>
      </c>
      <c r="L21" s="4">
        <v>26000</v>
      </c>
      <c r="M21" s="7">
        <f t="shared" si="3"/>
        <v>33500</v>
      </c>
      <c r="N21" s="2" t="s">
        <v>28</v>
      </c>
      <c r="O21" t="s">
        <v>22</v>
      </c>
      <c r="P21" s="2" t="s">
        <v>2367</v>
      </c>
      <c r="Q21" s="2">
        <v>4</v>
      </c>
      <c r="R21" s="2" t="s">
        <v>23</v>
      </c>
      <c r="S21" s="2" t="str">
        <f t="shared" si="9"/>
        <v>Sangat Rendah</v>
      </c>
      <c r="T21" s="2" t="str">
        <f t="shared" si="4"/>
        <v>FALSE</v>
      </c>
      <c r="U21" s="2" t="str">
        <f t="shared" si="5"/>
        <v>FALSE</v>
      </c>
      <c r="V21" s="2" t="b">
        <f t="shared" si="6"/>
        <v>0</v>
      </c>
      <c r="W21" s="2" t="b">
        <f t="shared" si="8"/>
        <v>1</v>
      </c>
      <c r="X21" s="2" t="b">
        <f t="shared" si="7"/>
        <v>1</v>
      </c>
    </row>
    <row r="22" spans="1:24">
      <c r="A22" s="2" t="s">
        <v>82</v>
      </c>
      <c r="B22" s="3">
        <v>45661.768472222233</v>
      </c>
      <c r="C22" s="2" t="s">
        <v>83</v>
      </c>
      <c r="D22" s="2" t="s">
        <v>84</v>
      </c>
      <c r="E22" s="2" t="s">
        <v>57</v>
      </c>
      <c r="F22" s="4">
        <v>17500</v>
      </c>
      <c r="G22" s="5">
        <v>2.6</v>
      </c>
      <c r="H22" s="6">
        <v>0</v>
      </c>
      <c r="I22" s="7">
        <f t="shared" si="0"/>
        <v>45500</v>
      </c>
      <c r="J22" s="7">
        <f t="shared" si="1"/>
        <v>0</v>
      </c>
      <c r="K22" s="7">
        <f t="shared" si="2"/>
        <v>45500</v>
      </c>
      <c r="L22" s="4">
        <v>30000</v>
      </c>
      <c r="M22" s="7">
        <f t="shared" si="3"/>
        <v>75500</v>
      </c>
      <c r="N22" s="2" t="s">
        <v>58</v>
      </c>
      <c r="O22" t="s">
        <v>22</v>
      </c>
      <c r="P22" s="2" t="s">
        <v>2368</v>
      </c>
      <c r="Q22" s="2">
        <v>2</v>
      </c>
      <c r="R22" s="2" t="s">
        <v>23</v>
      </c>
      <c r="S22" s="2" t="str">
        <f t="shared" si="9"/>
        <v>Rendah</v>
      </c>
      <c r="T22" s="2" t="str">
        <f t="shared" si="4"/>
        <v>FALSE</v>
      </c>
      <c r="U22" s="2" t="str">
        <f t="shared" si="5"/>
        <v>FALSE</v>
      </c>
      <c r="V22" s="2" t="b">
        <f t="shared" si="6"/>
        <v>0</v>
      </c>
      <c r="W22" s="2" t="b">
        <f t="shared" si="8"/>
        <v>0</v>
      </c>
      <c r="X22" s="2" t="b">
        <f t="shared" si="7"/>
        <v>0</v>
      </c>
    </row>
    <row r="23" spans="1:24" ht="10.5" customHeight="1">
      <c r="A23" s="2" t="s">
        <v>85</v>
      </c>
      <c r="B23" s="3">
        <v>45661.832175925927</v>
      </c>
      <c r="C23" s="2" t="s">
        <v>86</v>
      </c>
      <c r="D23" s="2" t="s">
        <v>87</v>
      </c>
      <c r="E23" s="2" t="s">
        <v>35</v>
      </c>
      <c r="F23" s="4">
        <v>13500</v>
      </c>
      <c r="G23" s="5">
        <v>1.7</v>
      </c>
      <c r="H23" s="6">
        <v>0</v>
      </c>
      <c r="I23" s="7">
        <f t="shared" si="0"/>
        <v>22950</v>
      </c>
      <c r="J23" s="7">
        <f t="shared" si="1"/>
        <v>0</v>
      </c>
      <c r="K23" s="7">
        <f t="shared" si="2"/>
        <v>22950</v>
      </c>
      <c r="L23" s="4">
        <v>49000</v>
      </c>
      <c r="M23" s="7">
        <f t="shared" si="3"/>
        <v>71950</v>
      </c>
      <c r="N23" s="2" t="s">
        <v>21</v>
      </c>
      <c r="O23" t="s">
        <v>22</v>
      </c>
      <c r="P23" s="2" t="s">
        <v>2366</v>
      </c>
      <c r="Q23" s="2">
        <v>1</v>
      </c>
      <c r="R23" s="2" t="s">
        <v>23</v>
      </c>
      <c r="S23" s="2" t="str">
        <f t="shared" si="9"/>
        <v>Rendah</v>
      </c>
      <c r="T23" s="2" t="str">
        <f t="shared" si="4"/>
        <v>FALSE</v>
      </c>
      <c r="U23" s="2" t="str">
        <f t="shared" si="5"/>
        <v>FALSE</v>
      </c>
      <c r="V23" s="2" t="b">
        <f t="shared" si="6"/>
        <v>0</v>
      </c>
      <c r="W23" s="2" t="b">
        <f t="shared" si="8"/>
        <v>0</v>
      </c>
      <c r="X23" s="2" t="b">
        <f t="shared" si="7"/>
        <v>0</v>
      </c>
    </row>
    <row r="24" spans="1:24" ht="10.5" customHeight="1">
      <c r="A24" s="2" t="s">
        <v>88</v>
      </c>
      <c r="B24" s="3">
        <v>45661.924375000002</v>
      </c>
      <c r="C24" s="2" t="s">
        <v>89</v>
      </c>
      <c r="D24" s="2" t="s">
        <v>84</v>
      </c>
      <c r="E24" s="2" t="s">
        <v>41</v>
      </c>
      <c r="F24" s="4">
        <v>40000</v>
      </c>
      <c r="G24" s="5">
        <v>1.8</v>
      </c>
      <c r="H24" s="6">
        <v>0</v>
      </c>
      <c r="I24" s="7">
        <f t="shared" si="0"/>
        <v>72000</v>
      </c>
      <c r="J24" s="7">
        <f t="shared" si="1"/>
        <v>0</v>
      </c>
      <c r="K24" s="7">
        <f t="shared" si="2"/>
        <v>72000</v>
      </c>
      <c r="L24" s="4">
        <v>30000</v>
      </c>
      <c r="M24" s="7">
        <f t="shared" si="3"/>
        <v>102000</v>
      </c>
      <c r="N24" s="2" t="s">
        <v>28</v>
      </c>
      <c r="O24" t="s">
        <v>22</v>
      </c>
      <c r="P24" s="2" t="s">
        <v>2366</v>
      </c>
      <c r="Q24" s="2">
        <v>5</v>
      </c>
      <c r="R24" s="2" t="s">
        <v>23</v>
      </c>
      <c r="S24" s="2" t="str">
        <f t="shared" si="9"/>
        <v>Standar</v>
      </c>
      <c r="T24" s="2" t="str">
        <f t="shared" si="4"/>
        <v>FALSE</v>
      </c>
      <c r="U24" s="2" t="str">
        <f t="shared" si="5"/>
        <v>FALSE</v>
      </c>
      <c r="V24" s="2" t="b">
        <f t="shared" si="6"/>
        <v>0</v>
      </c>
      <c r="W24" s="2" t="b">
        <f t="shared" si="8"/>
        <v>0</v>
      </c>
      <c r="X24" s="2" t="b">
        <f t="shared" si="7"/>
        <v>0</v>
      </c>
    </row>
    <row r="25" spans="1:24" ht="10.5" customHeight="1">
      <c r="A25" s="2" t="s">
        <v>90</v>
      </c>
      <c r="B25" s="3">
        <v>45662.722719907397</v>
      </c>
      <c r="C25" s="2" t="s">
        <v>91</v>
      </c>
      <c r="D25" s="2" t="s">
        <v>61</v>
      </c>
      <c r="E25" s="2" t="s">
        <v>57</v>
      </c>
      <c r="F25" s="4">
        <v>17500</v>
      </c>
      <c r="G25" s="5">
        <v>2.6</v>
      </c>
      <c r="H25" s="6">
        <v>0</v>
      </c>
      <c r="I25" s="7">
        <f t="shared" si="0"/>
        <v>45500</v>
      </c>
      <c r="J25" s="7">
        <f t="shared" si="1"/>
        <v>0</v>
      </c>
      <c r="K25" s="7">
        <f t="shared" si="2"/>
        <v>45500</v>
      </c>
      <c r="L25" s="4">
        <v>59000</v>
      </c>
      <c r="M25" s="7">
        <f t="shared" si="3"/>
        <v>104500</v>
      </c>
      <c r="N25" s="2" t="s">
        <v>28</v>
      </c>
      <c r="O25" t="s">
        <v>69</v>
      </c>
      <c r="P25" s="2" t="s">
        <v>2370</v>
      </c>
      <c r="Q25" s="2">
        <v>3</v>
      </c>
      <c r="R25" s="2" t="s">
        <v>23</v>
      </c>
      <c r="S25" s="2" t="str">
        <f t="shared" si="9"/>
        <v>Standar</v>
      </c>
      <c r="T25" s="2" t="str">
        <f t="shared" si="4"/>
        <v>FALSE</v>
      </c>
      <c r="U25" s="2" t="str">
        <f t="shared" si="5"/>
        <v>FALSE</v>
      </c>
      <c r="V25" s="2" t="b">
        <f t="shared" si="6"/>
        <v>0</v>
      </c>
      <c r="W25" s="2" t="b">
        <f t="shared" si="8"/>
        <v>0</v>
      </c>
      <c r="X25" s="2" t="b">
        <f t="shared" si="7"/>
        <v>0</v>
      </c>
    </row>
    <row r="26" spans="1:24" ht="10.5" customHeight="1">
      <c r="A26" s="2" t="s">
        <v>92</v>
      </c>
      <c r="B26" s="3">
        <v>45662.771412037036</v>
      </c>
      <c r="C26" s="2" t="s">
        <v>93</v>
      </c>
      <c r="D26" s="2" t="s">
        <v>94</v>
      </c>
      <c r="E26" s="2" t="s">
        <v>95</v>
      </c>
      <c r="F26" s="4">
        <v>9500</v>
      </c>
      <c r="G26" s="5">
        <v>2.1</v>
      </c>
      <c r="H26" s="6">
        <v>0</v>
      </c>
      <c r="I26" s="7">
        <f t="shared" si="0"/>
        <v>19950</v>
      </c>
      <c r="J26" s="7">
        <f t="shared" si="1"/>
        <v>0</v>
      </c>
      <c r="K26" s="7">
        <f t="shared" si="2"/>
        <v>19950</v>
      </c>
      <c r="L26" s="4">
        <v>85000</v>
      </c>
      <c r="M26" s="7">
        <f t="shared" si="3"/>
        <v>104950</v>
      </c>
      <c r="N26" s="2" t="s">
        <v>21</v>
      </c>
      <c r="O26" t="s">
        <v>22</v>
      </c>
      <c r="P26" s="2" t="s">
        <v>2365</v>
      </c>
      <c r="Q26" s="2">
        <v>5</v>
      </c>
      <c r="R26" s="2" t="s">
        <v>23</v>
      </c>
      <c r="S26" s="2" t="str">
        <f t="shared" si="9"/>
        <v>Standar</v>
      </c>
      <c r="T26" s="2" t="str">
        <f t="shared" si="4"/>
        <v>FALSE</v>
      </c>
      <c r="U26" s="2" t="str">
        <f t="shared" si="5"/>
        <v>FALSE</v>
      </c>
      <c r="V26" s="2" t="b">
        <f t="shared" si="6"/>
        <v>0</v>
      </c>
      <c r="W26" s="2" t="b">
        <f t="shared" si="8"/>
        <v>0</v>
      </c>
      <c r="X26" s="2" t="b">
        <f t="shared" si="7"/>
        <v>0</v>
      </c>
    </row>
    <row r="27" spans="1:24" ht="10.5" customHeight="1">
      <c r="A27" s="2" t="s">
        <v>96</v>
      </c>
      <c r="B27" s="3">
        <v>45662.895601851851</v>
      </c>
      <c r="C27" s="2" t="s">
        <v>97</v>
      </c>
      <c r="D27" s="2" t="s">
        <v>98</v>
      </c>
      <c r="E27" s="2" t="s">
        <v>99</v>
      </c>
      <c r="F27" s="4">
        <v>10000</v>
      </c>
      <c r="G27" s="5">
        <v>1</v>
      </c>
      <c r="H27" s="6">
        <v>0</v>
      </c>
      <c r="I27" s="7">
        <f t="shared" si="0"/>
        <v>10000</v>
      </c>
      <c r="J27" s="7">
        <f t="shared" si="1"/>
        <v>0</v>
      </c>
      <c r="K27" s="7">
        <f t="shared" si="2"/>
        <v>10000</v>
      </c>
      <c r="L27" s="4">
        <v>97000</v>
      </c>
      <c r="M27" s="7">
        <f t="shared" si="3"/>
        <v>107000</v>
      </c>
      <c r="N27" s="2" t="s">
        <v>58</v>
      </c>
      <c r="O27" t="s">
        <v>22</v>
      </c>
      <c r="P27" s="2" t="s">
        <v>2367</v>
      </c>
      <c r="Q27" s="2">
        <v>1</v>
      </c>
      <c r="R27" s="2" t="s">
        <v>23</v>
      </c>
      <c r="S27" s="2" t="str">
        <f t="shared" si="9"/>
        <v>Standar</v>
      </c>
      <c r="T27" s="2" t="str">
        <f t="shared" si="4"/>
        <v>FALSE</v>
      </c>
      <c r="U27" s="2" t="str">
        <f t="shared" si="5"/>
        <v>FALSE</v>
      </c>
      <c r="V27" s="2" t="b">
        <f t="shared" si="6"/>
        <v>0</v>
      </c>
      <c r="W27" s="2" t="b">
        <f t="shared" si="8"/>
        <v>1</v>
      </c>
      <c r="X27" s="2" t="b">
        <f t="shared" si="7"/>
        <v>0</v>
      </c>
    </row>
    <row r="28" spans="1:24" ht="10.5" customHeight="1">
      <c r="A28" s="2" t="s">
        <v>100</v>
      </c>
      <c r="B28" s="3">
        <v>45666.855196759258</v>
      </c>
      <c r="C28" s="2" t="s">
        <v>101</v>
      </c>
      <c r="D28" s="2" t="s">
        <v>44</v>
      </c>
      <c r="E28" s="2" t="s">
        <v>102</v>
      </c>
      <c r="F28" s="4">
        <v>55000</v>
      </c>
      <c r="G28" s="5">
        <v>0.5</v>
      </c>
      <c r="H28" s="6">
        <v>0</v>
      </c>
      <c r="I28" s="7">
        <f t="shared" si="0"/>
        <v>27500</v>
      </c>
      <c r="J28" s="7">
        <f t="shared" si="1"/>
        <v>0</v>
      </c>
      <c r="K28" s="7">
        <f t="shared" si="2"/>
        <v>27500</v>
      </c>
      <c r="L28" s="4">
        <v>43000</v>
      </c>
      <c r="M28" s="7">
        <f t="shared" si="3"/>
        <v>70500</v>
      </c>
      <c r="N28" s="2" t="s">
        <v>21</v>
      </c>
      <c r="O28" t="s">
        <v>22</v>
      </c>
      <c r="P28" s="2" t="s">
        <v>2368</v>
      </c>
      <c r="Q28" s="2">
        <v>4</v>
      </c>
      <c r="R28" s="2" t="s">
        <v>23</v>
      </c>
      <c r="S28" s="2" t="str">
        <f t="shared" si="9"/>
        <v>Rendah</v>
      </c>
      <c r="T28" s="2" t="str">
        <f t="shared" si="4"/>
        <v>FALSE</v>
      </c>
      <c r="U28" s="2" t="str">
        <f t="shared" si="5"/>
        <v>FALSE</v>
      </c>
      <c r="V28" s="2" t="b">
        <f t="shared" si="6"/>
        <v>0</v>
      </c>
      <c r="W28" s="2" t="b">
        <f t="shared" si="8"/>
        <v>0</v>
      </c>
      <c r="X28" s="2" t="b">
        <f t="shared" si="7"/>
        <v>0</v>
      </c>
    </row>
    <row r="29" spans="1:24" ht="10.5" customHeight="1">
      <c r="A29" s="2" t="s">
        <v>103</v>
      </c>
      <c r="B29" s="3">
        <v>45666.898819444446</v>
      </c>
      <c r="C29" s="2" t="s">
        <v>104</v>
      </c>
      <c r="D29" s="2" t="s">
        <v>105</v>
      </c>
      <c r="E29" s="2" t="s">
        <v>102</v>
      </c>
      <c r="F29" s="4">
        <v>55000</v>
      </c>
      <c r="G29" s="5">
        <v>1.1000000000000001</v>
      </c>
      <c r="H29" s="6">
        <v>0</v>
      </c>
      <c r="I29" s="7">
        <f t="shared" si="0"/>
        <v>60500.000000000007</v>
      </c>
      <c r="J29" s="7">
        <f t="shared" si="1"/>
        <v>0</v>
      </c>
      <c r="K29" s="7">
        <f t="shared" si="2"/>
        <v>60500.000000000007</v>
      </c>
      <c r="L29" s="4">
        <v>18000</v>
      </c>
      <c r="M29" s="7">
        <f t="shared" si="3"/>
        <v>78500</v>
      </c>
      <c r="N29" s="2" t="s">
        <v>28</v>
      </c>
      <c r="O29" t="s">
        <v>22</v>
      </c>
      <c r="P29" s="2" t="s">
        <v>2370</v>
      </c>
      <c r="Q29" s="2">
        <v>1</v>
      </c>
      <c r="R29" s="2" t="s">
        <v>23</v>
      </c>
      <c r="S29" s="2" t="str">
        <f t="shared" si="9"/>
        <v>Rendah</v>
      </c>
      <c r="T29" s="2" t="str">
        <f t="shared" si="4"/>
        <v>FALSE</v>
      </c>
      <c r="U29" s="2" t="str">
        <f t="shared" si="5"/>
        <v>FALSE</v>
      </c>
      <c r="V29" s="2" t="b">
        <f t="shared" si="6"/>
        <v>0</v>
      </c>
      <c r="W29" s="2" t="b">
        <f t="shared" si="8"/>
        <v>0</v>
      </c>
      <c r="X29" s="2" t="b">
        <f t="shared" si="7"/>
        <v>0</v>
      </c>
    </row>
    <row r="30" spans="1:24" ht="10.5" customHeight="1">
      <c r="A30" s="2" t="s">
        <v>106</v>
      </c>
      <c r="B30" s="3">
        <v>45667.410266203697</v>
      </c>
      <c r="C30" s="2" t="s">
        <v>107</v>
      </c>
      <c r="D30" s="2" t="s">
        <v>108</v>
      </c>
      <c r="E30" s="2" t="s">
        <v>45</v>
      </c>
      <c r="F30" s="4">
        <v>10500</v>
      </c>
      <c r="G30" s="5">
        <v>1.3</v>
      </c>
      <c r="H30" s="6">
        <v>0</v>
      </c>
      <c r="I30" s="7">
        <f t="shared" si="0"/>
        <v>13650</v>
      </c>
      <c r="J30" s="7">
        <f t="shared" si="1"/>
        <v>0</v>
      </c>
      <c r="K30" s="7">
        <f t="shared" si="2"/>
        <v>13650</v>
      </c>
      <c r="L30" s="4">
        <v>72000</v>
      </c>
      <c r="M30" s="7">
        <f t="shared" si="3"/>
        <v>85650</v>
      </c>
      <c r="N30" s="2" t="s">
        <v>58</v>
      </c>
      <c r="O30" t="s">
        <v>22</v>
      </c>
      <c r="P30" s="2" t="s">
        <v>2365</v>
      </c>
      <c r="Q30" s="2">
        <v>4</v>
      </c>
      <c r="R30" s="2" t="s">
        <v>23</v>
      </c>
      <c r="S30" s="2" t="str">
        <f t="shared" si="9"/>
        <v>Rendah</v>
      </c>
      <c r="T30" s="2" t="str">
        <f t="shared" si="4"/>
        <v>FALSE</v>
      </c>
      <c r="U30" s="2" t="str">
        <f t="shared" si="5"/>
        <v>FALSE</v>
      </c>
      <c r="V30" s="2" t="b">
        <f t="shared" si="6"/>
        <v>0</v>
      </c>
      <c r="W30" s="2" t="b">
        <f t="shared" si="8"/>
        <v>0</v>
      </c>
      <c r="X30" s="2" t="b">
        <f t="shared" si="7"/>
        <v>0</v>
      </c>
    </row>
    <row r="31" spans="1:24" ht="10.5" customHeight="1">
      <c r="A31" s="2" t="s">
        <v>109</v>
      </c>
      <c r="B31" s="3">
        <v>45668.259467592587</v>
      </c>
      <c r="C31" s="2" t="s">
        <v>110</v>
      </c>
      <c r="D31" s="2" t="s">
        <v>111</v>
      </c>
      <c r="E31" s="2" t="s">
        <v>45</v>
      </c>
      <c r="F31" s="4">
        <v>10500</v>
      </c>
      <c r="G31" s="5">
        <v>1.3</v>
      </c>
      <c r="H31" s="6">
        <v>0</v>
      </c>
      <c r="I31" s="7">
        <f t="shared" si="0"/>
        <v>13650</v>
      </c>
      <c r="J31" s="7">
        <f t="shared" si="1"/>
        <v>0</v>
      </c>
      <c r="K31" s="7">
        <f t="shared" si="2"/>
        <v>13650</v>
      </c>
      <c r="L31" s="4">
        <v>0</v>
      </c>
      <c r="M31" s="7">
        <f t="shared" si="3"/>
        <v>13650</v>
      </c>
      <c r="N31" s="2" t="s">
        <v>21</v>
      </c>
      <c r="O31" t="s">
        <v>22</v>
      </c>
      <c r="P31" s="2" t="s">
        <v>2370</v>
      </c>
      <c r="Q31" s="2">
        <v>2</v>
      </c>
      <c r="R31" s="2" t="s">
        <v>23</v>
      </c>
      <c r="S31" s="2" t="str">
        <f t="shared" si="9"/>
        <v>Sangat Rendah</v>
      </c>
      <c r="T31" s="2" t="str">
        <f t="shared" si="4"/>
        <v>FALSE</v>
      </c>
      <c r="U31" s="2" t="str">
        <f t="shared" si="5"/>
        <v>FALSE</v>
      </c>
      <c r="V31" s="2" t="b">
        <f t="shared" si="6"/>
        <v>0</v>
      </c>
      <c r="W31" s="2" t="b">
        <f t="shared" si="8"/>
        <v>0</v>
      </c>
      <c r="X31" s="2" t="b">
        <f t="shared" si="7"/>
        <v>1</v>
      </c>
    </row>
    <row r="32" spans="1:24" ht="10.5" customHeight="1">
      <c r="A32" s="2" t="s">
        <v>112</v>
      </c>
      <c r="B32" s="3">
        <v>45668.398900462962</v>
      </c>
      <c r="C32" s="2" t="s">
        <v>113</v>
      </c>
      <c r="D32" s="2" t="s">
        <v>114</v>
      </c>
      <c r="E32" s="2" t="s">
        <v>45</v>
      </c>
      <c r="F32" s="4">
        <v>10500</v>
      </c>
      <c r="G32" s="5">
        <v>1.6</v>
      </c>
      <c r="H32" s="6">
        <v>0</v>
      </c>
      <c r="I32" s="7">
        <f t="shared" si="0"/>
        <v>16800</v>
      </c>
      <c r="J32" s="7">
        <f t="shared" si="1"/>
        <v>0</v>
      </c>
      <c r="K32" s="7">
        <f t="shared" si="2"/>
        <v>16800</v>
      </c>
      <c r="L32" s="4">
        <v>78000</v>
      </c>
      <c r="M32" s="7">
        <f t="shared" si="3"/>
        <v>94800</v>
      </c>
      <c r="N32" s="2" t="s">
        <v>28</v>
      </c>
      <c r="O32" t="s">
        <v>115</v>
      </c>
      <c r="P32" s="2" t="s">
        <v>2365</v>
      </c>
      <c r="Q32" s="2">
        <v>3</v>
      </c>
      <c r="R32" s="2" t="s">
        <v>23</v>
      </c>
      <c r="S32" s="2" t="str">
        <f t="shared" si="9"/>
        <v>Rendah</v>
      </c>
      <c r="T32" s="2" t="str">
        <f t="shared" si="4"/>
        <v>TRUE</v>
      </c>
      <c r="U32" s="2" t="str">
        <f t="shared" si="5"/>
        <v>FALSE</v>
      </c>
      <c r="V32" s="2" t="b">
        <f t="shared" si="6"/>
        <v>0</v>
      </c>
      <c r="W32" s="2" t="b">
        <f t="shared" si="8"/>
        <v>0</v>
      </c>
      <c r="X32" s="2" t="b">
        <f t="shared" si="7"/>
        <v>0</v>
      </c>
    </row>
    <row r="33" spans="1:24" ht="10.5" customHeight="1">
      <c r="A33" s="2" t="s">
        <v>116</v>
      </c>
      <c r="B33" s="3">
        <v>45668.528425925928</v>
      </c>
      <c r="C33" s="2" t="s">
        <v>117</v>
      </c>
      <c r="D33" s="2" t="s">
        <v>118</v>
      </c>
      <c r="E33" s="2" t="s">
        <v>102</v>
      </c>
      <c r="F33" s="4">
        <v>55000</v>
      </c>
      <c r="G33" s="5">
        <v>0.4</v>
      </c>
      <c r="H33" s="6">
        <v>0</v>
      </c>
      <c r="I33" s="7">
        <f t="shared" si="0"/>
        <v>22000</v>
      </c>
      <c r="J33" s="7">
        <f t="shared" si="1"/>
        <v>0</v>
      </c>
      <c r="K33" s="7">
        <f t="shared" si="2"/>
        <v>22000</v>
      </c>
      <c r="L33" s="4">
        <v>84000</v>
      </c>
      <c r="M33" s="7">
        <f t="shared" si="3"/>
        <v>106000</v>
      </c>
      <c r="N33" s="2" t="s">
        <v>28</v>
      </c>
      <c r="O33" t="s">
        <v>22</v>
      </c>
      <c r="P33" s="2" t="s">
        <v>2370</v>
      </c>
      <c r="Q33" s="2">
        <v>1</v>
      </c>
      <c r="R33" s="2" t="s">
        <v>23</v>
      </c>
      <c r="S33" s="2" t="str">
        <f t="shared" si="9"/>
        <v>Standar</v>
      </c>
      <c r="T33" s="2" t="str">
        <f t="shared" si="4"/>
        <v>FALSE</v>
      </c>
      <c r="U33" s="2" t="str">
        <f t="shared" si="5"/>
        <v>FALSE</v>
      </c>
      <c r="V33" s="2" t="b">
        <f t="shared" si="6"/>
        <v>0</v>
      </c>
      <c r="W33" s="2" t="b">
        <f t="shared" si="8"/>
        <v>0</v>
      </c>
      <c r="X33" s="2" t="b">
        <f t="shared" si="7"/>
        <v>0</v>
      </c>
    </row>
    <row r="34" spans="1:24" ht="10.5" customHeight="1">
      <c r="A34" s="2" t="s">
        <v>119</v>
      </c>
      <c r="B34" s="3">
        <v>45668.726585648154</v>
      </c>
      <c r="C34" s="2" t="s">
        <v>120</v>
      </c>
      <c r="D34" s="2" t="s">
        <v>94</v>
      </c>
      <c r="E34" s="2" t="s">
        <v>27</v>
      </c>
      <c r="F34" s="4">
        <v>15000</v>
      </c>
      <c r="G34" s="5">
        <v>0.9</v>
      </c>
      <c r="H34" s="6">
        <v>0</v>
      </c>
      <c r="I34" s="7">
        <f t="shared" si="0"/>
        <v>13500</v>
      </c>
      <c r="J34" s="7">
        <f t="shared" si="1"/>
        <v>0</v>
      </c>
      <c r="K34" s="7">
        <f t="shared" si="2"/>
        <v>13500</v>
      </c>
      <c r="L34" s="4">
        <v>85000</v>
      </c>
      <c r="M34" s="7">
        <f t="shared" si="3"/>
        <v>98500</v>
      </c>
      <c r="N34" s="2" t="s">
        <v>33</v>
      </c>
      <c r="O34" t="s">
        <v>22</v>
      </c>
      <c r="P34" s="2" t="s">
        <v>2365</v>
      </c>
      <c r="Q34" s="2">
        <v>4</v>
      </c>
      <c r="R34" s="2" t="s">
        <v>34</v>
      </c>
      <c r="S34" s="2" t="str">
        <f t="shared" si="9"/>
        <v>Rendah</v>
      </c>
      <c r="T34" s="2" t="str">
        <f t="shared" si="4"/>
        <v>FALSE</v>
      </c>
      <c r="U34" s="2" t="str">
        <f t="shared" si="5"/>
        <v>FALSE</v>
      </c>
      <c r="V34" s="2" t="b">
        <f t="shared" si="6"/>
        <v>0</v>
      </c>
      <c r="W34" s="2" t="b">
        <f t="shared" si="8"/>
        <v>0</v>
      </c>
      <c r="X34" s="2" t="b">
        <f t="shared" si="7"/>
        <v>0</v>
      </c>
    </row>
    <row r="35" spans="1:24" ht="10.5" customHeight="1">
      <c r="A35" s="2" t="s">
        <v>121</v>
      </c>
      <c r="B35" s="3">
        <v>45669.385601851849</v>
      </c>
      <c r="C35" s="2" t="s">
        <v>122</v>
      </c>
      <c r="D35" s="2" t="s">
        <v>123</v>
      </c>
      <c r="E35" s="2" t="s">
        <v>80</v>
      </c>
      <c r="F35" s="4">
        <v>15000</v>
      </c>
      <c r="G35" s="5">
        <v>0.9</v>
      </c>
      <c r="H35" s="6">
        <v>0</v>
      </c>
      <c r="I35" s="7">
        <f t="shared" si="0"/>
        <v>13500</v>
      </c>
      <c r="J35" s="7">
        <f t="shared" si="1"/>
        <v>0</v>
      </c>
      <c r="K35" s="7">
        <f t="shared" si="2"/>
        <v>13500</v>
      </c>
      <c r="L35" s="4">
        <v>59000</v>
      </c>
      <c r="M35" s="7">
        <f t="shared" si="3"/>
        <v>72500</v>
      </c>
      <c r="N35" s="2" t="s">
        <v>28</v>
      </c>
      <c r="O35" t="s">
        <v>22</v>
      </c>
      <c r="P35" s="2" t="s">
        <v>2365</v>
      </c>
      <c r="Q35" s="2">
        <v>2</v>
      </c>
      <c r="R35" s="2" t="s">
        <v>23</v>
      </c>
      <c r="S35" s="2" t="str">
        <f t="shared" si="9"/>
        <v>Rendah</v>
      </c>
      <c r="T35" s="2" t="str">
        <f t="shared" si="4"/>
        <v>FALSE</v>
      </c>
      <c r="U35" s="2" t="str">
        <f t="shared" si="5"/>
        <v>FALSE</v>
      </c>
      <c r="V35" s="2" t="b">
        <f t="shared" si="6"/>
        <v>0</v>
      </c>
      <c r="W35" s="2" t="b">
        <f t="shared" si="8"/>
        <v>0</v>
      </c>
      <c r="X35" s="2" t="b">
        <f t="shared" si="7"/>
        <v>0</v>
      </c>
    </row>
    <row r="36" spans="1:24" ht="10.5" customHeight="1">
      <c r="A36" s="2" t="s">
        <v>124</v>
      </c>
      <c r="B36" s="3">
        <v>45669.503946759258</v>
      </c>
      <c r="C36" s="2" t="s">
        <v>125</v>
      </c>
      <c r="D36" s="2" t="s">
        <v>31</v>
      </c>
      <c r="E36" s="2" t="s">
        <v>80</v>
      </c>
      <c r="F36" s="4">
        <v>15000</v>
      </c>
      <c r="G36" s="5">
        <v>1.5</v>
      </c>
      <c r="H36" s="6">
        <v>0</v>
      </c>
      <c r="I36" s="7">
        <f t="shared" si="0"/>
        <v>22500</v>
      </c>
      <c r="J36" s="7">
        <f t="shared" si="1"/>
        <v>0</v>
      </c>
      <c r="K36" s="7">
        <f t="shared" si="2"/>
        <v>22500</v>
      </c>
      <c r="L36" s="4">
        <v>76000</v>
      </c>
      <c r="M36" s="7">
        <f t="shared" si="3"/>
        <v>98500</v>
      </c>
      <c r="N36" s="2" t="s">
        <v>21</v>
      </c>
      <c r="O36" t="s">
        <v>22</v>
      </c>
      <c r="P36" s="2" t="s">
        <v>2367</v>
      </c>
      <c r="Q36" s="2">
        <v>5</v>
      </c>
      <c r="R36" s="2" t="s">
        <v>23</v>
      </c>
      <c r="S36" s="2" t="str">
        <f t="shared" si="9"/>
        <v>Rendah</v>
      </c>
      <c r="T36" s="2" t="str">
        <f t="shared" si="4"/>
        <v>FALSE</v>
      </c>
      <c r="U36" s="2" t="str">
        <f t="shared" si="5"/>
        <v>FALSE</v>
      </c>
      <c r="V36" s="2" t="b">
        <f t="shared" si="6"/>
        <v>0</v>
      </c>
      <c r="W36" s="2" t="b">
        <f t="shared" si="8"/>
        <v>1</v>
      </c>
      <c r="X36" s="2" t="b">
        <f t="shared" si="7"/>
        <v>0</v>
      </c>
    </row>
    <row r="37" spans="1:24" ht="10.5" customHeight="1">
      <c r="A37" s="2" t="s">
        <v>124</v>
      </c>
      <c r="B37" s="3">
        <v>45669.503946759258</v>
      </c>
      <c r="C37" s="2" t="s">
        <v>125</v>
      </c>
      <c r="D37" s="2" t="s">
        <v>31</v>
      </c>
      <c r="E37" s="2" t="s">
        <v>53</v>
      </c>
      <c r="F37" s="4">
        <v>14000</v>
      </c>
      <c r="G37" s="5">
        <v>0.8</v>
      </c>
      <c r="H37" s="6">
        <v>0</v>
      </c>
      <c r="I37" s="7">
        <f t="shared" si="0"/>
        <v>11200</v>
      </c>
      <c r="J37" s="7">
        <f t="shared" si="1"/>
        <v>0</v>
      </c>
      <c r="K37" s="7">
        <f t="shared" si="2"/>
        <v>11200</v>
      </c>
      <c r="L37" s="4">
        <v>0</v>
      </c>
      <c r="M37" s="7">
        <f t="shared" si="3"/>
        <v>11200</v>
      </c>
      <c r="N37" s="2" t="s">
        <v>21</v>
      </c>
      <c r="O37" t="s">
        <v>22</v>
      </c>
      <c r="P37" s="2" t="s">
        <v>2367</v>
      </c>
      <c r="Q37" s="2">
        <v>5</v>
      </c>
      <c r="R37" s="2" t="s">
        <v>23</v>
      </c>
      <c r="S37" s="2" t="str">
        <f t="shared" si="9"/>
        <v>Sangat Rendah</v>
      </c>
      <c r="T37" s="2" t="str">
        <f t="shared" si="4"/>
        <v>FALSE</v>
      </c>
      <c r="U37" s="2" t="str">
        <f t="shared" si="5"/>
        <v>FALSE</v>
      </c>
      <c r="V37" s="2" t="b">
        <f t="shared" si="6"/>
        <v>0</v>
      </c>
      <c r="W37" s="2" t="b">
        <f t="shared" si="8"/>
        <v>1</v>
      </c>
      <c r="X37" s="2" t="b">
        <f t="shared" si="7"/>
        <v>1</v>
      </c>
    </row>
    <row r="38" spans="1:24" ht="10.5" customHeight="1">
      <c r="A38" s="2" t="s">
        <v>126</v>
      </c>
      <c r="B38" s="3">
        <v>45669.649259259262</v>
      </c>
      <c r="C38" s="2" t="s">
        <v>127</v>
      </c>
      <c r="D38" s="2" t="s">
        <v>26</v>
      </c>
      <c r="E38" s="2" t="s">
        <v>75</v>
      </c>
      <c r="F38" s="4">
        <v>45000</v>
      </c>
      <c r="G38" s="5">
        <v>0.9</v>
      </c>
      <c r="H38" s="6">
        <v>0</v>
      </c>
      <c r="I38" s="7">
        <f t="shared" si="0"/>
        <v>40500</v>
      </c>
      <c r="J38" s="7">
        <f t="shared" si="1"/>
        <v>0</v>
      </c>
      <c r="K38" s="7">
        <f t="shared" si="2"/>
        <v>40500</v>
      </c>
      <c r="L38" s="4">
        <v>17000</v>
      </c>
      <c r="M38" s="7">
        <f t="shared" si="3"/>
        <v>57500</v>
      </c>
      <c r="N38" s="2" t="s">
        <v>21</v>
      </c>
      <c r="O38" t="s">
        <v>22</v>
      </c>
      <c r="P38" s="2" t="s">
        <v>2366</v>
      </c>
      <c r="Q38" s="2">
        <v>1</v>
      </c>
      <c r="R38" s="2" t="s">
        <v>23</v>
      </c>
      <c r="S38" s="2" t="str">
        <f t="shared" si="9"/>
        <v>Rendah</v>
      </c>
      <c r="T38" s="2" t="str">
        <f t="shared" si="4"/>
        <v>FALSE</v>
      </c>
      <c r="U38" s="2" t="str">
        <f t="shared" si="5"/>
        <v>FALSE</v>
      </c>
      <c r="V38" s="2" t="b">
        <f t="shared" si="6"/>
        <v>0</v>
      </c>
      <c r="W38" s="2" t="b">
        <f t="shared" si="8"/>
        <v>0</v>
      </c>
      <c r="X38" s="2" t="b">
        <f t="shared" si="7"/>
        <v>0</v>
      </c>
    </row>
    <row r="39" spans="1:24" ht="10.5" customHeight="1">
      <c r="A39" s="2" t="s">
        <v>128</v>
      </c>
      <c r="B39" s="3">
        <v>45670.457094907397</v>
      </c>
      <c r="C39" s="2" t="s">
        <v>125</v>
      </c>
      <c r="D39" s="2" t="s">
        <v>31</v>
      </c>
      <c r="E39" s="2" t="s">
        <v>27</v>
      </c>
      <c r="F39" s="4">
        <v>15000</v>
      </c>
      <c r="G39" s="5">
        <v>1.2</v>
      </c>
      <c r="H39" s="6">
        <v>0</v>
      </c>
      <c r="I39" s="7">
        <f t="shared" si="0"/>
        <v>18000</v>
      </c>
      <c r="J39" s="7">
        <f t="shared" si="1"/>
        <v>0</v>
      </c>
      <c r="K39" s="7">
        <f t="shared" si="2"/>
        <v>18000</v>
      </c>
      <c r="L39" s="4">
        <v>76000</v>
      </c>
      <c r="M39" s="7">
        <f t="shared" si="3"/>
        <v>94000</v>
      </c>
      <c r="N39" s="2" t="s">
        <v>33</v>
      </c>
      <c r="O39" t="s">
        <v>69</v>
      </c>
      <c r="P39" s="2" t="s">
        <v>2370</v>
      </c>
      <c r="Q39" s="2">
        <v>4</v>
      </c>
      <c r="R39" s="2" t="s">
        <v>23</v>
      </c>
      <c r="S39" s="2" t="str">
        <f t="shared" si="9"/>
        <v>Rendah</v>
      </c>
      <c r="T39" s="2" t="str">
        <f t="shared" si="4"/>
        <v>FALSE</v>
      </c>
      <c r="U39" s="2" t="str">
        <f t="shared" si="5"/>
        <v>FALSE</v>
      </c>
      <c r="V39" s="2" t="b">
        <f t="shared" si="6"/>
        <v>0</v>
      </c>
      <c r="W39" s="2" t="b">
        <f t="shared" si="8"/>
        <v>0</v>
      </c>
      <c r="X39" s="2" t="b">
        <f t="shared" si="7"/>
        <v>0</v>
      </c>
    </row>
    <row r="40" spans="1:24" ht="10.5" customHeight="1">
      <c r="A40" s="2" t="s">
        <v>128</v>
      </c>
      <c r="B40" s="3">
        <v>45670.457094907397</v>
      </c>
      <c r="C40" s="2" t="s">
        <v>125</v>
      </c>
      <c r="D40" s="2" t="s">
        <v>31</v>
      </c>
      <c r="E40" s="2" t="s">
        <v>41</v>
      </c>
      <c r="F40" s="4">
        <v>40000</v>
      </c>
      <c r="G40" s="5">
        <v>1.1000000000000001</v>
      </c>
      <c r="H40" s="6">
        <v>0</v>
      </c>
      <c r="I40" s="7">
        <f t="shared" si="0"/>
        <v>44000</v>
      </c>
      <c r="J40" s="7">
        <f t="shared" si="1"/>
        <v>0</v>
      </c>
      <c r="K40" s="7">
        <f t="shared" si="2"/>
        <v>44000</v>
      </c>
      <c r="L40" s="4">
        <v>0</v>
      </c>
      <c r="M40" s="7">
        <f t="shared" si="3"/>
        <v>44000</v>
      </c>
      <c r="N40" s="2" t="s">
        <v>33</v>
      </c>
      <c r="O40" t="s">
        <v>69</v>
      </c>
      <c r="P40" s="2" t="s">
        <v>2370</v>
      </c>
      <c r="Q40" s="2">
        <v>4</v>
      </c>
      <c r="R40" s="2" t="s">
        <v>23</v>
      </c>
      <c r="S40" s="2" t="str">
        <f t="shared" si="9"/>
        <v>Sangat Rendah</v>
      </c>
      <c r="T40" s="2" t="str">
        <f t="shared" si="4"/>
        <v>FALSE</v>
      </c>
      <c r="U40" s="2" t="str">
        <f t="shared" si="5"/>
        <v>FALSE</v>
      </c>
      <c r="V40" s="2" t="b">
        <f t="shared" si="6"/>
        <v>0</v>
      </c>
      <c r="W40" s="2" t="b">
        <f t="shared" si="8"/>
        <v>0</v>
      </c>
      <c r="X40" s="2" t="b">
        <f t="shared" si="7"/>
        <v>1</v>
      </c>
    </row>
    <row r="41" spans="1:24" ht="10.5" customHeight="1">
      <c r="A41" s="2" t="s">
        <v>129</v>
      </c>
      <c r="B41" s="3">
        <v>45670.508576388893</v>
      </c>
      <c r="C41" s="2" t="s">
        <v>130</v>
      </c>
      <c r="D41" s="2" t="s">
        <v>84</v>
      </c>
      <c r="E41" s="2" t="s">
        <v>35</v>
      </c>
      <c r="F41" s="4">
        <v>13500</v>
      </c>
      <c r="G41" s="5">
        <v>2.1</v>
      </c>
      <c r="H41" s="6">
        <v>0</v>
      </c>
      <c r="I41" s="7">
        <f t="shared" si="0"/>
        <v>28350</v>
      </c>
      <c r="J41" s="7">
        <f t="shared" si="1"/>
        <v>0</v>
      </c>
      <c r="K41" s="7">
        <f t="shared" si="2"/>
        <v>28350</v>
      </c>
      <c r="L41" s="4">
        <v>30000</v>
      </c>
      <c r="M41" s="7">
        <f t="shared" si="3"/>
        <v>58350</v>
      </c>
      <c r="N41" s="2" t="s">
        <v>58</v>
      </c>
      <c r="O41" t="s">
        <v>69</v>
      </c>
      <c r="P41" s="2" t="s">
        <v>2365</v>
      </c>
      <c r="Q41" s="2">
        <v>2</v>
      </c>
      <c r="R41" s="2" t="s">
        <v>23</v>
      </c>
      <c r="S41" s="2" t="str">
        <f t="shared" si="9"/>
        <v>Rendah</v>
      </c>
      <c r="T41" s="2" t="str">
        <f t="shared" si="4"/>
        <v>FALSE</v>
      </c>
      <c r="U41" s="2" t="str">
        <f t="shared" si="5"/>
        <v>FALSE</v>
      </c>
      <c r="V41" s="2" t="b">
        <f t="shared" si="6"/>
        <v>0</v>
      </c>
      <c r="W41" s="2" t="b">
        <f t="shared" si="8"/>
        <v>0</v>
      </c>
      <c r="X41" s="2" t="b">
        <f t="shared" si="7"/>
        <v>0</v>
      </c>
    </row>
    <row r="42" spans="1:24" ht="10.5" customHeight="1">
      <c r="A42" s="2" t="s">
        <v>131</v>
      </c>
      <c r="B42" s="3">
        <v>45670.523865740739</v>
      </c>
      <c r="C42" s="2" t="s">
        <v>132</v>
      </c>
      <c r="D42" s="2" t="s">
        <v>133</v>
      </c>
      <c r="E42" s="2" t="s">
        <v>45</v>
      </c>
      <c r="F42" s="4">
        <v>10500</v>
      </c>
      <c r="G42" s="5">
        <v>1.4</v>
      </c>
      <c r="H42" s="6">
        <v>0</v>
      </c>
      <c r="I42" s="7">
        <f t="shared" si="0"/>
        <v>14699.999999999998</v>
      </c>
      <c r="J42" s="7">
        <f t="shared" si="1"/>
        <v>0</v>
      </c>
      <c r="K42" s="7">
        <f t="shared" si="2"/>
        <v>14699.999999999998</v>
      </c>
      <c r="L42" s="4">
        <v>50000</v>
      </c>
      <c r="M42" s="7">
        <f t="shared" si="3"/>
        <v>64700</v>
      </c>
      <c r="N42" s="2" t="s">
        <v>21</v>
      </c>
      <c r="O42" t="s">
        <v>69</v>
      </c>
      <c r="P42" s="2" t="s">
        <v>2366</v>
      </c>
      <c r="Q42" s="2">
        <v>4</v>
      </c>
      <c r="R42" s="2" t="s">
        <v>23</v>
      </c>
      <c r="S42" s="2" t="str">
        <f t="shared" si="9"/>
        <v>Rendah</v>
      </c>
      <c r="T42" s="2" t="str">
        <f t="shared" si="4"/>
        <v>FALSE</v>
      </c>
      <c r="U42" s="2" t="str">
        <f t="shared" si="5"/>
        <v>FALSE</v>
      </c>
      <c r="V42" s="2" t="b">
        <f t="shared" si="6"/>
        <v>0</v>
      </c>
      <c r="W42" s="2" t="b">
        <f t="shared" si="8"/>
        <v>0</v>
      </c>
      <c r="X42" s="2" t="b">
        <f t="shared" si="7"/>
        <v>0</v>
      </c>
    </row>
    <row r="43" spans="1:24" ht="10.5" customHeight="1">
      <c r="A43" s="2" t="s">
        <v>134</v>
      </c>
      <c r="B43" s="3">
        <v>45670.605196759258</v>
      </c>
      <c r="C43" s="2" t="s">
        <v>135</v>
      </c>
      <c r="D43" s="2" t="s">
        <v>84</v>
      </c>
      <c r="E43" s="2" t="s">
        <v>75</v>
      </c>
      <c r="F43" s="4">
        <v>45000</v>
      </c>
      <c r="G43" s="5">
        <v>0.8</v>
      </c>
      <c r="H43" s="6">
        <v>0</v>
      </c>
      <c r="I43" s="7">
        <f t="shared" si="0"/>
        <v>36000</v>
      </c>
      <c r="J43" s="7">
        <f t="shared" si="1"/>
        <v>0</v>
      </c>
      <c r="K43" s="7">
        <f t="shared" si="2"/>
        <v>36000</v>
      </c>
      <c r="L43" s="4">
        <v>30000</v>
      </c>
      <c r="M43" s="7">
        <f t="shared" si="3"/>
        <v>66000</v>
      </c>
      <c r="N43" s="2" t="s">
        <v>33</v>
      </c>
      <c r="O43" t="s">
        <v>22</v>
      </c>
      <c r="P43" s="2" t="s">
        <v>2366</v>
      </c>
      <c r="Q43" s="2">
        <v>5</v>
      </c>
      <c r="R43" s="2" t="s">
        <v>34</v>
      </c>
      <c r="S43" s="2" t="str">
        <f t="shared" si="9"/>
        <v>Rendah</v>
      </c>
      <c r="T43" s="2" t="str">
        <f t="shared" si="4"/>
        <v>FALSE</v>
      </c>
      <c r="U43" s="2" t="str">
        <f t="shared" si="5"/>
        <v>FALSE</v>
      </c>
      <c r="V43" s="2" t="b">
        <f t="shared" si="6"/>
        <v>0</v>
      </c>
      <c r="W43" s="2" t="b">
        <f t="shared" si="8"/>
        <v>0</v>
      </c>
      <c r="X43" s="2" t="b">
        <f t="shared" si="7"/>
        <v>0</v>
      </c>
    </row>
    <row r="44" spans="1:24" ht="10.5" customHeight="1">
      <c r="A44" s="2" t="s">
        <v>136</v>
      </c>
      <c r="B44" s="3">
        <v>45671.25675925926</v>
      </c>
      <c r="C44" s="2" t="s">
        <v>137</v>
      </c>
      <c r="D44" s="2" t="s">
        <v>68</v>
      </c>
      <c r="E44" s="2" t="s">
        <v>27</v>
      </c>
      <c r="F44" s="4">
        <v>15000</v>
      </c>
      <c r="G44" s="5">
        <v>1.1000000000000001</v>
      </c>
      <c r="H44" s="6">
        <v>0</v>
      </c>
      <c r="I44" s="7">
        <f t="shared" si="0"/>
        <v>16500</v>
      </c>
      <c r="J44" s="7">
        <f t="shared" si="1"/>
        <v>0</v>
      </c>
      <c r="K44" s="7">
        <f t="shared" si="2"/>
        <v>16500</v>
      </c>
      <c r="L44" s="4">
        <v>87000</v>
      </c>
      <c r="M44" s="7">
        <f t="shared" si="3"/>
        <v>103500</v>
      </c>
      <c r="N44" s="2" t="s">
        <v>58</v>
      </c>
      <c r="O44" t="s">
        <v>69</v>
      </c>
      <c r="P44" s="2" t="s">
        <v>2368</v>
      </c>
      <c r="Q44" s="2">
        <v>2</v>
      </c>
      <c r="R44" s="2" t="s">
        <v>23</v>
      </c>
      <c r="S44" s="2" t="str">
        <f t="shared" si="9"/>
        <v>Standar</v>
      </c>
      <c r="T44" s="2" t="str">
        <f t="shared" si="4"/>
        <v>FALSE</v>
      </c>
      <c r="U44" s="2" t="str">
        <f t="shared" si="5"/>
        <v>FALSE</v>
      </c>
      <c r="V44" s="2" t="b">
        <f t="shared" si="6"/>
        <v>0</v>
      </c>
      <c r="W44" s="2" t="b">
        <f t="shared" si="8"/>
        <v>0</v>
      </c>
      <c r="X44" s="2" t="b">
        <f t="shared" si="7"/>
        <v>0</v>
      </c>
    </row>
    <row r="45" spans="1:24" ht="10.5" customHeight="1">
      <c r="A45" s="2" t="s">
        <v>138</v>
      </c>
      <c r="B45" s="3">
        <v>45671.818078703713</v>
      </c>
      <c r="C45" s="2" t="s">
        <v>139</v>
      </c>
      <c r="D45" s="2" t="s">
        <v>140</v>
      </c>
      <c r="E45" s="2" t="s">
        <v>32</v>
      </c>
      <c r="F45" s="4">
        <v>20000</v>
      </c>
      <c r="G45" s="5">
        <v>1.3</v>
      </c>
      <c r="H45" s="6">
        <v>0</v>
      </c>
      <c r="I45" s="7">
        <f t="shared" si="0"/>
        <v>26000</v>
      </c>
      <c r="J45" s="7">
        <f t="shared" si="1"/>
        <v>0</v>
      </c>
      <c r="K45" s="7">
        <f t="shared" si="2"/>
        <v>26000</v>
      </c>
      <c r="L45" s="4">
        <v>55000</v>
      </c>
      <c r="M45" s="7">
        <f t="shared" si="3"/>
        <v>81000</v>
      </c>
      <c r="N45" s="2" t="s">
        <v>28</v>
      </c>
      <c r="O45" t="s">
        <v>69</v>
      </c>
      <c r="P45" s="2" t="s">
        <v>2367</v>
      </c>
      <c r="Q45" s="2">
        <v>3</v>
      </c>
      <c r="R45" s="2" t="s">
        <v>34</v>
      </c>
      <c r="S45" s="2" t="str">
        <f t="shared" si="9"/>
        <v>Rendah</v>
      </c>
      <c r="T45" s="2" t="str">
        <f t="shared" si="4"/>
        <v>FALSE</v>
      </c>
      <c r="U45" s="2" t="str">
        <f t="shared" si="5"/>
        <v>FALSE</v>
      </c>
      <c r="V45" s="2" t="b">
        <f t="shared" si="6"/>
        <v>0</v>
      </c>
      <c r="W45" s="2" t="b">
        <f t="shared" si="8"/>
        <v>1</v>
      </c>
      <c r="X45" s="2" t="b">
        <f t="shared" si="7"/>
        <v>0</v>
      </c>
    </row>
    <row r="46" spans="1:24" ht="10.5" customHeight="1">
      <c r="A46" s="2" t="s">
        <v>141</v>
      </c>
      <c r="B46" s="3">
        <v>45672.03597222222</v>
      </c>
      <c r="C46" s="2" t="s">
        <v>142</v>
      </c>
      <c r="D46" s="2" t="s">
        <v>94</v>
      </c>
      <c r="E46" s="2" t="s">
        <v>143</v>
      </c>
      <c r="F46" s="4">
        <v>10000</v>
      </c>
      <c r="G46" s="5">
        <v>1</v>
      </c>
      <c r="H46" s="6">
        <v>0</v>
      </c>
      <c r="I46" s="7">
        <f t="shared" si="0"/>
        <v>10000</v>
      </c>
      <c r="J46" s="7">
        <f t="shared" si="1"/>
        <v>0</v>
      </c>
      <c r="K46" s="7">
        <f t="shared" si="2"/>
        <v>10000</v>
      </c>
      <c r="L46" s="4">
        <v>85000</v>
      </c>
      <c r="M46" s="7">
        <f t="shared" si="3"/>
        <v>95000</v>
      </c>
      <c r="N46" s="2" t="s">
        <v>28</v>
      </c>
      <c r="O46" t="s">
        <v>22</v>
      </c>
      <c r="P46" s="2" t="s">
        <v>2367</v>
      </c>
      <c r="Q46" s="2">
        <v>2</v>
      </c>
      <c r="R46" s="2" t="s">
        <v>34</v>
      </c>
      <c r="S46" s="2" t="str">
        <f t="shared" si="9"/>
        <v>Rendah</v>
      </c>
      <c r="T46" s="2" t="str">
        <f t="shared" si="4"/>
        <v>FALSE</v>
      </c>
      <c r="U46" s="2" t="str">
        <f t="shared" si="5"/>
        <v>TRUE</v>
      </c>
      <c r="V46" s="2" t="b">
        <f t="shared" si="6"/>
        <v>0</v>
      </c>
      <c r="W46" s="2" t="b">
        <f t="shared" si="8"/>
        <v>1</v>
      </c>
      <c r="X46" s="2" t="b">
        <f t="shared" si="7"/>
        <v>0</v>
      </c>
    </row>
    <row r="47" spans="1:24" ht="10.5" customHeight="1">
      <c r="A47" s="2" t="s">
        <v>144</v>
      </c>
      <c r="B47" s="3">
        <v>45672.388692129629</v>
      </c>
      <c r="C47" s="2" t="s">
        <v>145</v>
      </c>
      <c r="D47" s="2" t="s">
        <v>84</v>
      </c>
      <c r="E47" s="2" t="s">
        <v>49</v>
      </c>
      <c r="F47" s="4">
        <v>26000</v>
      </c>
      <c r="G47" s="5">
        <v>1</v>
      </c>
      <c r="H47" s="6">
        <v>0</v>
      </c>
      <c r="I47" s="7">
        <f t="shared" si="0"/>
        <v>26000</v>
      </c>
      <c r="J47" s="7">
        <f t="shared" si="1"/>
        <v>0</v>
      </c>
      <c r="K47" s="7">
        <f t="shared" si="2"/>
        <v>26000</v>
      </c>
      <c r="L47" s="4">
        <v>30000</v>
      </c>
      <c r="M47" s="7">
        <f t="shared" si="3"/>
        <v>56000</v>
      </c>
      <c r="N47" s="2" t="s">
        <v>21</v>
      </c>
      <c r="O47" t="s">
        <v>22</v>
      </c>
      <c r="P47" s="2" t="s">
        <v>2368</v>
      </c>
      <c r="Q47" s="2">
        <v>3</v>
      </c>
      <c r="R47" s="2" t="s">
        <v>23</v>
      </c>
      <c r="S47" s="2" t="str">
        <f t="shared" si="9"/>
        <v>Rendah</v>
      </c>
      <c r="T47" s="2" t="str">
        <f t="shared" si="4"/>
        <v>FALSE</v>
      </c>
      <c r="U47" s="2" t="str">
        <f t="shared" si="5"/>
        <v>FALSE</v>
      </c>
      <c r="V47" s="2" t="b">
        <f t="shared" si="6"/>
        <v>0</v>
      </c>
      <c r="W47" s="2" t="b">
        <f t="shared" si="8"/>
        <v>0</v>
      </c>
      <c r="X47" s="2" t="b">
        <f t="shared" si="7"/>
        <v>0</v>
      </c>
    </row>
    <row r="48" spans="1:24" ht="10.5" customHeight="1">
      <c r="A48" s="2" t="s">
        <v>146</v>
      </c>
      <c r="B48" s="3">
        <v>45672.552858796298</v>
      </c>
      <c r="C48" s="2" t="s">
        <v>147</v>
      </c>
      <c r="D48" s="2" t="s">
        <v>19</v>
      </c>
      <c r="E48" s="2" t="s">
        <v>65</v>
      </c>
      <c r="F48" s="4">
        <v>46000</v>
      </c>
      <c r="G48" s="5">
        <v>1</v>
      </c>
      <c r="H48" s="6">
        <v>0</v>
      </c>
      <c r="I48" s="7">
        <f t="shared" si="0"/>
        <v>46000</v>
      </c>
      <c r="J48" s="7">
        <f t="shared" si="1"/>
        <v>0</v>
      </c>
      <c r="K48" s="7">
        <f t="shared" si="2"/>
        <v>46000</v>
      </c>
      <c r="L48" s="4">
        <v>15000</v>
      </c>
      <c r="M48" s="7">
        <f t="shared" si="3"/>
        <v>61000</v>
      </c>
      <c r="N48" s="2" t="s">
        <v>33</v>
      </c>
      <c r="O48" t="s">
        <v>22</v>
      </c>
      <c r="P48" s="2" t="s">
        <v>2367</v>
      </c>
      <c r="Q48" s="2">
        <v>4</v>
      </c>
      <c r="R48" s="2" t="s">
        <v>23</v>
      </c>
      <c r="S48" s="2" t="str">
        <f t="shared" si="9"/>
        <v>Rendah</v>
      </c>
      <c r="T48" s="2" t="str">
        <f t="shared" si="4"/>
        <v>FALSE</v>
      </c>
      <c r="U48" s="2" t="str">
        <f t="shared" si="5"/>
        <v>FALSE</v>
      </c>
      <c r="V48" s="2" t="b">
        <f t="shared" si="6"/>
        <v>0</v>
      </c>
      <c r="W48" s="2" t="b">
        <f t="shared" si="8"/>
        <v>1</v>
      </c>
      <c r="X48" s="2" t="b">
        <f t="shared" si="7"/>
        <v>0</v>
      </c>
    </row>
    <row r="49" spans="1:24" ht="10.5" customHeight="1">
      <c r="A49" s="2" t="s">
        <v>148</v>
      </c>
      <c r="B49" s="3">
        <v>45673.786493055559</v>
      </c>
      <c r="C49" s="2" t="s">
        <v>149</v>
      </c>
      <c r="D49" s="2" t="s">
        <v>150</v>
      </c>
      <c r="E49" s="2" t="s">
        <v>32</v>
      </c>
      <c r="F49" s="4">
        <v>20000</v>
      </c>
      <c r="G49" s="5">
        <v>1.4</v>
      </c>
      <c r="H49" s="6">
        <v>0</v>
      </c>
      <c r="I49" s="7">
        <f t="shared" si="0"/>
        <v>28000</v>
      </c>
      <c r="J49" s="7">
        <f t="shared" si="1"/>
        <v>0</v>
      </c>
      <c r="K49" s="7">
        <f t="shared" si="2"/>
        <v>28000</v>
      </c>
      <c r="L49" s="4">
        <v>68000</v>
      </c>
      <c r="M49" s="7">
        <f t="shared" si="3"/>
        <v>96000</v>
      </c>
      <c r="N49" s="2" t="s">
        <v>58</v>
      </c>
      <c r="O49" t="s">
        <v>22</v>
      </c>
      <c r="P49" s="2" t="s">
        <v>2368</v>
      </c>
      <c r="Q49" s="2">
        <v>1</v>
      </c>
      <c r="R49" s="2" t="s">
        <v>23</v>
      </c>
      <c r="S49" s="2" t="str">
        <f t="shared" si="9"/>
        <v>Rendah</v>
      </c>
      <c r="T49" s="2" t="str">
        <f t="shared" si="4"/>
        <v>FALSE</v>
      </c>
      <c r="U49" s="2" t="str">
        <f t="shared" si="5"/>
        <v>FALSE</v>
      </c>
      <c r="V49" s="2" t="b">
        <f t="shared" si="6"/>
        <v>0</v>
      </c>
      <c r="W49" s="2" t="b">
        <f t="shared" si="8"/>
        <v>0</v>
      </c>
      <c r="X49" s="2" t="b">
        <f t="shared" si="7"/>
        <v>0</v>
      </c>
    </row>
    <row r="50" spans="1:24" ht="10.5" customHeight="1">
      <c r="A50" s="2" t="s">
        <v>151</v>
      </c>
      <c r="B50" s="3">
        <v>45674.866770833331</v>
      </c>
      <c r="C50" s="2" t="s">
        <v>152</v>
      </c>
      <c r="D50" s="2" t="s">
        <v>153</v>
      </c>
      <c r="E50" s="2" t="s">
        <v>49</v>
      </c>
      <c r="F50" s="4">
        <v>26000</v>
      </c>
      <c r="G50" s="5">
        <v>0.7</v>
      </c>
      <c r="H50" s="6">
        <v>0</v>
      </c>
      <c r="I50" s="7">
        <f t="shared" si="0"/>
        <v>18200</v>
      </c>
      <c r="J50" s="7">
        <f t="shared" si="1"/>
        <v>0</v>
      </c>
      <c r="K50" s="7">
        <f t="shared" si="2"/>
        <v>18200</v>
      </c>
      <c r="L50" s="4">
        <v>50000</v>
      </c>
      <c r="M50" s="7">
        <f t="shared" si="3"/>
        <v>68200</v>
      </c>
      <c r="N50" s="2" t="s">
        <v>58</v>
      </c>
      <c r="O50" t="s">
        <v>22</v>
      </c>
      <c r="P50" s="2" t="s">
        <v>2365</v>
      </c>
      <c r="Q50" s="2">
        <v>4</v>
      </c>
      <c r="R50" s="2" t="s">
        <v>23</v>
      </c>
      <c r="S50" s="2" t="str">
        <f t="shared" si="9"/>
        <v>Rendah</v>
      </c>
      <c r="T50" s="2" t="str">
        <f t="shared" si="4"/>
        <v>FALSE</v>
      </c>
      <c r="U50" s="2" t="str">
        <f t="shared" si="5"/>
        <v>FALSE</v>
      </c>
      <c r="V50" s="2" t="b">
        <f t="shared" si="6"/>
        <v>0</v>
      </c>
      <c r="W50" s="2" t="b">
        <f t="shared" si="8"/>
        <v>0</v>
      </c>
      <c r="X50" s="2" t="b">
        <f t="shared" si="7"/>
        <v>0</v>
      </c>
    </row>
    <row r="51" spans="1:24" ht="10.5" customHeight="1">
      <c r="A51" s="2" t="s">
        <v>154</v>
      </c>
      <c r="B51" s="3">
        <v>45675.146597222221</v>
      </c>
      <c r="C51" s="2" t="s">
        <v>155</v>
      </c>
      <c r="D51" s="2" t="s">
        <v>133</v>
      </c>
      <c r="E51" s="2" t="s">
        <v>32</v>
      </c>
      <c r="F51" s="4">
        <v>20000</v>
      </c>
      <c r="G51" s="5">
        <v>1.1000000000000001</v>
      </c>
      <c r="H51" s="6">
        <v>0</v>
      </c>
      <c r="I51" s="7">
        <f t="shared" si="0"/>
        <v>22000</v>
      </c>
      <c r="J51" s="7">
        <f t="shared" si="1"/>
        <v>0</v>
      </c>
      <c r="K51" s="7">
        <f t="shared" si="2"/>
        <v>22000</v>
      </c>
      <c r="L51" s="4">
        <v>50000</v>
      </c>
      <c r="M51" s="7">
        <f t="shared" si="3"/>
        <v>72000</v>
      </c>
      <c r="N51" s="2" t="s">
        <v>21</v>
      </c>
      <c r="O51" t="s">
        <v>22</v>
      </c>
      <c r="P51" s="2" t="s">
        <v>2370</v>
      </c>
      <c r="Q51" s="2">
        <v>5</v>
      </c>
      <c r="R51" s="2" t="s">
        <v>23</v>
      </c>
      <c r="S51" s="2" t="str">
        <f t="shared" si="9"/>
        <v>Rendah</v>
      </c>
      <c r="T51" s="2" t="str">
        <f t="shared" si="4"/>
        <v>FALSE</v>
      </c>
      <c r="U51" s="2" t="str">
        <f t="shared" si="5"/>
        <v>FALSE</v>
      </c>
      <c r="V51" s="2" t="b">
        <f t="shared" si="6"/>
        <v>0</v>
      </c>
      <c r="W51" s="2" t="b">
        <f t="shared" si="8"/>
        <v>0</v>
      </c>
      <c r="X51" s="2" t="b">
        <f t="shared" si="7"/>
        <v>0</v>
      </c>
    </row>
    <row r="52" spans="1:24" ht="10.5" customHeight="1">
      <c r="A52" s="2" t="s">
        <v>156</v>
      </c>
      <c r="B52" s="3">
        <v>45675.407175925917</v>
      </c>
      <c r="C52" s="2" t="s">
        <v>157</v>
      </c>
      <c r="D52" s="2" t="s">
        <v>40</v>
      </c>
      <c r="E52" s="2" t="s">
        <v>80</v>
      </c>
      <c r="F52" s="4">
        <v>15000</v>
      </c>
      <c r="G52" s="5">
        <v>1.2</v>
      </c>
      <c r="H52" s="6">
        <v>0</v>
      </c>
      <c r="I52" s="7">
        <f t="shared" si="0"/>
        <v>18000</v>
      </c>
      <c r="J52" s="7">
        <f t="shared" si="1"/>
        <v>0</v>
      </c>
      <c r="K52" s="7">
        <f t="shared" si="2"/>
        <v>18000</v>
      </c>
      <c r="L52" s="4">
        <v>93000</v>
      </c>
      <c r="M52" s="7">
        <f t="shared" si="3"/>
        <v>111000</v>
      </c>
      <c r="N52" s="2" t="s">
        <v>58</v>
      </c>
      <c r="O52" t="s">
        <v>115</v>
      </c>
      <c r="P52" s="2" t="s">
        <v>2368</v>
      </c>
      <c r="Q52" s="2">
        <v>4</v>
      </c>
      <c r="R52" s="2" t="s">
        <v>23</v>
      </c>
      <c r="S52" s="2" t="str">
        <f t="shared" si="9"/>
        <v>Standar</v>
      </c>
      <c r="T52" s="2" t="str">
        <f t="shared" si="4"/>
        <v>FALSE</v>
      </c>
      <c r="U52" s="2" t="str">
        <f t="shared" si="5"/>
        <v>FALSE</v>
      </c>
      <c r="V52" s="2" t="b">
        <f t="shared" si="6"/>
        <v>0</v>
      </c>
      <c r="W52" s="2" t="b">
        <f t="shared" si="8"/>
        <v>0</v>
      </c>
      <c r="X52" s="2" t="b">
        <f t="shared" si="7"/>
        <v>0</v>
      </c>
    </row>
    <row r="53" spans="1:24" ht="10.5" customHeight="1">
      <c r="A53" s="2" t="s">
        <v>158</v>
      </c>
      <c r="B53" s="3">
        <v>45675.45716435185</v>
      </c>
      <c r="C53" s="2" t="s">
        <v>159</v>
      </c>
      <c r="D53" s="2" t="s">
        <v>160</v>
      </c>
      <c r="E53" s="2" t="s">
        <v>161</v>
      </c>
      <c r="F53" s="4">
        <v>115000</v>
      </c>
      <c r="G53" s="5">
        <v>0.7</v>
      </c>
      <c r="H53" s="6">
        <v>0</v>
      </c>
      <c r="I53" s="7">
        <f t="shared" si="0"/>
        <v>80500</v>
      </c>
      <c r="J53" s="7">
        <f t="shared" si="1"/>
        <v>0</v>
      </c>
      <c r="K53" s="7">
        <f t="shared" si="2"/>
        <v>80500</v>
      </c>
      <c r="L53" s="4">
        <v>46000</v>
      </c>
      <c r="M53" s="7">
        <f t="shared" si="3"/>
        <v>126500</v>
      </c>
      <c r="N53" s="2" t="s">
        <v>58</v>
      </c>
      <c r="O53" t="s">
        <v>22</v>
      </c>
      <c r="P53" s="2" t="s">
        <v>2368</v>
      </c>
      <c r="Q53" s="2">
        <v>4</v>
      </c>
      <c r="R53" s="2" t="s">
        <v>23</v>
      </c>
      <c r="S53" s="2" t="str">
        <f t="shared" si="9"/>
        <v>Standar</v>
      </c>
      <c r="T53" s="2" t="str">
        <f t="shared" si="4"/>
        <v>FALSE</v>
      </c>
      <c r="U53" s="2" t="str">
        <f t="shared" si="5"/>
        <v>FALSE</v>
      </c>
      <c r="V53" s="2" t="b">
        <f t="shared" si="6"/>
        <v>0</v>
      </c>
      <c r="W53" s="2" t="b">
        <f t="shared" si="8"/>
        <v>0</v>
      </c>
      <c r="X53" s="2" t="b">
        <f t="shared" si="7"/>
        <v>0</v>
      </c>
    </row>
    <row r="54" spans="1:24" ht="10.5" customHeight="1">
      <c r="A54" s="2" t="s">
        <v>162</v>
      </c>
      <c r="B54" s="3">
        <v>45675.493518518517</v>
      </c>
      <c r="C54" s="2" t="s">
        <v>163</v>
      </c>
      <c r="D54" s="2" t="s">
        <v>164</v>
      </c>
      <c r="E54" s="2" t="s">
        <v>35</v>
      </c>
      <c r="F54" s="4">
        <v>13500</v>
      </c>
      <c r="G54" s="5">
        <v>1.2</v>
      </c>
      <c r="H54" s="6">
        <v>0</v>
      </c>
      <c r="I54" s="7">
        <f t="shared" si="0"/>
        <v>16200</v>
      </c>
      <c r="J54" s="7">
        <f t="shared" si="1"/>
        <v>0</v>
      </c>
      <c r="K54" s="7">
        <f t="shared" si="2"/>
        <v>16200</v>
      </c>
      <c r="L54" s="4">
        <v>49000</v>
      </c>
      <c r="M54" s="7">
        <f t="shared" si="3"/>
        <v>65200</v>
      </c>
      <c r="N54" s="2" t="s">
        <v>21</v>
      </c>
      <c r="O54" t="s">
        <v>22</v>
      </c>
      <c r="P54" s="2" t="s">
        <v>2368</v>
      </c>
      <c r="Q54" s="2">
        <v>1</v>
      </c>
      <c r="R54" s="2" t="s">
        <v>23</v>
      </c>
      <c r="S54" s="2" t="str">
        <f t="shared" si="9"/>
        <v>Rendah</v>
      </c>
      <c r="T54" s="2" t="str">
        <f t="shared" si="4"/>
        <v>FALSE</v>
      </c>
      <c r="U54" s="2" t="str">
        <f t="shared" si="5"/>
        <v>FALSE</v>
      </c>
      <c r="V54" s="2" t="b">
        <f t="shared" si="6"/>
        <v>0</v>
      </c>
      <c r="W54" s="2" t="b">
        <f t="shared" si="8"/>
        <v>0</v>
      </c>
      <c r="X54" s="2" t="b">
        <f t="shared" si="7"/>
        <v>0</v>
      </c>
    </row>
    <row r="55" spans="1:24" ht="10.5" customHeight="1">
      <c r="A55" s="2" t="s">
        <v>162</v>
      </c>
      <c r="B55" s="3">
        <v>45675.493518518517</v>
      </c>
      <c r="C55" s="2" t="s">
        <v>163</v>
      </c>
      <c r="D55" s="2" t="s">
        <v>164</v>
      </c>
      <c r="E55" s="2" t="s">
        <v>57</v>
      </c>
      <c r="F55" s="4">
        <v>17500</v>
      </c>
      <c r="G55" s="5">
        <v>1.8</v>
      </c>
      <c r="H55" s="6">
        <v>0</v>
      </c>
      <c r="I55" s="7">
        <f t="shared" si="0"/>
        <v>31500</v>
      </c>
      <c r="J55" s="7">
        <f t="shared" si="1"/>
        <v>0</v>
      </c>
      <c r="K55" s="7">
        <f t="shared" si="2"/>
        <v>31500</v>
      </c>
      <c r="L55" s="4">
        <v>0</v>
      </c>
      <c r="M55" s="7">
        <f t="shared" si="3"/>
        <v>31500</v>
      </c>
      <c r="N55" s="2" t="s">
        <v>21</v>
      </c>
      <c r="O55" t="s">
        <v>22</v>
      </c>
      <c r="P55" s="2" t="s">
        <v>2368</v>
      </c>
      <c r="Q55" s="2">
        <v>1</v>
      </c>
      <c r="R55" s="2" t="s">
        <v>23</v>
      </c>
      <c r="S55" s="2" t="str">
        <f t="shared" si="9"/>
        <v>Sangat Rendah</v>
      </c>
      <c r="T55" s="2" t="str">
        <f t="shared" si="4"/>
        <v>FALSE</v>
      </c>
      <c r="U55" s="2" t="str">
        <f t="shared" si="5"/>
        <v>FALSE</v>
      </c>
      <c r="V55" s="2" t="b">
        <f t="shared" si="6"/>
        <v>0</v>
      </c>
      <c r="W55" s="2" t="b">
        <f t="shared" si="8"/>
        <v>0</v>
      </c>
      <c r="X55" s="2" t="b">
        <f t="shared" si="7"/>
        <v>1</v>
      </c>
    </row>
    <row r="56" spans="1:24" ht="10.5" customHeight="1">
      <c r="A56" s="2" t="s">
        <v>165</v>
      </c>
      <c r="B56" s="3">
        <v>45676.12259259259</v>
      </c>
      <c r="C56" s="2" t="s">
        <v>166</v>
      </c>
      <c r="D56" s="2" t="s">
        <v>167</v>
      </c>
      <c r="E56" s="2" t="s">
        <v>41</v>
      </c>
      <c r="F56" s="4">
        <v>40000</v>
      </c>
      <c r="G56" s="5">
        <v>0.6</v>
      </c>
      <c r="H56" s="6">
        <v>0</v>
      </c>
      <c r="I56" s="7">
        <f t="shared" si="0"/>
        <v>24000</v>
      </c>
      <c r="J56" s="7">
        <f t="shared" si="1"/>
        <v>0</v>
      </c>
      <c r="K56" s="7">
        <f t="shared" si="2"/>
        <v>24000</v>
      </c>
      <c r="L56" s="4">
        <v>56000</v>
      </c>
      <c r="M56" s="7">
        <f t="shared" si="3"/>
        <v>80000</v>
      </c>
      <c r="N56" s="2" t="s">
        <v>21</v>
      </c>
      <c r="O56" t="s">
        <v>22</v>
      </c>
      <c r="P56" s="2" t="s">
        <v>2368</v>
      </c>
      <c r="Q56" s="2">
        <v>2</v>
      </c>
      <c r="R56" s="2" t="s">
        <v>23</v>
      </c>
      <c r="S56" s="2" t="str">
        <f t="shared" si="9"/>
        <v>Rendah</v>
      </c>
      <c r="T56" s="2" t="str">
        <f t="shared" si="4"/>
        <v>FALSE</v>
      </c>
      <c r="U56" s="2" t="str">
        <f t="shared" si="5"/>
        <v>FALSE</v>
      </c>
      <c r="V56" s="2" t="b">
        <f t="shared" si="6"/>
        <v>0</v>
      </c>
      <c r="W56" s="2" t="b">
        <f t="shared" si="8"/>
        <v>0</v>
      </c>
      <c r="X56" s="2" t="b">
        <f t="shared" si="7"/>
        <v>0</v>
      </c>
    </row>
    <row r="57" spans="1:24" ht="10.5" customHeight="1">
      <c r="A57" s="2" t="s">
        <v>168</v>
      </c>
      <c r="B57" s="3">
        <v>45676.719340277778</v>
      </c>
      <c r="C57" s="2" t="s">
        <v>169</v>
      </c>
      <c r="D57" s="2" t="s">
        <v>61</v>
      </c>
      <c r="E57" s="2" t="s">
        <v>170</v>
      </c>
      <c r="F57" s="4">
        <v>12000</v>
      </c>
      <c r="G57" s="5">
        <v>1.8</v>
      </c>
      <c r="H57" s="6">
        <v>0</v>
      </c>
      <c r="I57" s="7">
        <f t="shared" si="0"/>
        <v>21600</v>
      </c>
      <c r="J57" s="7">
        <f t="shared" si="1"/>
        <v>0</v>
      </c>
      <c r="K57" s="7">
        <f t="shared" si="2"/>
        <v>21600</v>
      </c>
      <c r="L57" s="4">
        <v>59000</v>
      </c>
      <c r="M57" s="7">
        <f t="shared" si="3"/>
        <v>80600</v>
      </c>
      <c r="N57" s="2" t="s">
        <v>33</v>
      </c>
      <c r="O57" t="s">
        <v>22</v>
      </c>
      <c r="P57" s="2" t="s">
        <v>2368</v>
      </c>
      <c r="Q57" s="2">
        <v>4</v>
      </c>
      <c r="R57" s="2" t="s">
        <v>23</v>
      </c>
      <c r="S57" s="2" t="str">
        <f t="shared" si="9"/>
        <v>Rendah</v>
      </c>
      <c r="T57" s="2" t="str">
        <f t="shared" si="4"/>
        <v>FALSE</v>
      </c>
      <c r="U57" s="2" t="str">
        <f t="shared" si="5"/>
        <v>FALSE</v>
      </c>
      <c r="V57" s="2" t="b">
        <f t="shared" si="6"/>
        <v>0</v>
      </c>
      <c r="W57" s="2" t="b">
        <f t="shared" si="8"/>
        <v>0</v>
      </c>
      <c r="X57" s="2" t="b">
        <f t="shared" si="7"/>
        <v>0</v>
      </c>
    </row>
    <row r="58" spans="1:24" ht="10.5" customHeight="1">
      <c r="A58" s="2" t="s">
        <v>171</v>
      </c>
      <c r="B58" s="3">
        <v>45677.462129629632</v>
      </c>
      <c r="C58" s="2" t="s">
        <v>172</v>
      </c>
      <c r="D58" s="2" t="s">
        <v>173</v>
      </c>
      <c r="E58" s="2" t="s">
        <v>32</v>
      </c>
      <c r="F58" s="4">
        <v>20000</v>
      </c>
      <c r="G58" s="5">
        <v>2.8</v>
      </c>
      <c r="H58" s="6">
        <v>0</v>
      </c>
      <c r="I58" s="7">
        <f t="shared" si="0"/>
        <v>56000</v>
      </c>
      <c r="J58" s="7">
        <f t="shared" si="1"/>
        <v>0</v>
      </c>
      <c r="K58" s="7">
        <f t="shared" si="2"/>
        <v>56000</v>
      </c>
      <c r="L58" s="4">
        <v>48000</v>
      </c>
      <c r="M58" s="7">
        <f t="shared" si="3"/>
        <v>104000</v>
      </c>
      <c r="N58" s="2" t="s">
        <v>28</v>
      </c>
      <c r="O58" t="s">
        <v>22</v>
      </c>
      <c r="P58" s="2" t="s">
        <v>2368</v>
      </c>
      <c r="Q58" s="2">
        <v>2</v>
      </c>
      <c r="R58" s="2" t="s">
        <v>23</v>
      </c>
      <c r="S58" s="2" t="str">
        <f t="shared" si="9"/>
        <v>Standar</v>
      </c>
      <c r="T58" s="2" t="str">
        <f t="shared" si="4"/>
        <v>FALSE</v>
      </c>
      <c r="U58" s="2" t="str">
        <f t="shared" si="5"/>
        <v>FALSE</v>
      </c>
      <c r="V58" s="2" t="b">
        <f t="shared" si="6"/>
        <v>0</v>
      </c>
      <c r="W58" s="2" t="b">
        <f t="shared" si="8"/>
        <v>0</v>
      </c>
      <c r="X58" s="2" t="b">
        <f t="shared" si="7"/>
        <v>0</v>
      </c>
    </row>
    <row r="59" spans="1:24" ht="10.5" customHeight="1">
      <c r="A59" s="2" t="s">
        <v>174</v>
      </c>
      <c r="B59" s="3">
        <v>45677.605694444443</v>
      </c>
      <c r="C59" s="2" t="s">
        <v>175</v>
      </c>
      <c r="D59" s="2" t="s">
        <v>94</v>
      </c>
      <c r="E59" s="2" t="s">
        <v>80</v>
      </c>
      <c r="F59" s="4">
        <v>15000</v>
      </c>
      <c r="G59" s="5">
        <v>0.5</v>
      </c>
      <c r="H59" s="6">
        <v>0</v>
      </c>
      <c r="I59" s="7">
        <f t="shared" si="0"/>
        <v>7500</v>
      </c>
      <c r="J59" s="7">
        <f t="shared" si="1"/>
        <v>0</v>
      </c>
      <c r="K59" s="7">
        <f t="shared" si="2"/>
        <v>7500</v>
      </c>
      <c r="L59" s="4">
        <v>85000</v>
      </c>
      <c r="M59" s="7">
        <f t="shared" si="3"/>
        <v>92500</v>
      </c>
      <c r="N59" s="2" t="s">
        <v>21</v>
      </c>
      <c r="O59" t="s">
        <v>22</v>
      </c>
      <c r="P59" s="2" t="s">
        <v>2370</v>
      </c>
      <c r="Q59" s="2">
        <v>2</v>
      </c>
      <c r="R59" s="2" t="s">
        <v>23</v>
      </c>
      <c r="S59" s="2" t="str">
        <f t="shared" si="9"/>
        <v>Rendah</v>
      </c>
      <c r="T59" s="2" t="str">
        <f t="shared" si="4"/>
        <v>FALSE</v>
      </c>
      <c r="U59" s="2" t="str">
        <f t="shared" si="5"/>
        <v>FALSE</v>
      </c>
      <c r="V59" s="2" t="b">
        <f t="shared" si="6"/>
        <v>0</v>
      </c>
      <c r="W59" s="2" t="b">
        <f t="shared" si="8"/>
        <v>0</v>
      </c>
      <c r="X59" s="2" t="b">
        <f t="shared" si="7"/>
        <v>0</v>
      </c>
    </row>
    <row r="60" spans="1:24" ht="10.5" customHeight="1">
      <c r="A60" s="2" t="s">
        <v>176</v>
      </c>
      <c r="B60" s="3">
        <v>45678.449328703697</v>
      </c>
      <c r="C60" s="2" t="s">
        <v>86</v>
      </c>
      <c r="D60" s="2" t="s">
        <v>87</v>
      </c>
      <c r="E60" s="2" t="s">
        <v>65</v>
      </c>
      <c r="F60" s="4">
        <v>46000</v>
      </c>
      <c r="G60" s="5">
        <v>1</v>
      </c>
      <c r="H60" s="6">
        <v>0</v>
      </c>
      <c r="I60" s="7">
        <f t="shared" si="0"/>
        <v>46000</v>
      </c>
      <c r="J60" s="7">
        <f t="shared" si="1"/>
        <v>0</v>
      </c>
      <c r="K60" s="7">
        <f t="shared" si="2"/>
        <v>46000</v>
      </c>
      <c r="L60" s="4">
        <v>49000</v>
      </c>
      <c r="M60" s="7">
        <f t="shared" si="3"/>
        <v>95000</v>
      </c>
      <c r="N60" s="2" t="s">
        <v>58</v>
      </c>
      <c r="O60" t="s">
        <v>69</v>
      </c>
      <c r="P60" s="2" t="s">
        <v>2368</v>
      </c>
      <c r="Q60" s="2">
        <v>5</v>
      </c>
      <c r="R60" s="2" t="s">
        <v>23</v>
      </c>
      <c r="S60" s="2" t="str">
        <f t="shared" si="9"/>
        <v>Rendah</v>
      </c>
      <c r="T60" s="2" t="str">
        <f t="shared" si="4"/>
        <v>FALSE</v>
      </c>
      <c r="U60" s="2" t="str">
        <f t="shared" si="5"/>
        <v>FALSE</v>
      </c>
      <c r="V60" s="2" t="b">
        <f t="shared" si="6"/>
        <v>0</v>
      </c>
      <c r="W60" s="2" t="b">
        <f t="shared" si="8"/>
        <v>0</v>
      </c>
      <c r="X60" s="2" t="b">
        <f t="shared" si="7"/>
        <v>0</v>
      </c>
    </row>
    <row r="61" spans="1:24" ht="10.5" customHeight="1">
      <c r="A61" s="2" t="s">
        <v>177</v>
      </c>
      <c r="B61" s="3">
        <v>45679.405381944453</v>
      </c>
      <c r="C61" s="2" t="s">
        <v>178</v>
      </c>
      <c r="D61" s="2" t="s">
        <v>179</v>
      </c>
      <c r="E61" s="2" t="s">
        <v>143</v>
      </c>
      <c r="F61" s="4">
        <v>10000</v>
      </c>
      <c r="G61" s="5">
        <v>0.6</v>
      </c>
      <c r="H61" s="6">
        <v>0</v>
      </c>
      <c r="I61" s="7">
        <f t="shared" si="0"/>
        <v>6000</v>
      </c>
      <c r="J61" s="7">
        <f t="shared" si="1"/>
        <v>0</v>
      </c>
      <c r="K61" s="7">
        <f t="shared" si="2"/>
        <v>6000</v>
      </c>
      <c r="L61" s="4">
        <v>57000</v>
      </c>
      <c r="M61" s="7">
        <f t="shared" si="3"/>
        <v>63000</v>
      </c>
      <c r="N61" s="2" t="s">
        <v>28</v>
      </c>
      <c r="O61" t="s">
        <v>69</v>
      </c>
      <c r="P61" s="2" t="s">
        <v>2365</v>
      </c>
      <c r="Q61" s="2">
        <v>2</v>
      </c>
      <c r="R61" s="2" t="s">
        <v>23</v>
      </c>
      <c r="S61" s="2" t="str">
        <f t="shared" si="9"/>
        <v>Rendah</v>
      </c>
      <c r="T61" s="2" t="str">
        <f t="shared" si="4"/>
        <v>FALSE</v>
      </c>
      <c r="U61" s="2" t="str">
        <f t="shared" si="5"/>
        <v>TRUE</v>
      </c>
      <c r="V61" s="2" t="b">
        <f t="shared" si="6"/>
        <v>0</v>
      </c>
      <c r="W61" s="2" t="b">
        <f t="shared" si="8"/>
        <v>0</v>
      </c>
      <c r="X61" s="2" t="b">
        <f t="shared" si="7"/>
        <v>0</v>
      </c>
    </row>
    <row r="62" spans="1:24" ht="10.5" customHeight="1">
      <c r="A62" s="2" t="s">
        <v>180</v>
      </c>
      <c r="B62" s="3">
        <v>45681.753217592603</v>
      </c>
      <c r="C62" s="2" t="s">
        <v>181</v>
      </c>
      <c r="D62" s="2" t="s">
        <v>98</v>
      </c>
      <c r="E62" s="2" t="s">
        <v>182</v>
      </c>
      <c r="F62" s="4">
        <v>11000</v>
      </c>
      <c r="G62" s="5">
        <v>0.8</v>
      </c>
      <c r="H62" s="6">
        <v>0</v>
      </c>
      <c r="I62" s="7">
        <f t="shared" si="0"/>
        <v>8800</v>
      </c>
      <c r="J62" s="7">
        <f t="shared" si="1"/>
        <v>0</v>
      </c>
      <c r="K62" s="7">
        <f t="shared" si="2"/>
        <v>8800</v>
      </c>
      <c r="L62" s="4">
        <v>97000</v>
      </c>
      <c r="M62" s="7">
        <f t="shared" si="3"/>
        <v>105800</v>
      </c>
      <c r="N62" s="2" t="s">
        <v>58</v>
      </c>
      <c r="O62" t="s">
        <v>22</v>
      </c>
      <c r="P62" s="2" t="s">
        <v>2370</v>
      </c>
      <c r="Q62" s="2">
        <v>2</v>
      </c>
      <c r="R62" s="2" t="s">
        <v>23</v>
      </c>
      <c r="S62" s="2" t="str">
        <f t="shared" si="9"/>
        <v>Standar</v>
      </c>
      <c r="T62" s="2" t="str">
        <f t="shared" si="4"/>
        <v>FALSE</v>
      </c>
      <c r="U62" s="2" t="str">
        <f t="shared" si="5"/>
        <v>FALSE</v>
      </c>
      <c r="V62" s="2" t="b">
        <f t="shared" si="6"/>
        <v>0</v>
      </c>
      <c r="W62" s="2" t="b">
        <f t="shared" si="8"/>
        <v>0</v>
      </c>
      <c r="X62" s="2" t="b">
        <f t="shared" si="7"/>
        <v>0</v>
      </c>
    </row>
    <row r="63" spans="1:24" ht="10.5" customHeight="1">
      <c r="A63" s="2" t="s">
        <v>183</v>
      </c>
      <c r="B63" s="3">
        <v>45682.044178240743</v>
      </c>
      <c r="C63" s="2" t="s">
        <v>184</v>
      </c>
      <c r="D63" s="2" t="s">
        <v>185</v>
      </c>
      <c r="E63" s="2" t="s">
        <v>161</v>
      </c>
      <c r="F63" s="4">
        <v>115000</v>
      </c>
      <c r="G63" s="5">
        <v>1.1000000000000001</v>
      </c>
      <c r="H63" s="6">
        <v>5</v>
      </c>
      <c r="I63" s="7">
        <f t="shared" si="0"/>
        <v>126500.00000000001</v>
      </c>
      <c r="J63" s="7">
        <f t="shared" si="1"/>
        <v>6325.0000000000009</v>
      </c>
      <c r="K63" s="7">
        <f t="shared" si="2"/>
        <v>120175.00000000001</v>
      </c>
      <c r="L63" s="4">
        <v>87000</v>
      </c>
      <c r="M63" s="7">
        <f t="shared" si="3"/>
        <v>207175</v>
      </c>
      <c r="N63" s="2" t="s">
        <v>21</v>
      </c>
      <c r="O63" t="s">
        <v>69</v>
      </c>
      <c r="P63" s="2" t="s">
        <v>2365</v>
      </c>
      <c r="Q63" s="2">
        <v>1</v>
      </c>
      <c r="R63" s="2" t="s">
        <v>23</v>
      </c>
      <c r="S63" s="2" t="str">
        <f t="shared" si="9"/>
        <v>Sangat Tinggi</v>
      </c>
      <c r="T63" s="2" t="str">
        <f t="shared" si="4"/>
        <v>FALSE</v>
      </c>
      <c r="U63" s="2" t="str">
        <f t="shared" si="5"/>
        <v>FALSE</v>
      </c>
      <c r="V63" s="2" t="b">
        <f t="shared" si="6"/>
        <v>0</v>
      </c>
      <c r="W63" s="2" t="b">
        <f t="shared" si="8"/>
        <v>1</v>
      </c>
      <c r="X63" s="2" t="b">
        <f t="shared" si="7"/>
        <v>0</v>
      </c>
    </row>
    <row r="64" spans="1:24" ht="10.5" customHeight="1">
      <c r="A64" s="2" t="s">
        <v>186</v>
      </c>
      <c r="B64" s="3">
        <v>45682.208194444444</v>
      </c>
      <c r="C64" s="2" t="s">
        <v>187</v>
      </c>
      <c r="D64" s="2" t="s">
        <v>111</v>
      </c>
      <c r="E64" s="2" t="s">
        <v>80</v>
      </c>
      <c r="F64" s="4">
        <v>15000</v>
      </c>
      <c r="G64" s="5">
        <v>2.2999999999999998</v>
      </c>
      <c r="H64" s="6">
        <v>5</v>
      </c>
      <c r="I64" s="7">
        <f t="shared" si="0"/>
        <v>34500</v>
      </c>
      <c r="J64" s="7">
        <f t="shared" si="1"/>
        <v>1725</v>
      </c>
      <c r="K64" s="7">
        <f t="shared" si="2"/>
        <v>32775</v>
      </c>
      <c r="L64" s="4">
        <v>0</v>
      </c>
      <c r="M64" s="7">
        <f t="shared" si="3"/>
        <v>32775</v>
      </c>
      <c r="N64" s="2" t="s">
        <v>58</v>
      </c>
      <c r="O64" t="s">
        <v>115</v>
      </c>
      <c r="P64" s="2" t="s">
        <v>2370</v>
      </c>
      <c r="Q64" s="2">
        <v>3</v>
      </c>
      <c r="R64" s="2" t="s">
        <v>34</v>
      </c>
      <c r="S64" s="2" t="str">
        <f t="shared" si="9"/>
        <v>Sangat Rendah</v>
      </c>
      <c r="T64" s="2" t="str">
        <f t="shared" si="4"/>
        <v>FALSE</v>
      </c>
      <c r="U64" s="2" t="str">
        <f t="shared" si="5"/>
        <v>FALSE</v>
      </c>
      <c r="V64" s="2" t="b">
        <f t="shared" si="6"/>
        <v>0</v>
      </c>
      <c r="W64" s="2" t="b">
        <f t="shared" si="8"/>
        <v>0</v>
      </c>
      <c r="X64" s="2" t="b">
        <f t="shared" si="7"/>
        <v>0</v>
      </c>
    </row>
    <row r="65" spans="1:24" ht="10.5" customHeight="1">
      <c r="A65" s="2" t="s">
        <v>188</v>
      </c>
      <c r="B65" s="3">
        <v>45682.249201388891</v>
      </c>
      <c r="C65" s="2" t="s">
        <v>189</v>
      </c>
      <c r="D65" s="2" t="s">
        <v>133</v>
      </c>
      <c r="E65" s="2" t="s">
        <v>190</v>
      </c>
      <c r="F65" s="4">
        <v>15500</v>
      </c>
      <c r="G65" s="5">
        <v>0.4</v>
      </c>
      <c r="H65" s="6">
        <v>5</v>
      </c>
      <c r="I65" s="7">
        <f t="shared" si="0"/>
        <v>6200</v>
      </c>
      <c r="J65" s="7">
        <f t="shared" si="1"/>
        <v>310</v>
      </c>
      <c r="K65" s="7">
        <f t="shared" si="2"/>
        <v>5890</v>
      </c>
      <c r="L65" s="4">
        <v>50000</v>
      </c>
      <c r="M65" s="7">
        <f t="shared" si="3"/>
        <v>55890</v>
      </c>
      <c r="N65" s="2" t="s">
        <v>28</v>
      </c>
      <c r="O65" t="s">
        <v>22</v>
      </c>
      <c r="P65" s="2" t="s">
        <v>2368</v>
      </c>
      <c r="Q65" s="2">
        <v>3</v>
      </c>
      <c r="R65" s="2" t="s">
        <v>23</v>
      </c>
      <c r="S65" s="2" t="str">
        <f t="shared" si="9"/>
        <v>Rendah</v>
      </c>
      <c r="T65" s="2" t="str">
        <f t="shared" si="4"/>
        <v>FALSE</v>
      </c>
      <c r="U65" s="2" t="str">
        <f t="shared" si="5"/>
        <v>FALSE</v>
      </c>
      <c r="V65" s="2" t="b">
        <f t="shared" si="6"/>
        <v>0</v>
      </c>
      <c r="W65" s="2" t="b">
        <f t="shared" si="8"/>
        <v>0</v>
      </c>
      <c r="X65" s="2" t="b">
        <f t="shared" si="7"/>
        <v>0</v>
      </c>
    </row>
    <row r="66" spans="1:24" ht="10.5" customHeight="1">
      <c r="A66" s="2" t="s">
        <v>191</v>
      </c>
      <c r="B66" s="3">
        <v>45682.276400462957</v>
      </c>
      <c r="C66" s="2" t="s">
        <v>192</v>
      </c>
      <c r="D66" s="2" t="s">
        <v>98</v>
      </c>
      <c r="E66" s="2" t="s">
        <v>32</v>
      </c>
      <c r="F66" s="4">
        <v>20000</v>
      </c>
      <c r="G66" s="5">
        <v>1.6</v>
      </c>
      <c r="H66" s="6">
        <v>5</v>
      </c>
      <c r="I66" s="7">
        <f t="shared" si="0"/>
        <v>32000</v>
      </c>
      <c r="J66" s="7">
        <f t="shared" si="1"/>
        <v>1600</v>
      </c>
      <c r="K66" s="7">
        <f t="shared" si="2"/>
        <v>30400</v>
      </c>
      <c r="L66" s="4">
        <v>97000</v>
      </c>
      <c r="M66" s="7">
        <f t="shared" si="3"/>
        <v>127400</v>
      </c>
      <c r="N66" s="2" t="s">
        <v>28</v>
      </c>
      <c r="O66" t="s">
        <v>22</v>
      </c>
      <c r="P66" s="2" t="s">
        <v>2368</v>
      </c>
      <c r="Q66" s="2">
        <v>3</v>
      </c>
      <c r="R66" s="2" t="s">
        <v>23</v>
      </c>
      <c r="S66" s="2" t="str">
        <f t="shared" si="9"/>
        <v>Standar</v>
      </c>
      <c r="T66" s="2" t="str">
        <f t="shared" si="4"/>
        <v>FALSE</v>
      </c>
      <c r="U66" s="2" t="str">
        <f t="shared" si="5"/>
        <v>FALSE</v>
      </c>
      <c r="V66" s="2" t="b">
        <f t="shared" si="6"/>
        <v>0</v>
      </c>
      <c r="W66" s="2" t="b">
        <f t="shared" si="8"/>
        <v>0</v>
      </c>
      <c r="X66" s="2" t="b">
        <f t="shared" si="7"/>
        <v>0</v>
      </c>
    </row>
    <row r="67" spans="1:24" ht="10.5" customHeight="1">
      <c r="A67" s="2" t="s">
        <v>193</v>
      </c>
      <c r="B67" s="3">
        <v>45682.320590277777</v>
      </c>
      <c r="C67" s="2" t="s">
        <v>194</v>
      </c>
      <c r="D67" s="2" t="s">
        <v>19</v>
      </c>
      <c r="E67" s="2" t="s">
        <v>41</v>
      </c>
      <c r="F67" s="4">
        <v>40000</v>
      </c>
      <c r="G67" s="5">
        <v>1.8</v>
      </c>
      <c r="H67" s="6">
        <v>5</v>
      </c>
      <c r="I67" s="7">
        <f t="shared" si="0"/>
        <v>72000</v>
      </c>
      <c r="J67" s="7">
        <f t="shared" si="1"/>
        <v>3600</v>
      </c>
      <c r="K67" s="7">
        <f t="shared" si="2"/>
        <v>68400</v>
      </c>
      <c r="L67" s="4">
        <v>15000</v>
      </c>
      <c r="M67" s="7">
        <f t="shared" si="3"/>
        <v>83400</v>
      </c>
      <c r="N67" s="2" t="s">
        <v>28</v>
      </c>
      <c r="O67" t="s">
        <v>22</v>
      </c>
      <c r="P67" s="2" t="s">
        <v>2365</v>
      </c>
      <c r="Q67" s="2">
        <v>3</v>
      </c>
      <c r="R67" s="2" t="s">
        <v>23</v>
      </c>
      <c r="S67" s="2" t="str">
        <f t="shared" si="9"/>
        <v>Rendah</v>
      </c>
      <c r="T67" s="2" t="str">
        <f t="shared" si="4"/>
        <v>FALSE</v>
      </c>
      <c r="U67" s="2" t="str">
        <f t="shared" si="5"/>
        <v>FALSE</v>
      </c>
      <c r="V67" s="2" t="b">
        <f t="shared" si="6"/>
        <v>0</v>
      </c>
      <c r="W67" s="2" t="b">
        <f t="shared" si="8"/>
        <v>0</v>
      </c>
      <c r="X67" s="2" t="b">
        <f t="shared" si="7"/>
        <v>0</v>
      </c>
    </row>
    <row r="68" spans="1:24" ht="10.5" customHeight="1">
      <c r="A68" s="2" t="s">
        <v>195</v>
      </c>
      <c r="B68" s="3">
        <v>45682.359386574077</v>
      </c>
      <c r="C68" s="2" t="s">
        <v>196</v>
      </c>
      <c r="D68" s="2" t="s">
        <v>87</v>
      </c>
      <c r="E68" s="2" t="s">
        <v>102</v>
      </c>
      <c r="F68" s="4">
        <v>55000</v>
      </c>
      <c r="G68" s="5">
        <v>0.3</v>
      </c>
      <c r="H68" s="6">
        <v>5</v>
      </c>
      <c r="I68" s="7">
        <f t="shared" ref="I68:I131" si="10">F68*G68</f>
        <v>16500</v>
      </c>
      <c r="J68" s="7">
        <f t="shared" ref="J68:J131" si="11">I68*(H68/100)</f>
        <v>825</v>
      </c>
      <c r="K68" s="7">
        <f t="shared" ref="K68:K131" si="12">I68-J68</f>
        <v>15675</v>
      </c>
      <c r="L68" s="4">
        <v>49000</v>
      </c>
      <c r="M68" s="7">
        <f t="shared" ref="M68:M131" si="13">K68+L68</f>
        <v>64675</v>
      </c>
      <c r="N68" s="2" t="s">
        <v>58</v>
      </c>
      <c r="O68" t="s">
        <v>22</v>
      </c>
      <c r="P68" s="2" t="s">
        <v>2368</v>
      </c>
      <c r="Q68" s="2">
        <v>4</v>
      </c>
      <c r="R68" s="2" t="s">
        <v>23</v>
      </c>
      <c r="S68" s="2" t="str">
        <f t="shared" ref="S68:S131" si="14">IF(M68&lt;=50000,"Sangat Rendah",IF(M68&lt;=100000,"Rendah",IF(M68&lt;=150000,"Standar",IF(M68&lt;=200000,"Tinggi","Sangat Tinggi"))))</f>
        <v>Rendah</v>
      </c>
      <c r="T68" s="2" t="str">
        <f t="shared" ref="T68:T131" si="15">IF(AND(S68="Rendah",D68="Yogyakarta"),"TRUE","FALSE")</f>
        <v>FALSE</v>
      </c>
      <c r="U68" s="2" t="str">
        <f t="shared" ref="U68:U131" si="16">IF(OR(S68="Tinggi",E68="Bayam"),"TRUE","FALSE")</f>
        <v>FALSE</v>
      </c>
      <c r="V68" s="2" t="b">
        <f t="shared" ref="V68:V131" si="17">IF(AND(S68="Standar",N68="Transef Bank"),TRUE,FALSE)</f>
        <v>0</v>
      </c>
      <c r="W68" s="2" t="b">
        <f t="shared" ref="W68:W131" si="18">IF(OR(S68="Sangat Tinggi",P68="FoodMart"),TRUE,FALSE)</f>
        <v>0</v>
      </c>
      <c r="X68" s="2" t="b">
        <f t="shared" ref="X68:X131" si="19">IF(AND(S68="Sangat Rendah",R68="Perempuan"),TRUE,FALSE)</f>
        <v>0</v>
      </c>
    </row>
    <row r="69" spans="1:24" ht="10.5" customHeight="1">
      <c r="A69" s="2" t="s">
        <v>197</v>
      </c>
      <c r="B69" s="3">
        <v>45682.396851851852</v>
      </c>
      <c r="C69" s="2" t="s">
        <v>198</v>
      </c>
      <c r="D69" s="2" t="s">
        <v>87</v>
      </c>
      <c r="E69" s="2" t="s">
        <v>57</v>
      </c>
      <c r="F69" s="4">
        <v>17500</v>
      </c>
      <c r="G69" s="5">
        <v>1</v>
      </c>
      <c r="H69" s="6">
        <v>5</v>
      </c>
      <c r="I69" s="7">
        <f t="shared" si="10"/>
        <v>17500</v>
      </c>
      <c r="J69" s="7">
        <f t="shared" si="11"/>
        <v>875</v>
      </c>
      <c r="K69" s="7">
        <f t="shared" si="12"/>
        <v>16625</v>
      </c>
      <c r="L69" s="4">
        <v>49000</v>
      </c>
      <c r="M69" s="7">
        <f t="shared" si="13"/>
        <v>65625</v>
      </c>
      <c r="N69" s="2" t="s">
        <v>28</v>
      </c>
      <c r="O69" t="s">
        <v>22</v>
      </c>
      <c r="P69" s="2" t="s">
        <v>2366</v>
      </c>
      <c r="Q69" s="2">
        <v>2</v>
      </c>
      <c r="R69" s="2" t="s">
        <v>23</v>
      </c>
      <c r="S69" s="2" t="str">
        <f t="shared" si="14"/>
        <v>Rendah</v>
      </c>
      <c r="T69" s="2" t="str">
        <f t="shared" si="15"/>
        <v>FALSE</v>
      </c>
      <c r="U69" s="2" t="str">
        <f t="shared" si="16"/>
        <v>FALSE</v>
      </c>
      <c r="V69" s="2" t="b">
        <f t="shared" si="17"/>
        <v>0</v>
      </c>
      <c r="W69" s="2" t="b">
        <f t="shared" si="18"/>
        <v>0</v>
      </c>
      <c r="X69" s="2" t="b">
        <f t="shared" si="19"/>
        <v>0</v>
      </c>
    </row>
    <row r="70" spans="1:24" ht="10.5" customHeight="1">
      <c r="A70" s="2" t="s">
        <v>199</v>
      </c>
      <c r="B70" s="3">
        <v>45682.407997685194</v>
      </c>
      <c r="C70" s="2" t="s">
        <v>200</v>
      </c>
      <c r="D70" s="2" t="s">
        <v>133</v>
      </c>
      <c r="E70" s="2" t="s">
        <v>41</v>
      </c>
      <c r="F70" s="4">
        <v>40000</v>
      </c>
      <c r="G70" s="5">
        <v>1.2</v>
      </c>
      <c r="H70" s="6">
        <v>5</v>
      </c>
      <c r="I70" s="7">
        <f t="shared" si="10"/>
        <v>48000</v>
      </c>
      <c r="J70" s="7">
        <f t="shared" si="11"/>
        <v>2400</v>
      </c>
      <c r="K70" s="7">
        <f t="shared" si="12"/>
        <v>45600</v>
      </c>
      <c r="L70" s="4">
        <v>50000</v>
      </c>
      <c r="M70" s="7">
        <f t="shared" si="13"/>
        <v>95600</v>
      </c>
      <c r="N70" s="2" t="s">
        <v>28</v>
      </c>
      <c r="O70" t="s">
        <v>22</v>
      </c>
      <c r="P70" s="2" t="s">
        <v>2366</v>
      </c>
      <c r="Q70" s="2">
        <v>4</v>
      </c>
      <c r="R70" s="2" t="s">
        <v>34</v>
      </c>
      <c r="S70" s="2" t="str">
        <f t="shared" si="14"/>
        <v>Rendah</v>
      </c>
      <c r="T70" s="2" t="str">
        <f t="shared" si="15"/>
        <v>FALSE</v>
      </c>
      <c r="U70" s="2" t="str">
        <f t="shared" si="16"/>
        <v>FALSE</v>
      </c>
      <c r="V70" s="2" t="b">
        <f t="shared" si="17"/>
        <v>0</v>
      </c>
      <c r="W70" s="2" t="b">
        <f t="shared" si="18"/>
        <v>0</v>
      </c>
      <c r="X70" s="2" t="b">
        <f t="shared" si="19"/>
        <v>0</v>
      </c>
    </row>
    <row r="71" spans="1:24" ht="10.5" customHeight="1">
      <c r="A71" s="2" t="s">
        <v>201</v>
      </c>
      <c r="B71" s="3">
        <v>45682.414085648154</v>
      </c>
      <c r="C71" s="2" t="s">
        <v>202</v>
      </c>
      <c r="D71" s="2" t="s">
        <v>44</v>
      </c>
      <c r="E71" s="2" t="s">
        <v>41</v>
      </c>
      <c r="F71" s="4">
        <v>40000</v>
      </c>
      <c r="G71" s="5">
        <v>1.2</v>
      </c>
      <c r="H71" s="6">
        <v>5</v>
      </c>
      <c r="I71" s="7">
        <f t="shared" si="10"/>
        <v>48000</v>
      </c>
      <c r="J71" s="7">
        <f t="shared" si="11"/>
        <v>2400</v>
      </c>
      <c r="K71" s="7">
        <f t="shared" si="12"/>
        <v>45600</v>
      </c>
      <c r="L71" s="4">
        <v>43000</v>
      </c>
      <c r="M71" s="7">
        <f t="shared" si="13"/>
        <v>88600</v>
      </c>
      <c r="N71" s="2" t="s">
        <v>28</v>
      </c>
      <c r="O71" t="s">
        <v>22</v>
      </c>
      <c r="P71" s="2" t="s">
        <v>2368</v>
      </c>
      <c r="Q71" s="2">
        <v>3</v>
      </c>
      <c r="R71" s="2" t="s">
        <v>23</v>
      </c>
      <c r="S71" s="2" t="str">
        <f t="shared" si="14"/>
        <v>Rendah</v>
      </c>
      <c r="T71" s="2" t="str">
        <f t="shared" si="15"/>
        <v>FALSE</v>
      </c>
      <c r="U71" s="2" t="str">
        <f t="shared" si="16"/>
        <v>FALSE</v>
      </c>
      <c r="V71" s="2" t="b">
        <f t="shared" si="17"/>
        <v>0</v>
      </c>
      <c r="W71" s="2" t="b">
        <f t="shared" si="18"/>
        <v>0</v>
      </c>
      <c r="X71" s="2" t="b">
        <f t="shared" si="19"/>
        <v>0</v>
      </c>
    </row>
    <row r="72" spans="1:24" ht="10.5" customHeight="1">
      <c r="A72" s="2" t="s">
        <v>203</v>
      </c>
      <c r="B72" s="3">
        <v>45682.451481481483</v>
      </c>
      <c r="C72" s="2" t="s">
        <v>93</v>
      </c>
      <c r="D72" s="2" t="s">
        <v>94</v>
      </c>
      <c r="E72" s="2" t="s">
        <v>190</v>
      </c>
      <c r="F72" s="4">
        <v>15500</v>
      </c>
      <c r="G72" s="5">
        <v>0.9</v>
      </c>
      <c r="H72" s="6">
        <v>5</v>
      </c>
      <c r="I72" s="7">
        <f t="shared" si="10"/>
        <v>13950</v>
      </c>
      <c r="J72" s="7">
        <f t="shared" si="11"/>
        <v>697.5</v>
      </c>
      <c r="K72" s="7">
        <f t="shared" si="12"/>
        <v>13252.5</v>
      </c>
      <c r="L72" s="4">
        <v>85000</v>
      </c>
      <c r="M72" s="7">
        <f t="shared" si="13"/>
        <v>98252.5</v>
      </c>
      <c r="N72" s="2" t="s">
        <v>21</v>
      </c>
      <c r="O72" t="s">
        <v>22</v>
      </c>
      <c r="P72" s="2" t="s">
        <v>2366</v>
      </c>
      <c r="Q72" s="2">
        <v>3</v>
      </c>
      <c r="R72" s="2" t="s">
        <v>23</v>
      </c>
      <c r="S72" s="2" t="str">
        <f t="shared" si="14"/>
        <v>Rendah</v>
      </c>
      <c r="T72" s="2" t="str">
        <f t="shared" si="15"/>
        <v>FALSE</v>
      </c>
      <c r="U72" s="2" t="str">
        <f t="shared" si="16"/>
        <v>FALSE</v>
      </c>
      <c r="V72" s="2" t="b">
        <f t="shared" si="17"/>
        <v>0</v>
      </c>
      <c r="W72" s="2" t="b">
        <f t="shared" si="18"/>
        <v>0</v>
      </c>
      <c r="X72" s="2" t="b">
        <f t="shared" si="19"/>
        <v>0</v>
      </c>
    </row>
    <row r="73" spans="1:24" ht="10.5" customHeight="1">
      <c r="A73" s="2" t="s">
        <v>204</v>
      </c>
      <c r="B73" s="3">
        <v>45682.484976851847</v>
      </c>
      <c r="C73" s="2" t="s">
        <v>205</v>
      </c>
      <c r="D73" s="2" t="s">
        <v>123</v>
      </c>
      <c r="E73" s="2" t="s">
        <v>170</v>
      </c>
      <c r="F73" s="4">
        <v>12000</v>
      </c>
      <c r="G73" s="5">
        <v>1.1000000000000001</v>
      </c>
      <c r="H73" s="6">
        <v>5</v>
      </c>
      <c r="I73" s="7">
        <f t="shared" si="10"/>
        <v>13200.000000000002</v>
      </c>
      <c r="J73" s="7">
        <f t="shared" si="11"/>
        <v>660.00000000000011</v>
      </c>
      <c r="K73" s="7">
        <f t="shared" si="12"/>
        <v>12540.000000000002</v>
      </c>
      <c r="L73" s="4">
        <v>59000</v>
      </c>
      <c r="M73" s="7">
        <f t="shared" si="13"/>
        <v>71540</v>
      </c>
      <c r="N73" s="2" t="s">
        <v>33</v>
      </c>
      <c r="O73" t="s">
        <v>22</v>
      </c>
      <c r="P73" s="2" t="s">
        <v>2365</v>
      </c>
      <c r="Q73" s="2">
        <v>4</v>
      </c>
      <c r="R73" s="2" t="s">
        <v>23</v>
      </c>
      <c r="S73" s="2" t="str">
        <f t="shared" si="14"/>
        <v>Rendah</v>
      </c>
      <c r="T73" s="2" t="str">
        <f t="shared" si="15"/>
        <v>FALSE</v>
      </c>
      <c r="U73" s="2" t="str">
        <f t="shared" si="16"/>
        <v>FALSE</v>
      </c>
      <c r="V73" s="2" t="b">
        <f t="shared" si="17"/>
        <v>0</v>
      </c>
      <c r="W73" s="2" t="b">
        <f t="shared" si="18"/>
        <v>0</v>
      </c>
      <c r="X73" s="2" t="b">
        <f t="shared" si="19"/>
        <v>0</v>
      </c>
    </row>
    <row r="74" spans="1:24" ht="10.5" customHeight="1">
      <c r="A74" s="2" t="s">
        <v>206</v>
      </c>
      <c r="B74" s="3">
        <v>45682.505324074067</v>
      </c>
      <c r="C74" s="2" t="s">
        <v>207</v>
      </c>
      <c r="D74" s="2" t="s">
        <v>133</v>
      </c>
      <c r="E74" s="2" t="s">
        <v>57</v>
      </c>
      <c r="F74" s="4">
        <v>17500</v>
      </c>
      <c r="G74" s="5">
        <v>2.1</v>
      </c>
      <c r="H74" s="6">
        <v>5</v>
      </c>
      <c r="I74" s="7">
        <f t="shared" si="10"/>
        <v>36750</v>
      </c>
      <c r="J74" s="7">
        <f t="shared" si="11"/>
        <v>1837.5</v>
      </c>
      <c r="K74" s="7">
        <f t="shared" si="12"/>
        <v>34912.5</v>
      </c>
      <c r="L74" s="4">
        <v>50000</v>
      </c>
      <c r="M74" s="7">
        <f t="shared" si="13"/>
        <v>84912.5</v>
      </c>
      <c r="N74" s="2" t="s">
        <v>28</v>
      </c>
      <c r="O74" t="s">
        <v>22</v>
      </c>
      <c r="P74" s="2" t="s">
        <v>2366</v>
      </c>
      <c r="Q74" s="2">
        <v>4</v>
      </c>
      <c r="R74" s="2" t="s">
        <v>23</v>
      </c>
      <c r="S74" s="2" t="str">
        <f t="shared" si="14"/>
        <v>Rendah</v>
      </c>
      <c r="T74" s="2" t="str">
        <f t="shared" si="15"/>
        <v>FALSE</v>
      </c>
      <c r="U74" s="2" t="str">
        <f t="shared" si="16"/>
        <v>FALSE</v>
      </c>
      <c r="V74" s="2" t="b">
        <f t="shared" si="17"/>
        <v>0</v>
      </c>
      <c r="W74" s="2" t="b">
        <f t="shared" si="18"/>
        <v>0</v>
      </c>
      <c r="X74" s="2" t="b">
        <f t="shared" si="19"/>
        <v>0</v>
      </c>
    </row>
    <row r="75" spans="1:24" ht="10.5" customHeight="1">
      <c r="A75" s="2" t="s">
        <v>208</v>
      </c>
      <c r="B75" s="3">
        <v>45682.515740740739</v>
      </c>
      <c r="C75" s="2" t="s">
        <v>209</v>
      </c>
      <c r="D75" s="2" t="s">
        <v>160</v>
      </c>
      <c r="E75" s="2" t="s">
        <v>80</v>
      </c>
      <c r="F75" s="4">
        <v>15000</v>
      </c>
      <c r="G75" s="5">
        <v>1.2</v>
      </c>
      <c r="H75" s="6">
        <v>5</v>
      </c>
      <c r="I75" s="7">
        <f t="shared" si="10"/>
        <v>18000</v>
      </c>
      <c r="J75" s="7">
        <f t="shared" si="11"/>
        <v>900</v>
      </c>
      <c r="K75" s="7">
        <f t="shared" si="12"/>
        <v>17100</v>
      </c>
      <c r="L75" s="4">
        <v>46000</v>
      </c>
      <c r="M75" s="7">
        <f t="shared" si="13"/>
        <v>63100</v>
      </c>
      <c r="N75" s="2" t="s">
        <v>58</v>
      </c>
      <c r="O75" t="s">
        <v>22</v>
      </c>
      <c r="P75" s="2" t="s">
        <v>2365</v>
      </c>
      <c r="Q75" s="2">
        <v>4</v>
      </c>
      <c r="R75" s="2" t="s">
        <v>23</v>
      </c>
      <c r="S75" s="2" t="str">
        <f t="shared" si="14"/>
        <v>Rendah</v>
      </c>
      <c r="T75" s="2" t="str">
        <f t="shared" si="15"/>
        <v>FALSE</v>
      </c>
      <c r="U75" s="2" t="str">
        <f t="shared" si="16"/>
        <v>FALSE</v>
      </c>
      <c r="V75" s="2" t="b">
        <f t="shared" si="17"/>
        <v>0</v>
      </c>
      <c r="W75" s="2" t="b">
        <f t="shared" si="18"/>
        <v>0</v>
      </c>
      <c r="X75" s="2" t="b">
        <f t="shared" si="19"/>
        <v>0</v>
      </c>
    </row>
    <row r="76" spans="1:24" ht="10.5" customHeight="1">
      <c r="A76" s="2" t="s">
        <v>210</v>
      </c>
      <c r="B76" s="3">
        <v>45682.523287037038</v>
      </c>
      <c r="C76" s="2" t="s">
        <v>211</v>
      </c>
      <c r="D76" s="2" t="s">
        <v>48</v>
      </c>
      <c r="E76" s="2" t="s">
        <v>41</v>
      </c>
      <c r="F76" s="4">
        <v>40000</v>
      </c>
      <c r="G76" s="5">
        <v>1.1000000000000001</v>
      </c>
      <c r="H76" s="6">
        <v>5</v>
      </c>
      <c r="I76" s="7">
        <f t="shared" si="10"/>
        <v>44000</v>
      </c>
      <c r="J76" s="7">
        <f t="shared" si="11"/>
        <v>2200</v>
      </c>
      <c r="K76" s="7">
        <f t="shared" si="12"/>
        <v>41800</v>
      </c>
      <c r="L76" s="4">
        <v>18000</v>
      </c>
      <c r="M76" s="7">
        <f t="shared" si="13"/>
        <v>59800</v>
      </c>
      <c r="N76" s="2" t="s">
        <v>33</v>
      </c>
      <c r="O76" t="s">
        <v>22</v>
      </c>
      <c r="P76" s="2" t="s">
        <v>2366</v>
      </c>
      <c r="Q76" s="2">
        <v>2</v>
      </c>
      <c r="R76" s="2" t="s">
        <v>23</v>
      </c>
      <c r="S76" s="2" t="str">
        <f t="shared" si="14"/>
        <v>Rendah</v>
      </c>
      <c r="T76" s="2" t="str">
        <f t="shared" si="15"/>
        <v>FALSE</v>
      </c>
      <c r="U76" s="2" t="str">
        <f t="shared" si="16"/>
        <v>FALSE</v>
      </c>
      <c r="V76" s="2" t="b">
        <f t="shared" si="17"/>
        <v>0</v>
      </c>
      <c r="W76" s="2" t="b">
        <f t="shared" si="18"/>
        <v>0</v>
      </c>
      <c r="X76" s="2" t="b">
        <f t="shared" si="19"/>
        <v>0</v>
      </c>
    </row>
    <row r="77" spans="1:24" ht="10.5" customHeight="1">
      <c r="A77" s="2" t="s">
        <v>212</v>
      </c>
      <c r="B77" s="3">
        <v>45682.523657407408</v>
      </c>
      <c r="C77" s="2" t="s">
        <v>213</v>
      </c>
      <c r="D77" s="2" t="s">
        <v>44</v>
      </c>
      <c r="E77" s="2" t="s">
        <v>95</v>
      </c>
      <c r="F77" s="4">
        <v>9500</v>
      </c>
      <c r="G77" s="5">
        <v>1.5</v>
      </c>
      <c r="H77" s="6">
        <v>5</v>
      </c>
      <c r="I77" s="7">
        <f t="shared" si="10"/>
        <v>14250</v>
      </c>
      <c r="J77" s="7">
        <f t="shared" si="11"/>
        <v>712.5</v>
      </c>
      <c r="K77" s="7">
        <f t="shared" si="12"/>
        <v>13537.5</v>
      </c>
      <c r="L77" s="4">
        <v>43000</v>
      </c>
      <c r="M77" s="7">
        <f t="shared" si="13"/>
        <v>56537.5</v>
      </c>
      <c r="N77" s="2" t="s">
        <v>33</v>
      </c>
      <c r="O77" t="s">
        <v>22</v>
      </c>
      <c r="P77" s="2" t="s">
        <v>2370</v>
      </c>
      <c r="Q77" s="2">
        <v>2</v>
      </c>
      <c r="R77" s="2" t="s">
        <v>23</v>
      </c>
      <c r="S77" s="2" t="str">
        <f t="shared" si="14"/>
        <v>Rendah</v>
      </c>
      <c r="T77" s="2" t="str">
        <f t="shared" si="15"/>
        <v>FALSE</v>
      </c>
      <c r="U77" s="2" t="str">
        <f t="shared" si="16"/>
        <v>FALSE</v>
      </c>
      <c r="V77" s="2" t="b">
        <f t="shared" si="17"/>
        <v>0</v>
      </c>
      <c r="W77" s="2" t="b">
        <f t="shared" si="18"/>
        <v>0</v>
      </c>
      <c r="X77" s="2" t="b">
        <f t="shared" si="19"/>
        <v>0</v>
      </c>
    </row>
    <row r="78" spans="1:24" ht="10.5" customHeight="1">
      <c r="A78" s="2" t="s">
        <v>214</v>
      </c>
      <c r="B78" s="3">
        <v>45682.525057870371</v>
      </c>
      <c r="C78" s="2" t="s">
        <v>73</v>
      </c>
      <c r="D78" s="2" t="s">
        <v>74</v>
      </c>
      <c r="E78" s="2" t="s">
        <v>41</v>
      </c>
      <c r="F78" s="4">
        <v>40000</v>
      </c>
      <c r="G78" s="5">
        <v>1.7</v>
      </c>
      <c r="H78" s="6">
        <v>5</v>
      </c>
      <c r="I78" s="7">
        <f t="shared" si="10"/>
        <v>68000</v>
      </c>
      <c r="J78" s="7">
        <f t="shared" si="11"/>
        <v>3400</v>
      </c>
      <c r="K78" s="7">
        <f t="shared" si="12"/>
        <v>64600</v>
      </c>
      <c r="L78" s="4">
        <v>74000</v>
      </c>
      <c r="M78" s="7">
        <f t="shared" si="13"/>
        <v>138600</v>
      </c>
      <c r="N78" s="2" t="s">
        <v>21</v>
      </c>
      <c r="O78" t="s">
        <v>22</v>
      </c>
      <c r="P78" s="2" t="s">
        <v>2366</v>
      </c>
      <c r="Q78" s="2">
        <v>1</v>
      </c>
      <c r="R78" s="2" t="s">
        <v>23</v>
      </c>
      <c r="S78" s="2" t="str">
        <f t="shared" si="14"/>
        <v>Standar</v>
      </c>
      <c r="T78" s="2" t="str">
        <f t="shared" si="15"/>
        <v>FALSE</v>
      </c>
      <c r="U78" s="2" t="str">
        <f t="shared" si="16"/>
        <v>FALSE</v>
      </c>
      <c r="V78" s="2" t="b">
        <f t="shared" si="17"/>
        <v>0</v>
      </c>
      <c r="W78" s="2" t="b">
        <f t="shared" si="18"/>
        <v>0</v>
      </c>
      <c r="X78" s="2" t="b">
        <f t="shared" si="19"/>
        <v>0</v>
      </c>
    </row>
    <row r="79" spans="1:24" ht="10.5" customHeight="1">
      <c r="A79" s="2" t="s">
        <v>214</v>
      </c>
      <c r="B79" s="3">
        <v>45682.525057870371</v>
      </c>
      <c r="C79" s="2" t="s">
        <v>73</v>
      </c>
      <c r="D79" s="2" t="s">
        <v>74</v>
      </c>
      <c r="E79" s="2" t="s">
        <v>75</v>
      </c>
      <c r="F79" s="4">
        <v>45000</v>
      </c>
      <c r="G79" s="5">
        <v>1.5</v>
      </c>
      <c r="H79" s="6">
        <v>5</v>
      </c>
      <c r="I79" s="7">
        <f t="shared" si="10"/>
        <v>67500</v>
      </c>
      <c r="J79" s="7">
        <f t="shared" si="11"/>
        <v>3375</v>
      </c>
      <c r="K79" s="7">
        <f t="shared" si="12"/>
        <v>64125</v>
      </c>
      <c r="L79" s="4">
        <v>0</v>
      </c>
      <c r="M79" s="7">
        <f t="shared" si="13"/>
        <v>64125</v>
      </c>
      <c r="N79" s="2" t="s">
        <v>21</v>
      </c>
      <c r="O79" t="s">
        <v>22</v>
      </c>
      <c r="P79" s="2" t="s">
        <v>2366</v>
      </c>
      <c r="Q79" s="2">
        <v>1</v>
      </c>
      <c r="R79" s="2" t="s">
        <v>23</v>
      </c>
      <c r="S79" s="2" t="str">
        <f t="shared" si="14"/>
        <v>Rendah</v>
      </c>
      <c r="T79" s="2" t="str">
        <f t="shared" si="15"/>
        <v>FALSE</v>
      </c>
      <c r="U79" s="2" t="str">
        <f t="shared" si="16"/>
        <v>FALSE</v>
      </c>
      <c r="V79" s="2" t="b">
        <f t="shared" si="17"/>
        <v>0</v>
      </c>
      <c r="W79" s="2" t="b">
        <f t="shared" si="18"/>
        <v>0</v>
      </c>
      <c r="X79" s="2" t="b">
        <f t="shared" si="19"/>
        <v>0</v>
      </c>
    </row>
    <row r="80" spans="1:24" ht="10.5" customHeight="1">
      <c r="A80" s="2" t="s">
        <v>215</v>
      </c>
      <c r="B80" s="3">
        <v>45682.537731481483</v>
      </c>
      <c r="C80" s="2" t="s">
        <v>216</v>
      </c>
      <c r="D80" s="2" t="s">
        <v>179</v>
      </c>
      <c r="E80" s="2" t="s">
        <v>41</v>
      </c>
      <c r="F80" s="4">
        <v>40000</v>
      </c>
      <c r="G80" s="5">
        <v>1.1000000000000001</v>
      </c>
      <c r="H80" s="6">
        <v>5</v>
      </c>
      <c r="I80" s="7">
        <f t="shared" si="10"/>
        <v>44000</v>
      </c>
      <c r="J80" s="7">
        <f t="shared" si="11"/>
        <v>2200</v>
      </c>
      <c r="K80" s="7">
        <f t="shared" si="12"/>
        <v>41800</v>
      </c>
      <c r="L80" s="4">
        <v>57000</v>
      </c>
      <c r="M80" s="7">
        <f t="shared" si="13"/>
        <v>98800</v>
      </c>
      <c r="N80" s="2" t="s">
        <v>21</v>
      </c>
      <c r="O80" t="s">
        <v>22</v>
      </c>
      <c r="P80" s="2" t="s">
        <v>2370</v>
      </c>
      <c r="Q80" s="2">
        <v>4</v>
      </c>
      <c r="R80" s="2" t="s">
        <v>34</v>
      </c>
      <c r="S80" s="2" t="str">
        <f t="shared" si="14"/>
        <v>Rendah</v>
      </c>
      <c r="T80" s="2" t="str">
        <f t="shared" si="15"/>
        <v>FALSE</v>
      </c>
      <c r="U80" s="2" t="str">
        <f t="shared" si="16"/>
        <v>FALSE</v>
      </c>
      <c r="V80" s="2" t="b">
        <f t="shared" si="17"/>
        <v>0</v>
      </c>
      <c r="W80" s="2" t="b">
        <f t="shared" si="18"/>
        <v>0</v>
      </c>
      <c r="X80" s="2" t="b">
        <f t="shared" si="19"/>
        <v>0</v>
      </c>
    </row>
    <row r="81" spans="1:24" ht="10.5" customHeight="1">
      <c r="A81" s="2" t="s">
        <v>217</v>
      </c>
      <c r="B81" s="3">
        <v>45682.597962962973</v>
      </c>
      <c r="C81" s="2" t="s">
        <v>218</v>
      </c>
      <c r="D81" s="2" t="s">
        <v>64</v>
      </c>
      <c r="E81" s="2" t="s">
        <v>80</v>
      </c>
      <c r="F81" s="4">
        <v>15000</v>
      </c>
      <c r="G81" s="5">
        <v>1.1000000000000001</v>
      </c>
      <c r="H81" s="6">
        <v>5</v>
      </c>
      <c r="I81" s="7">
        <f t="shared" si="10"/>
        <v>16500</v>
      </c>
      <c r="J81" s="7">
        <f t="shared" si="11"/>
        <v>825</v>
      </c>
      <c r="K81" s="7">
        <f t="shared" si="12"/>
        <v>15675</v>
      </c>
      <c r="L81" s="4">
        <v>89000</v>
      </c>
      <c r="M81" s="7">
        <f t="shared" si="13"/>
        <v>104675</v>
      </c>
      <c r="N81" s="2" t="s">
        <v>33</v>
      </c>
      <c r="O81" t="s">
        <v>69</v>
      </c>
      <c r="P81" s="2" t="s">
        <v>2366</v>
      </c>
      <c r="Q81" s="2">
        <v>4</v>
      </c>
      <c r="R81" s="2" t="s">
        <v>23</v>
      </c>
      <c r="S81" s="2" t="str">
        <f t="shared" si="14"/>
        <v>Standar</v>
      </c>
      <c r="T81" s="2" t="str">
        <f t="shared" si="15"/>
        <v>FALSE</v>
      </c>
      <c r="U81" s="2" t="str">
        <f t="shared" si="16"/>
        <v>FALSE</v>
      </c>
      <c r="V81" s="2" t="b">
        <f t="shared" si="17"/>
        <v>0</v>
      </c>
      <c r="W81" s="2" t="b">
        <f t="shared" si="18"/>
        <v>0</v>
      </c>
      <c r="X81" s="2" t="b">
        <f t="shared" si="19"/>
        <v>0</v>
      </c>
    </row>
    <row r="82" spans="1:24" ht="10.5" customHeight="1">
      <c r="A82" s="2" t="s">
        <v>219</v>
      </c>
      <c r="B82" s="3">
        <v>45682.624374999999</v>
      </c>
      <c r="C82" s="2" t="s">
        <v>220</v>
      </c>
      <c r="D82" s="2" t="s">
        <v>185</v>
      </c>
      <c r="E82" s="2" t="s">
        <v>75</v>
      </c>
      <c r="F82" s="4">
        <v>45000</v>
      </c>
      <c r="G82" s="5">
        <v>0.7</v>
      </c>
      <c r="H82" s="6">
        <v>5</v>
      </c>
      <c r="I82" s="7">
        <f t="shared" si="10"/>
        <v>31499.999999999996</v>
      </c>
      <c r="J82" s="7">
        <f t="shared" si="11"/>
        <v>1575</v>
      </c>
      <c r="K82" s="7">
        <f t="shared" si="12"/>
        <v>29924.999999999996</v>
      </c>
      <c r="L82" s="4">
        <v>87000</v>
      </c>
      <c r="M82" s="7">
        <f t="shared" si="13"/>
        <v>116925</v>
      </c>
      <c r="N82" s="2" t="s">
        <v>33</v>
      </c>
      <c r="O82" t="s">
        <v>115</v>
      </c>
      <c r="P82" s="2" t="s">
        <v>2366</v>
      </c>
      <c r="Q82" s="2">
        <v>2</v>
      </c>
      <c r="R82" s="2" t="s">
        <v>23</v>
      </c>
      <c r="S82" s="2" t="str">
        <f t="shared" si="14"/>
        <v>Standar</v>
      </c>
      <c r="T82" s="2" t="str">
        <f t="shared" si="15"/>
        <v>FALSE</v>
      </c>
      <c r="U82" s="2" t="str">
        <f t="shared" si="16"/>
        <v>FALSE</v>
      </c>
      <c r="V82" s="2" t="b">
        <f t="shared" si="17"/>
        <v>0</v>
      </c>
      <c r="W82" s="2" t="b">
        <f t="shared" si="18"/>
        <v>0</v>
      </c>
      <c r="X82" s="2" t="b">
        <f t="shared" si="19"/>
        <v>0</v>
      </c>
    </row>
    <row r="83" spans="1:24" ht="10.5" customHeight="1">
      <c r="A83" s="2" t="s">
        <v>221</v>
      </c>
      <c r="B83" s="3">
        <v>45682.630960648137</v>
      </c>
      <c r="C83" s="2" t="s">
        <v>222</v>
      </c>
      <c r="D83" s="2" t="s">
        <v>61</v>
      </c>
      <c r="E83" s="2" t="s">
        <v>35</v>
      </c>
      <c r="F83" s="4">
        <v>13500</v>
      </c>
      <c r="G83" s="5">
        <v>1.2</v>
      </c>
      <c r="H83" s="6">
        <v>5</v>
      </c>
      <c r="I83" s="7">
        <f t="shared" si="10"/>
        <v>16200</v>
      </c>
      <c r="J83" s="7">
        <f t="shared" si="11"/>
        <v>810</v>
      </c>
      <c r="K83" s="7">
        <f t="shared" si="12"/>
        <v>15390</v>
      </c>
      <c r="L83" s="4">
        <v>59000</v>
      </c>
      <c r="M83" s="7">
        <f t="shared" si="13"/>
        <v>74390</v>
      </c>
      <c r="N83" s="2" t="s">
        <v>28</v>
      </c>
      <c r="O83" t="s">
        <v>22</v>
      </c>
      <c r="P83" s="2" t="s">
        <v>2367</v>
      </c>
      <c r="Q83" s="2">
        <v>1</v>
      </c>
      <c r="R83" s="2" t="s">
        <v>23</v>
      </c>
      <c r="S83" s="2" t="str">
        <f t="shared" si="14"/>
        <v>Rendah</v>
      </c>
      <c r="T83" s="2" t="str">
        <f t="shared" si="15"/>
        <v>FALSE</v>
      </c>
      <c r="U83" s="2" t="str">
        <f t="shared" si="16"/>
        <v>FALSE</v>
      </c>
      <c r="V83" s="2" t="b">
        <f t="shared" si="17"/>
        <v>0</v>
      </c>
      <c r="W83" s="2" t="b">
        <f t="shared" si="18"/>
        <v>1</v>
      </c>
      <c r="X83" s="2" t="b">
        <f t="shared" si="19"/>
        <v>0</v>
      </c>
    </row>
    <row r="84" spans="1:24" ht="10.5" customHeight="1">
      <c r="A84" s="2" t="s">
        <v>223</v>
      </c>
      <c r="B84" s="3">
        <v>45682.737430555557</v>
      </c>
      <c r="C84" s="2" t="s">
        <v>224</v>
      </c>
      <c r="D84" s="2" t="s">
        <v>105</v>
      </c>
      <c r="E84" s="2" t="s">
        <v>75</v>
      </c>
      <c r="F84" s="4">
        <v>45000</v>
      </c>
      <c r="G84" s="5">
        <v>1.5</v>
      </c>
      <c r="H84" s="6">
        <v>5</v>
      </c>
      <c r="I84" s="7">
        <f t="shared" si="10"/>
        <v>67500</v>
      </c>
      <c r="J84" s="7">
        <f t="shared" si="11"/>
        <v>3375</v>
      </c>
      <c r="K84" s="7">
        <f t="shared" si="12"/>
        <v>64125</v>
      </c>
      <c r="L84" s="4">
        <v>18000</v>
      </c>
      <c r="M84" s="7">
        <f t="shared" si="13"/>
        <v>82125</v>
      </c>
      <c r="N84" s="2" t="s">
        <v>28</v>
      </c>
      <c r="O84" t="s">
        <v>22</v>
      </c>
      <c r="P84" s="2" t="s">
        <v>2367</v>
      </c>
      <c r="Q84" s="2">
        <v>1</v>
      </c>
      <c r="R84" s="2" t="s">
        <v>34</v>
      </c>
      <c r="S84" s="2" t="str">
        <f t="shared" si="14"/>
        <v>Rendah</v>
      </c>
      <c r="T84" s="2" t="str">
        <f t="shared" si="15"/>
        <v>FALSE</v>
      </c>
      <c r="U84" s="2" t="str">
        <f t="shared" si="16"/>
        <v>FALSE</v>
      </c>
      <c r="V84" s="2" t="b">
        <f t="shared" si="17"/>
        <v>0</v>
      </c>
      <c r="W84" s="2" t="b">
        <f t="shared" si="18"/>
        <v>1</v>
      </c>
      <c r="X84" s="2" t="b">
        <f t="shared" si="19"/>
        <v>0</v>
      </c>
    </row>
    <row r="85" spans="1:24" ht="10.5" customHeight="1">
      <c r="A85" s="2" t="s">
        <v>225</v>
      </c>
      <c r="B85" s="3">
        <v>45682.850914351853</v>
      </c>
      <c r="C85" s="2" t="s">
        <v>226</v>
      </c>
      <c r="D85" s="2" t="s">
        <v>179</v>
      </c>
      <c r="E85" s="2" t="s">
        <v>41</v>
      </c>
      <c r="F85" s="4">
        <v>40000</v>
      </c>
      <c r="G85" s="5">
        <v>0.9</v>
      </c>
      <c r="H85" s="6">
        <v>5</v>
      </c>
      <c r="I85" s="7">
        <f t="shared" si="10"/>
        <v>36000</v>
      </c>
      <c r="J85" s="7">
        <f t="shared" si="11"/>
        <v>1800</v>
      </c>
      <c r="K85" s="7">
        <f t="shared" si="12"/>
        <v>34200</v>
      </c>
      <c r="L85" s="4">
        <v>57000</v>
      </c>
      <c r="M85" s="7">
        <f t="shared" si="13"/>
        <v>91200</v>
      </c>
      <c r="N85" s="2" t="s">
        <v>33</v>
      </c>
      <c r="O85" t="s">
        <v>22</v>
      </c>
      <c r="P85" s="2" t="s">
        <v>2367</v>
      </c>
      <c r="Q85" s="2">
        <v>4</v>
      </c>
      <c r="R85" s="2" t="s">
        <v>34</v>
      </c>
      <c r="S85" s="2" t="str">
        <f t="shared" si="14"/>
        <v>Rendah</v>
      </c>
      <c r="T85" s="2" t="str">
        <f t="shared" si="15"/>
        <v>FALSE</v>
      </c>
      <c r="U85" s="2" t="str">
        <f t="shared" si="16"/>
        <v>FALSE</v>
      </c>
      <c r="V85" s="2" t="b">
        <f t="shared" si="17"/>
        <v>0</v>
      </c>
      <c r="W85" s="2" t="b">
        <f t="shared" si="18"/>
        <v>1</v>
      </c>
      <c r="X85" s="2" t="b">
        <f t="shared" si="19"/>
        <v>0</v>
      </c>
    </row>
    <row r="86" spans="1:24" ht="10.5" customHeight="1">
      <c r="A86" s="2" t="s">
        <v>227</v>
      </c>
      <c r="B86" s="3">
        <v>45682.979641203703</v>
      </c>
      <c r="C86" s="2" t="s">
        <v>228</v>
      </c>
      <c r="D86" s="2" t="s">
        <v>229</v>
      </c>
      <c r="E86" s="2" t="s">
        <v>190</v>
      </c>
      <c r="F86" s="4">
        <v>15500</v>
      </c>
      <c r="G86" s="5">
        <v>0.7</v>
      </c>
      <c r="H86" s="6">
        <v>5</v>
      </c>
      <c r="I86" s="7">
        <f t="shared" si="10"/>
        <v>10850</v>
      </c>
      <c r="J86" s="7">
        <f t="shared" si="11"/>
        <v>542.5</v>
      </c>
      <c r="K86" s="7">
        <f t="shared" si="12"/>
        <v>10307.5</v>
      </c>
      <c r="L86" s="4">
        <v>28000</v>
      </c>
      <c r="M86" s="7">
        <f t="shared" si="13"/>
        <v>38307.5</v>
      </c>
      <c r="N86" s="2" t="s">
        <v>28</v>
      </c>
      <c r="O86" t="s">
        <v>22</v>
      </c>
      <c r="P86" s="2" t="s">
        <v>2368</v>
      </c>
      <c r="Q86" s="2">
        <v>3</v>
      </c>
      <c r="R86" s="2" t="s">
        <v>23</v>
      </c>
      <c r="S86" s="2" t="str">
        <f t="shared" si="14"/>
        <v>Sangat Rendah</v>
      </c>
      <c r="T86" s="2" t="str">
        <f t="shared" si="15"/>
        <v>FALSE</v>
      </c>
      <c r="U86" s="2" t="str">
        <f t="shared" si="16"/>
        <v>FALSE</v>
      </c>
      <c r="V86" s="2" t="b">
        <f t="shared" si="17"/>
        <v>0</v>
      </c>
      <c r="W86" s="2" t="b">
        <f t="shared" si="18"/>
        <v>0</v>
      </c>
      <c r="X86" s="2" t="b">
        <f t="shared" si="19"/>
        <v>1</v>
      </c>
    </row>
    <row r="87" spans="1:24" ht="10.5" customHeight="1">
      <c r="A87" s="2" t="s">
        <v>230</v>
      </c>
      <c r="B87" s="3">
        <v>45683.101817129631</v>
      </c>
      <c r="C87" s="2" t="s">
        <v>231</v>
      </c>
      <c r="D87" s="2" t="s">
        <v>179</v>
      </c>
      <c r="E87" s="2" t="s">
        <v>102</v>
      </c>
      <c r="F87" s="4">
        <v>55000</v>
      </c>
      <c r="G87" s="5">
        <v>0.7</v>
      </c>
      <c r="H87" s="6">
        <v>0</v>
      </c>
      <c r="I87" s="7">
        <f t="shared" si="10"/>
        <v>38500</v>
      </c>
      <c r="J87" s="7">
        <f t="shared" si="11"/>
        <v>0</v>
      </c>
      <c r="K87" s="7">
        <f t="shared" si="12"/>
        <v>38500</v>
      </c>
      <c r="L87" s="4">
        <v>57000</v>
      </c>
      <c r="M87" s="7">
        <f t="shared" si="13"/>
        <v>95500</v>
      </c>
      <c r="N87" s="2" t="s">
        <v>33</v>
      </c>
      <c r="O87" t="s">
        <v>22</v>
      </c>
      <c r="P87" s="2" t="s">
        <v>2365</v>
      </c>
      <c r="Q87" s="2">
        <v>5</v>
      </c>
      <c r="R87" s="2" t="s">
        <v>34</v>
      </c>
      <c r="S87" s="2" t="str">
        <f t="shared" si="14"/>
        <v>Rendah</v>
      </c>
      <c r="T87" s="2" t="str">
        <f t="shared" si="15"/>
        <v>FALSE</v>
      </c>
      <c r="U87" s="2" t="str">
        <f t="shared" si="16"/>
        <v>FALSE</v>
      </c>
      <c r="V87" s="2" t="b">
        <f t="shared" si="17"/>
        <v>0</v>
      </c>
      <c r="W87" s="2" t="b">
        <f t="shared" si="18"/>
        <v>0</v>
      </c>
      <c r="X87" s="2" t="b">
        <f t="shared" si="19"/>
        <v>0</v>
      </c>
    </row>
    <row r="88" spans="1:24" ht="10.5" customHeight="1">
      <c r="A88" s="2" t="s">
        <v>232</v>
      </c>
      <c r="B88" s="3">
        <v>45683.273356481477</v>
      </c>
      <c r="C88" s="2" t="s">
        <v>135</v>
      </c>
      <c r="D88" s="2" t="s">
        <v>84</v>
      </c>
      <c r="E88" s="2" t="s">
        <v>170</v>
      </c>
      <c r="F88" s="4">
        <v>12000</v>
      </c>
      <c r="G88" s="5">
        <v>0.9</v>
      </c>
      <c r="H88" s="6">
        <v>0</v>
      </c>
      <c r="I88" s="7">
        <f t="shared" si="10"/>
        <v>10800</v>
      </c>
      <c r="J88" s="7">
        <f t="shared" si="11"/>
        <v>0</v>
      </c>
      <c r="K88" s="7">
        <f t="shared" si="12"/>
        <v>10800</v>
      </c>
      <c r="L88" s="4">
        <v>30000</v>
      </c>
      <c r="M88" s="7">
        <f t="shared" si="13"/>
        <v>40800</v>
      </c>
      <c r="N88" s="2" t="s">
        <v>21</v>
      </c>
      <c r="O88" t="s">
        <v>115</v>
      </c>
      <c r="P88" s="2" t="s">
        <v>2367</v>
      </c>
      <c r="Q88" s="2">
        <v>5</v>
      </c>
      <c r="R88" s="2" t="s">
        <v>34</v>
      </c>
      <c r="S88" s="2" t="str">
        <f t="shared" si="14"/>
        <v>Sangat Rendah</v>
      </c>
      <c r="T88" s="2" t="str">
        <f t="shared" si="15"/>
        <v>FALSE</v>
      </c>
      <c r="U88" s="2" t="str">
        <f t="shared" si="16"/>
        <v>FALSE</v>
      </c>
      <c r="V88" s="2" t="b">
        <f t="shared" si="17"/>
        <v>0</v>
      </c>
      <c r="W88" s="2" t="b">
        <f t="shared" si="18"/>
        <v>1</v>
      </c>
      <c r="X88" s="2" t="b">
        <f t="shared" si="19"/>
        <v>0</v>
      </c>
    </row>
    <row r="89" spans="1:24" ht="10.5" customHeight="1">
      <c r="A89" s="2" t="s">
        <v>233</v>
      </c>
      <c r="B89" s="3">
        <v>45683.429548611108</v>
      </c>
      <c r="C89" s="2" t="s">
        <v>234</v>
      </c>
      <c r="D89" s="2" t="s">
        <v>235</v>
      </c>
      <c r="E89" s="2" t="s">
        <v>20</v>
      </c>
      <c r="F89" s="4">
        <v>10000</v>
      </c>
      <c r="G89" s="5">
        <v>2.2999999999999998</v>
      </c>
      <c r="H89" s="6">
        <v>0</v>
      </c>
      <c r="I89" s="7">
        <f t="shared" si="10"/>
        <v>23000</v>
      </c>
      <c r="J89" s="7">
        <f t="shared" si="11"/>
        <v>0</v>
      </c>
      <c r="K89" s="7">
        <f t="shared" si="12"/>
        <v>23000</v>
      </c>
      <c r="L89" s="4">
        <v>80000</v>
      </c>
      <c r="M89" s="7">
        <f t="shared" si="13"/>
        <v>103000</v>
      </c>
      <c r="N89" s="2" t="s">
        <v>58</v>
      </c>
      <c r="O89" t="s">
        <v>22</v>
      </c>
      <c r="P89" s="2" t="s">
        <v>2367</v>
      </c>
      <c r="Q89" s="2">
        <v>5</v>
      </c>
      <c r="R89" s="2" t="s">
        <v>34</v>
      </c>
      <c r="S89" s="2" t="str">
        <f t="shared" si="14"/>
        <v>Standar</v>
      </c>
      <c r="T89" s="2" t="str">
        <f t="shared" si="15"/>
        <v>FALSE</v>
      </c>
      <c r="U89" s="2" t="str">
        <f t="shared" si="16"/>
        <v>FALSE</v>
      </c>
      <c r="V89" s="2" t="b">
        <f t="shared" si="17"/>
        <v>0</v>
      </c>
      <c r="W89" s="2" t="b">
        <f t="shared" si="18"/>
        <v>1</v>
      </c>
      <c r="X89" s="2" t="b">
        <f t="shared" si="19"/>
        <v>0</v>
      </c>
    </row>
    <row r="90" spans="1:24" ht="10.5" customHeight="1">
      <c r="A90" s="2" t="s">
        <v>236</v>
      </c>
      <c r="B90" s="3">
        <v>45683.513020833343</v>
      </c>
      <c r="C90" s="2" t="s">
        <v>237</v>
      </c>
      <c r="D90" s="2" t="s">
        <v>229</v>
      </c>
      <c r="E90" s="2" t="s">
        <v>35</v>
      </c>
      <c r="F90" s="4">
        <v>13500</v>
      </c>
      <c r="G90" s="5">
        <v>2.1</v>
      </c>
      <c r="H90" s="6">
        <v>0</v>
      </c>
      <c r="I90" s="7">
        <f t="shared" si="10"/>
        <v>28350</v>
      </c>
      <c r="J90" s="7">
        <f t="shared" si="11"/>
        <v>0</v>
      </c>
      <c r="K90" s="7">
        <f t="shared" si="12"/>
        <v>28350</v>
      </c>
      <c r="L90" s="4">
        <v>28000</v>
      </c>
      <c r="M90" s="7">
        <f t="shared" si="13"/>
        <v>56350</v>
      </c>
      <c r="N90" s="2" t="s">
        <v>58</v>
      </c>
      <c r="O90" t="s">
        <v>22</v>
      </c>
      <c r="P90" s="2" t="s">
        <v>2370</v>
      </c>
      <c r="Q90" s="2">
        <v>3</v>
      </c>
      <c r="R90" s="2" t="s">
        <v>23</v>
      </c>
      <c r="S90" s="2" t="str">
        <f t="shared" si="14"/>
        <v>Rendah</v>
      </c>
      <c r="T90" s="2" t="str">
        <f t="shared" si="15"/>
        <v>FALSE</v>
      </c>
      <c r="U90" s="2" t="str">
        <f t="shared" si="16"/>
        <v>FALSE</v>
      </c>
      <c r="V90" s="2" t="b">
        <f t="shared" si="17"/>
        <v>0</v>
      </c>
      <c r="W90" s="2" t="b">
        <f t="shared" si="18"/>
        <v>0</v>
      </c>
      <c r="X90" s="2" t="b">
        <f t="shared" si="19"/>
        <v>0</v>
      </c>
    </row>
    <row r="91" spans="1:24" ht="10.5" customHeight="1">
      <c r="A91" s="2" t="s">
        <v>238</v>
      </c>
      <c r="B91" s="3">
        <v>45683.543819444443</v>
      </c>
      <c r="C91" s="2" t="s">
        <v>231</v>
      </c>
      <c r="D91" s="2" t="s">
        <v>179</v>
      </c>
      <c r="E91" s="2" t="s">
        <v>75</v>
      </c>
      <c r="F91" s="4">
        <v>45000</v>
      </c>
      <c r="G91" s="5">
        <v>1.4</v>
      </c>
      <c r="H91" s="6">
        <v>0</v>
      </c>
      <c r="I91" s="7">
        <f t="shared" si="10"/>
        <v>62999.999999999993</v>
      </c>
      <c r="J91" s="7">
        <f t="shared" si="11"/>
        <v>0</v>
      </c>
      <c r="K91" s="7">
        <f t="shared" si="12"/>
        <v>62999.999999999993</v>
      </c>
      <c r="L91" s="4">
        <v>57000</v>
      </c>
      <c r="M91" s="7">
        <f t="shared" si="13"/>
        <v>120000</v>
      </c>
      <c r="N91" s="2" t="s">
        <v>33</v>
      </c>
      <c r="O91" t="s">
        <v>22</v>
      </c>
      <c r="P91" s="2" t="s">
        <v>2366</v>
      </c>
      <c r="Q91" s="2">
        <v>1</v>
      </c>
      <c r="R91" s="2" t="s">
        <v>34</v>
      </c>
      <c r="S91" s="2" t="str">
        <f t="shared" si="14"/>
        <v>Standar</v>
      </c>
      <c r="T91" s="2" t="str">
        <f t="shared" si="15"/>
        <v>FALSE</v>
      </c>
      <c r="U91" s="2" t="str">
        <f t="shared" si="16"/>
        <v>FALSE</v>
      </c>
      <c r="V91" s="2" t="b">
        <f t="shared" si="17"/>
        <v>0</v>
      </c>
      <c r="W91" s="2" t="b">
        <f t="shared" si="18"/>
        <v>0</v>
      </c>
      <c r="X91" s="2" t="b">
        <f t="shared" si="19"/>
        <v>0</v>
      </c>
    </row>
    <row r="92" spans="1:24" ht="10.5" customHeight="1">
      <c r="A92" s="2" t="s">
        <v>239</v>
      </c>
      <c r="B92" s="3">
        <v>45683.549618055556</v>
      </c>
      <c r="C92" s="2" t="s">
        <v>240</v>
      </c>
      <c r="D92" s="2" t="s">
        <v>44</v>
      </c>
      <c r="E92" s="2" t="s">
        <v>65</v>
      </c>
      <c r="F92" s="4">
        <v>46000</v>
      </c>
      <c r="G92" s="5">
        <v>0.4</v>
      </c>
      <c r="H92" s="6">
        <v>0</v>
      </c>
      <c r="I92" s="7">
        <f t="shared" si="10"/>
        <v>18400</v>
      </c>
      <c r="J92" s="7">
        <f t="shared" si="11"/>
        <v>0</v>
      </c>
      <c r="K92" s="7">
        <f t="shared" si="12"/>
        <v>18400</v>
      </c>
      <c r="L92" s="4">
        <v>43000</v>
      </c>
      <c r="M92" s="7">
        <f t="shared" si="13"/>
        <v>61400</v>
      </c>
      <c r="N92" s="2" t="s">
        <v>58</v>
      </c>
      <c r="O92" t="s">
        <v>22</v>
      </c>
      <c r="P92" s="2" t="s">
        <v>2366</v>
      </c>
      <c r="Q92" s="2">
        <v>4</v>
      </c>
      <c r="R92" s="2" t="s">
        <v>23</v>
      </c>
      <c r="S92" s="2" t="str">
        <f t="shared" si="14"/>
        <v>Rendah</v>
      </c>
      <c r="T92" s="2" t="str">
        <f t="shared" si="15"/>
        <v>FALSE</v>
      </c>
      <c r="U92" s="2" t="str">
        <f t="shared" si="16"/>
        <v>FALSE</v>
      </c>
      <c r="V92" s="2" t="b">
        <f t="shared" si="17"/>
        <v>0</v>
      </c>
      <c r="W92" s="2" t="b">
        <f t="shared" si="18"/>
        <v>0</v>
      </c>
      <c r="X92" s="2" t="b">
        <f t="shared" si="19"/>
        <v>0</v>
      </c>
    </row>
    <row r="93" spans="1:24" ht="10.5" customHeight="1">
      <c r="A93" s="2" t="s">
        <v>241</v>
      </c>
      <c r="B93" s="3">
        <v>45683.569062499999</v>
      </c>
      <c r="C93" s="2" t="s">
        <v>242</v>
      </c>
      <c r="D93" s="2" t="s">
        <v>123</v>
      </c>
      <c r="E93" s="2" t="s">
        <v>99</v>
      </c>
      <c r="F93" s="4">
        <v>10000</v>
      </c>
      <c r="G93" s="5">
        <v>1.1000000000000001</v>
      </c>
      <c r="H93" s="6">
        <v>0</v>
      </c>
      <c r="I93" s="7">
        <f t="shared" si="10"/>
        <v>11000</v>
      </c>
      <c r="J93" s="7">
        <f t="shared" si="11"/>
        <v>0</v>
      </c>
      <c r="K93" s="7">
        <f t="shared" si="12"/>
        <v>11000</v>
      </c>
      <c r="L93" s="4">
        <v>59000</v>
      </c>
      <c r="M93" s="7">
        <f t="shared" si="13"/>
        <v>70000</v>
      </c>
      <c r="N93" s="2" t="s">
        <v>28</v>
      </c>
      <c r="O93" t="s">
        <v>69</v>
      </c>
      <c r="P93" s="2" t="s">
        <v>2367</v>
      </c>
      <c r="Q93" s="2">
        <v>2</v>
      </c>
      <c r="R93" s="2" t="s">
        <v>23</v>
      </c>
      <c r="S93" s="2" t="str">
        <f t="shared" si="14"/>
        <v>Rendah</v>
      </c>
      <c r="T93" s="2" t="str">
        <f t="shared" si="15"/>
        <v>FALSE</v>
      </c>
      <c r="U93" s="2" t="str">
        <f t="shared" si="16"/>
        <v>FALSE</v>
      </c>
      <c r="V93" s="2" t="b">
        <f t="shared" si="17"/>
        <v>0</v>
      </c>
      <c r="W93" s="2" t="b">
        <f t="shared" si="18"/>
        <v>1</v>
      </c>
      <c r="X93" s="2" t="b">
        <f t="shared" si="19"/>
        <v>0</v>
      </c>
    </row>
    <row r="94" spans="1:24" ht="10.5" customHeight="1">
      <c r="A94" s="2" t="s">
        <v>241</v>
      </c>
      <c r="B94" s="3">
        <v>45683.569062499999</v>
      </c>
      <c r="C94" s="2" t="s">
        <v>242</v>
      </c>
      <c r="D94" s="2" t="s">
        <v>123</v>
      </c>
      <c r="E94" s="2" t="s">
        <v>182</v>
      </c>
      <c r="F94" s="4">
        <v>11000</v>
      </c>
      <c r="G94" s="5">
        <v>1.5</v>
      </c>
      <c r="H94" s="6">
        <v>0</v>
      </c>
      <c r="I94" s="7">
        <f t="shared" si="10"/>
        <v>16500</v>
      </c>
      <c r="J94" s="7">
        <f t="shared" si="11"/>
        <v>0</v>
      </c>
      <c r="K94" s="7">
        <f t="shared" si="12"/>
        <v>16500</v>
      </c>
      <c r="L94" s="4">
        <v>0</v>
      </c>
      <c r="M94" s="7">
        <f t="shared" si="13"/>
        <v>16500</v>
      </c>
      <c r="N94" s="2" t="s">
        <v>28</v>
      </c>
      <c r="O94" t="s">
        <v>69</v>
      </c>
      <c r="P94" s="2" t="s">
        <v>2367</v>
      </c>
      <c r="Q94" s="2">
        <v>2</v>
      </c>
      <c r="R94" s="2" t="s">
        <v>23</v>
      </c>
      <c r="S94" s="2" t="str">
        <f t="shared" si="14"/>
        <v>Sangat Rendah</v>
      </c>
      <c r="T94" s="2" t="str">
        <f t="shared" si="15"/>
        <v>FALSE</v>
      </c>
      <c r="U94" s="2" t="str">
        <f t="shared" si="16"/>
        <v>FALSE</v>
      </c>
      <c r="V94" s="2" t="b">
        <f t="shared" si="17"/>
        <v>0</v>
      </c>
      <c r="W94" s="2" t="b">
        <f t="shared" si="18"/>
        <v>1</v>
      </c>
      <c r="X94" s="2" t="b">
        <f t="shared" si="19"/>
        <v>1</v>
      </c>
    </row>
    <row r="95" spans="1:24" ht="10.5" customHeight="1">
      <c r="A95" s="2" t="s">
        <v>243</v>
      </c>
      <c r="B95" s="3">
        <v>45683.580231481479</v>
      </c>
      <c r="C95" s="2" t="s">
        <v>244</v>
      </c>
      <c r="D95" s="2" t="s">
        <v>56</v>
      </c>
      <c r="E95" s="2" t="s">
        <v>190</v>
      </c>
      <c r="F95" s="4">
        <v>15500</v>
      </c>
      <c r="G95" s="5">
        <v>0.4</v>
      </c>
      <c r="H95" s="6">
        <v>0</v>
      </c>
      <c r="I95" s="7">
        <f t="shared" si="10"/>
        <v>6200</v>
      </c>
      <c r="J95" s="7">
        <f t="shared" si="11"/>
        <v>0</v>
      </c>
      <c r="K95" s="7">
        <f t="shared" si="12"/>
        <v>6200</v>
      </c>
      <c r="L95" s="4">
        <v>26000</v>
      </c>
      <c r="M95" s="7">
        <f t="shared" si="13"/>
        <v>32200</v>
      </c>
      <c r="N95" s="2" t="s">
        <v>33</v>
      </c>
      <c r="O95" t="s">
        <v>22</v>
      </c>
      <c r="P95" s="2" t="s">
        <v>2370</v>
      </c>
      <c r="Q95" s="2">
        <v>1</v>
      </c>
      <c r="R95" s="2" t="s">
        <v>23</v>
      </c>
      <c r="S95" s="2" t="str">
        <f t="shared" si="14"/>
        <v>Sangat Rendah</v>
      </c>
      <c r="T95" s="2" t="str">
        <f t="shared" si="15"/>
        <v>FALSE</v>
      </c>
      <c r="U95" s="2" t="str">
        <f t="shared" si="16"/>
        <v>FALSE</v>
      </c>
      <c r="V95" s="2" t="b">
        <f t="shared" si="17"/>
        <v>0</v>
      </c>
      <c r="W95" s="2" t="b">
        <f t="shared" si="18"/>
        <v>0</v>
      </c>
      <c r="X95" s="2" t="b">
        <f t="shared" si="19"/>
        <v>1</v>
      </c>
    </row>
    <row r="96" spans="1:24" ht="10.5" customHeight="1">
      <c r="A96" s="2" t="s">
        <v>245</v>
      </c>
      <c r="B96" s="3">
        <v>45683.60083333333</v>
      </c>
      <c r="C96" s="2" t="s">
        <v>246</v>
      </c>
      <c r="D96" s="2" t="s">
        <v>98</v>
      </c>
      <c r="E96" s="2" t="s">
        <v>20</v>
      </c>
      <c r="F96" s="4">
        <v>10000</v>
      </c>
      <c r="G96" s="5">
        <v>1</v>
      </c>
      <c r="H96" s="6">
        <v>0</v>
      </c>
      <c r="I96" s="7">
        <f t="shared" si="10"/>
        <v>10000</v>
      </c>
      <c r="J96" s="7">
        <f t="shared" si="11"/>
        <v>0</v>
      </c>
      <c r="K96" s="7">
        <f t="shared" si="12"/>
        <v>10000</v>
      </c>
      <c r="L96" s="4">
        <v>97000</v>
      </c>
      <c r="M96" s="7">
        <f t="shared" si="13"/>
        <v>107000</v>
      </c>
      <c r="N96" s="2" t="s">
        <v>28</v>
      </c>
      <c r="O96" t="s">
        <v>22</v>
      </c>
      <c r="P96" s="2" t="s">
        <v>2366</v>
      </c>
      <c r="Q96" s="2">
        <v>2</v>
      </c>
      <c r="R96" s="2" t="s">
        <v>23</v>
      </c>
      <c r="S96" s="2" t="str">
        <f t="shared" si="14"/>
        <v>Standar</v>
      </c>
      <c r="T96" s="2" t="str">
        <f t="shared" si="15"/>
        <v>FALSE</v>
      </c>
      <c r="U96" s="2" t="str">
        <f t="shared" si="16"/>
        <v>FALSE</v>
      </c>
      <c r="V96" s="2" t="b">
        <f t="shared" si="17"/>
        <v>0</v>
      </c>
      <c r="W96" s="2" t="b">
        <f t="shared" si="18"/>
        <v>0</v>
      </c>
      <c r="X96" s="2" t="b">
        <f t="shared" si="19"/>
        <v>0</v>
      </c>
    </row>
    <row r="97" spans="1:24" ht="10.5" customHeight="1">
      <c r="A97" s="2" t="s">
        <v>247</v>
      </c>
      <c r="B97" s="3">
        <v>45683.613923611112</v>
      </c>
      <c r="C97" s="2" t="s">
        <v>248</v>
      </c>
      <c r="D97" s="2" t="s">
        <v>40</v>
      </c>
      <c r="E97" s="2" t="s">
        <v>143</v>
      </c>
      <c r="F97" s="4">
        <v>10000</v>
      </c>
      <c r="G97" s="5">
        <v>1.1000000000000001</v>
      </c>
      <c r="H97" s="6">
        <v>0</v>
      </c>
      <c r="I97" s="7">
        <f t="shared" si="10"/>
        <v>11000</v>
      </c>
      <c r="J97" s="7">
        <f t="shared" si="11"/>
        <v>0</v>
      </c>
      <c r="K97" s="7">
        <f t="shared" si="12"/>
        <v>11000</v>
      </c>
      <c r="L97" s="4">
        <v>93000</v>
      </c>
      <c r="M97" s="7">
        <f t="shared" si="13"/>
        <v>104000</v>
      </c>
      <c r="N97" s="2" t="s">
        <v>28</v>
      </c>
      <c r="O97" t="s">
        <v>22</v>
      </c>
      <c r="P97" s="2" t="s">
        <v>2367</v>
      </c>
      <c r="Q97" s="2">
        <v>3</v>
      </c>
      <c r="R97" s="2" t="s">
        <v>23</v>
      </c>
      <c r="S97" s="2" t="str">
        <f t="shared" si="14"/>
        <v>Standar</v>
      </c>
      <c r="T97" s="2" t="str">
        <f t="shared" si="15"/>
        <v>FALSE</v>
      </c>
      <c r="U97" s="2" t="str">
        <f t="shared" si="16"/>
        <v>TRUE</v>
      </c>
      <c r="V97" s="2" t="b">
        <f t="shared" si="17"/>
        <v>0</v>
      </c>
      <c r="W97" s="2" t="b">
        <f t="shared" si="18"/>
        <v>1</v>
      </c>
      <c r="X97" s="2" t="b">
        <f t="shared" si="19"/>
        <v>0</v>
      </c>
    </row>
    <row r="98" spans="1:24" ht="10.5" customHeight="1">
      <c r="A98" s="2" t="s">
        <v>249</v>
      </c>
      <c r="B98" s="3">
        <v>45683.821817129632</v>
      </c>
      <c r="C98" s="2" t="s">
        <v>231</v>
      </c>
      <c r="D98" s="2" t="s">
        <v>179</v>
      </c>
      <c r="E98" s="2" t="s">
        <v>32</v>
      </c>
      <c r="F98" s="4">
        <v>20000</v>
      </c>
      <c r="G98" s="5">
        <v>2</v>
      </c>
      <c r="H98" s="6">
        <v>0</v>
      </c>
      <c r="I98" s="7">
        <f t="shared" si="10"/>
        <v>40000</v>
      </c>
      <c r="J98" s="7">
        <f t="shared" si="11"/>
        <v>0</v>
      </c>
      <c r="K98" s="7">
        <f t="shared" si="12"/>
        <v>40000</v>
      </c>
      <c r="L98" s="4">
        <v>57000</v>
      </c>
      <c r="M98" s="7">
        <f t="shared" si="13"/>
        <v>97000</v>
      </c>
      <c r="N98" s="2" t="s">
        <v>21</v>
      </c>
      <c r="O98" t="s">
        <v>22</v>
      </c>
      <c r="P98" s="2" t="s">
        <v>2370</v>
      </c>
      <c r="Q98" s="2">
        <v>1</v>
      </c>
      <c r="R98" s="2" t="s">
        <v>34</v>
      </c>
      <c r="S98" s="2" t="str">
        <f t="shared" si="14"/>
        <v>Rendah</v>
      </c>
      <c r="T98" s="2" t="str">
        <f t="shared" si="15"/>
        <v>FALSE</v>
      </c>
      <c r="U98" s="2" t="str">
        <f t="shared" si="16"/>
        <v>FALSE</v>
      </c>
      <c r="V98" s="2" t="b">
        <f t="shared" si="17"/>
        <v>0</v>
      </c>
      <c r="W98" s="2" t="b">
        <f t="shared" si="18"/>
        <v>0</v>
      </c>
      <c r="X98" s="2" t="b">
        <f t="shared" si="19"/>
        <v>0</v>
      </c>
    </row>
    <row r="99" spans="1:24" ht="10.5" customHeight="1">
      <c r="A99" s="2" t="s">
        <v>250</v>
      </c>
      <c r="B99" s="3">
        <v>45683.897777777784</v>
      </c>
      <c r="C99" s="2" t="s">
        <v>251</v>
      </c>
      <c r="D99" s="2" t="s">
        <v>252</v>
      </c>
      <c r="E99" s="2" t="s">
        <v>75</v>
      </c>
      <c r="F99" s="4">
        <v>45000</v>
      </c>
      <c r="G99" s="5">
        <v>1.4</v>
      </c>
      <c r="H99" s="6">
        <v>0</v>
      </c>
      <c r="I99" s="7">
        <f t="shared" si="10"/>
        <v>62999.999999999993</v>
      </c>
      <c r="J99" s="7">
        <f t="shared" si="11"/>
        <v>0</v>
      </c>
      <c r="K99" s="7">
        <f t="shared" si="12"/>
        <v>62999.999999999993</v>
      </c>
      <c r="L99" s="4">
        <v>18000</v>
      </c>
      <c r="M99" s="7">
        <f t="shared" si="13"/>
        <v>81000</v>
      </c>
      <c r="N99" s="2" t="s">
        <v>33</v>
      </c>
      <c r="O99" t="s">
        <v>22</v>
      </c>
      <c r="P99" s="2" t="s">
        <v>2366</v>
      </c>
      <c r="Q99" s="2">
        <v>3</v>
      </c>
      <c r="R99" s="2" t="s">
        <v>23</v>
      </c>
      <c r="S99" s="2" t="str">
        <f t="shared" si="14"/>
        <v>Rendah</v>
      </c>
      <c r="T99" s="2" t="str">
        <f t="shared" si="15"/>
        <v>FALSE</v>
      </c>
      <c r="U99" s="2" t="str">
        <f t="shared" si="16"/>
        <v>FALSE</v>
      </c>
      <c r="V99" s="2" t="b">
        <f t="shared" si="17"/>
        <v>0</v>
      </c>
      <c r="W99" s="2" t="b">
        <f t="shared" si="18"/>
        <v>0</v>
      </c>
      <c r="X99" s="2" t="b">
        <f t="shared" si="19"/>
        <v>0</v>
      </c>
    </row>
    <row r="100" spans="1:24" ht="10.5" customHeight="1">
      <c r="A100" s="2" t="s">
        <v>253</v>
      </c>
      <c r="B100" s="3">
        <v>45683.902939814812</v>
      </c>
      <c r="C100" s="2" t="s">
        <v>172</v>
      </c>
      <c r="D100" s="2" t="s">
        <v>173</v>
      </c>
      <c r="E100" s="2" t="s">
        <v>99</v>
      </c>
      <c r="F100" s="4">
        <v>10000</v>
      </c>
      <c r="G100" s="5">
        <v>0.8</v>
      </c>
      <c r="H100" s="6">
        <v>0</v>
      </c>
      <c r="I100" s="7">
        <f t="shared" si="10"/>
        <v>8000</v>
      </c>
      <c r="J100" s="7">
        <f t="shared" si="11"/>
        <v>0</v>
      </c>
      <c r="K100" s="7">
        <f t="shared" si="12"/>
        <v>8000</v>
      </c>
      <c r="L100" s="4">
        <v>48000</v>
      </c>
      <c r="M100" s="7">
        <f t="shared" si="13"/>
        <v>56000</v>
      </c>
      <c r="N100" s="2" t="s">
        <v>21</v>
      </c>
      <c r="O100" t="s">
        <v>22</v>
      </c>
      <c r="P100" s="2" t="s">
        <v>2370</v>
      </c>
      <c r="Q100" s="2">
        <v>4</v>
      </c>
      <c r="R100" s="2" t="s">
        <v>23</v>
      </c>
      <c r="S100" s="2" t="str">
        <f t="shared" si="14"/>
        <v>Rendah</v>
      </c>
      <c r="T100" s="2" t="str">
        <f t="shared" si="15"/>
        <v>FALSE</v>
      </c>
      <c r="U100" s="2" t="str">
        <f t="shared" si="16"/>
        <v>FALSE</v>
      </c>
      <c r="V100" s="2" t="b">
        <f t="shared" si="17"/>
        <v>0</v>
      </c>
      <c r="W100" s="2" t="b">
        <f t="shared" si="18"/>
        <v>0</v>
      </c>
      <c r="X100" s="2" t="b">
        <f t="shared" si="19"/>
        <v>0</v>
      </c>
    </row>
    <row r="101" spans="1:24" ht="10.5" customHeight="1">
      <c r="A101" s="2" t="s">
        <v>254</v>
      </c>
      <c r="B101" s="3">
        <v>45683.943148148152</v>
      </c>
      <c r="C101" s="2" t="s">
        <v>255</v>
      </c>
      <c r="D101" s="2" t="s">
        <v>111</v>
      </c>
      <c r="E101" s="2" t="s">
        <v>41</v>
      </c>
      <c r="F101" s="4">
        <v>40000</v>
      </c>
      <c r="G101" s="5">
        <v>0.5</v>
      </c>
      <c r="H101" s="6">
        <v>0</v>
      </c>
      <c r="I101" s="7">
        <f t="shared" si="10"/>
        <v>20000</v>
      </c>
      <c r="J101" s="7">
        <f t="shared" si="11"/>
        <v>0</v>
      </c>
      <c r="K101" s="7">
        <f t="shared" si="12"/>
        <v>20000</v>
      </c>
      <c r="L101" s="4">
        <v>0</v>
      </c>
      <c r="M101" s="7">
        <f t="shared" si="13"/>
        <v>20000</v>
      </c>
      <c r="N101" s="2" t="s">
        <v>33</v>
      </c>
      <c r="O101" t="s">
        <v>22</v>
      </c>
      <c r="P101" s="2" t="s">
        <v>2368</v>
      </c>
      <c r="Q101" s="2">
        <v>1</v>
      </c>
      <c r="R101" s="2" t="s">
        <v>23</v>
      </c>
      <c r="S101" s="2" t="str">
        <f t="shared" si="14"/>
        <v>Sangat Rendah</v>
      </c>
      <c r="T101" s="2" t="str">
        <f t="shared" si="15"/>
        <v>FALSE</v>
      </c>
      <c r="U101" s="2" t="str">
        <f t="shared" si="16"/>
        <v>FALSE</v>
      </c>
      <c r="V101" s="2" t="b">
        <f t="shared" si="17"/>
        <v>0</v>
      </c>
      <c r="W101" s="2" t="b">
        <f t="shared" si="18"/>
        <v>0</v>
      </c>
      <c r="X101" s="2" t="b">
        <f t="shared" si="19"/>
        <v>1</v>
      </c>
    </row>
    <row r="102" spans="1:24" ht="10.5" customHeight="1">
      <c r="A102" s="2" t="s">
        <v>256</v>
      </c>
      <c r="B102" s="3">
        <v>45684.002789351849</v>
      </c>
      <c r="C102" s="2" t="s">
        <v>257</v>
      </c>
      <c r="D102" s="2" t="s">
        <v>123</v>
      </c>
      <c r="E102" s="2" t="s">
        <v>57</v>
      </c>
      <c r="F102" s="4">
        <v>17500</v>
      </c>
      <c r="G102" s="5">
        <v>1.5</v>
      </c>
      <c r="H102" s="6">
        <v>0</v>
      </c>
      <c r="I102" s="7">
        <f t="shared" si="10"/>
        <v>26250</v>
      </c>
      <c r="J102" s="7">
        <f t="shared" si="11"/>
        <v>0</v>
      </c>
      <c r="K102" s="7">
        <f t="shared" si="12"/>
        <v>26250</v>
      </c>
      <c r="L102" s="4">
        <v>59000</v>
      </c>
      <c r="M102" s="7">
        <f t="shared" si="13"/>
        <v>85250</v>
      </c>
      <c r="N102" s="2" t="s">
        <v>21</v>
      </c>
      <c r="O102" t="s">
        <v>69</v>
      </c>
      <c r="P102" s="2" t="s">
        <v>2366</v>
      </c>
      <c r="Q102" s="2">
        <v>3</v>
      </c>
      <c r="R102" s="2" t="s">
        <v>23</v>
      </c>
      <c r="S102" s="2" t="str">
        <f t="shared" si="14"/>
        <v>Rendah</v>
      </c>
      <c r="T102" s="2" t="str">
        <f t="shared" si="15"/>
        <v>FALSE</v>
      </c>
      <c r="U102" s="2" t="str">
        <f t="shared" si="16"/>
        <v>FALSE</v>
      </c>
      <c r="V102" s="2" t="b">
        <f t="shared" si="17"/>
        <v>0</v>
      </c>
      <c r="W102" s="2" t="b">
        <f t="shared" si="18"/>
        <v>0</v>
      </c>
      <c r="X102" s="2" t="b">
        <f t="shared" si="19"/>
        <v>0</v>
      </c>
    </row>
    <row r="103" spans="1:24" ht="10.5" customHeight="1">
      <c r="A103" s="2" t="s">
        <v>258</v>
      </c>
      <c r="B103" s="3">
        <v>45684.120532407411</v>
      </c>
      <c r="C103" s="2" t="s">
        <v>259</v>
      </c>
      <c r="D103" s="2" t="s">
        <v>164</v>
      </c>
      <c r="E103" s="2" t="s">
        <v>170</v>
      </c>
      <c r="F103" s="4">
        <v>12000</v>
      </c>
      <c r="G103" s="5">
        <v>0.5</v>
      </c>
      <c r="H103" s="6">
        <v>0</v>
      </c>
      <c r="I103" s="7">
        <f t="shared" si="10"/>
        <v>6000</v>
      </c>
      <c r="J103" s="7">
        <f t="shared" si="11"/>
        <v>0</v>
      </c>
      <c r="K103" s="7">
        <f t="shared" si="12"/>
        <v>6000</v>
      </c>
      <c r="L103" s="4">
        <v>49000</v>
      </c>
      <c r="M103" s="7">
        <f t="shared" si="13"/>
        <v>55000</v>
      </c>
      <c r="N103" s="2" t="s">
        <v>21</v>
      </c>
      <c r="O103" t="s">
        <v>22</v>
      </c>
      <c r="P103" s="2" t="s">
        <v>2365</v>
      </c>
      <c r="Q103" s="2">
        <v>4</v>
      </c>
      <c r="R103" s="2" t="s">
        <v>34</v>
      </c>
      <c r="S103" s="2" t="str">
        <f t="shared" si="14"/>
        <v>Rendah</v>
      </c>
      <c r="T103" s="2" t="str">
        <f t="shared" si="15"/>
        <v>FALSE</v>
      </c>
      <c r="U103" s="2" t="str">
        <f t="shared" si="16"/>
        <v>FALSE</v>
      </c>
      <c r="V103" s="2" t="b">
        <f t="shared" si="17"/>
        <v>0</v>
      </c>
      <c r="W103" s="2" t="b">
        <f t="shared" si="18"/>
        <v>0</v>
      </c>
      <c r="X103" s="2" t="b">
        <f t="shared" si="19"/>
        <v>0</v>
      </c>
    </row>
    <row r="104" spans="1:24" ht="10.5" customHeight="1">
      <c r="A104" s="2" t="s">
        <v>260</v>
      </c>
      <c r="B104" s="3">
        <v>45684.156041666669</v>
      </c>
      <c r="C104" s="2" t="s">
        <v>261</v>
      </c>
      <c r="D104" s="2" t="s">
        <v>44</v>
      </c>
      <c r="E104" s="2" t="s">
        <v>49</v>
      </c>
      <c r="F104" s="4">
        <v>26000</v>
      </c>
      <c r="G104" s="5">
        <v>0.8</v>
      </c>
      <c r="H104" s="6">
        <v>0</v>
      </c>
      <c r="I104" s="7">
        <f t="shared" si="10"/>
        <v>20800</v>
      </c>
      <c r="J104" s="7">
        <f t="shared" si="11"/>
        <v>0</v>
      </c>
      <c r="K104" s="7">
        <f t="shared" si="12"/>
        <v>20800</v>
      </c>
      <c r="L104" s="4">
        <v>43000</v>
      </c>
      <c r="M104" s="7">
        <f t="shared" si="13"/>
        <v>63800</v>
      </c>
      <c r="N104" s="2" t="s">
        <v>28</v>
      </c>
      <c r="O104" t="s">
        <v>22</v>
      </c>
      <c r="P104" s="2" t="s">
        <v>2370</v>
      </c>
      <c r="Q104" s="2">
        <v>2</v>
      </c>
      <c r="R104" s="2" t="s">
        <v>23</v>
      </c>
      <c r="S104" s="2" t="str">
        <f t="shared" si="14"/>
        <v>Rendah</v>
      </c>
      <c r="T104" s="2" t="str">
        <f t="shared" si="15"/>
        <v>FALSE</v>
      </c>
      <c r="U104" s="2" t="str">
        <f t="shared" si="16"/>
        <v>FALSE</v>
      </c>
      <c r="V104" s="2" t="b">
        <f t="shared" si="17"/>
        <v>0</v>
      </c>
      <c r="W104" s="2" t="b">
        <f t="shared" si="18"/>
        <v>0</v>
      </c>
      <c r="X104" s="2" t="b">
        <f t="shared" si="19"/>
        <v>0</v>
      </c>
    </row>
    <row r="105" spans="1:24" ht="10.5" customHeight="1">
      <c r="A105" s="2" t="s">
        <v>262</v>
      </c>
      <c r="B105" s="3">
        <v>45684.362175925933</v>
      </c>
      <c r="C105" s="2" t="s">
        <v>263</v>
      </c>
      <c r="D105" s="2" t="s">
        <v>185</v>
      </c>
      <c r="E105" s="2" t="s">
        <v>20</v>
      </c>
      <c r="F105" s="4">
        <v>10000</v>
      </c>
      <c r="G105" s="5">
        <v>2.4</v>
      </c>
      <c r="H105" s="6">
        <v>0</v>
      </c>
      <c r="I105" s="7">
        <f t="shared" si="10"/>
        <v>24000</v>
      </c>
      <c r="J105" s="7">
        <f t="shared" si="11"/>
        <v>0</v>
      </c>
      <c r="K105" s="7">
        <f t="shared" si="12"/>
        <v>24000</v>
      </c>
      <c r="L105" s="4">
        <v>87000</v>
      </c>
      <c r="M105" s="7">
        <f t="shared" si="13"/>
        <v>111000</v>
      </c>
      <c r="N105" s="2" t="s">
        <v>28</v>
      </c>
      <c r="O105" t="s">
        <v>22</v>
      </c>
      <c r="P105" s="2" t="s">
        <v>2370</v>
      </c>
      <c r="Q105" s="2">
        <v>5</v>
      </c>
      <c r="R105" s="2" t="s">
        <v>23</v>
      </c>
      <c r="S105" s="2" t="str">
        <f t="shared" si="14"/>
        <v>Standar</v>
      </c>
      <c r="T105" s="2" t="str">
        <f t="shared" si="15"/>
        <v>FALSE</v>
      </c>
      <c r="U105" s="2" t="str">
        <f t="shared" si="16"/>
        <v>FALSE</v>
      </c>
      <c r="V105" s="2" t="b">
        <f t="shared" si="17"/>
        <v>0</v>
      </c>
      <c r="W105" s="2" t="b">
        <f t="shared" si="18"/>
        <v>0</v>
      </c>
      <c r="X105" s="2" t="b">
        <f t="shared" si="19"/>
        <v>0</v>
      </c>
    </row>
    <row r="106" spans="1:24" ht="10.5" customHeight="1">
      <c r="A106" s="2" t="s">
        <v>264</v>
      </c>
      <c r="B106" s="3">
        <v>45684.382743055547</v>
      </c>
      <c r="C106" s="2" t="s">
        <v>265</v>
      </c>
      <c r="D106" s="2" t="s">
        <v>87</v>
      </c>
      <c r="E106" s="2" t="s">
        <v>161</v>
      </c>
      <c r="F106" s="4">
        <v>115000</v>
      </c>
      <c r="G106" s="5">
        <v>1</v>
      </c>
      <c r="H106" s="6">
        <v>0</v>
      </c>
      <c r="I106" s="7">
        <f t="shared" si="10"/>
        <v>115000</v>
      </c>
      <c r="J106" s="7">
        <f t="shared" si="11"/>
        <v>0</v>
      </c>
      <c r="K106" s="7">
        <f t="shared" si="12"/>
        <v>115000</v>
      </c>
      <c r="L106" s="4">
        <v>49000</v>
      </c>
      <c r="M106" s="7">
        <f t="shared" si="13"/>
        <v>164000</v>
      </c>
      <c r="N106" s="2" t="s">
        <v>33</v>
      </c>
      <c r="O106" t="s">
        <v>69</v>
      </c>
      <c r="P106" s="2" t="s">
        <v>2365</v>
      </c>
      <c r="Q106" s="2">
        <v>2</v>
      </c>
      <c r="R106" s="2" t="s">
        <v>23</v>
      </c>
      <c r="S106" s="2" t="str">
        <f t="shared" si="14"/>
        <v>Tinggi</v>
      </c>
      <c r="T106" s="2" t="str">
        <f t="shared" si="15"/>
        <v>FALSE</v>
      </c>
      <c r="U106" s="2" t="str">
        <f t="shared" si="16"/>
        <v>TRUE</v>
      </c>
      <c r="V106" s="2" t="b">
        <f t="shared" si="17"/>
        <v>0</v>
      </c>
      <c r="W106" s="2" t="b">
        <f t="shared" si="18"/>
        <v>0</v>
      </c>
      <c r="X106" s="2" t="b">
        <f t="shared" si="19"/>
        <v>0</v>
      </c>
    </row>
    <row r="107" spans="1:24" ht="10.5" customHeight="1">
      <c r="A107" s="2" t="s">
        <v>266</v>
      </c>
      <c r="B107" s="3">
        <v>45684.401307870372</v>
      </c>
      <c r="C107" s="2" t="s">
        <v>267</v>
      </c>
      <c r="D107" s="2" t="s">
        <v>111</v>
      </c>
      <c r="E107" s="2" t="s">
        <v>41</v>
      </c>
      <c r="F107" s="4">
        <v>40000</v>
      </c>
      <c r="G107" s="5">
        <v>0.5</v>
      </c>
      <c r="H107" s="6">
        <v>0</v>
      </c>
      <c r="I107" s="7">
        <f t="shared" si="10"/>
        <v>20000</v>
      </c>
      <c r="J107" s="7">
        <f t="shared" si="11"/>
        <v>0</v>
      </c>
      <c r="K107" s="7">
        <f t="shared" si="12"/>
        <v>20000</v>
      </c>
      <c r="L107" s="4">
        <v>0</v>
      </c>
      <c r="M107" s="7">
        <f t="shared" si="13"/>
        <v>20000</v>
      </c>
      <c r="N107" s="2" t="s">
        <v>28</v>
      </c>
      <c r="O107" t="s">
        <v>22</v>
      </c>
      <c r="P107" s="2" t="s">
        <v>2370</v>
      </c>
      <c r="Q107" s="2">
        <v>4</v>
      </c>
      <c r="R107" s="2" t="s">
        <v>23</v>
      </c>
      <c r="S107" s="2" t="str">
        <f t="shared" si="14"/>
        <v>Sangat Rendah</v>
      </c>
      <c r="T107" s="2" t="str">
        <f t="shared" si="15"/>
        <v>FALSE</v>
      </c>
      <c r="U107" s="2" t="str">
        <f t="shared" si="16"/>
        <v>FALSE</v>
      </c>
      <c r="V107" s="2" t="b">
        <f t="shared" si="17"/>
        <v>0</v>
      </c>
      <c r="W107" s="2" t="b">
        <f t="shared" si="18"/>
        <v>0</v>
      </c>
      <c r="X107" s="2" t="b">
        <f t="shared" si="19"/>
        <v>1</v>
      </c>
    </row>
    <row r="108" spans="1:24" ht="10.5" customHeight="1">
      <c r="A108" s="2" t="s">
        <v>268</v>
      </c>
      <c r="B108" s="3">
        <v>45684.419895833344</v>
      </c>
      <c r="C108" s="2" t="s">
        <v>244</v>
      </c>
      <c r="D108" s="2" t="s">
        <v>56</v>
      </c>
      <c r="E108" s="2" t="s">
        <v>190</v>
      </c>
      <c r="F108" s="4">
        <v>15500</v>
      </c>
      <c r="G108" s="5">
        <v>0.1</v>
      </c>
      <c r="H108" s="6">
        <v>0</v>
      </c>
      <c r="I108" s="7">
        <f t="shared" si="10"/>
        <v>1550</v>
      </c>
      <c r="J108" s="7">
        <f t="shared" si="11"/>
        <v>0</v>
      </c>
      <c r="K108" s="7">
        <f t="shared" si="12"/>
        <v>1550</v>
      </c>
      <c r="L108" s="4">
        <v>26000</v>
      </c>
      <c r="M108" s="7">
        <f t="shared" si="13"/>
        <v>27550</v>
      </c>
      <c r="N108" s="2" t="s">
        <v>33</v>
      </c>
      <c r="O108" t="s">
        <v>22</v>
      </c>
      <c r="P108" s="2" t="s">
        <v>2368</v>
      </c>
      <c r="Q108" s="2">
        <v>1</v>
      </c>
      <c r="R108" s="2" t="s">
        <v>23</v>
      </c>
      <c r="S108" s="2" t="str">
        <f t="shared" si="14"/>
        <v>Sangat Rendah</v>
      </c>
      <c r="T108" s="2" t="str">
        <f t="shared" si="15"/>
        <v>FALSE</v>
      </c>
      <c r="U108" s="2" t="str">
        <f t="shared" si="16"/>
        <v>FALSE</v>
      </c>
      <c r="V108" s="2" t="b">
        <f t="shared" si="17"/>
        <v>0</v>
      </c>
      <c r="W108" s="2" t="b">
        <f t="shared" si="18"/>
        <v>0</v>
      </c>
      <c r="X108" s="2" t="b">
        <f t="shared" si="19"/>
        <v>1</v>
      </c>
    </row>
    <row r="109" spans="1:24" ht="10.5" customHeight="1">
      <c r="A109" s="2" t="s">
        <v>269</v>
      </c>
      <c r="B109" s="3">
        <v>45684.457407407397</v>
      </c>
      <c r="C109" s="2" t="s">
        <v>86</v>
      </c>
      <c r="D109" s="2" t="s">
        <v>87</v>
      </c>
      <c r="E109" s="2" t="s">
        <v>53</v>
      </c>
      <c r="F109" s="4">
        <v>14000</v>
      </c>
      <c r="G109" s="5">
        <v>1.2</v>
      </c>
      <c r="H109" s="6">
        <v>0</v>
      </c>
      <c r="I109" s="7">
        <f t="shared" si="10"/>
        <v>16800</v>
      </c>
      <c r="J109" s="7">
        <f t="shared" si="11"/>
        <v>0</v>
      </c>
      <c r="K109" s="7">
        <f t="shared" si="12"/>
        <v>16800</v>
      </c>
      <c r="L109" s="4">
        <v>49000</v>
      </c>
      <c r="M109" s="7">
        <f t="shared" si="13"/>
        <v>65800</v>
      </c>
      <c r="N109" s="2" t="s">
        <v>21</v>
      </c>
      <c r="O109" t="s">
        <v>22</v>
      </c>
      <c r="P109" s="2" t="s">
        <v>2365</v>
      </c>
      <c r="Q109" s="2">
        <v>2</v>
      </c>
      <c r="R109" s="2" t="s">
        <v>23</v>
      </c>
      <c r="S109" s="2" t="str">
        <f t="shared" si="14"/>
        <v>Rendah</v>
      </c>
      <c r="T109" s="2" t="str">
        <f t="shared" si="15"/>
        <v>FALSE</v>
      </c>
      <c r="U109" s="2" t="str">
        <f t="shared" si="16"/>
        <v>FALSE</v>
      </c>
      <c r="V109" s="2" t="b">
        <f t="shared" si="17"/>
        <v>0</v>
      </c>
      <c r="W109" s="2" t="b">
        <f t="shared" si="18"/>
        <v>0</v>
      </c>
      <c r="X109" s="2" t="b">
        <f t="shared" si="19"/>
        <v>0</v>
      </c>
    </row>
    <row r="110" spans="1:24" ht="10.5" customHeight="1">
      <c r="A110" s="2" t="s">
        <v>270</v>
      </c>
      <c r="B110" s="3">
        <v>45684.475821759261</v>
      </c>
      <c r="C110" s="2" t="s">
        <v>271</v>
      </c>
      <c r="D110" s="2" t="s">
        <v>140</v>
      </c>
      <c r="E110" s="2" t="s">
        <v>65</v>
      </c>
      <c r="F110" s="4">
        <v>46000</v>
      </c>
      <c r="G110" s="5">
        <v>0.5</v>
      </c>
      <c r="H110" s="6">
        <v>0</v>
      </c>
      <c r="I110" s="7">
        <f t="shared" si="10"/>
        <v>23000</v>
      </c>
      <c r="J110" s="7">
        <f t="shared" si="11"/>
        <v>0</v>
      </c>
      <c r="K110" s="7">
        <f t="shared" si="12"/>
        <v>23000</v>
      </c>
      <c r="L110" s="4">
        <v>55000</v>
      </c>
      <c r="M110" s="7">
        <f t="shared" si="13"/>
        <v>78000</v>
      </c>
      <c r="N110" s="2" t="s">
        <v>28</v>
      </c>
      <c r="O110" t="s">
        <v>22</v>
      </c>
      <c r="P110" s="2" t="s">
        <v>2366</v>
      </c>
      <c r="Q110" s="2">
        <v>4</v>
      </c>
      <c r="R110" s="2" t="s">
        <v>23</v>
      </c>
      <c r="S110" s="2" t="str">
        <f t="shared" si="14"/>
        <v>Rendah</v>
      </c>
      <c r="T110" s="2" t="str">
        <f t="shared" si="15"/>
        <v>FALSE</v>
      </c>
      <c r="U110" s="2" t="str">
        <f t="shared" si="16"/>
        <v>FALSE</v>
      </c>
      <c r="V110" s="2" t="b">
        <f t="shared" si="17"/>
        <v>0</v>
      </c>
      <c r="W110" s="2" t="b">
        <f t="shared" si="18"/>
        <v>0</v>
      </c>
      <c r="X110" s="2" t="b">
        <f t="shared" si="19"/>
        <v>0</v>
      </c>
    </row>
    <row r="111" spans="1:24" ht="10.5" customHeight="1">
      <c r="A111" s="2" t="s">
        <v>272</v>
      </c>
      <c r="B111" s="3">
        <v>45684.525833333333</v>
      </c>
      <c r="C111" s="2" t="s">
        <v>273</v>
      </c>
      <c r="D111" s="2" t="s">
        <v>84</v>
      </c>
      <c r="E111" s="2" t="s">
        <v>170</v>
      </c>
      <c r="F111" s="4">
        <v>12000</v>
      </c>
      <c r="G111" s="5">
        <v>0.8</v>
      </c>
      <c r="H111" s="6">
        <v>0</v>
      </c>
      <c r="I111" s="7">
        <f t="shared" si="10"/>
        <v>9600</v>
      </c>
      <c r="J111" s="7">
        <f t="shared" si="11"/>
        <v>0</v>
      </c>
      <c r="K111" s="7">
        <f t="shared" si="12"/>
        <v>9600</v>
      </c>
      <c r="L111" s="4">
        <v>30000</v>
      </c>
      <c r="M111" s="7">
        <f t="shared" si="13"/>
        <v>39600</v>
      </c>
      <c r="N111" s="2" t="s">
        <v>58</v>
      </c>
      <c r="O111" t="s">
        <v>22</v>
      </c>
      <c r="P111" s="2" t="s">
        <v>2367</v>
      </c>
      <c r="Q111" s="2">
        <v>5</v>
      </c>
      <c r="R111" s="2" t="s">
        <v>23</v>
      </c>
      <c r="S111" s="2" t="str">
        <f t="shared" si="14"/>
        <v>Sangat Rendah</v>
      </c>
      <c r="T111" s="2" t="str">
        <f t="shared" si="15"/>
        <v>FALSE</v>
      </c>
      <c r="U111" s="2" t="str">
        <f t="shared" si="16"/>
        <v>FALSE</v>
      </c>
      <c r="V111" s="2" t="b">
        <f t="shared" si="17"/>
        <v>0</v>
      </c>
      <c r="W111" s="2" t="b">
        <f t="shared" si="18"/>
        <v>1</v>
      </c>
      <c r="X111" s="2" t="b">
        <f t="shared" si="19"/>
        <v>1</v>
      </c>
    </row>
    <row r="112" spans="1:24" ht="10.5" customHeight="1">
      <c r="A112" s="2" t="s">
        <v>274</v>
      </c>
      <c r="B112" s="3">
        <v>45684.606493055559</v>
      </c>
      <c r="C112" s="2" t="s">
        <v>275</v>
      </c>
      <c r="D112" s="2" t="s">
        <v>19</v>
      </c>
      <c r="E112" s="2" t="s">
        <v>32</v>
      </c>
      <c r="F112" s="4">
        <v>20000</v>
      </c>
      <c r="G112" s="5">
        <v>2.9</v>
      </c>
      <c r="H112" s="6">
        <v>0</v>
      </c>
      <c r="I112" s="7">
        <f t="shared" si="10"/>
        <v>58000</v>
      </c>
      <c r="J112" s="7">
        <f t="shared" si="11"/>
        <v>0</v>
      </c>
      <c r="K112" s="7">
        <f t="shared" si="12"/>
        <v>58000</v>
      </c>
      <c r="L112" s="4">
        <v>15000</v>
      </c>
      <c r="M112" s="7">
        <f t="shared" si="13"/>
        <v>73000</v>
      </c>
      <c r="N112" s="2" t="s">
        <v>28</v>
      </c>
      <c r="O112" t="s">
        <v>22</v>
      </c>
      <c r="P112" s="2" t="s">
        <v>2366</v>
      </c>
      <c r="Q112" s="2">
        <v>2</v>
      </c>
      <c r="R112" s="2" t="s">
        <v>34</v>
      </c>
      <c r="S112" s="2" t="str">
        <f t="shared" si="14"/>
        <v>Rendah</v>
      </c>
      <c r="T112" s="2" t="str">
        <f t="shared" si="15"/>
        <v>FALSE</v>
      </c>
      <c r="U112" s="2" t="str">
        <f t="shared" si="16"/>
        <v>FALSE</v>
      </c>
      <c r="V112" s="2" t="b">
        <f t="shared" si="17"/>
        <v>0</v>
      </c>
      <c r="W112" s="2" t="b">
        <f t="shared" si="18"/>
        <v>0</v>
      </c>
      <c r="X112" s="2" t="b">
        <f t="shared" si="19"/>
        <v>0</v>
      </c>
    </row>
    <row r="113" spans="1:24" ht="10.5" customHeight="1">
      <c r="A113" s="2" t="s">
        <v>276</v>
      </c>
      <c r="B113" s="3">
        <v>45684.620844907397</v>
      </c>
      <c r="C113" s="2" t="s">
        <v>277</v>
      </c>
      <c r="D113" s="2" t="s">
        <v>252</v>
      </c>
      <c r="E113" s="2" t="s">
        <v>80</v>
      </c>
      <c r="F113" s="4">
        <v>15000</v>
      </c>
      <c r="G113" s="5">
        <v>1.3</v>
      </c>
      <c r="H113" s="6">
        <v>0</v>
      </c>
      <c r="I113" s="7">
        <f t="shared" si="10"/>
        <v>19500</v>
      </c>
      <c r="J113" s="7">
        <f t="shared" si="11"/>
        <v>0</v>
      </c>
      <c r="K113" s="7">
        <f t="shared" si="12"/>
        <v>19500</v>
      </c>
      <c r="L113" s="4">
        <v>18000</v>
      </c>
      <c r="M113" s="7">
        <f t="shared" si="13"/>
        <v>37500</v>
      </c>
      <c r="N113" s="2" t="s">
        <v>33</v>
      </c>
      <c r="O113" t="s">
        <v>22</v>
      </c>
      <c r="P113" s="2" t="s">
        <v>2366</v>
      </c>
      <c r="Q113" s="2">
        <v>1</v>
      </c>
      <c r="R113" s="2" t="s">
        <v>23</v>
      </c>
      <c r="S113" s="2" t="str">
        <f t="shared" si="14"/>
        <v>Sangat Rendah</v>
      </c>
      <c r="T113" s="2" t="str">
        <f t="shared" si="15"/>
        <v>FALSE</v>
      </c>
      <c r="U113" s="2" t="str">
        <f t="shared" si="16"/>
        <v>FALSE</v>
      </c>
      <c r="V113" s="2" t="b">
        <f t="shared" si="17"/>
        <v>0</v>
      </c>
      <c r="W113" s="2" t="b">
        <f t="shared" si="18"/>
        <v>0</v>
      </c>
      <c r="X113" s="2" t="b">
        <f t="shared" si="19"/>
        <v>1</v>
      </c>
    </row>
    <row r="114" spans="1:24" ht="10.5" customHeight="1">
      <c r="A114" s="2" t="s">
        <v>278</v>
      </c>
      <c r="B114" s="3">
        <v>45684.634583333333</v>
      </c>
      <c r="C114" s="2" t="s">
        <v>279</v>
      </c>
      <c r="D114" s="2" t="s">
        <v>19</v>
      </c>
      <c r="E114" s="2" t="s">
        <v>80</v>
      </c>
      <c r="F114" s="4">
        <v>15000</v>
      </c>
      <c r="G114" s="5">
        <v>1.6</v>
      </c>
      <c r="H114" s="6">
        <v>0</v>
      </c>
      <c r="I114" s="7">
        <f t="shared" si="10"/>
        <v>24000</v>
      </c>
      <c r="J114" s="7">
        <f t="shared" si="11"/>
        <v>0</v>
      </c>
      <c r="K114" s="7">
        <f t="shared" si="12"/>
        <v>24000</v>
      </c>
      <c r="L114" s="4">
        <v>15000</v>
      </c>
      <c r="M114" s="7">
        <f t="shared" si="13"/>
        <v>39000</v>
      </c>
      <c r="N114" s="2" t="s">
        <v>58</v>
      </c>
      <c r="O114" t="s">
        <v>22</v>
      </c>
      <c r="P114" s="2" t="s">
        <v>2365</v>
      </c>
      <c r="Q114" s="2">
        <v>3</v>
      </c>
      <c r="R114" s="2" t="s">
        <v>23</v>
      </c>
      <c r="S114" s="2" t="str">
        <f t="shared" si="14"/>
        <v>Sangat Rendah</v>
      </c>
      <c r="T114" s="2" t="str">
        <f t="shared" si="15"/>
        <v>FALSE</v>
      </c>
      <c r="U114" s="2" t="str">
        <f t="shared" si="16"/>
        <v>FALSE</v>
      </c>
      <c r="V114" s="2" t="b">
        <f t="shared" si="17"/>
        <v>0</v>
      </c>
      <c r="W114" s="2" t="b">
        <f t="shared" si="18"/>
        <v>0</v>
      </c>
      <c r="X114" s="2" t="b">
        <f t="shared" si="19"/>
        <v>1</v>
      </c>
    </row>
    <row r="115" spans="1:24" ht="10.5" customHeight="1">
      <c r="A115" s="2" t="s">
        <v>280</v>
      </c>
      <c r="B115" s="3">
        <v>45684.690555555557</v>
      </c>
      <c r="C115" s="2" t="s">
        <v>281</v>
      </c>
      <c r="D115" s="2" t="s">
        <v>44</v>
      </c>
      <c r="E115" s="2" t="s">
        <v>65</v>
      </c>
      <c r="F115" s="4">
        <v>46000</v>
      </c>
      <c r="G115" s="5">
        <v>0.5</v>
      </c>
      <c r="H115" s="6">
        <v>0</v>
      </c>
      <c r="I115" s="7">
        <f t="shared" si="10"/>
        <v>23000</v>
      </c>
      <c r="J115" s="7">
        <f t="shared" si="11"/>
        <v>0</v>
      </c>
      <c r="K115" s="7">
        <f t="shared" si="12"/>
        <v>23000</v>
      </c>
      <c r="L115" s="4">
        <v>43000</v>
      </c>
      <c r="M115" s="7">
        <f t="shared" si="13"/>
        <v>66000</v>
      </c>
      <c r="N115" s="2" t="s">
        <v>21</v>
      </c>
      <c r="O115" t="s">
        <v>69</v>
      </c>
      <c r="P115" s="2" t="s">
        <v>2370</v>
      </c>
      <c r="Q115" s="2">
        <v>3</v>
      </c>
      <c r="R115" s="2" t="s">
        <v>34</v>
      </c>
      <c r="S115" s="2" t="str">
        <f t="shared" si="14"/>
        <v>Rendah</v>
      </c>
      <c r="T115" s="2" t="str">
        <f t="shared" si="15"/>
        <v>FALSE</v>
      </c>
      <c r="U115" s="2" t="str">
        <f t="shared" si="16"/>
        <v>FALSE</v>
      </c>
      <c r="V115" s="2" t="b">
        <f t="shared" si="17"/>
        <v>0</v>
      </c>
      <c r="W115" s="2" t="b">
        <f t="shared" si="18"/>
        <v>0</v>
      </c>
      <c r="X115" s="2" t="b">
        <f t="shared" si="19"/>
        <v>0</v>
      </c>
    </row>
    <row r="116" spans="1:24" ht="10.5" customHeight="1">
      <c r="A116" s="2" t="s">
        <v>282</v>
      </c>
      <c r="B116" s="3">
        <v>45684.713773148149</v>
      </c>
      <c r="C116" s="2" t="s">
        <v>181</v>
      </c>
      <c r="D116" s="2" t="s">
        <v>98</v>
      </c>
      <c r="E116" s="2" t="s">
        <v>143</v>
      </c>
      <c r="F116" s="4">
        <v>10000</v>
      </c>
      <c r="G116" s="5">
        <v>0.6</v>
      </c>
      <c r="H116" s="6">
        <v>0</v>
      </c>
      <c r="I116" s="7">
        <f t="shared" si="10"/>
        <v>6000</v>
      </c>
      <c r="J116" s="7">
        <f t="shared" si="11"/>
        <v>0</v>
      </c>
      <c r="K116" s="7">
        <f t="shared" si="12"/>
        <v>6000</v>
      </c>
      <c r="L116" s="4">
        <v>97000</v>
      </c>
      <c r="M116" s="7">
        <f t="shared" si="13"/>
        <v>103000</v>
      </c>
      <c r="N116" s="2" t="s">
        <v>21</v>
      </c>
      <c r="O116" t="s">
        <v>115</v>
      </c>
      <c r="P116" s="2" t="s">
        <v>2366</v>
      </c>
      <c r="Q116" s="2">
        <v>3</v>
      </c>
      <c r="R116" s="2" t="s">
        <v>23</v>
      </c>
      <c r="S116" s="2" t="str">
        <f t="shared" si="14"/>
        <v>Standar</v>
      </c>
      <c r="T116" s="2" t="str">
        <f t="shared" si="15"/>
        <v>FALSE</v>
      </c>
      <c r="U116" s="2" t="str">
        <f t="shared" si="16"/>
        <v>TRUE</v>
      </c>
      <c r="V116" s="2" t="b">
        <f t="shared" si="17"/>
        <v>0</v>
      </c>
      <c r="W116" s="2" t="b">
        <f t="shared" si="18"/>
        <v>0</v>
      </c>
      <c r="X116" s="2" t="b">
        <f t="shared" si="19"/>
        <v>0</v>
      </c>
    </row>
    <row r="117" spans="1:24" ht="10.5" customHeight="1">
      <c r="A117" s="2" t="s">
        <v>283</v>
      </c>
      <c r="B117" s="3">
        <v>45684.740219907413</v>
      </c>
      <c r="C117" s="2" t="s">
        <v>226</v>
      </c>
      <c r="D117" s="2" t="s">
        <v>179</v>
      </c>
      <c r="E117" s="2" t="s">
        <v>161</v>
      </c>
      <c r="F117" s="4">
        <v>115000</v>
      </c>
      <c r="G117" s="5">
        <v>0.4</v>
      </c>
      <c r="H117" s="6">
        <v>0</v>
      </c>
      <c r="I117" s="7">
        <f t="shared" si="10"/>
        <v>46000</v>
      </c>
      <c r="J117" s="7">
        <f t="shared" si="11"/>
        <v>0</v>
      </c>
      <c r="K117" s="7">
        <f t="shared" si="12"/>
        <v>46000</v>
      </c>
      <c r="L117" s="4">
        <v>57000</v>
      </c>
      <c r="M117" s="7">
        <f t="shared" si="13"/>
        <v>103000</v>
      </c>
      <c r="N117" s="2" t="s">
        <v>28</v>
      </c>
      <c r="O117" t="s">
        <v>22</v>
      </c>
      <c r="P117" s="2" t="s">
        <v>2368</v>
      </c>
      <c r="Q117" s="2">
        <v>4</v>
      </c>
      <c r="R117" s="2" t="s">
        <v>34</v>
      </c>
      <c r="S117" s="2" t="str">
        <f t="shared" si="14"/>
        <v>Standar</v>
      </c>
      <c r="T117" s="2" t="str">
        <f t="shared" si="15"/>
        <v>FALSE</v>
      </c>
      <c r="U117" s="2" t="str">
        <f t="shared" si="16"/>
        <v>FALSE</v>
      </c>
      <c r="V117" s="2" t="b">
        <f t="shared" si="17"/>
        <v>0</v>
      </c>
      <c r="W117" s="2" t="b">
        <f t="shared" si="18"/>
        <v>0</v>
      </c>
      <c r="X117" s="2" t="b">
        <f t="shared" si="19"/>
        <v>0</v>
      </c>
    </row>
    <row r="118" spans="1:24" ht="10.5" customHeight="1">
      <c r="A118" s="2" t="s">
        <v>284</v>
      </c>
      <c r="B118" s="3">
        <v>45684.750092592592</v>
      </c>
      <c r="C118" s="2" t="s">
        <v>285</v>
      </c>
      <c r="D118" s="2" t="s">
        <v>286</v>
      </c>
      <c r="E118" s="2" t="s">
        <v>95</v>
      </c>
      <c r="F118" s="4">
        <v>9500</v>
      </c>
      <c r="G118" s="5">
        <v>1.8</v>
      </c>
      <c r="H118" s="6">
        <v>0</v>
      </c>
      <c r="I118" s="7">
        <f t="shared" si="10"/>
        <v>17100</v>
      </c>
      <c r="J118" s="7">
        <f t="shared" si="11"/>
        <v>0</v>
      </c>
      <c r="K118" s="7">
        <f t="shared" si="12"/>
        <v>17100</v>
      </c>
      <c r="L118" s="4">
        <v>79000</v>
      </c>
      <c r="M118" s="7">
        <f t="shared" si="13"/>
        <v>96100</v>
      </c>
      <c r="N118" s="2" t="s">
        <v>21</v>
      </c>
      <c r="O118" t="s">
        <v>69</v>
      </c>
      <c r="P118" s="2" t="s">
        <v>2367</v>
      </c>
      <c r="Q118" s="2">
        <v>1</v>
      </c>
      <c r="R118" s="2" t="s">
        <v>23</v>
      </c>
      <c r="S118" s="2" t="str">
        <f t="shared" si="14"/>
        <v>Rendah</v>
      </c>
      <c r="T118" s="2" t="str">
        <f t="shared" si="15"/>
        <v>FALSE</v>
      </c>
      <c r="U118" s="2" t="str">
        <f t="shared" si="16"/>
        <v>FALSE</v>
      </c>
      <c r="V118" s="2" t="b">
        <f t="shared" si="17"/>
        <v>0</v>
      </c>
      <c r="W118" s="2" t="b">
        <f t="shared" si="18"/>
        <v>1</v>
      </c>
      <c r="X118" s="2" t="b">
        <f t="shared" si="19"/>
        <v>0</v>
      </c>
    </row>
    <row r="119" spans="1:24" ht="10.5" customHeight="1">
      <c r="A119" s="2" t="s">
        <v>287</v>
      </c>
      <c r="B119" s="3">
        <v>45684.781805555547</v>
      </c>
      <c r="C119" s="2" t="s">
        <v>200</v>
      </c>
      <c r="D119" s="2" t="s">
        <v>133</v>
      </c>
      <c r="E119" s="2" t="s">
        <v>75</v>
      </c>
      <c r="F119" s="4">
        <v>45000</v>
      </c>
      <c r="G119" s="5">
        <v>1.4</v>
      </c>
      <c r="H119" s="6">
        <v>0</v>
      </c>
      <c r="I119" s="7">
        <f t="shared" si="10"/>
        <v>62999.999999999993</v>
      </c>
      <c r="J119" s="7">
        <f t="shared" si="11"/>
        <v>0</v>
      </c>
      <c r="K119" s="7">
        <f t="shared" si="12"/>
        <v>62999.999999999993</v>
      </c>
      <c r="L119" s="4">
        <v>50000</v>
      </c>
      <c r="M119" s="7">
        <f t="shared" si="13"/>
        <v>113000</v>
      </c>
      <c r="N119" s="2" t="s">
        <v>58</v>
      </c>
      <c r="O119" t="s">
        <v>22</v>
      </c>
      <c r="P119" s="2" t="s">
        <v>2365</v>
      </c>
      <c r="Q119" s="2">
        <v>4</v>
      </c>
      <c r="R119" s="2" t="s">
        <v>34</v>
      </c>
      <c r="S119" s="2" t="str">
        <f t="shared" si="14"/>
        <v>Standar</v>
      </c>
      <c r="T119" s="2" t="str">
        <f t="shared" si="15"/>
        <v>FALSE</v>
      </c>
      <c r="U119" s="2" t="str">
        <f t="shared" si="16"/>
        <v>FALSE</v>
      </c>
      <c r="V119" s="2" t="b">
        <f t="shared" si="17"/>
        <v>0</v>
      </c>
      <c r="W119" s="2" t="b">
        <f t="shared" si="18"/>
        <v>0</v>
      </c>
      <c r="X119" s="2" t="b">
        <f t="shared" si="19"/>
        <v>0</v>
      </c>
    </row>
    <row r="120" spans="1:24" ht="10.5" customHeight="1">
      <c r="A120" s="2" t="s">
        <v>288</v>
      </c>
      <c r="B120" s="3">
        <v>45685.075787037043</v>
      </c>
      <c r="C120" s="2" t="s">
        <v>289</v>
      </c>
      <c r="D120" s="2" t="s">
        <v>153</v>
      </c>
      <c r="E120" s="2" t="s">
        <v>41</v>
      </c>
      <c r="F120" s="4">
        <v>40000</v>
      </c>
      <c r="G120" s="5">
        <v>1.3</v>
      </c>
      <c r="H120" s="6">
        <v>0</v>
      </c>
      <c r="I120" s="7">
        <f t="shared" si="10"/>
        <v>52000</v>
      </c>
      <c r="J120" s="7">
        <f t="shared" si="11"/>
        <v>0</v>
      </c>
      <c r="K120" s="7">
        <f t="shared" si="12"/>
        <v>52000</v>
      </c>
      <c r="L120" s="4">
        <v>50000</v>
      </c>
      <c r="M120" s="7">
        <f t="shared" si="13"/>
        <v>102000</v>
      </c>
      <c r="N120" s="2" t="s">
        <v>33</v>
      </c>
      <c r="O120" t="s">
        <v>69</v>
      </c>
      <c r="P120" s="2" t="s">
        <v>2365</v>
      </c>
      <c r="Q120" s="2">
        <v>1</v>
      </c>
      <c r="R120" s="2" t="s">
        <v>23</v>
      </c>
      <c r="S120" s="2" t="str">
        <f t="shared" si="14"/>
        <v>Standar</v>
      </c>
      <c r="T120" s="2" t="str">
        <f t="shared" si="15"/>
        <v>FALSE</v>
      </c>
      <c r="U120" s="2" t="str">
        <f t="shared" si="16"/>
        <v>FALSE</v>
      </c>
      <c r="V120" s="2" t="b">
        <f t="shared" si="17"/>
        <v>0</v>
      </c>
      <c r="W120" s="2" t="b">
        <f t="shared" si="18"/>
        <v>0</v>
      </c>
      <c r="X120" s="2" t="b">
        <f t="shared" si="19"/>
        <v>0</v>
      </c>
    </row>
    <row r="121" spans="1:24" ht="10.5" customHeight="1">
      <c r="A121" s="2" t="s">
        <v>290</v>
      </c>
      <c r="B121" s="3">
        <v>45685.271956018521</v>
      </c>
      <c r="C121" s="2" t="s">
        <v>251</v>
      </c>
      <c r="D121" s="2" t="s">
        <v>252</v>
      </c>
      <c r="E121" s="2" t="s">
        <v>99</v>
      </c>
      <c r="F121" s="4">
        <v>10000</v>
      </c>
      <c r="G121" s="5">
        <v>1.1000000000000001</v>
      </c>
      <c r="H121" s="6">
        <v>0</v>
      </c>
      <c r="I121" s="7">
        <f t="shared" si="10"/>
        <v>11000</v>
      </c>
      <c r="J121" s="7">
        <f t="shared" si="11"/>
        <v>0</v>
      </c>
      <c r="K121" s="7">
        <f t="shared" si="12"/>
        <v>11000</v>
      </c>
      <c r="L121" s="4">
        <v>18000</v>
      </c>
      <c r="M121" s="7">
        <f t="shared" si="13"/>
        <v>29000</v>
      </c>
      <c r="N121" s="2" t="s">
        <v>28</v>
      </c>
      <c r="O121" t="s">
        <v>69</v>
      </c>
      <c r="P121" s="2" t="s">
        <v>2366</v>
      </c>
      <c r="Q121" s="2">
        <v>4</v>
      </c>
      <c r="R121" s="2" t="s">
        <v>23</v>
      </c>
      <c r="S121" s="2" t="str">
        <f t="shared" si="14"/>
        <v>Sangat Rendah</v>
      </c>
      <c r="T121" s="2" t="str">
        <f t="shared" si="15"/>
        <v>FALSE</v>
      </c>
      <c r="U121" s="2" t="str">
        <f t="shared" si="16"/>
        <v>FALSE</v>
      </c>
      <c r="V121" s="2" t="b">
        <f t="shared" si="17"/>
        <v>0</v>
      </c>
      <c r="W121" s="2" t="b">
        <f t="shared" si="18"/>
        <v>0</v>
      </c>
      <c r="X121" s="2" t="b">
        <f t="shared" si="19"/>
        <v>1</v>
      </c>
    </row>
    <row r="122" spans="1:24" ht="10.5" customHeight="1">
      <c r="A122" s="2" t="s">
        <v>291</v>
      </c>
      <c r="B122" s="3">
        <v>45685.377650462957</v>
      </c>
      <c r="C122" s="2" t="s">
        <v>292</v>
      </c>
      <c r="D122" s="2" t="s">
        <v>68</v>
      </c>
      <c r="E122" s="2" t="s">
        <v>65</v>
      </c>
      <c r="F122" s="4">
        <v>46000</v>
      </c>
      <c r="G122" s="5">
        <v>0.7</v>
      </c>
      <c r="H122" s="6">
        <v>0</v>
      </c>
      <c r="I122" s="7">
        <f t="shared" si="10"/>
        <v>32199.999999999996</v>
      </c>
      <c r="J122" s="7">
        <f t="shared" si="11"/>
        <v>0</v>
      </c>
      <c r="K122" s="7">
        <f t="shared" si="12"/>
        <v>32199.999999999996</v>
      </c>
      <c r="L122" s="4">
        <v>87000</v>
      </c>
      <c r="M122" s="7">
        <f t="shared" si="13"/>
        <v>119200</v>
      </c>
      <c r="N122" s="2" t="s">
        <v>28</v>
      </c>
      <c r="O122" t="s">
        <v>22</v>
      </c>
      <c r="P122" s="2" t="s">
        <v>2368</v>
      </c>
      <c r="Q122" s="2">
        <v>1</v>
      </c>
      <c r="R122" s="2" t="s">
        <v>23</v>
      </c>
      <c r="S122" s="2" t="str">
        <f t="shared" si="14"/>
        <v>Standar</v>
      </c>
      <c r="T122" s="2" t="str">
        <f t="shared" si="15"/>
        <v>FALSE</v>
      </c>
      <c r="U122" s="2" t="str">
        <f t="shared" si="16"/>
        <v>FALSE</v>
      </c>
      <c r="V122" s="2" t="b">
        <f t="shared" si="17"/>
        <v>0</v>
      </c>
      <c r="W122" s="2" t="b">
        <f t="shared" si="18"/>
        <v>0</v>
      </c>
      <c r="X122" s="2" t="b">
        <f t="shared" si="19"/>
        <v>0</v>
      </c>
    </row>
    <row r="123" spans="1:24" ht="10.5" customHeight="1">
      <c r="A123" s="2" t="s">
        <v>293</v>
      </c>
      <c r="B123" s="3">
        <v>45685.424201388887</v>
      </c>
      <c r="C123" s="2" t="s">
        <v>181</v>
      </c>
      <c r="D123" s="2" t="s">
        <v>98</v>
      </c>
      <c r="E123" s="2" t="s">
        <v>75</v>
      </c>
      <c r="F123" s="4">
        <v>45000</v>
      </c>
      <c r="G123" s="5">
        <v>0.8</v>
      </c>
      <c r="H123" s="6">
        <v>0</v>
      </c>
      <c r="I123" s="7">
        <f t="shared" si="10"/>
        <v>36000</v>
      </c>
      <c r="J123" s="7">
        <f t="shared" si="11"/>
        <v>0</v>
      </c>
      <c r="K123" s="7">
        <f t="shared" si="12"/>
        <v>36000</v>
      </c>
      <c r="L123" s="4">
        <v>97000</v>
      </c>
      <c r="M123" s="7">
        <f t="shared" si="13"/>
        <v>133000</v>
      </c>
      <c r="N123" s="2" t="s">
        <v>33</v>
      </c>
      <c r="O123" t="s">
        <v>22</v>
      </c>
      <c r="P123" s="2" t="s">
        <v>2367</v>
      </c>
      <c r="Q123" s="2">
        <v>2</v>
      </c>
      <c r="R123" s="2" t="s">
        <v>23</v>
      </c>
      <c r="S123" s="2" t="str">
        <f t="shared" si="14"/>
        <v>Standar</v>
      </c>
      <c r="T123" s="2" t="str">
        <f t="shared" si="15"/>
        <v>FALSE</v>
      </c>
      <c r="U123" s="2" t="str">
        <f t="shared" si="16"/>
        <v>FALSE</v>
      </c>
      <c r="V123" s="2" t="b">
        <f t="shared" si="17"/>
        <v>0</v>
      </c>
      <c r="W123" s="2" t="b">
        <f t="shared" si="18"/>
        <v>1</v>
      </c>
      <c r="X123" s="2" t="b">
        <f t="shared" si="19"/>
        <v>0</v>
      </c>
    </row>
    <row r="124" spans="1:24" ht="10.5" customHeight="1">
      <c r="A124" s="2" t="s">
        <v>294</v>
      </c>
      <c r="B124" s="3">
        <v>45685.439398148148</v>
      </c>
      <c r="C124" s="2" t="s">
        <v>295</v>
      </c>
      <c r="D124" s="2" t="s">
        <v>133</v>
      </c>
      <c r="E124" s="2" t="s">
        <v>27</v>
      </c>
      <c r="F124" s="4">
        <v>15000</v>
      </c>
      <c r="G124" s="5">
        <v>0.9</v>
      </c>
      <c r="H124" s="6">
        <v>0</v>
      </c>
      <c r="I124" s="7">
        <f t="shared" si="10"/>
        <v>13500</v>
      </c>
      <c r="J124" s="7">
        <f t="shared" si="11"/>
        <v>0</v>
      </c>
      <c r="K124" s="7">
        <f t="shared" si="12"/>
        <v>13500</v>
      </c>
      <c r="L124" s="4">
        <v>50000</v>
      </c>
      <c r="M124" s="7">
        <f t="shared" si="13"/>
        <v>63500</v>
      </c>
      <c r="N124" s="2" t="s">
        <v>21</v>
      </c>
      <c r="O124" t="s">
        <v>22</v>
      </c>
      <c r="P124" s="2" t="s">
        <v>2370</v>
      </c>
      <c r="Q124" s="2">
        <v>3</v>
      </c>
      <c r="R124" s="2" t="s">
        <v>23</v>
      </c>
      <c r="S124" s="2" t="str">
        <f t="shared" si="14"/>
        <v>Rendah</v>
      </c>
      <c r="T124" s="2" t="str">
        <f t="shared" si="15"/>
        <v>FALSE</v>
      </c>
      <c r="U124" s="2" t="str">
        <f t="shared" si="16"/>
        <v>FALSE</v>
      </c>
      <c r="V124" s="2" t="b">
        <f t="shared" si="17"/>
        <v>0</v>
      </c>
      <c r="W124" s="2" t="b">
        <f t="shared" si="18"/>
        <v>0</v>
      </c>
      <c r="X124" s="2" t="b">
        <f t="shared" si="19"/>
        <v>0</v>
      </c>
    </row>
    <row r="125" spans="1:24" ht="10.5" customHeight="1">
      <c r="A125" s="2" t="s">
        <v>294</v>
      </c>
      <c r="B125" s="3">
        <v>45685.439398148148</v>
      </c>
      <c r="C125" s="2" t="s">
        <v>295</v>
      </c>
      <c r="D125" s="2" t="s">
        <v>133</v>
      </c>
      <c r="E125" s="2" t="s">
        <v>182</v>
      </c>
      <c r="F125" s="4">
        <v>11000</v>
      </c>
      <c r="G125" s="5">
        <v>1.9</v>
      </c>
      <c r="H125" s="6">
        <v>0</v>
      </c>
      <c r="I125" s="7">
        <f t="shared" si="10"/>
        <v>20900</v>
      </c>
      <c r="J125" s="7">
        <f t="shared" si="11"/>
        <v>0</v>
      </c>
      <c r="K125" s="7">
        <f t="shared" si="12"/>
        <v>20900</v>
      </c>
      <c r="L125" s="4">
        <v>0</v>
      </c>
      <c r="M125" s="7">
        <f t="shared" si="13"/>
        <v>20900</v>
      </c>
      <c r="N125" s="2" t="s">
        <v>21</v>
      </c>
      <c r="O125" t="s">
        <v>22</v>
      </c>
      <c r="P125" s="2" t="s">
        <v>2370</v>
      </c>
      <c r="Q125" s="2">
        <v>3</v>
      </c>
      <c r="R125" s="2" t="s">
        <v>23</v>
      </c>
      <c r="S125" s="2" t="str">
        <f t="shared" si="14"/>
        <v>Sangat Rendah</v>
      </c>
      <c r="T125" s="2" t="str">
        <f t="shared" si="15"/>
        <v>FALSE</v>
      </c>
      <c r="U125" s="2" t="str">
        <f t="shared" si="16"/>
        <v>FALSE</v>
      </c>
      <c r="V125" s="2" t="b">
        <f t="shared" si="17"/>
        <v>0</v>
      </c>
      <c r="W125" s="2" t="b">
        <f t="shared" si="18"/>
        <v>0</v>
      </c>
      <c r="X125" s="2" t="b">
        <f t="shared" si="19"/>
        <v>1</v>
      </c>
    </row>
    <row r="126" spans="1:24" ht="10.5" customHeight="1">
      <c r="A126" s="2" t="s">
        <v>296</v>
      </c>
      <c r="B126" s="3">
        <v>45685.560682870368</v>
      </c>
      <c r="C126" s="2" t="s">
        <v>297</v>
      </c>
      <c r="D126" s="2" t="s">
        <v>64</v>
      </c>
      <c r="E126" s="2" t="s">
        <v>99</v>
      </c>
      <c r="F126" s="4">
        <v>10000</v>
      </c>
      <c r="G126" s="5">
        <v>0.7</v>
      </c>
      <c r="H126" s="6">
        <v>0</v>
      </c>
      <c r="I126" s="7">
        <f t="shared" si="10"/>
        <v>7000</v>
      </c>
      <c r="J126" s="7">
        <f t="shared" si="11"/>
        <v>0</v>
      </c>
      <c r="K126" s="7">
        <f t="shared" si="12"/>
        <v>7000</v>
      </c>
      <c r="L126" s="4">
        <v>89000</v>
      </c>
      <c r="M126" s="7">
        <f t="shared" si="13"/>
        <v>96000</v>
      </c>
      <c r="N126" s="2" t="s">
        <v>33</v>
      </c>
      <c r="O126" t="s">
        <v>22</v>
      </c>
      <c r="P126" s="2" t="s">
        <v>2365</v>
      </c>
      <c r="Q126" s="2">
        <v>4</v>
      </c>
      <c r="R126" s="2" t="s">
        <v>23</v>
      </c>
      <c r="S126" s="2" t="str">
        <f t="shared" si="14"/>
        <v>Rendah</v>
      </c>
      <c r="T126" s="2" t="str">
        <f t="shared" si="15"/>
        <v>FALSE</v>
      </c>
      <c r="U126" s="2" t="str">
        <f t="shared" si="16"/>
        <v>FALSE</v>
      </c>
      <c r="V126" s="2" t="b">
        <f t="shared" si="17"/>
        <v>0</v>
      </c>
      <c r="W126" s="2" t="b">
        <f t="shared" si="18"/>
        <v>0</v>
      </c>
      <c r="X126" s="2" t="b">
        <f t="shared" si="19"/>
        <v>0</v>
      </c>
    </row>
    <row r="127" spans="1:24" ht="10.5" customHeight="1">
      <c r="A127" s="2" t="s">
        <v>298</v>
      </c>
      <c r="B127" s="3">
        <v>45685.622847222221</v>
      </c>
      <c r="C127" s="2" t="s">
        <v>299</v>
      </c>
      <c r="D127" s="2" t="s">
        <v>98</v>
      </c>
      <c r="E127" s="2" t="s">
        <v>57</v>
      </c>
      <c r="F127" s="4">
        <v>17500</v>
      </c>
      <c r="G127" s="5">
        <v>2.6</v>
      </c>
      <c r="H127" s="6">
        <v>0</v>
      </c>
      <c r="I127" s="7">
        <f t="shared" si="10"/>
        <v>45500</v>
      </c>
      <c r="J127" s="7">
        <f t="shared" si="11"/>
        <v>0</v>
      </c>
      <c r="K127" s="7">
        <f t="shared" si="12"/>
        <v>45500</v>
      </c>
      <c r="L127" s="4">
        <v>97000</v>
      </c>
      <c r="M127" s="7">
        <f t="shared" si="13"/>
        <v>142500</v>
      </c>
      <c r="N127" s="2" t="s">
        <v>21</v>
      </c>
      <c r="O127" t="s">
        <v>22</v>
      </c>
      <c r="P127" s="2" t="s">
        <v>2365</v>
      </c>
      <c r="Q127" s="2">
        <v>1</v>
      </c>
      <c r="R127" s="2" t="s">
        <v>34</v>
      </c>
      <c r="S127" s="2" t="str">
        <f t="shared" si="14"/>
        <v>Standar</v>
      </c>
      <c r="T127" s="2" t="str">
        <f t="shared" si="15"/>
        <v>FALSE</v>
      </c>
      <c r="U127" s="2" t="str">
        <f t="shared" si="16"/>
        <v>FALSE</v>
      </c>
      <c r="V127" s="2" t="b">
        <f t="shared" si="17"/>
        <v>0</v>
      </c>
      <c r="W127" s="2" t="b">
        <f t="shared" si="18"/>
        <v>0</v>
      </c>
      <c r="X127" s="2" t="b">
        <f t="shared" si="19"/>
        <v>0</v>
      </c>
    </row>
    <row r="128" spans="1:24" ht="10.5" customHeight="1">
      <c r="A128" s="2" t="s">
        <v>300</v>
      </c>
      <c r="B128" s="3">
        <v>45685.711712962962</v>
      </c>
      <c r="C128" s="2" t="s">
        <v>301</v>
      </c>
      <c r="D128" s="2" t="s">
        <v>108</v>
      </c>
      <c r="E128" s="2" t="s">
        <v>45</v>
      </c>
      <c r="F128" s="4">
        <v>10500</v>
      </c>
      <c r="G128" s="5">
        <v>0.9</v>
      </c>
      <c r="H128" s="6">
        <v>0</v>
      </c>
      <c r="I128" s="7">
        <f t="shared" si="10"/>
        <v>9450</v>
      </c>
      <c r="J128" s="7">
        <f t="shared" si="11"/>
        <v>0</v>
      </c>
      <c r="K128" s="7">
        <f t="shared" si="12"/>
        <v>9450</v>
      </c>
      <c r="L128" s="4">
        <v>72000</v>
      </c>
      <c r="M128" s="7">
        <f t="shared" si="13"/>
        <v>81450</v>
      </c>
      <c r="N128" s="2" t="s">
        <v>33</v>
      </c>
      <c r="O128" t="s">
        <v>22</v>
      </c>
      <c r="P128" s="2" t="s">
        <v>2368</v>
      </c>
      <c r="Q128" s="2">
        <v>3</v>
      </c>
      <c r="R128" s="2" t="s">
        <v>23</v>
      </c>
      <c r="S128" s="2" t="str">
        <f t="shared" si="14"/>
        <v>Rendah</v>
      </c>
      <c r="T128" s="2" t="str">
        <f t="shared" si="15"/>
        <v>FALSE</v>
      </c>
      <c r="U128" s="2" t="str">
        <f t="shared" si="16"/>
        <v>FALSE</v>
      </c>
      <c r="V128" s="2" t="b">
        <f t="shared" si="17"/>
        <v>0</v>
      </c>
      <c r="W128" s="2" t="b">
        <f t="shared" si="18"/>
        <v>0</v>
      </c>
      <c r="X128" s="2" t="b">
        <f t="shared" si="19"/>
        <v>0</v>
      </c>
    </row>
    <row r="129" spans="1:24" ht="10.5" customHeight="1">
      <c r="A129" s="2" t="s">
        <v>302</v>
      </c>
      <c r="B129" s="3">
        <v>45685.721099537041</v>
      </c>
      <c r="C129" s="2" t="s">
        <v>301</v>
      </c>
      <c r="D129" s="2" t="s">
        <v>108</v>
      </c>
      <c r="E129" s="2" t="s">
        <v>57</v>
      </c>
      <c r="F129" s="4">
        <v>17500</v>
      </c>
      <c r="G129" s="5">
        <v>1.4</v>
      </c>
      <c r="H129" s="6">
        <v>0</v>
      </c>
      <c r="I129" s="7">
        <f t="shared" si="10"/>
        <v>24500</v>
      </c>
      <c r="J129" s="7">
        <f t="shared" si="11"/>
        <v>0</v>
      </c>
      <c r="K129" s="7">
        <f t="shared" si="12"/>
        <v>24500</v>
      </c>
      <c r="L129" s="4">
        <v>72000</v>
      </c>
      <c r="M129" s="7">
        <f t="shared" si="13"/>
        <v>96500</v>
      </c>
      <c r="N129" s="2" t="s">
        <v>33</v>
      </c>
      <c r="O129" t="s">
        <v>69</v>
      </c>
      <c r="P129" s="2" t="s">
        <v>2368</v>
      </c>
      <c r="Q129" s="2">
        <v>1</v>
      </c>
      <c r="R129" s="2" t="s">
        <v>23</v>
      </c>
      <c r="S129" s="2" t="str">
        <f t="shared" si="14"/>
        <v>Rendah</v>
      </c>
      <c r="T129" s="2" t="str">
        <f t="shared" si="15"/>
        <v>FALSE</v>
      </c>
      <c r="U129" s="2" t="str">
        <f t="shared" si="16"/>
        <v>FALSE</v>
      </c>
      <c r="V129" s="2" t="b">
        <f t="shared" si="17"/>
        <v>0</v>
      </c>
      <c r="W129" s="2" t="b">
        <f t="shared" si="18"/>
        <v>0</v>
      </c>
      <c r="X129" s="2" t="b">
        <f t="shared" si="19"/>
        <v>0</v>
      </c>
    </row>
    <row r="130" spans="1:24" ht="10.5" customHeight="1">
      <c r="A130" s="2" t="s">
        <v>303</v>
      </c>
      <c r="B130" s="3">
        <v>45685.734837962962</v>
      </c>
      <c r="C130" s="2" t="s">
        <v>304</v>
      </c>
      <c r="D130" s="2" t="s">
        <v>105</v>
      </c>
      <c r="E130" s="2" t="s">
        <v>75</v>
      </c>
      <c r="F130" s="4">
        <v>45000</v>
      </c>
      <c r="G130" s="5">
        <v>1.1000000000000001</v>
      </c>
      <c r="H130" s="6">
        <v>0</v>
      </c>
      <c r="I130" s="7">
        <f t="shared" si="10"/>
        <v>49500.000000000007</v>
      </c>
      <c r="J130" s="7">
        <f t="shared" si="11"/>
        <v>0</v>
      </c>
      <c r="K130" s="7">
        <f t="shared" si="12"/>
        <v>49500.000000000007</v>
      </c>
      <c r="L130" s="4">
        <v>18000</v>
      </c>
      <c r="M130" s="7">
        <f t="shared" si="13"/>
        <v>67500</v>
      </c>
      <c r="N130" s="2" t="s">
        <v>28</v>
      </c>
      <c r="O130" t="s">
        <v>22</v>
      </c>
      <c r="P130" s="2" t="s">
        <v>2367</v>
      </c>
      <c r="Q130" s="2">
        <v>1</v>
      </c>
      <c r="R130" s="2" t="s">
        <v>23</v>
      </c>
      <c r="S130" s="2" t="str">
        <f t="shared" si="14"/>
        <v>Rendah</v>
      </c>
      <c r="T130" s="2" t="str">
        <f t="shared" si="15"/>
        <v>FALSE</v>
      </c>
      <c r="U130" s="2" t="str">
        <f t="shared" si="16"/>
        <v>FALSE</v>
      </c>
      <c r="V130" s="2" t="b">
        <f t="shared" si="17"/>
        <v>0</v>
      </c>
      <c r="W130" s="2" t="b">
        <f t="shared" si="18"/>
        <v>1</v>
      </c>
      <c r="X130" s="2" t="b">
        <f t="shared" si="19"/>
        <v>0</v>
      </c>
    </row>
    <row r="131" spans="1:24" ht="10.5" customHeight="1">
      <c r="A131" s="2" t="s">
        <v>303</v>
      </c>
      <c r="B131" s="3">
        <v>45685.734837962962</v>
      </c>
      <c r="C131" s="2" t="s">
        <v>304</v>
      </c>
      <c r="D131" s="2" t="s">
        <v>105</v>
      </c>
      <c r="E131" s="2" t="s">
        <v>161</v>
      </c>
      <c r="F131" s="4">
        <v>115000</v>
      </c>
      <c r="G131" s="5">
        <v>0.4</v>
      </c>
      <c r="H131" s="6">
        <v>0</v>
      </c>
      <c r="I131" s="7">
        <f t="shared" si="10"/>
        <v>46000</v>
      </c>
      <c r="J131" s="7">
        <f t="shared" si="11"/>
        <v>0</v>
      </c>
      <c r="K131" s="7">
        <f t="shared" si="12"/>
        <v>46000</v>
      </c>
      <c r="L131" s="4">
        <v>0</v>
      </c>
      <c r="M131" s="7">
        <f t="shared" si="13"/>
        <v>46000</v>
      </c>
      <c r="N131" s="2" t="s">
        <v>28</v>
      </c>
      <c r="O131" t="s">
        <v>22</v>
      </c>
      <c r="P131" s="2" t="s">
        <v>2367</v>
      </c>
      <c r="Q131" s="2">
        <v>1</v>
      </c>
      <c r="R131" s="2" t="s">
        <v>23</v>
      </c>
      <c r="S131" s="2" t="str">
        <f t="shared" si="14"/>
        <v>Sangat Rendah</v>
      </c>
      <c r="T131" s="2" t="str">
        <f t="shared" si="15"/>
        <v>FALSE</v>
      </c>
      <c r="U131" s="2" t="str">
        <f t="shared" si="16"/>
        <v>FALSE</v>
      </c>
      <c r="V131" s="2" t="b">
        <f t="shared" si="17"/>
        <v>0</v>
      </c>
      <c r="W131" s="2" t="b">
        <f t="shared" si="18"/>
        <v>1</v>
      </c>
      <c r="X131" s="2" t="b">
        <f t="shared" si="19"/>
        <v>1</v>
      </c>
    </row>
    <row r="132" spans="1:24" ht="10.5" customHeight="1">
      <c r="A132" s="2" t="s">
        <v>305</v>
      </c>
      <c r="B132" s="3">
        <v>45685.785138888888</v>
      </c>
      <c r="C132" s="2" t="s">
        <v>306</v>
      </c>
      <c r="D132" s="2" t="s">
        <v>235</v>
      </c>
      <c r="E132" s="2" t="s">
        <v>95</v>
      </c>
      <c r="F132" s="4">
        <v>9500</v>
      </c>
      <c r="G132" s="5">
        <v>1.5</v>
      </c>
      <c r="H132" s="6">
        <v>0</v>
      </c>
      <c r="I132" s="7">
        <f t="shared" ref="I132:I195" si="20">F132*G132</f>
        <v>14250</v>
      </c>
      <c r="J132" s="7">
        <f t="shared" ref="J132:J195" si="21">I132*(H132/100)</f>
        <v>0</v>
      </c>
      <c r="K132" s="7">
        <f t="shared" ref="K132:K195" si="22">I132-J132</f>
        <v>14250</v>
      </c>
      <c r="L132" s="4">
        <v>80000</v>
      </c>
      <c r="M132" s="7">
        <f t="shared" ref="M132:M195" si="23">K132+L132</f>
        <v>94250</v>
      </c>
      <c r="N132" s="2" t="s">
        <v>58</v>
      </c>
      <c r="O132" t="s">
        <v>22</v>
      </c>
      <c r="P132" s="2" t="s">
        <v>2365</v>
      </c>
      <c r="Q132" s="2">
        <v>2</v>
      </c>
      <c r="R132" s="2" t="s">
        <v>23</v>
      </c>
      <c r="S132" s="2" t="str">
        <f t="shared" ref="S132:S195" si="24">IF(M132&lt;=50000,"Sangat Rendah",IF(M132&lt;=100000,"Rendah",IF(M132&lt;=150000,"Standar",IF(M132&lt;=200000,"Tinggi","Sangat Tinggi"))))</f>
        <v>Rendah</v>
      </c>
      <c r="T132" s="2" t="str">
        <f t="shared" ref="T132:T195" si="25">IF(AND(S132="Rendah",D132="Yogyakarta"),"TRUE","FALSE")</f>
        <v>FALSE</v>
      </c>
      <c r="U132" s="2" t="str">
        <f t="shared" ref="U132:U195" si="26">IF(OR(S132="Tinggi",E132="Bayam"),"TRUE","FALSE")</f>
        <v>FALSE</v>
      </c>
      <c r="V132" s="2" t="b">
        <f t="shared" ref="V132:V195" si="27">IF(AND(S132="Standar",N132="Transef Bank"),TRUE,FALSE)</f>
        <v>0</v>
      </c>
      <c r="W132" s="2" t="b">
        <f t="shared" ref="W132:W195" si="28">IF(OR(S132="Sangat Tinggi",P132="FoodMart"),TRUE,FALSE)</f>
        <v>0</v>
      </c>
      <c r="X132" s="2" t="b">
        <f t="shared" ref="X132:X195" si="29">IF(AND(S132="Sangat Rendah",R132="Perempuan"),TRUE,FALSE)</f>
        <v>0</v>
      </c>
    </row>
    <row r="133" spans="1:24" ht="10.5" customHeight="1">
      <c r="A133" s="2" t="s">
        <v>307</v>
      </c>
      <c r="B133" s="3">
        <v>45685.789525462962</v>
      </c>
      <c r="C133" s="2" t="s">
        <v>308</v>
      </c>
      <c r="D133" s="2" t="s">
        <v>235</v>
      </c>
      <c r="E133" s="2" t="s">
        <v>102</v>
      </c>
      <c r="F133" s="4">
        <v>55000</v>
      </c>
      <c r="G133" s="5">
        <v>0.3</v>
      </c>
      <c r="H133" s="6">
        <v>0</v>
      </c>
      <c r="I133" s="7">
        <f t="shared" si="20"/>
        <v>16500</v>
      </c>
      <c r="J133" s="7">
        <f t="shared" si="21"/>
        <v>0</v>
      </c>
      <c r="K133" s="7">
        <f t="shared" si="22"/>
        <v>16500</v>
      </c>
      <c r="L133" s="4">
        <v>80000</v>
      </c>
      <c r="M133" s="7">
        <f t="shared" si="23"/>
        <v>96500</v>
      </c>
      <c r="N133" s="2" t="s">
        <v>33</v>
      </c>
      <c r="O133" t="s">
        <v>69</v>
      </c>
      <c r="P133" s="2" t="s">
        <v>2365</v>
      </c>
      <c r="Q133" s="2">
        <v>1</v>
      </c>
      <c r="R133" s="2" t="s">
        <v>34</v>
      </c>
      <c r="S133" s="2" t="str">
        <f t="shared" si="24"/>
        <v>Rendah</v>
      </c>
      <c r="T133" s="2" t="str">
        <f t="shared" si="25"/>
        <v>FALSE</v>
      </c>
      <c r="U133" s="2" t="str">
        <f t="shared" si="26"/>
        <v>FALSE</v>
      </c>
      <c r="V133" s="2" t="b">
        <f t="shared" si="27"/>
        <v>0</v>
      </c>
      <c r="W133" s="2" t="b">
        <f t="shared" si="28"/>
        <v>0</v>
      </c>
      <c r="X133" s="2" t="b">
        <f t="shared" si="29"/>
        <v>0</v>
      </c>
    </row>
    <row r="134" spans="1:24" ht="10.5" customHeight="1">
      <c r="A134" s="2" t="s">
        <v>309</v>
      </c>
      <c r="B134" s="3">
        <v>45685.888206018521</v>
      </c>
      <c r="C134" s="2" t="s">
        <v>263</v>
      </c>
      <c r="D134" s="2" t="s">
        <v>185</v>
      </c>
      <c r="E134" s="2" t="s">
        <v>102</v>
      </c>
      <c r="F134" s="4">
        <v>55000</v>
      </c>
      <c r="G134" s="5">
        <v>0.7</v>
      </c>
      <c r="H134" s="6">
        <v>0</v>
      </c>
      <c r="I134" s="7">
        <f t="shared" si="20"/>
        <v>38500</v>
      </c>
      <c r="J134" s="7">
        <f t="shared" si="21"/>
        <v>0</v>
      </c>
      <c r="K134" s="7">
        <f t="shared" si="22"/>
        <v>38500</v>
      </c>
      <c r="L134" s="4">
        <v>87000</v>
      </c>
      <c r="M134" s="7">
        <f t="shared" si="23"/>
        <v>125500</v>
      </c>
      <c r="N134" s="2" t="s">
        <v>33</v>
      </c>
      <c r="O134" t="s">
        <v>22</v>
      </c>
      <c r="P134" s="2" t="s">
        <v>2370</v>
      </c>
      <c r="Q134" s="2">
        <v>1</v>
      </c>
      <c r="R134" s="2" t="s">
        <v>23</v>
      </c>
      <c r="S134" s="2" t="str">
        <f t="shared" si="24"/>
        <v>Standar</v>
      </c>
      <c r="T134" s="2" t="str">
        <f t="shared" si="25"/>
        <v>FALSE</v>
      </c>
      <c r="U134" s="2" t="str">
        <f t="shared" si="26"/>
        <v>FALSE</v>
      </c>
      <c r="V134" s="2" t="b">
        <f t="shared" si="27"/>
        <v>0</v>
      </c>
      <c r="W134" s="2" t="b">
        <f t="shared" si="28"/>
        <v>0</v>
      </c>
      <c r="X134" s="2" t="b">
        <f t="shared" si="29"/>
        <v>0</v>
      </c>
    </row>
    <row r="135" spans="1:24" ht="10.5" customHeight="1">
      <c r="A135" s="2" t="s">
        <v>310</v>
      </c>
      <c r="B135" s="3">
        <v>45686.378888888888</v>
      </c>
      <c r="C135" s="2" t="s">
        <v>311</v>
      </c>
      <c r="D135" s="2" t="s">
        <v>74</v>
      </c>
      <c r="E135" s="2" t="s">
        <v>143</v>
      </c>
      <c r="F135" s="4">
        <v>10000</v>
      </c>
      <c r="G135" s="5">
        <v>0.3</v>
      </c>
      <c r="H135" s="6">
        <v>0</v>
      </c>
      <c r="I135" s="7">
        <f t="shared" si="20"/>
        <v>3000</v>
      </c>
      <c r="J135" s="7">
        <f t="shared" si="21"/>
        <v>0</v>
      </c>
      <c r="K135" s="7">
        <f t="shared" si="22"/>
        <v>3000</v>
      </c>
      <c r="L135" s="4">
        <v>74000</v>
      </c>
      <c r="M135" s="7">
        <f t="shared" si="23"/>
        <v>77000</v>
      </c>
      <c r="N135" s="2" t="s">
        <v>33</v>
      </c>
      <c r="O135" t="s">
        <v>22</v>
      </c>
      <c r="P135" s="2" t="s">
        <v>2366</v>
      </c>
      <c r="Q135" s="2">
        <v>1</v>
      </c>
      <c r="R135" s="2" t="s">
        <v>23</v>
      </c>
      <c r="S135" s="2" t="str">
        <f t="shared" si="24"/>
        <v>Rendah</v>
      </c>
      <c r="T135" s="2" t="str">
        <f t="shared" si="25"/>
        <v>FALSE</v>
      </c>
      <c r="U135" s="2" t="str">
        <f t="shared" si="26"/>
        <v>TRUE</v>
      </c>
      <c r="V135" s="2" t="b">
        <f t="shared" si="27"/>
        <v>0</v>
      </c>
      <c r="W135" s="2" t="b">
        <f t="shared" si="28"/>
        <v>0</v>
      </c>
      <c r="X135" s="2" t="b">
        <f t="shared" si="29"/>
        <v>0</v>
      </c>
    </row>
    <row r="136" spans="1:24" ht="10.5" customHeight="1">
      <c r="A136" s="2" t="s">
        <v>312</v>
      </c>
      <c r="B136" s="3">
        <v>45686.462476851862</v>
      </c>
      <c r="C136" s="2" t="s">
        <v>313</v>
      </c>
      <c r="D136" s="2" t="s">
        <v>94</v>
      </c>
      <c r="E136" s="2" t="s">
        <v>143</v>
      </c>
      <c r="F136" s="4">
        <v>10000</v>
      </c>
      <c r="G136" s="5">
        <v>0.4</v>
      </c>
      <c r="H136" s="6">
        <v>0</v>
      </c>
      <c r="I136" s="7">
        <f t="shared" si="20"/>
        <v>4000</v>
      </c>
      <c r="J136" s="7">
        <f t="shared" si="21"/>
        <v>0</v>
      </c>
      <c r="K136" s="7">
        <f t="shared" si="22"/>
        <v>4000</v>
      </c>
      <c r="L136" s="4">
        <v>85000</v>
      </c>
      <c r="M136" s="7">
        <f t="shared" si="23"/>
        <v>89000</v>
      </c>
      <c r="N136" s="2" t="s">
        <v>58</v>
      </c>
      <c r="O136" t="s">
        <v>22</v>
      </c>
      <c r="P136" s="2" t="s">
        <v>2365</v>
      </c>
      <c r="Q136" s="2">
        <v>2</v>
      </c>
      <c r="R136" s="2" t="s">
        <v>23</v>
      </c>
      <c r="S136" s="2" t="str">
        <f t="shared" si="24"/>
        <v>Rendah</v>
      </c>
      <c r="T136" s="2" t="str">
        <f t="shared" si="25"/>
        <v>FALSE</v>
      </c>
      <c r="U136" s="2" t="str">
        <f t="shared" si="26"/>
        <v>TRUE</v>
      </c>
      <c r="V136" s="2" t="b">
        <f t="shared" si="27"/>
        <v>0</v>
      </c>
      <c r="W136" s="2" t="b">
        <f t="shared" si="28"/>
        <v>0</v>
      </c>
      <c r="X136" s="2" t="b">
        <f t="shared" si="29"/>
        <v>0</v>
      </c>
    </row>
    <row r="137" spans="1:24" ht="10.5" customHeight="1">
      <c r="A137" s="2" t="s">
        <v>314</v>
      </c>
      <c r="B137" s="3">
        <v>45686.532083333332</v>
      </c>
      <c r="C137" s="2" t="s">
        <v>181</v>
      </c>
      <c r="D137" s="2" t="s">
        <v>98</v>
      </c>
      <c r="E137" s="2" t="s">
        <v>45</v>
      </c>
      <c r="F137" s="4">
        <v>10500</v>
      </c>
      <c r="G137" s="5">
        <v>2.9</v>
      </c>
      <c r="H137" s="6">
        <v>0</v>
      </c>
      <c r="I137" s="7">
        <f t="shared" si="20"/>
        <v>30450</v>
      </c>
      <c r="J137" s="7">
        <f t="shared" si="21"/>
        <v>0</v>
      </c>
      <c r="K137" s="7">
        <f t="shared" si="22"/>
        <v>30450</v>
      </c>
      <c r="L137" s="4">
        <v>97000</v>
      </c>
      <c r="M137" s="7">
        <f t="shared" si="23"/>
        <v>127450</v>
      </c>
      <c r="N137" s="2" t="s">
        <v>58</v>
      </c>
      <c r="O137" t="s">
        <v>22</v>
      </c>
      <c r="P137" s="2" t="s">
        <v>2366</v>
      </c>
      <c r="Q137" s="2">
        <v>3</v>
      </c>
      <c r="R137" s="2" t="s">
        <v>23</v>
      </c>
      <c r="S137" s="2" t="str">
        <f t="shared" si="24"/>
        <v>Standar</v>
      </c>
      <c r="T137" s="2" t="str">
        <f t="shared" si="25"/>
        <v>FALSE</v>
      </c>
      <c r="U137" s="2" t="str">
        <f t="shared" si="26"/>
        <v>FALSE</v>
      </c>
      <c r="V137" s="2" t="b">
        <f t="shared" si="27"/>
        <v>0</v>
      </c>
      <c r="W137" s="2" t="b">
        <f t="shared" si="28"/>
        <v>0</v>
      </c>
      <c r="X137" s="2" t="b">
        <f t="shared" si="29"/>
        <v>0</v>
      </c>
    </row>
    <row r="138" spans="1:24" ht="10.5" customHeight="1">
      <c r="A138" s="2" t="s">
        <v>315</v>
      </c>
      <c r="B138" s="3">
        <v>45686.558842592603</v>
      </c>
      <c r="C138" s="2" t="s">
        <v>316</v>
      </c>
      <c r="D138" s="2" t="s">
        <v>252</v>
      </c>
      <c r="E138" s="2" t="s">
        <v>32</v>
      </c>
      <c r="F138" s="4">
        <v>20000</v>
      </c>
      <c r="G138" s="5">
        <v>1.8</v>
      </c>
      <c r="H138" s="6">
        <v>0</v>
      </c>
      <c r="I138" s="7">
        <f t="shared" si="20"/>
        <v>36000</v>
      </c>
      <c r="J138" s="7">
        <f t="shared" si="21"/>
        <v>0</v>
      </c>
      <c r="K138" s="7">
        <f t="shared" si="22"/>
        <v>36000</v>
      </c>
      <c r="L138" s="4">
        <v>18000</v>
      </c>
      <c r="M138" s="7">
        <f t="shared" si="23"/>
        <v>54000</v>
      </c>
      <c r="N138" s="2" t="s">
        <v>58</v>
      </c>
      <c r="O138" t="s">
        <v>22</v>
      </c>
      <c r="P138" s="2" t="s">
        <v>2370</v>
      </c>
      <c r="Q138" s="2">
        <v>3</v>
      </c>
      <c r="R138" s="2" t="s">
        <v>34</v>
      </c>
      <c r="S138" s="2" t="str">
        <f t="shared" si="24"/>
        <v>Rendah</v>
      </c>
      <c r="T138" s="2" t="str">
        <f t="shared" si="25"/>
        <v>FALSE</v>
      </c>
      <c r="U138" s="2" t="str">
        <f t="shared" si="26"/>
        <v>FALSE</v>
      </c>
      <c r="V138" s="2" t="b">
        <f t="shared" si="27"/>
        <v>0</v>
      </c>
      <c r="W138" s="2" t="b">
        <f t="shared" si="28"/>
        <v>0</v>
      </c>
      <c r="X138" s="2" t="b">
        <f t="shared" si="29"/>
        <v>0</v>
      </c>
    </row>
    <row r="139" spans="1:24" ht="10.5" customHeight="1">
      <c r="A139" s="2" t="s">
        <v>317</v>
      </c>
      <c r="B139" s="3">
        <v>45686.584166666667</v>
      </c>
      <c r="C139" s="2" t="s">
        <v>169</v>
      </c>
      <c r="D139" s="2" t="s">
        <v>61</v>
      </c>
      <c r="E139" s="2" t="s">
        <v>102</v>
      </c>
      <c r="F139" s="4">
        <v>55000</v>
      </c>
      <c r="G139" s="5">
        <v>1</v>
      </c>
      <c r="H139" s="6">
        <v>0</v>
      </c>
      <c r="I139" s="7">
        <f t="shared" si="20"/>
        <v>55000</v>
      </c>
      <c r="J139" s="7">
        <f t="shared" si="21"/>
        <v>0</v>
      </c>
      <c r="K139" s="7">
        <f t="shared" si="22"/>
        <v>55000</v>
      </c>
      <c r="L139" s="4">
        <v>59000</v>
      </c>
      <c r="M139" s="7">
        <f t="shared" si="23"/>
        <v>114000</v>
      </c>
      <c r="N139" s="2" t="s">
        <v>33</v>
      </c>
      <c r="O139" t="s">
        <v>115</v>
      </c>
      <c r="P139" s="2" t="s">
        <v>2365</v>
      </c>
      <c r="Q139" s="2">
        <v>3</v>
      </c>
      <c r="R139" s="2" t="s">
        <v>23</v>
      </c>
      <c r="S139" s="2" t="str">
        <f t="shared" si="24"/>
        <v>Standar</v>
      </c>
      <c r="T139" s="2" t="str">
        <f t="shared" si="25"/>
        <v>FALSE</v>
      </c>
      <c r="U139" s="2" t="str">
        <f t="shared" si="26"/>
        <v>FALSE</v>
      </c>
      <c r="V139" s="2" t="b">
        <f t="shared" si="27"/>
        <v>0</v>
      </c>
      <c r="W139" s="2" t="b">
        <f t="shared" si="28"/>
        <v>0</v>
      </c>
      <c r="X139" s="2" t="b">
        <f t="shared" si="29"/>
        <v>0</v>
      </c>
    </row>
    <row r="140" spans="1:24" ht="10.5" customHeight="1">
      <c r="A140" s="2" t="s">
        <v>318</v>
      </c>
      <c r="B140" s="3">
        <v>45686.593993055547</v>
      </c>
      <c r="C140" s="2" t="s">
        <v>178</v>
      </c>
      <c r="D140" s="2" t="s">
        <v>179</v>
      </c>
      <c r="E140" s="2" t="s">
        <v>80</v>
      </c>
      <c r="F140" s="4">
        <v>15000</v>
      </c>
      <c r="G140" s="5">
        <v>1</v>
      </c>
      <c r="H140" s="6">
        <v>0</v>
      </c>
      <c r="I140" s="7">
        <f t="shared" si="20"/>
        <v>15000</v>
      </c>
      <c r="J140" s="7">
        <f t="shared" si="21"/>
        <v>0</v>
      </c>
      <c r="K140" s="7">
        <f t="shared" si="22"/>
        <v>15000</v>
      </c>
      <c r="L140" s="4">
        <v>57000</v>
      </c>
      <c r="M140" s="7">
        <f t="shared" si="23"/>
        <v>72000</v>
      </c>
      <c r="N140" s="2" t="s">
        <v>28</v>
      </c>
      <c r="O140" t="s">
        <v>22</v>
      </c>
      <c r="P140" s="2" t="s">
        <v>2365</v>
      </c>
      <c r="Q140" s="2">
        <v>5</v>
      </c>
      <c r="R140" s="2" t="s">
        <v>23</v>
      </c>
      <c r="S140" s="2" t="str">
        <f t="shared" si="24"/>
        <v>Rendah</v>
      </c>
      <c r="T140" s="2" t="str">
        <f t="shared" si="25"/>
        <v>FALSE</v>
      </c>
      <c r="U140" s="2" t="str">
        <f t="shared" si="26"/>
        <v>FALSE</v>
      </c>
      <c r="V140" s="2" t="b">
        <f t="shared" si="27"/>
        <v>0</v>
      </c>
      <c r="W140" s="2" t="b">
        <f t="shared" si="28"/>
        <v>0</v>
      </c>
      <c r="X140" s="2" t="b">
        <f t="shared" si="29"/>
        <v>0</v>
      </c>
    </row>
    <row r="141" spans="1:24" ht="10.5" customHeight="1">
      <c r="A141" s="2" t="s">
        <v>319</v>
      </c>
      <c r="B141" s="3">
        <v>45686.618703703702</v>
      </c>
      <c r="C141" s="2" t="s">
        <v>159</v>
      </c>
      <c r="D141" s="2" t="s">
        <v>160</v>
      </c>
      <c r="E141" s="2" t="s">
        <v>57</v>
      </c>
      <c r="F141" s="4">
        <v>17500</v>
      </c>
      <c r="G141" s="5">
        <v>1.1000000000000001</v>
      </c>
      <c r="H141" s="6">
        <v>0</v>
      </c>
      <c r="I141" s="7">
        <f t="shared" si="20"/>
        <v>19250</v>
      </c>
      <c r="J141" s="7">
        <f t="shared" si="21"/>
        <v>0</v>
      </c>
      <c r="K141" s="7">
        <f t="shared" si="22"/>
        <v>19250</v>
      </c>
      <c r="L141" s="4">
        <v>46000</v>
      </c>
      <c r="M141" s="7">
        <f t="shared" si="23"/>
        <v>65250</v>
      </c>
      <c r="N141" s="2" t="s">
        <v>33</v>
      </c>
      <c r="O141" t="s">
        <v>22</v>
      </c>
      <c r="P141" s="2" t="s">
        <v>2367</v>
      </c>
      <c r="Q141" s="2">
        <v>1</v>
      </c>
      <c r="R141" s="2" t="s">
        <v>23</v>
      </c>
      <c r="S141" s="2" t="str">
        <f t="shared" si="24"/>
        <v>Rendah</v>
      </c>
      <c r="T141" s="2" t="str">
        <f t="shared" si="25"/>
        <v>FALSE</v>
      </c>
      <c r="U141" s="2" t="str">
        <f t="shared" si="26"/>
        <v>FALSE</v>
      </c>
      <c r="V141" s="2" t="b">
        <f t="shared" si="27"/>
        <v>0</v>
      </c>
      <c r="W141" s="2" t="b">
        <f t="shared" si="28"/>
        <v>1</v>
      </c>
      <c r="X141" s="2" t="b">
        <f t="shared" si="29"/>
        <v>0</v>
      </c>
    </row>
    <row r="142" spans="1:24" ht="10.5" customHeight="1">
      <c r="A142" s="2" t="s">
        <v>319</v>
      </c>
      <c r="B142" s="3">
        <v>45686.618703703702</v>
      </c>
      <c r="C142" s="2" t="s">
        <v>159</v>
      </c>
      <c r="D142" s="2" t="s">
        <v>160</v>
      </c>
      <c r="E142" s="2" t="s">
        <v>41</v>
      </c>
      <c r="F142" s="4">
        <v>40000</v>
      </c>
      <c r="G142" s="5">
        <v>1.6</v>
      </c>
      <c r="H142" s="6">
        <v>0</v>
      </c>
      <c r="I142" s="7">
        <f t="shared" si="20"/>
        <v>64000</v>
      </c>
      <c r="J142" s="7">
        <f t="shared" si="21"/>
        <v>0</v>
      </c>
      <c r="K142" s="7">
        <f t="shared" si="22"/>
        <v>64000</v>
      </c>
      <c r="L142" s="4">
        <v>0</v>
      </c>
      <c r="M142" s="7">
        <f t="shared" si="23"/>
        <v>64000</v>
      </c>
      <c r="N142" s="2" t="s">
        <v>33</v>
      </c>
      <c r="O142" t="s">
        <v>22</v>
      </c>
      <c r="P142" s="2" t="s">
        <v>2367</v>
      </c>
      <c r="Q142" s="2">
        <v>1</v>
      </c>
      <c r="R142" s="2" t="s">
        <v>23</v>
      </c>
      <c r="S142" s="2" t="str">
        <f t="shared" si="24"/>
        <v>Rendah</v>
      </c>
      <c r="T142" s="2" t="str">
        <f t="shared" si="25"/>
        <v>FALSE</v>
      </c>
      <c r="U142" s="2" t="str">
        <f t="shared" si="26"/>
        <v>FALSE</v>
      </c>
      <c r="V142" s="2" t="b">
        <f t="shared" si="27"/>
        <v>0</v>
      </c>
      <c r="W142" s="2" t="b">
        <f t="shared" si="28"/>
        <v>1</v>
      </c>
      <c r="X142" s="2" t="b">
        <f t="shared" si="29"/>
        <v>0</v>
      </c>
    </row>
    <row r="143" spans="1:24" ht="10.5" customHeight="1">
      <c r="A143" s="2" t="s">
        <v>320</v>
      </c>
      <c r="B143" s="3">
        <v>45686.702291666668</v>
      </c>
      <c r="C143" s="2" t="s">
        <v>321</v>
      </c>
      <c r="D143" s="2" t="s">
        <v>19</v>
      </c>
      <c r="E143" s="2" t="s">
        <v>27</v>
      </c>
      <c r="F143" s="4">
        <v>15000</v>
      </c>
      <c r="G143" s="5">
        <v>0.7</v>
      </c>
      <c r="H143" s="6">
        <v>0</v>
      </c>
      <c r="I143" s="7">
        <f t="shared" si="20"/>
        <v>10500</v>
      </c>
      <c r="J143" s="7">
        <f t="shared" si="21"/>
        <v>0</v>
      </c>
      <c r="K143" s="7">
        <f t="shared" si="22"/>
        <v>10500</v>
      </c>
      <c r="L143" s="4">
        <v>15000</v>
      </c>
      <c r="M143" s="7">
        <f t="shared" si="23"/>
        <v>25500</v>
      </c>
      <c r="N143" s="2" t="s">
        <v>33</v>
      </c>
      <c r="O143" t="s">
        <v>22</v>
      </c>
      <c r="P143" s="2" t="s">
        <v>2370</v>
      </c>
      <c r="Q143" s="2">
        <v>5</v>
      </c>
      <c r="R143" s="2" t="s">
        <v>34</v>
      </c>
      <c r="S143" s="2" t="str">
        <f t="shared" si="24"/>
        <v>Sangat Rendah</v>
      </c>
      <c r="T143" s="2" t="str">
        <f t="shared" si="25"/>
        <v>FALSE</v>
      </c>
      <c r="U143" s="2" t="str">
        <f t="shared" si="26"/>
        <v>FALSE</v>
      </c>
      <c r="V143" s="2" t="b">
        <f t="shared" si="27"/>
        <v>0</v>
      </c>
      <c r="W143" s="2" t="b">
        <f t="shared" si="28"/>
        <v>0</v>
      </c>
      <c r="X143" s="2" t="b">
        <f t="shared" si="29"/>
        <v>0</v>
      </c>
    </row>
    <row r="144" spans="1:24" ht="10.5" customHeight="1">
      <c r="A144" s="2" t="s">
        <v>322</v>
      </c>
      <c r="B144" s="3">
        <v>45686.921354166669</v>
      </c>
      <c r="C144" s="2" t="s">
        <v>323</v>
      </c>
      <c r="D144" s="2" t="s">
        <v>98</v>
      </c>
      <c r="E144" s="2" t="s">
        <v>20</v>
      </c>
      <c r="F144" s="4">
        <v>10000</v>
      </c>
      <c r="G144" s="5">
        <v>1.6</v>
      </c>
      <c r="H144" s="6">
        <v>0</v>
      </c>
      <c r="I144" s="7">
        <f t="shared" si="20"/>
        <v>16000</v>
      </c>
      <c r="J144" s="7">
        <f t="shared" si="21"/>
        <v>0</v>
      </c>
      <c r="K144" s="7">
        <f t="shared" si="22"/>
        <v>16000</v>
      </c>
      <c r="L144" s="4">
        <v>97000</v>
      </c>
      <c r="M144" s="7">
        <f t="shared" si="23"/>
        <v>113000</v>
      </c>
      <c r="N144" s="2" t="s">
        <v>33</v>
      </c>
      <c r="O144" t="s">
        <v>22</v>
      </c>
      <c r="P144" s="2" t="s">
        <v>2366</v>
      </c>
      <c r="Q144" s="2">
        <v>5</v>
      </c>
      <c r="R144" s="2" t="s">
        <v>34</v>
      </c>
      <c r="S144" s="2" t="str">
        <f t="shared" si="24"/>
        <v>Standar</v>
      </c>
      <c r="T144" s="2" t="str">
        <f t="shared" si="25"/>
        <v>FALSE</v>
      </c>
      <c r="U144" s="2" t="str">
        <f t="shared" si="26"/>
        <v>FALSE</v>
      </c>
      <c r="V144" s="2" t="b">
        <f t="shared" si="27"/>
        <v>0</v>
      </c>
      <c r="W144" s="2" t="b">
        <f t="shared" si="28"/>
        <v>0</v>
      </c>
      <c r="X144" s="2" t="b">
        <f t="shared" si="29"/>
        <v>0</v>
      </c>
    </row>
    <row r="145" spans="1:24" ht="10.5" customHeight="1">
      <c r="A145" s="2" t="s">
        <v>324</v>
      </c>
      <c r="B145" s="3">
        <v>45687.196516203701</v>
      </c>
      <c r="C145" s="2" t="s">
        <v>325</v>
      </c>
      <c r="D145" s="2" t="s">
        <v>74</v>
      </c>
      <c r="E145" s="2" t="s">
        <v>53</v>
      </c>
      <c r="F145" s="4">
        <v>14000</v>
      </c>
      <c r="G145" s="5">
        <v>1.2</v>
      </c>
      <c r="H145" s="6">
        <v>0</v>
      </c>
      <c r="I145" s="7">
        <f t="shared" si="20"/>
        <v>16800</v>
      </c>
      <c r="J145" s="7">
        <f t="shared" si="21"/>
        <v>0</v>
      </c>
      <c r="K145" s="7">
        <f t="shared" si="22"/>
        <v>16800</v>
      </c>
      <c r="L145" s="4">
        <v>74000</v>
      </c>
      <c r="M145" s="7">
        <f t="shared" si="23"/>
        <v>90800</v>
      </c>
      <c r="N145" s="2" t="s">
        <v>58</v>
      </c>
      <c r="O145" t="s">
        <v>22</v>
      </c>
      <c r="P145" s="2" t="s">
        <v>2368</v>
      </c>
      <c r="Q145" s="2">
        <v>5</v>
      </c>
      <c r="R145" s="2" t="s">
        <v>34</v>
      </c>
      <c r="S145" s="2" t="str">
        <f t="shared" si="24"/>
        <v>Rendah</v>
      </c>
      <c r="T145" s="2" t="str">
        <f t="shared" si="25"/>
        <v>FALSE</v>
      </c>
      <c r="U145" s="2" t="str">
        <f t="shared" si="26"/>
        <v>FALSE</v>
      </c>
      <c r="V145" s="2" t="b">
        <f t="shared" si="27"/>
        <v>0</v>
      </c>
      <c r="W145" s="2" t="b">
        <f t="shared" si="28"/>
        <v>0</v>
      </c>
      <c r="X145" s="2" t="b">
        <f t="shared" si="29"/>
        <v>0</v>
      </c>
    </row>
    <row r="146" spans="1:24" ht="10.5" customHeight="1">
      <c r="A146" s="2" t="s">
        <v>326</v>
      </c>
      <c r="B146" s="3">
        <v>45687.357511574082</v>
      </c>
      <c r="C146" s="2" t="s">
        <v>327</v>
      </c>
      <c r="D146" s="2" t="s">
        <v>123</v>
      </c>
      <c r="E146" s="2" t="s">
        <v>80</v>
      </c>
      <c r="F146" s="4">
        <v>15000</v>
      </c>
      <c r="G146" s="5">
        <v>2.1</v>
      </c>
      <c r="H146" s="6">
        <v>0</v>
      </c>
      <c r="I146" s="7">
        <f t="shared" si="20"/>
        <v>31500</v>
      </c>
      <c r="J146" s="7">
        <f t="shared" si="21"/>
        <v>0</v>
      </c>
      <c r="K146" s="7">
        <f t="shared" si="22"/>
        <v>31500</v>
      </c>
      <c r="L146" s="4">
        <v>59000</v>
      </c>
      <c r="M146" s="7">
        <f t="shared" si="23"/>
        <v>90500</v>
      </c>
      <c r="N146" s="2" t="s">
        <v>33</v>
      </c>
      <c r="O146" t="s">
        <v>22</v>
      </c>
      <c r="P146" s="2" t="s">
        <v>2370</v>
      </c>
      <c r="Q146" s="2">
        <v>1</v>
      </c>
      <c r="R146" s="2" t="s">
        <v>23</v>
      </c>
      <c r="S146" s="2" t="str">
        <f t="shared" si="24"/>
        <v>Rendah</v>
      </c>
      <c r="T146" s="2" t="str">
        <f t="shared" si="25"/>
        <v>FALSE</v>
      </c>
      <c r="U146" s="2" t="str">
        <f t="shared" si="26"/>
        <v>FALSE</v>
      </c>
      <c r="V146" s="2" t="b">
        <f t="shared" si="27"/>
        <v>0</v>
      </c>
      <c r="W146" s="2" t="b">
        <f t="shared" si="28"/>
        <v>0</v>
      </c>
      <c r="X146" s="2" t="b">
        <f t="shared" si="29"/>
        <v>0</v>
      </c>
    </row>
    <row r="147" spans="1:24" ht="10.5" customHeight="1">
      <c r="A147" s="2" t="s">
        <v>328</v>
      </c>
      <c r="B147" s="3">
        <v>45687.358819444453</v>
      </c>
      <c r="C147" s="2" t="s">
        <v>237</v>
      </c>
      <c r="D147" s="2" t="s">
        <v>229</v>
      </c>
      <c r="E147" s="2" t="s">
        <v>35</v>
      </c>
      <c r="F147" s="4">
        <v>13500</v>
      </c>
      <c r="G147" s="5">
        <v>1.7</v>
      </c>
      <c r="H147" s="6">
        <v>0</v>
      </c>
      <c r="I147" s="7">
        <f t="shared" si="20"/>
        <v>22950</v>
      </c>
      <c r="J147" s="7">
        <f t="shared" si="21"/>
        <v>0</v>
      </c>
      <c r="K147" s="7">
        <f t="shared" si="22"/>
        <v>22950</v>
      </c>
      <c r="L147" s="4">
        <v>28000</v>
      </c>
      <c r="M147" s="7">
        <f t="shared" si="23"/>
        <v>50950</v>
      </c>
      <c r="N147" s="2" t="s">
        <v>28</v>
      </c>
      <c r="O147" t="s">
        <v>22</v>
      </c>
      <c r="P147" s="2" t="s">
        <v>2365</v>
      </c>
      <c r="Q147" s="2">
        <v>2</v>
      </c>
      <c r="R147" s="2" t="s">
        <v>23</v>
      </c>
      <c r="S147" s="2" t="str">
        <f t="shared" si="24"/>
        <v>Rendah</v>
      </c>
      <c r="T147" s="2" t="str">
        <f t="shared" si="25"/>
        <v>FALSE</v>
      </c>
      <c r="U147" s="2" t="str">
        <f t="shared" si="26"/>
        <v>FALSE</v>
      </c>
      <c r="V147" s="2" t="b">
        <f t="shared" si="27"/>
        <v>0</v>
      </c>
      <c r="W147" s="2" t="b">
        <f t="shared" si="28"/>
        <v>0</v>
      </c>
      <c r="X147" s="2" t="b">
        <f t="shared" si="29"/>
        <v>0</v>
      </c>
    </row>
    <row r="148" spans="1:24" ht="10.5" customHeight="1">
      <c r="A148" s="2" t="s">
        <v>329</v>
      </c>
      <c r="B148" s="3">
        <v>45687.367175925923</v>
      </c>
      <c r="C148" s="2" t="s">
        <v>330</v>
      </c>
      <c r="D148" s="2" t="s">
        <v>118</v>
      </c>
      <c r="E148" s="2" t="s">
        <v>143</v>
      </c>
      <c r="F148" s="4">
        <v>10000</v>
      </c>
      <c r="G148" s="5">
        <v>0.6</v>
      </c>
      <c r="H148" s="6">
        <v>0</v>
      </c>
      <c r="I148" s="7">
        <f t="shared" si="20"/>
        <v>6000</v>
      </c>
      <c r="J148" s="7">
        <f t="shared" si="21"/>
        <v>0</v>
      </c>
      <c r="K148" s="7">
        <f t="shared" si="22"/>
        <v>6000</v>
      </c>
      <c r="L148" s="4">
        <v>84000</v>
      </c>
      <c r="M148" s="7">
        <f t="shared" si="23"/>
        <v>90000</v>
      </c>
      <c r="N148" s="2" t="s">
        <v>58</v>
      </c>
      <c r="O148" t="s">
        <v>22</v>
      </c>
      <c r="P148" s="2" t="s">
        <v>2366</v>
      </c>
      <c r="Q148" s="2">
        <v>2</v>
      </c>
      <c r="R148" s="2" t="s">
        <v>34</v>
      </c>
      <c r="S148" s="2" t="str">
        <f t="shared" si="24"/>
        <v>Rendah</v>
      </c>
      <c r="T148" s="2" t="str">
        <f t="shared" si="25"/>
        <v>FALSE</v>
      </c>
      <c r="U148" s="2" t="str">
        <f t="shared" si="26"/>
        <v>TRUE</v>
      </c>
      <c r="V148" s="2" t="b">
        <f t="shared" si="27"/>
        <v>0</v>
      </c>
      <c r="W148" s="2" t="b">
        <f t="shared" si="28"/>
        <v>0</v>
      </c>
      <c r="X148" s="2" t="b">
        <f t="shared" si="29"/>
        <v>0</v>
      </c>
    </row>
    <row r="149" spans="1:24" ht="10.5" customHeight="1">
      <c r="A149" s="2" t="s">
        <v>331</v>
      </c>
      <c r="B149" s="3">
        <v>45687.396157407413</v>
      </c>
      <c r="C149" s="2" t="s">
        <v>332</v>
      </c>
      <c r="D149" s="2" t="s">
        <v>123</v>
      </c>
      <c r="E149" s="2" t="s">
        <v>182</v>
      </c>
      <c r="F149" s="4">
        <v>11000</v>
      </c>
      <c r="G149" s="5">
        <v>2</v>
      </c>
      <c r="H149" s="6">
        <v>0</v>
      </c>
      <c r="I149" s="7">
        <f t="shared" si="20"/>
        <v>22000</v>
      </c>
      <c r="J149" s="7">
        <f t="shared" si="21"/>
        <v>0</v>
      </c>
      <c r="K149" s="7">
        <f t="shared" si="22"/>
        <v>22000</v>
      </c>
      <c r="L149" s="4">
        <v>59000</v>
      </c>
      <c r="M149" s="7">
        <f t="shared" si="23"/>
        <v>81000</v>
      </c>
      <c r="N149" s="2" t="s">
        <v>58</v>
      </c>
      <c r="O149" t="s">
        <v>22</v>
      </c>
      <c r="P149" s="2" t="s">
        <v>2365</v>
      </c>
      <c r="Q149" s="2">
        <v>1</v>
      </c>
      <c r="R149" s="2" t="s">
        <v>34</v>
      </c>
      <c r="S149" s="2" t="str">
        <f t="shared" si="24"/>
        <v>Rendah</v>
      </c>
      <c r="T149" s="2" t="str">
        <f t="shared" si="25"/>
        <v>FALSE</v>
      </c>
      <c r="U149" s="2" t="str">
        <f t="shared" si="26"/>
        <v>FALSE</v>
      </c>
      <c r="V149" s="2" t="b">
        <f t="shared" si="27"/>
        <v>0</v>
      </c>
      <c r="W149" s="2" t="b">
        <f t="shared" si="28"/>
        <v>0</v>
      </c>
      <c r="X149" s="2" t="b">
        <f t="shared" si="29"/>
        <v>0</v>
      </c>
    </row>
    <row r="150" spans="1:24" ht="10.5" customHeight="1">
      <c r="A150" s="2" t="s">
        <v>333</v>
      </c>
      <c r="B150" s="3">
        <v>45687.402222222219</v>
      </c>
      <c r="C150" s="2" t="s">
        <v>334</v>
      </c>
      <c r="D150" s="2" t="s">
        <v>185</v>
      </c>
      <c r="E150" s="2" t="s">
        <v>170</v>
      </c>
      <c r="F150" s="4">
        <v>12000</v>
      </c>
      <c r="G150" s="5">
        <v>0.7</v>
      </c>
      <c r="H150" s="6">
        <v>0</v>
      </c>
      <c r="I150" s="7">
        <f t="shared" si="20"/>
        <v>8400</v>
      </c>
      <c r="J150" s="7">
        <f t="shared" si="21"/>
        <v>0</v>
      </c>
      <c r="K150" s="7">
        <f t="shared" si="22"/>
        <v>8400</v>
      </c>
      <c r="L150" s="4">
        <v>87000</v>
      </c>
      <c r="M150" s="7">
        <f t="shared" si="23"/>
        <v>95400</v>
      </c>
      <c r="N150" s="2" t="s">
        <v>58</v>
      </c>
      <c r="O150" t="s">
        <v>22</v>
      </c>
      <c r="P150" s="2" t="s">
        <v>2366</v>
      </c>
      <c r="Q150" s="2">
        <v>5</v>
      </c>
      <c r="R150" s="2" t="s">
        <v>23</v>
      </c>
      <c r="S150" s="2" t="str">
        <f t="shared" si="24"/>
        <v>Rendah</v>
      </c>
      <c r="T150" s="2" t="str">
        <f t="shared" si="25"/>
        <v>FALSE</v>
      </c>
      <c r="U150" s="2" t="str">
        <f t="shared" si="26"/>
        <v>FALSE</v>
      </c>
      <c r="V150" s="2" t="b">
        <f t="shared" si="27"/>
        <v>0</v>
      </c>
      <c r="W150" s="2" t="b">
        <f t="shared" si="28"/>
        <v>0</v>
      </c>
      <c r="X150" s="2" t="b">
        <f t="shared" si="29"/>
        <v>0</v>
      </c>
    </row>
    <row r="151" spans="1:24" ht="10.5" customHeight="1">
      <c r="A151" s="2" t="s">
        <v>335</v>
      </c>
      <c r="B151" s="3">
        <v>45687.423692129632</v>
      </c>
      <c r="C151" s="2" t="s">
        <v>336</v>
      </c>
      <c r="D151" s="2" t="s">
        <v>286</v>
      </c>
      <c r="E151" s="2" t="s">
        <v>65</v>
      </c>
      <c r="F151" s="4">
        <v>46000</v>
      </c>
      <c r="G151" s="5">
        <v>0.5</v>
      </c>
      <c r="H151" s="6">
        <v>0</v>
      </c>
      <c r="I151" s="7">
        <f t="shared" si="20"/>
        <v>23000</v>
      </c>
      <c r="J151" s="7">
        <f t="shared" si="21"/>
        <v>0</v>
      </c>
      <c r="K151" s="7">
        <f t="shared" si="22"/>
        <v>23000</v>
      </c>
      <c r="L151" s="4">
        <v>79000</v>
      </c>
      <c r="M151" s="7">
        <f t="shared" si="23"/>
        <v>102000</v>
      </c>
      <c r="N151" s="2" t="s">
        <v>33</v>
      </c>
      <c r="O151" t="s">
        <v>22</v>
      </c>
      <c r="P151" s="2" t="s">
        <v>2366</v>
      </c>
      <c r="Q151" s="2">
        <v>1</v>
      </c>
      <c r="R151" s="2" t="s">
        <v>23</v>
      </c>
      <c r="S151" s="2" t="str">
        <f t="shared" si="24"/>
        <v>Standar</v>
      </c>
      <c r="T151" s="2" t="str">
        <f t="shared" si="25"/>
        <v>FALSE</v>
      </c>
      <c r="U151" s="2" t="str">
        <f t="shared" si="26"/>
        <v>FALSE</v>
      </c>
      <c r="V151" s="2" t="b">
        <f t="shared" si="27"/>
        <v>0</v>
      </c>
      <c r="W151" s="2" t="b">
        <f t="shared" si="28"/>
        <v>0</v>
      </c>
      <c r="X151" s="2" t="b">
        <f t="shared" si="29"/>
        <v>0</v>
      </c>
    </row>
    <row r="152" spans="1:24" ht="10.5" customHeight="1">
      <c r="A152" s="2" t="s">
        <v>337</v>
      </c>
      <c r="B152" s="3">
        <v>45687.481608796297</v>
      </c>
      <c r="C152" s="2" t="s">
        <v>192</v>
      </c>
      <c r="D152" s="2" t="s">
        <v>98</v>
      </c>
      <c r="E152" s="2" t="s">
        <v>32</v>
      </c>
      <c r="F152" s="4">
        <v>20000</v>
      </c>
      <c r="G152" s="5">
        <v>0.8</v>
      </c>
      <c r="H152" s="6">
        <v>0</v>
      </c>
      <c r="I152" s="7">
        <f t="shared" si="20"/>
        <v>16000</v>
      </c>
      <c r="J152" s="7">
        <f t="shared" si="21"/>
        <v>0</v>
      </c>
      <c r="K152" s="7">
        <f t="shared" si="22"/>
        <v>16000</v>
      </c>
      <c r="L152" s="4">
        <v>97000</v>
      </c>
      <c r="M152" s="7">
        <f t="shared" si="23"/>
        <v>113000</v>
      </c>
      <c r="N152" s="2" t="s">
        <v>58</v>
      </c>
      <c r="O152" t="s">
        <v>22</v>
      </c>
      <c r="P152" s="2" t="s">
        <v>2366</v>
      </c>
      <c r="Q152" s="2">
        <v>1</v>
      </c>
      <c r="R152" s="2" t="s">
        <v>23</v>
      </c>
      <c r="S152" s="2" t="str">
        <f t="shared" si="24"/>
        <v>Standar</v>
      </c>
      <c r="T152" s="2" t="str">
        <f t="shared" si="25"/>
        <v>FALSE</v>
      </c>
      <c r="U152" s="2" t="str">
        <f t="shared" si="26"/>
        <v>FALSE</v>
      </c>
      <c r="V152" s="2" t="b">
        <f t="shared" si="27"/>
        <v>0</v>
      </c>
      <c r="W152" s="2" t="b">
        <f t="shared" si="28"/>
        <v>0</v>
      </c>
      <c r="X152" s="2" t="b">
        <f t="shared" si="29"/>
        <v>0</v>
      </c>
    </row>
    <row r="153" spans="1:24" ht="10.5" customHeight="1">
      <c r="A153" s="2" t="s">
        <v>338</v>
      </c>
      <c r="B153" s="3">
        <v>45687.492175925923</v>
      </c>
      <c r="C153" s="2" t="s">
        <v>145</v>
      </c>
      <c r="D153" s="2" t="s">
        <v>84</v>
      </c>
      <c r="E153" s="2" t="s">
        <v>75</v>
      </c>
      <c r="F153" s="4">
        <v>45000</v>
      </c>
      <c r="G153" s="5">
        <v>1.3</v>
      </c>
      <c r="H153" s="6">
        <v>0</v>
      </c>
      <c r="I153" s="7">
        <f t="shared" si="20"/>
        <v>58500</v>
      </c>
      <c r="J153" s="7">
        <f t="shared" si="21"/>
        <v>0</v>
      </c>
      <c r="K153" s="7">
        <f t="shared" si="22"/>
        <v>58500</v>
      </c>
      <c r="L153" s="4">
        <v>30000</v>
      </c>
      <c r="M153" s="7">
        <f t="shared" si="23"/>
        <v>88500</v>
      </c>
      <c r="N153" s="2" t="s">
        <v>28</v>
      </c>
      <c r="O153" t="s">
        <v>22</v>
      </c>
      <c r="P153" s="2" t="s">
        <v>2368</v>
      </c>
      <c r="Q153" s="2">
        <v>4</v>
      </c>
      <c r="R153" s="2" t="s">
        <v>23</v>
      </c>
      <c r="S153" s="2" t="str">
        <f t="shared" si="24"/>
        <v>Rendah</v>
      </c>
      <c r="T153" s="2" t="str">
        <f t="shared" si="25"/>
        <v>FALSE</v>
      </c>
      <c r="U153" s="2" t="str">
        <f t="shared" si="26"/>
        <v>FALSE</v>
      </c>
      <c r="V153" s="2" t="b">
        <f t="shared" si="27"/>
        <v>0</v>
      </c>
      <c r="W153" s="2" t="b">
        <f t="shared" si="28"/>
        <v>0</v>
      </c>
      <c r="X153" s="2" t="b">
        <f t="shared" si="29"/>
        <v>0</v>
      </c>
    </row>
    <row r="154" spans="1:24" ht="10.5" customHeight="1">
      <c r="A154" s="2" t="s">
        <v>339</v>
      </c>
      <c r="B154" s="3">
        <v>45687.517453703702</v>
      </c>
      <c r="C154" s="2" t="s">
        <v>340</v>
      </c>
      <c r="D154" s="2" t="s">
        <v>185</v>
      </c>
      <c r="E154" s="2" t="s">
        <v>75</v>
      </c>
      <c r="F154" s="4">
        <v>45000</v>
      </c>
      <c r="G154" s="5">
        <v>0.6</v>
      </c>
      <c r="H154" s="6">
        <v>0</v>
      </c>
      <c r="I154" s="7">
        <f t="shared" si="20"/>
        <v>27000</v>
      </c>
      <c r="J154" s="7">
        <f t="shared" si="21"/>
        <v>0</v>
      </c>
      <c r="K154" s="7">
        <f t="shared" si="22"/>
        <v>27000</v>
      </c>
      <c r="L154" s="4">
        <v>87000</v>
      </c>
      <c r="M154" s="7">
        <f t="shared" si="23"/>
        <v>114000</v>
      </c>
      <c r="N154" s="2" t="s">
        <v>21</v>
      </c>
      <c r="O154" t="s">
        <v>22</v>
      </c>
      <c r="P154" s="2" t="s">
        <v>2370</v>
      </c>
      <c r="Q154" s="2">
        <v>4</v>
      </c>
      <c r="R154" s="2" t="s">
        <v>34</v>
      </c>
      <c r="S154" s="2" t="str">
        <f t="shared" si="24"/>
        <v>Standar</v>
      </c>
      <c r="T154" s="2" t="str">
        <f t="shared" si="25"/>
        <v>FALSE</v>
      </c>
      <c r="U154" s="2" t="str">
        <f t="shared" si="26"/>
        <v>FALSE</v>
      </c>
      <c r="V154" s="2" t="b">
        <f t="shared" si="27"/>
        <v>0</v>
      </c>
      <c r="W154" s="2" t="b">
        <f t="shared" si="28"/>
        <v>0</v>
      </c>
      <c r="X154" s="2" t="b">
        <f t="shared" si="29"/>
        <v>0</v>
      </c>
    </row>
    <row r="155" spans="1:24" ht="10.5" customHeight="1">
      <c r="A155" s="2" t="s">
        <v>339</v>
      </c>
      <c r="B155" s="3">
        <v>45687.517453703702</v>
      </c>
      <c r="C155" s="2" t="s">
        <v>340</v>
      </c>
      <c r="D155" s="2" t="s">
        <v>185</v>
      </c>
      <c r="E155" s="2" t="s">
        <v>190</v>
      </c>
      <c r="F155" s="4">
        <v>15500</v>
      </c>
      <c r="G155" s="5">
        <v>0.4</v>
      </c>
      <c r="H155" s="6">
        <v>0</v>
      </c>
      <c r="I155" s="7">
        <f t="shared" si="20"/>
        <v>6200</v>
      </c>
      <c r="J155" s="7">
        <f t="shared" si="21"/>
        <v>0</v>
      </c>
      <c r="K155" s="7">
        <f t="shared" si="22"/>
        <v>6200</v>
      </c>
      <c r="L155" s="4">
        <v>0</v>
      </c>
      <c r="M155" s="7">
        <f t="shared" si="23"/>
        <v>6200</v>
      </c>
      <c r="N155" s="2" t="s">
        <v>21</v>
      </c>
      <c r="O155" t="s">
        <v>22</v>
      </c>
      <c r="P155" s="2" t="s">
        <v>2370</v>
      </c>
      <c r="Q155" s="2">
        <v>4</v>
      </c>
      <c r="R155" s="2" t="s">
        <v>34</v>
      </c>
      <c r="S155" s="2" t="str">
        <f t="shared" si="24"/>
        <v>Sangat Rendah</v>
      </c>
      <c r="T155" s="2" t="str">
        <f t="shared" si="25"/>
        <v>FALSE</v>
      </c>
      <c r="U155" s="2" t="str">
        <f t="shared" si="26"/>
        <v>FALSE</v>
      </c>
      <c r="V155" s="2" t="b">
        <f t="shared" si="27"/>
        <v>0</v>
      </c>
      <c r="W155" s="2" t="b">
        <f t="shared" si="28"/>
        <v>0</v>
      </c>
      <c r="X155" s="2" t="b">
        <f t="shared" si="29"/>
        <v>0</v>
      </c>
    </row>
    <row r="156" spans="1:24" ht="10.5" customHeight="1">
      <c r="A156" s="2" t="s">
        <v>341</v>
      </c>
      <c r="B156" s="3">
        <v>45687.5315162037</v>
      </c>
      <c r="C156" s="2" t="s">
        <v>137</v>
      </c>
      <c r="D156" s="2" t="s">
        <v>68</v>
      </c>
      <c r="E156" s="2" t="s">
        <v>102</v>
      </c>
      <c r="F156" s="4">
        <v>55000</v>
      </c>
      <c r="G156" s="5">
        <v>1</v>
      </c>
      <c r="H156" s="6">
        <v>0</v>
      </c>
      <c r="I156" s="7">
        <f t="shared" si="20"/>
        <v>55000</v>
      </c>
      <c r="J156" s="7">
        <f t="shared" si="21"/>
        <v>0</v>
      </c>
      <c r="K156" s="7">
        <f t="shared" si="22"/>
        <v>55000</v>
      </c>
      <c r="L156" s="4">
        <v>87000</v>
      </c>
      <c r="M156" s="7">
        <f t="shared" si="23"/>
        <v>142000</v>
      </c>
      <c r="N156" s="2" t="s">
        <v>28</v>
      </c>
      <c r="O156" t="s">
        <v>69</v>
      </c>
      <c r="P156" s="2" t="s">
        <v>2370</v>
      </c>
      <c r="Q156" s="2">
        <v>3</v>
      </c>
      <c r="R156" s="2" t="s">
        <v>23</v>
      </c>
      <c r="S156" s="2" t="str">
        <f t="shared" si="24"/>
        <v>Standar</v>
      </c>
      <c r="T156" s="2" t="str">
        <f t="shared" si="25"/>
        <v>FALSE</v>
      </c>
      <c r="U156" s="2" t="str">
        <f t="shared" si="26"/>
        <v>FALSE</v>
      </c>
      <c r="V156" s="2" t="b">
        <f t="shared" si="27"/>
        <v>0</v>
      </c>
      <c r="W156" s="2" t="b">
        <f t="shared" si="28"/>
        <v>0</v>
      </c>
      <c r="X156" s="2" t="b">
        <f t="shared" si="29"/>
        <v>0</v>
      </c>
    </row>
    <row r="157" spans="1:24" ht="10.5" customHeight="1">
      <c r="A157" s="2" t="s">
        <v>342</v>
      </c>
      <c r="B157" s="3">
        <v>45687.557314814818</v>
      </c>
      <c r="C157" s="2" t="s">
        <v>343</v>
      </c>
      <c r="D157" s="2" t="s">
        <v>61</v>
      </c>
      <c r="E157" s="2" t="s">
        <v>45</v>
      </c>
      <c r="F157" s="4">
        <v>10500</v>
      </c>
      <c r="G157" s="5">
        <v>3.1</v>
      </c>
      <c r="H157" s="6">
        <v>0</v>
      </c>
      <c r="I157" s="7">
        <f t="shared" si="20"/>
        <v>32550</v>
      </c>
      <c r="J157" s="7">
        <f t="shared" si="21"/>
        <v>0</v>
      </c>
      <c r="K157" s="7">
        <f t="shared" si="22"/>
        <v>32550</v>
      </c>
      <c r="L157" s="4">
        <v>59000</v>
      </c>
      <c r="M157" s="7">
        <f t="shared" si="23"/>
        <v>91550</v>
      </c>
      <c r="N157" s="2" t="s">
        <v>58</v>
      </c>
      <c r="O157" t="s">
        <v>22</v>
      </c>
      <c r="P157" s="2" t="s">
        <v>2367</v>
      </c>
      <c r="Q157" s="2">
        <v>4</v>
      </c>
      <c r="R157" s="2" t="s">
        <v>23</v>
      </c>
      <c r="S157" s="2" t="str">
        <f t="shared" si="24"/>
        <v>Rendah</v>
      </c>
      <c r="T157" s="2" t="str">
        <f t="shared" si="25"/>
        <v>FALSE</v>
      </c>
      <c r="U157" s="2" t="str">
        <f t="shared" si="26"/>
        <v>FALSE</v>
      </c>
      <c r="V157" s="2" t="b">
        <f t="shared" si="27"/>
        <v>0</v>
      </c>
      <c r="W157" s="2" t="b">
        <f t="shared" si="28"/>
        <v>1</v>
      </c>
      <c r="X157" s="2" t="b">
        <f t="shared" si="29"/>
        <v>0</v>
      </c>
    </row>
    <row r="158" spans="1:24" ht="10.5" customHeight="1">
      <c r="A158" s="2" t="s">
        <v>342</v>
      </c>
      <c r="B158" s="3">
        <v>45687.557314814818</v>
      </c>
      <c r="C158" s="2" t="s">
        <v>343</v>
      </c>
      <c r="D158" s="2" t="s">
        <v>61</v>
      </c>
      <c r="E158" s="2" t="s">
        <v>65</v>
      </c>
      <c r="F158" s="4">
        <v>46000</v>
      </c>
      <c r="G158" s="5">
        <v>0.8</v>
      </c>
      <c r="H158" s="6">
        <v>0</v>
      </c>
      <c r="I158" s="7">
        <f t="shared" si="20"/>
        <v>36800</v>
      </c>
      <c r="J158" s="7">
        <f t="shared" si="21"/>
        <v>0</v>
      </c>
      <c r="K158" s="7">
        <f t="shared" si="22"/>
        <v>36800</v>
      </c>
      <c r="L158" s="4">
        <v>0</v>
      </c>
      <c r="M158" s="7">
        <f t="shared" si="23"/>
        <v>36800</v>
      </c>
      <c r="N158" s="2" t="s">
        <v>58</v>
      </c>
      <c r="O158" t="s">
        <v>22</v>
      </c>
      <c r="P158" s="2" t="s">
        <v>2367</v>
      </c>
      <c r="Q158" s="2">
        <v>4</v>
      </c>
      <c r="R158" s="2" t="s">
        <v>23</v>
      </c>
      <c r="S158" s="2" t="str">
        <f t="shared" si="24"/>
        <v>Sangat Rendah</v>
      </c>
      <c r="T158" s="2" t="str">
        <f t="shared" si="25"/>
        <v>FALSE</v>
      </c>
      <c r="U158" s="2" t="str">
        <f t="shared" si="26"/>
        <v>FALSE</v>
      </c>
      <c r="V158" s="2" t="b">
        <f t="shared" si="27"/>
        <v>0</v>
      </c>
      <c r="W158" s="2" t="b">
        <f t="shared" si="28"/>
        <v>1</v>
      </c>
      <c r="X158" s="2" t="b">
        <f t="shared" si="29"/>
        <v>1</v>
      </c>
    </row>
    <row r="159" spans="1:24" ht="10.5" customHeight="1">
      <c r="A159" s="2" t="s">
        <v>344</v>
      </c>
      <c r="B159" s="3">
        <v>45687.574201388888</v>
      </c>
      <c r="C159" s="2" t="s">
        <v>345</v>
      </c>
      <c r="D159" s="2" t="s">
        <v>108</v>
      </c>
      <c r="E159" s="2" t="s">
        <v>41</v>
      </c>
      <c r="F159" s="4">
        <v>40000</v>
      </c>
      <c r="G159" s="5">
        <v>0.8</v>
      </c>
      <c r="H159" s="6">
        <v>0</v>
      </c>
      <c r="I159" s="7">
        <f t="shared" si="20"/>
        <v>32000</v>
      </c>
      <c r="J159" s="7">
        <f t="shared" si="21"/>
        <v>0</v>
      </c>
      <c r="K159" s="7">
        <f t="shared" si="22"/>
        <v>32000</v>
      </c>
      <c r="L159" s="4">
        <v>72000</v>
      </c>
      <c r="M159" s="7">
        <f t="shared" si="23"/>
        <v>104000</v>
      </c>
      <c r="N159" s="2" t="s">
        <v>58</v>
      </c>
      <c r="O159" t="s">
        <v>69</v>
      </c>
      <c r="P159" s="2" t="s">
        <v>2368</v>
      </c>
      <c r="Q159" s="2">
        <v>2</v>
      </c>
      <c r="R159" s="2" t="s">
        <v>23</v>
      </c>
      <c r="S159" s="2" t="str">
        <f t="shared" si="24"/>
        <v>Standar</v>
      </c>
      <c r="T159" s="2" t="str">
        <f t="shared" si="25"/>
        <v>FALSE</v>
      </c>
      <c r="U159" s="2" t="str">
        <f t="shared" si="26"/>
        <v>FALSE</v>
      </c>
      <c r="V159" s="2" t="b">
        <f t="shared" si="27"/>
        <v>0</v>
      </c>
      <c r="W159" s="2" t="b">
        <f t="shared" si="28"/>
        <v>0</v>
      </c>
      <c r="X159" s="2" t="b">
        <f t="shared" si="29"/>
        <v>0</v>
      </c>
    </row>
    <row r="160" spans="1:24" ht="10.5" customHeight="1">
      <c r="A160" s="2" t="s">
        <v>346</v>
      </c>
      <c r="B160" s="3">
        <v>45687.716944444437</v>
      </c>
      <c r="C160" s="2" t="s">
        <v>220</v>
      </c>
      <c r="D160" s="2" t="s">
        <v>185</v>
      </c>
      <c r="E160" s="2" t="s">
        <v>45</v>
      </c>
      <c r="F160" s="4">
        <v>10500</v>
      </c>
      <c r="G160" s="5">
        <v>3.3</v>
      </c>
      <c r="H160" s="6">
        <v>0</v>
      </c>
      <c r="I160" s="7">
        <f t="shared" si="20"/>
        <v>34650</v>
      </c>
      <c r="J160" s="7">
        <f t="shared" si="21"/>
        <v>0</v>
      </c>
      <c r="K160" s="7">
        <f t="shared" si="22"/>
        <v>34650</v>
      </c>
      <c r="L160" s="4">
        <v>87000</v>
      </c>
      <c r="M160" s="7">
        <f t="shared" si="23"/>
        <v>121650</v>
      </c>
      <c r="N160" s="2" t="s">
        <v>28</v>
      </c>
      <c r="O160" t="s">
        <v>22</v>
      </c>
      <c r="P160" s="2" t="s">
        <v>2365</v>
      </c>
      <c r="Q160" s="2">
        <v>1</v>
      </c>
      <c r="R160" s="2" t="s">
        <v>23</v>
      </c>
      <c r="S160" s="2" t="str">
        <f t="shared" si="24"/>
        <v>Standar</v>
      </c>
      <c r="T160" s="2" t="str">
        <f t="shared" si="25"/>
        <v>FALSE</v>
      </c>
      <c r="U160" s="2" t="str">
        <f t="shared" si="26"/>
        <v>FALSE</v>
      </c>
      <c r="V160" s="2" t="b">
        <f t="shared" si="27"/>
        <v>0</v>
      </c>
      <c r="W160" s="2" t="b">
        <f t="shared" si="28"/>
        <v>0</v>
      </c>
      <c r="X160" s="2" t="b">
        <f t="shared" si="29"/>
        <v>0</v>
      </c>
    </row>
    <row r="161" spans="1:24" ht="10.5" customHeight="1">
      <c r="A161" s="2" t="s">
        <v>347</v>
      </c>
      <c r="B161" s="3">
        <v>45687.746099537027</v>
      </c>
      <c r="C161" s="2" t="s">
        <v>130</v>
      </c>
      <c r="D161" s="2" t="s">
        <v>84</v>
      </c>
      <c r="E161" s="2" t="s">
        <v>32</v>
      </c>
      <c r="F161" s="4">
        <v>20000</v>
      </c>
      <c r="G161" s="5">
        <v>2.4</v>
      </c>
      <c r="H161" s="6">
        <v>0</v>
      </c>
      <c r="I161" s="7">
        <f t="shared" si="20"/>
        <v>48000</v>
      </c>
      <c r="J161" s="7">
        <f t="shared" si="21"/>
        <v>0</v>
      </c>
      <c r="K161" s="7">
        <f t="shared" si="22"/>
        <v>48000</v>
      </c>
      <c r="L161" s="4">
        <v>30000</v>
      </c>
      <c r="M161" s="7">
        <f t="shared" si="23"/>
        <v>78000</v>
      </c>
      <c r="N161" s="2" t="s">
        <v>33</v>
      </c>
      <c r="O161" t="s">
        <v>22</v>
      </c>
      <c r="P161" s="2" t="s">
        <v>2368</v>
      </c>
      <c r="Q161" s="2">
        <v>5</v>
      </c>
      <c r="R161" s="2" t="s">
        <v>23</v>
      </c>
      <c r="S161" s="2" t="str">
        <f t="shared" si="24"/>
        <v>Rendah</v>
      </c>
      <c r="T161" s="2" t="str">
        <f t="shared" si="25"/>
        <v>FALSE</v>
      </c>
      <c r="U161" s="2" t="str">
        <f t="shared" si="26"/>
        <v>FALSE</v>
      </c>
      <c r="V161" s="2" t="b">
        <f t="shared" si="27"/>
        <v>0</v>
      </c>
      <c r="W161" s="2" t="b">
        <f t="shared" si="28"/>
        <v>0</v>
      </c>
      <c r="X161" s="2" t="b">
        <f t="shared" si="29"/>
        <v>0</v>
      </c>
    </row>
    <row r="162" spans="1:24" ht="10.5" customHeight="1">
      <c r="A162" s="2" t="s">
        <v>348</v>
      </c>
      <c r="B162" s="3">
        <v>45687.775983796288</v>
      </c>
      <c r="C162" s="2" t="s">
        <v>349</v>
      </c>
      <c r="D162" s="2" t="s">
        <v>64</v>
      </c>
      <c r="E162" s="2" t="s">
        <v>32</v>
      </c>
      <c r="F162" s="4">
        <v>20000</v>
      </c>
      <c r="G162" s="5">
        <v>1.8</v>
      </c>
      <c r="H162" s="6">
        <v>0</v>
      </c>
      <c r="I162" s="7">
        <f t="shared" si="20"/>
        <v>36000</v>
      </c>
      <c r="J162" s="7">
        <f t="shared" si="21"/>
        <v>0</v>
      </c>
      <c r="K162" s="7">
        <f t="shared" si="22"/>
        <v>36000</v>
      </c>
      <c r="L162" s="4">
        <v>89000</v>
      </c>
      <c r="M162" s="7">
        <f t="shared" si="23"/>
        <v>125000</v>
      </c>
      <c r="N162" s="2" t="s">
        <v>33</v>
      </c>
      <c r="O162" t="s">
        <v>22</v>
      </c>
      <c r="P162" s="2" t="s">
        <v>2370</v>
      </c>
      <c r="Q162" s="2">
        <v>2</v>
      </c>
      <c r="R162" s="2" t="s">
        <v>23</v>
      </c>
      <c r="S162" s="2" t="str">
        <f t="shared" si="24"/>
        <v>Standar</v>
      </c>
      <c r="T162" s="2" t="str">
        <f t="shared" si="25"/>
        <v>FALSE</v>
      </c>
      <c r="U162" s="2" t="str">
        <f t="shared" si="26"/>
        <v>FALSE</v>
      </c>
      <c r="V162" s="2" t="b">
        <f t="shared" si="27"/>
        <v>0</v>
      </c>
      <c r="W162" s="2" t="b">
        <f t="shared" si="28"/>
        <v>0</v>
      </c>
      <c r="X162" s="2" t="b">
        <f t="shared" si="29"/>
        <v>0</v>
      </c>
    </row>
    <row r="163" spans="1:24" ht="10.5" customHeight="1">
      <c r="A163" s="2" t="s">
        <v>350</v>
      </c>
      <c r="B163" s="3">
        <v>45687.938599537039</v>
      </c>
      <c r="C163" s="2" t="s">
        <v>351</v>
      </c>
      <c r="D163" s="2" t="s">
        <v>64</v>
      </c>
      <c r="E163" s="2" t="s">
        <v>41</v>
      </c>
      <c r="F163" s="4">
        <v>40000</v>
      </c>
      <c r="G163" s="5">
        <v>0.5</v>
      </c>
      <c r="H163" s="6">
        <v>0</v>
      </c>
      <c r="I163" s="7">
        <f t="shared" si="20"/>
        <v>20000</v>
      </c>
      <c r="J163" s="7">
        <f t="shared" si="21"/>
        <v>0</v>
      </c>
      <c r="K163" s="7">
        <f t="shared" si="22"/>
        <v>20000</v>
      </c>
      <c r="L163" s="4">
        <v>89000</v>
      </c>
      <c r="M163" s="7">
        <f t="shared" si="23"/>
        <v>109000</v>
      </c>
      <c r="N163" s="2" t="s">
        <v>28</v>
      </c>
      <c r="O163" t="s">
        <v>22</v>
      </c>
      <c r="P163" s="2" t="s">
        <v>2370</v>
      </c>
      <c r="Q163" s="2">
        <v>5</v>
      </c>
      <c r="R163" s="2" t="s">
        <v>34</v>
      </c>
      <c r="S163" s="2" t="str">
        <f t="shared" si="24"/>
        <v>Standar</v>
      </c>
      <c r="T163" s="2" t="str">
        <f t="shared" si="25"/>
        <v>FALSE</v>
      </c>
      <c r="U163" s="2" t="str">
        <f t="shared" si="26"/>
        <v>FALSE</v>
      </c>
      <c r="V163" s="2" t="b">
        <f t="shared" si="27"/>
        <v>0</v>
      </c>
      <c r="W163" s="2" t="b">
        <f t="shared" si="28"/>
        <v>0</v>
      </c>
      <c r="X163" s="2" t="b">
        <f t="shared" si="29"/>
        <v>0</v>
      </c>
    </row>
    <row r="164" spans="1:24" ht="10.5" customHeight="1">
      <c r="A164" s="2" t="s">
        <v>352</v>
      </c>
      <c r="B164" s="3">
        <v>45688.02076388889</v>
      </c>
      <c r="C164" s="2" t="s">
        <v>353</v>
      </c>
      <c r="D164" s="2" t="s">
        <v>179</v>
      </c>
      <c r="E164" s="2" t="s">
        <v>49</v>
      </c>
      <c r="F164" s="4">
        <v>26000</v>
      </c>
      <c r="G164" s="5">
        <v>1.1000000000000001</v>
      </c>
      <c r="H164" s="6">
        <v>0</v>
      </c>
      <c r="I164" s="7">
        <f t="shared" si="20"/>
        <v>28600.000000000004</v>
      </c>
      <c r="J164" s="7">
        <f t="shared" si="21"/>
        <v>0</v>
      </c>
      <c r="K164" s="7">
        <f t="shared" si="22"/>
        <v>28600.000000000004</v>
      </c>
      <c r="L164" s="4">
        <v>57000</v>
      </c>
      <c r="M164" s="7">
        <f t="shared" si="23"/>
        <v>85600</v>
      </c>
      <c r="N164" s="2" t="s">
        <v>33</v>
      </c>
      <c r="O164" t="s">
        <v>22</v>
      </c>
      <c r="P164" s="2" t="s">
        <v>2366</v>
      </c>
      <c r="Q164" s="2">
        <v>2</v>
      </c>
      <c r="R164" s="2" t="s">
        <v>23</v>
      </c>
      <c r="S164" s="2" t="str">
        <f t="shared" si="24"/>
        <v>Rendah</v>
      </c>
      <c r="T164" s="2" t="str">
        <f t="shared" si="25"/>
        <v>FALSE</v>
      </c>
      <c r="U164" s="2" t="str">
        <f t="shared" si="26"/>
        <v>FALSE</v>
      </c>
      <c r="V164" s="2" t="b">
        <f t="shared" si="27"/>
        <v>0</v>
      </c>
      <c r="W164" s="2" t="b">
        <f t="shared" si="28"/>
        <v>0</v>
      </c>
      <c r="X164" s="2" t="b">
        <f t="shared" si="29"/>
        <v>0</v>
      </c>
    </row>
    <row r="165" spans="1:24" ht="10.5" customHeight="1">
      <c r="A165" s="2" t="s">
        <v>354</v>
      </c>
      <c r="B165" s="3">
        <v>45688.34275462963</v>
      </c>
      <c r="C165" s="2" t="s">
        <v>355</v>
      </c>
      <c r="D165" s="2" t="s">
        <v>56</v>
      </c>
      <c r="E165" s="2" t="s">
        <v>41</v>
      </c>
      <c r="F165" s="4">
        <v>40000</v>
      </c>
      <c r="G165" s="5">
        <v>1</v>
      </c>
      <c r="H165" s="6">
        <v>0</v>
      </c>
      <c r="I165" s="7">
        <f t="shared" si="20"/>
        <v>40000</v>
      </c>
      <c r="J165" s="7">
        <f t="shared" si="21"/>
        <v>0</v>
      </c>
      <c r="K165" s="7">
        <f t="shared" si="22"/>
        <v>40000</v>
      </c>
      <c r="L165" s="4">
        <v>26000</v>
      </c>
      <c r="M165" s="7">
        <f t="shared" si="23"/>
        <v>66000</v>
      </c>
      <c r="N165" s="2" t="s">
        <v>58</v>
      </c>
      <c r="O165" t="s">
        <v>22</v>
      </c>
      <c r="P165" s="2" t="s">
        <v>2365</v>
      </c>
      <c r="Q165" s="2">
        <v>3</v>
      </c>
      <c r="R165" s="2" t="s">
        <v>23</v>
      </c>
      <c r="S165" s="2" t="str">
        <f t="shared" si="24"/>
        <v>Rendah</v>
      </c>
      <c r="T165" s="2" t="str">
        <f t="shared" si="25"/>
        <v>FALSE</v>
      </c>
      <c r="U165" s="2" t="str">
        <f t="shared" si="26"/>
        <v>FALSE</v>
      </c>
      <c r="V165" s="2" t="b">
        <f t="shared" si="27"/>
        <v>0</v>
      </c>
      <c r="W165" s="2" t="b">
        <f t="shared" si="28"/>
        <v>0</v>
      </c>
      <c r="X165" s="2" t="b">
        <f t="shared" si="29"/>
        <v>0</v>
      </c>
    </row>
    <row r="166" spans="1:24" ht="10.5" customHeight="1">
      <c r="A166" s="2" t="s">
        <v>356</v>
      </c>
      <c r="B166" s="3">
        <v>45688.34920138889</v>
      </c>
      <c r="C166" s="2" t="s">
        <v>130</v>
      </c>
      <c r="D166" s="2" t="s">
        <v>84</v>
      </c>
      <c r="E166" s="2" t="s">
        <v>57</v>
      </c>
      <c r="F166" s="4">
        <v>17500</v>
      </c>
      <c r="G166" s="5">
        <v>2.2999999999999998</v>
      </c>
      <c r="H166" s="6">
        <v>0</v>
      </c>
      <c r="I166" s="7">
        <f t="shared" si="20"/>
        <v>40250</v>
      </c>
      <c r="J166" s="7">
        <f t="shared" si="21"/>
        <v>0</v>
      </c>
      <c r="K166" s="7">
        <f t="shared" si="22"/>
        <v>40250</v>
      </c>
      <c r="L166" s="4">
        <v>30000</v>
      </c>
      <c r="M166" s="7">
        <f t="shared" si="23"/>
        <v>70250</v>
      </c>
      <c r="N166" s="2" t="s">
        <v>58</v>
      </c>
      <c r="O166" t="s">
        <v>22</v>
      </c>
      <c r="P166" s="2" t="s">
        <v>2367</v>
      </c>
      <c r="Q166" s="2">
        <v>5</v>
      </c>
      <c r="R166" s="2" t="s">
        <v>23</v>
      </c>
      <c r="S166" s="2" t="str">
        <f t="shared" si="24"/>
        <v>Rendah</v>
      </c>
      <c r="T166" s="2" t="str">
        <f t="shared" si="25"/>
        <v>FALSE</v>
      </c>
      <c r="U166" s="2" t="str">
        <f t="shared" si="26"/>
        <v>FALSE</v>
      </c>
      <c r="V166" s="2" t="b">
        <f t="shared" si="27"/>
        <v>0</v>
      </c>
      <c r="W166" s="2" t="b">
        <f t="shared" si="28"/>
        <v>1</v>
      </c>
      <c r="X166" s="2" t="b">
        <f t="shared" si="29"/>
        <v>0</v>
      </c>
    </row>
    <row r="167" spans="1:24" ht="10.5" customHeight="1">
      <c r="A167" s="2" t="s">
        <v>357</v>
      </c>
      <c r="B167" s="3">
        <v>45688.380185185182</v>
      </c>
      <c r="C167" s="2" t="s">
        <v>358</v>
      </c>
      <c r="D167" s="2" t="s">
        <v>105</v>
      </c>
      <c r="E167" s="2" t="s">
        <v>53</v>
      </c>
      <c r="F167" s="4">
        <v>14000</v>
      </c>
      <c r="G167" s="5">
        <v>0.5</v>
      </c>
      <c r="H167" s="6">
        <v>0</v>
      </c>
      <c r="I167" s="7">
        <f t="shared" si="20"/>
        <v>7000</v>
      </c>
      <c r="J167" s="7">
        <f t="shared" si="21"/>
        <v>0</v>
      </c>
      <c r="K167" s="7">
        <f t="shared" si="22"/>
        <v>7000</v>
      </c>
      <c r="L167" s="4">
        <v>18000</v>
      </c>
      <c r="M167" s="7">
        <f t="shared" si="23"/>
        <v>25000</v>
      </c>
      <c r="N167" s="2" t="s">
        <v>33</v>
      </c>
      <c r="O167" t="s">
        <v>22</v>
      </c>
      <c r="P167" s="2" t="s">
        <v>2367</v>
      </c>
      <c r="Q167" s="2">
        <v>5</v>
      </c>
      <c r="R167" s="2" t="s">
        <v>34</v>
      </c>
      <c r="S167" s="2" t="str">
        <f t="shared" si="24"/>
        <v>Sangat Rendah</v>
      </c>
      <c r="T167" s="2" t="str">
        <f t="shared" si="25"/>
        <v>FALSE</v>
      </c>
      <c r="U167" s="2" t="str">
        <f t="shared" si="26"/>
        <v>FALSE</v>
      </c>
      <c r="V167" s="2" t="b">
        <f t="shared" si="27"/>
        <v>0</v>
      </c>
      <c r="W167" s="2" t="b">
        <f t="shared" si="28"/>
        <v>1</v>
      </c>
      <c r="X167" s="2" t="b">
        <f t="shared" si="29"/>
        <v>0</v>
      </c>
    </row>
    <row r="168" spans="1:24" ht="10.5" customHeight="1">
      <c r="A168" s="2" t="s">
        <v>359</v>
      </c>
      <c r="B168" s="3">
        <v>45688.391388888893</v>
      </c>
      <c r="C168" s="2" t="s">
        <v>316</v>
      </c>
      <c r="D168" s="2" t="s">
        <v>252</v>
      </c>
      <c r="E168" s="2" t="s">
        <v>182</v>
      </c>
      <c r="F168" s="4">
        <v>11000</v>
      </c>
      <c r="G168" s="5">
        <v>0.4</v>
      </c>
      <c r="H168" s="6">
        <v>0</v>
      </c>
      <c r="I168" s="7">
        <f t="shared" si="20"/>
        <v>4400</v>
      </c>
      <c r="J168" s="7">
        <f t="shared" si="21"/>
        <v>0</v>
      </c>
      <c r="K168" s="7">
        <f t="shared" si="22"/>
        <v>4400</v>
      </c>
      <c r="L168" s="4">
        <v>18000</v>
      </c>
      <c r="M168" s="7">
        <f t="shared" si="23"/>
        <v>22400</v>
      </c>
      <c r="N168" s="2" t="s">
        <v>28</v>
      </c>
      <c r="O168" t="s">
        <v>22</v>
      </c>
      <c r="P168" s="2" t="s">
        <v>2367</v>
      </c>
      <c r="Q168" s="2">
        <v>5</v>
      </c>
      <c r="R168" s="2" t="s">
        <v>34</v>
      </c>
      <c r="S168" s="2" t="str">
        <f t="shared" si="24"/>
        <v>Sangat Rendah</v>
      </c>
      <c r="T168" s="2" t="str">
        <f t="shared" si="25"/>
        <v>FALSE</v>
      </c>
      <c r="U168" s="2" t="str">
        <f t="shared" si="26"/>
        <v>FALSE</v>
      </c>
      <c r="V168" s="2" t="b">
        <f t="shared" si="27"/>
        <v>0</v>
      </c>
      <c r="W168" s="2" t="b">
        <f t="shared" si="28"/>
        <v>1</v>
      </c>
      <c r="X168" s="2" t="b">
        <f t="shared" si="29"/>
        <v>0</v>
      </c>
    </row>
    <row r="169" spans="1:24" ht="10.5" customHeight="1">
      <c r="A169" s="2" t="s">
        <v>360</v>
      </c>
      <c r="B169" s="3">
        <v>45688.398599537039</v>
      </c>
      <c r="C169" s="2" t="s">
        <v>361</v>
      </c>
      <c r="D169" s="2" t="s">
        <v>26</v>
      </c>
      <c r="E169" s="2" t="s">
        <v>20</v>
      </c>
      <c r="F169" s="4">
        <v>10000</v>
      </c>
      <c r="G169" s="5">
        <v>3.5</v>
      </c>
      <c r="H169" s="6">
        <v>0</v>
      </c>
      <c r="I169" s="7">
        <f t="shared" si="20"/>
        <v>35000</v>
      </c>
      <c r="J169" s="7">
        <f t="shared" si="21"/>
        <v>0</v>
      </c>
      <c r="K169" s="7">
        <f t="shared" si="22"/>
        <v>35000</v>
      </c>
      <c r="L169" s="4">
        <v>17000</v>
      </c>
      <c r="M169" s="7">
        <f t="shared" si="23"/>
        <v>52000</v>
      </c>
      <c r="N169" s="2" t="s">
        <v>21</v>
      </c>
      <c r="O169" t="s">
        <v>22</v>
      </c>
      <c r="P169" s="2" t="s">
        <v>2367</v>
      </c>
      <c r="Q169" s="2">
        <v>3</v>
      </c>
      <c r="R169" s="2" t="s">
        <v>23</v>
      </c>
      <c r="S169" s="2" t="str">
        <f t="shared" si="24"/>
        <v>Rendah</v>
      </c>
      <c r="T169" s="2" t="str">
        <f t="shared" si="25"/>
        <v>FALSE</v>
      </c>
      <c r="U169" s="2" t="str">
        <f t="shared" si="26"/>
        <v>FALSE</v>
      </c>
      <c r="V169" s="2" t="b">
        <f t="shared" si="27"/>
        <v>0</v>
      </c>
      <c r="W169" s="2" t="b">
        <f t="shared" si="28"/>
        <v>1</v>
      </c>
      <c r="X169" s="2" t="b">
        <f t="shared" si="29"/>
        <v>0</v>
      </c>
    </row>
    <row r="170" spans="1:24" ht="10.5" customHeight="1">
      <c r="A170" s="2" t="s">
        <v>362</v>
      </c>
      <c r="B170" s="3">
        <v>45688.402858796297</v>
      </c>
      <c r="C170" s="2" t="s">
        <v>25</v>
      </c>
      <c r="D170" s="2" t="s">
        <v>26</v>
      </c>
      <c r="E170" s="2" t="s">
        <v>99</v>
      </c>
      <c r="F170" s="4">
        <v>10000</v>
      </c>
      <c r="G170" s="5">
        <v>1.1000000000000001</v>
      </c>
      <c r="H170" s="6">
        <v>0</v>
      </c>
      <c r="I170" s="7">
        <f t="shared" si="20"/>
        <v>11000</v>
      </c>
      <c r="J170" s="7">
        <f t="shared" si="21"/>
        <v>0</v>
      </c>
      <c r="K170" s="7">
        <f t="shared" si="22"/>
        <v>11000</v>
      </c>
      <c r="L170" s="4">
        <v>17000</v>
      </c>
      <c r="M170" s="7">
        <f t="shared" si="23"/>
        <v>28000</v>
      </c>
      <c r="N170" s="2" t="s">
        <v>33</v>
      </c>
      <c r="O170" t="s">
        <v>22</v>
      </c>
      <c r="P170" s="2" t="s">
        <v>2366</v>
      </c>
      <c r="Q170" s="2">
        <v>2</v>
      </c>
      <c r="R170" s="2" t="s">
        <v>23</v>
      </c>
      <c r="S170" s="2" t="str">
        <f t="shared" si="24"/>
        <v>Sangat Rendah</v>
      </c>
      <c r="T170" s="2" t="str">
        <f t="shared" si="25"/>
        <v>FALSE</v>
      </c>
      <c r="U170" s="2" t="str">
        <f t="shared" si="26"/>
        <v>FALSE</v>
      </c>
      <c r="V170" s="2" t="b">
        <f t="shared" si="27"/>
        <v>0</v>
      </c>
      <c r="W170" s="2" t="b">
        <f t="shared" si="28"/>
        <v>0</v>
      </c>
      <c r="X170" s="2" t="b">
        <f t="shared" si="29"/>
        <v>1</v>
      </c>
    </row>
    <row r="171" spans="1:24" ht="10.5" customHeight="1">
      <c r="A171" s="2" t="s">
        <v>363</v>
      </c>
      <c r="B171" s="3">
        <v>45688.42491898148</v>
      </c>
      <c r="C171" s="2" t="s">
        <v>364</v>
      </c>
      <c r="D171" s="2" t="s">
        <v>365</v>
      </c>
      <c r="E171" s="2" t="s">
        <v>32</v>
      </c>
      <c r="F171" s="4">
        <v>20000</v>
      </c>
      <c r="G171" s="5">
        <v>2.7</v>
      </c>
      <c r="H171" s="6">
        <v>0</v>
      </c>
      <c r="I171" s="7">
        <f t="shared" si="20"/>
        <v>54000</v>
      </c>
      <c r="J171" s="7">
        <f t="shared" si="21"/>
        <v>0</v>
      </c>
      <c r="K171" s="7">
        <f t="shared" si="22"/>
        <v>54000</v>
      </c>
      <c r="L171" s="4">
        <v>21000</v>
      </c>
      <c r="M171" s="7">
        <f t="shared" si="23"/>
        <v>75000</v>
      </c>
      <c r="N171" s="2" t="s">
        <v>58</v>
      </c>
      <c r="O171" t="s">
        <v>22</v>
      </c>
      <c r="P171" s="2" t="s">
        <v>2368</v>
      </c>
      <c r="Q171" s="2">
        <v>4</v>
      </c>
      <c r="R171" s="2" t="s">
        <v>34</v>
      </c>
      <c r="S171" s="2" t="str">
        <f t="shared" si="24"/>
        <v>Rendah</v>
      </c>
      <c r="T171" s="2" t="str">
        <f t="shared" si="25"/>
        <v>FALSE</v>
      </c>
      <c r="U171" s="2" t="str">
        <f t="shared" si="26"/>
        <v>FALSE</v>
      </c>
      <c r="V171" s="2" t="b">
        <f t="shared" si="27"/>
        <v>0</v>
      </c>
      <c r="W171" s="2" t="b">
        <f t="shared" si="28"/>
        <v>0</v>
      </c>
      <c r="X171" s="2" t="b">
        <f t="shared" si="29"/>
        <v>0</v>
      </c>
    </row>
    <row r="172" spans="1:24" ht="10.5" customHeight="1">
      <c r="A172" s="2" t="s">
        <v>366</v>
      </c>
      <c r="B172" s="3">
        <v>45688.437939814823</v>
      </c>
      <c r="C172" s="2" t="s">
        <v>367</v>
      </c>
      <c r="D172" s="2" t="s">
        <v>173</v>
      </c>
      <c r="E172" s="2" t="s">
        <v>80</v>
      </c>
      <c r="F172" s="4">
        <v>15000</v>
      </c>
      <c r="G172" s="5">
        <v>2.2999999999999998</v>
      </c>
      <c r="H172" s="6">
        <v>0</v>
      </c>
      <c r="I172" s="7">
        <f t="shared" si="20"/>
        <v>34500</v>
      </c>
      <c r="J172" s="7">
        <f t="shared" si="21"/>
        <v>0</v>
      </c>
      <c r="K172" s="7">
        <f t="shared" si="22"/>
        <v>34500</v>
      </c>
      <c r="L172" s="4">
        <v>48000</v>
      </c>
      <c r="M172" s="7">
        <f t="shared" si="23"/>
        <v>82500</v>
      </c>
      <c r="N172" s="2" t="s">
        <v>28</v>
      </c>
      <c r="O172" t="s">
        <v>22</v>
      </c>
      <c r="P172" s="2" t="s">
        <v>2370</v>
      </c>
      <c r="Q172" s="2">
        <v>4</v>
      </c>
      <c r="R172" s="2" t="s">
        <v>23</v>
      </c>
      <c r="S172" s="2" t="str">
        <f t="shared" si="24"/>
        <v>Rendah</v>
      </c>
      <c r="T172" s="2" t="str">
        <f t="shared" si="25"/>
        <v>FALSE</v>
      </c>
      <c r="U172" s="2" t="str">
        <f t="shared" si="26"/>
        <v>FALSE</v>
      </c>
      <c r="V172" s="2" t="b">
        <f t="shared" si="27"/>
        <v>0</v>
      </c>
      <c r="W172" s="2" t="b">
        <f t="shared" si="28"/>
        <v>0</v>
      </c>
      <c r="X172" s="2" t="b">
        <f t="shared" si="29"/>
        <v>0</v>
      </c>
    </row>
    <row r="173" spans="1:24" ht="10.5" customHeight="1">
      <c r="A173" s="2" t="s">
        <v>368</v>
      </c>
      <c r="B173" s="3">
        <v>45688.482395833344</v>
      </c>
      <c r="C173" s="2" t="s">
        <v>369</v>
      </c>
      <c r="D173" s="2" t="s">
        <v>26</v>
      </c>
      <c r="E173" s="2" t="s">
        <v>32</v>
      </c>
      <c r="F173" s="4">
        <v>20000</v>
      </c>
      <c r="G173" s="5">
        <v>1.2</v>
      </c>
      <c r="H173" s="6">
        <v>0</v>
      </c>
      <c r="I173" s="7">
        <f t="shared" si="20"/>
        <v>24000</v>
      </c>
      <c r="J173" s="7">
        <f t="shared" si="21"/>
        <v>0</v>
      </c>
      <c r="K173" s="7">
        <f t="shared" si="22"/>
        <v>24000</v>
      </c>
      <c r="L173" s="4">
        <v>17000</v>
      </c>
      <c r="M173" s="7">
        <f t="shared" si="23"/>
        <v>41000</v>
      </c>
      <c r="N173" s="2" t="s">
        <v>33</v>
      </c>
      <c r="O173" t="s">
        <v>22</v>
      </c>
      <c r="P173" s="2" t="s">
        <v>2370</v>
      </c>
      <c r="Q173" s="2">
        <v>2</v>
      </c>
      <c r="R173" s="2" t="s">
        <v>23</v>
      </c>
      <c r="S173" s="2" t="str">
        <f t="shared" si="24"/>
        <v>Sangat Rendah</v>
      </c>
      <c r="T173" s="2" t="str">
        <f t="shared" si="25"/>
        <v>FALSE</v>
      </c>
      <c r="U173" s="2" t="str">
        <f t="shared" si="26"/>
        <v>FALSE</v>
      </c>
      <c r="V173" s="2" t="b">
        <f t="shared" si="27"/>
        <v>0</v>
      </c>
      <c r="W173" s="2" t="b">
        <f t="shared" si="28"/>
        <v>0</v>
      </c>
      <c r="X173" s="2" t="b">
        <f t="shared" si="29"/>
        <v>1</v>
      </c>
    </row>
    <row r="174" spans="1:24" ht="10.5" customHeight="1">
      <c r="A174" s="2" t="s">
        <v>370</v>
      </c>
      <c r="B174" s="3">
        <v>45688.510706018518</v>
      </c>
      <c r="C174" s="2" t="s">
        <v>371</v>
      </c>
      <c r="D174" s="2" t="s">
        <v>94</v>
      </c>
      <c r="E174" s="2" t="s">
        <v>75</v>
      </c>
      <c r="F174" s="4">
        <v>45000</v>
      </c>
      <c r="G174" s="5">
        <v>1.8</v>
      </c>
      <c r="H174" s="6">
        <v>0</v>
      </c>
      <c r="I174" s="7">
        <f t="shared" si="20"/>
        <v>81000</v>
      </c>
      <c r="J174" s="7">
        <f t="shared" si="21"/>
        <v>0</v>
      </c>
      <c r="K174" s="7">
        <f t="shared" si="22"/>
        <v>81000</v>
      </c>
      <c r="L174" s="4">
        <v>85000</v>
      </c>
      <c r="M174" s="7">
        <f t="shared" si="23"/>
        <v>166000</v>
      </c>
      <c r="N174" s="2" t="s">
        <v>58</v>
      </c>
      <c r="O174" t="s">
        <v>69</v>
      </c>
      <c r="P174" s="2" t="s">
        <v>2365</v>
      </c>
      <c r="Q174" s="2">
        <v>3</v>
      </c>
      <c r="R174" s="2" t="s">
        <v>23</v>
      </c>
      <c r="S174" s="2" t="str">
        <f t="shared" si="24"/>
        <v>Tinggi</v>
      </c>
      <c r="T174" s="2" t="str">
        <f t="shared" si="25"/>
        <v>FALSE</v>
      </c>
      <c r="U174" s="2" t="str">
        <f t="shared" si="26"/>
        <v>TRUE</v>
      </c>
      <c r="V174" s="2" t="b">
        <f t="shared" si="27"/>
        <v>0</v>
      </c>
      <c r="W174" s="2" t="b">
        <f t="shared" si="28"/>
        <v>0</v>
      </c>
      <c r="X174" s="2" t="b">
        <f t="shared" si="29"/>
        <v>0</v>
      </c>
    </row>
    <row r="175" spans="1:24" ht="10.5" customHeight="1">
      <c r="A175" s="2" t="s">
        <v>372</v>
      </c>
      <c r="B175" s="3">
        <v>45688.521111111113</v>
      </c>
      <c r="C175" s="2" t="s">
        <v>373</v>
      </c>
      <c r="D175" s="2" t="s">
        <v>114</v>
      </c>
      <c r="E175" s="2" t="s">
        <v>27</v>
      </c>
      <c r="F175" s="4">
        <v>15000</v>
      </c>
      <c r="G175" s="5">
        <v>0.1</v>
      </c>
      <c r="H175" s="6">
        <v>0</v>
      </c>
      <c r="I175" s="7">
        <f t="shared" si="20"/>
        <v>1500</v>
      </c>
      <c r="J175" s="7">
        <f t="shared" si="21"/>
        <v>0</v>
      </c>
      <c r="K175" s="7">
        <f t="shared" si="22"/>
        <v>1500</v>
      </c>
      <c r="L175" s="4">
        <v>78000</v>
      </c>
      <c r="M175" s="7">
        <f t="shared" si="23"/>
        <v>79500</v>
      </c>
      <c r="N175" s="2" t="s">
        <v>33</v>
      </c>
      <c r="O175" t="s">
        <v>22</v>
      </c>
      <c r="P175" s="2" t="s">
        <v>2365</v>
      </c>
      <c r="Q175" s="2">
        <v>5</v>
      </c>
      <c r="R175" s="2" t="s">
        <v>23</v>
      </c>
      <c r="S175" s="2" t="str">
        <f t="shared" si="24"/>
        <v>Rendah</v>
      </c>
      <c r="T175" s="2" t="str">
        <f t="shared" si="25"/>
        <v>TRUE</v>
      </c>
      <c r="U175" s="2" t="str">
        <f t="shared" si="26"/>
        <v>FALSE</v>
      </c>
      <c r="V175" s="2" t="b">
        <f t="shared" si="27"/>
        <v>0</v>
      </c>
      <c r="W175" s="2" t="b">
        <f t="shared" si="28"/>
        <v>0</v>
      </c>
      <c r="X175" s="2" t="b">
        <f t="shared" si="29"/>
        <v>0</v>
      </c>
    </row>
    <row r="176" spans="1:24" ht="10.5" customHeight="1">
      <c r="A176" s="2" t="s">
        <v>374</v>
      </c>
      <c r="B176" s="3">
        <v>45688.548483796287</v>
      </c>
      <c r="C176" s="2" t="s">
        <v>375</v>
      </c>
      <c r="D176" s="2" t="s">
        <v>365</v>
      </c>
      <c r="E176" s="2" t="s">
        <v>99</v>
      </c>
      <c r="F176" s="4">
        <v>10000</v>
      </c>
      <c r="G176" s="5">
        <v>0.2</v>
      </c>
      <c r="H176" s="6">
        <v>0</v>
      </c>
      <c r="I176" s="7">
        <f t="shared" si="20"/>
        <v>2000</v>
      </c>
      <c r="J176" s="7">
        <f t="shared" si="21"/>
        <v>0</v>
      </c>
      <c r="K176" s="7">
        <f t="shared" si="22"/>
        <v>2000</v>
      </c>
      <c r="L176" s="4">
        <v>21000</v>
      </c>
      <c r="M176" s="7">
        <f t="shared" si="23"/>
        <v>23000</v>
      </c>
      <c r="N176" s="2" t="s">
        <v>58</v>
      </c>
      <c r="O176" t="s">
        <v>115</v>
      </c>
      <c r="P176" s="2" t="s">
        <v>2368</v>
      </c>
      <c r="Q176" s="2">
        <v>5</v>
      </c>
      <c r="R176" s="2" t="s">
        <v>23</v>
      </c>
      <c r="S176" s="2" t="str">
        <f t="shared" si="24"/>
        <v>Sangat Rendah</v>
      </c>
      <c r="T176" s="2" t="str">
        <f t="shared" si="25"/>
        <v>FALSE</v>
      </c>
      <c r="U176" s="2" t="str">
        <f t="shared" si="26"/>
        <v>FALSE</v>
      </c>
      <c r="V176" s="2" t="b">
        <f t="shared" si="27"/>
        <v>0</v>
      </c>
      <c r="W176" s="2" t="b">
        <f t="shared" si="28"/>
        <v>0</v>
      </c>
      <c r="X176" s="2" t="b">
        <f t="shared" si="29"/>
        <v>1</v>
      </c>
    </row>
    <row r="177" spans="1:24" ht="10.5" customHeight="1">
      <c r="A177" s="2" t="s">
        <v>376</v>
      </c>
      <c r="B177" s="3">
        <v>45688.809131944443</v>
      </c>
      <c r="C177" s="2" t="s">
        <v>377</v>
      </c>
      <c r="D177" s="2" t="s">
        <v>44</v>
      </c>
      <c r="E177" s="2" t="s">
        <v>65</v>
      </c>
      <c r="F177" s="4">
        <v>46000</v>
      </c>
      <c r="G177" s="5">
        <v>0.8</v>
      </c>
      <c r="H177" s="6">
        <v>0</v>
      </c>
      <c r="I177" s="7">
        <f t="shared" si="20"/>
        <v>36800</v>
      </c>
      <c r="J177" s="7">
        <f t="shared" si="21"/>
        <v>0</v>
      </c>
      <c r="K177" s="7">
        <f t="shared" si="22"/>
        <v>36800</v>
      </c>
      <c r="L177" s="4">
        <v>43000</v>
      </c>
      <c r="M177" s="7">
        <f t="shared" si="23"/>
        <v>79800</v>
      </c>
      <c r="N177" s="2" t="s">
        <v>33</v>
      </c>
      <c r="O177" t="s">
        <v>22</v>
      </c>
      <c r="P177" s="2" t="s">
        <v>2367</v>
      </c>
      <c r="Q177" s="2">
        <v>3</v>
      </c>
      <c r="R177" s="2" t="s">
        <v>34</v>
      </c>
      <c r="S177" s="2" t="str">
        <f t="shared" si="24"/>
        <v>Rendah</v>
      </c>
      <c r="T177" s="2" t="str">
        <f t="shared" si="25"/>
        <v>FALSE</v>
      </c>
      <c r="U177" s="2" t="str">
        <f t="shared" si="26"/>
        <v>FALSE</v>
      </c>
      <c r="V177" s="2" t="b">
        <f t="shared" si="27"/>
        <v>0</v>
      </c>
      <c r="W177" s="2" t="b">
        <f t="shared" si="28"/>
        <v>1</v>
      </c>
      <c r="X177" s="2" t="b">
        <f t="shared" si="29"/>
        <v>0</v>
      </c>
    </row>
    <row r="178" spans="1:24" ht="10.5" customHeight="1">
      <c r="A178" s="2" t="s">
        <v>378</v>
      </c>
      <c r="B178" s="3">
        <v>45688.810023148151</v>
      </c>
      <c r="C178" s="2" t="s">
        <v>379</v>
      </c>
      <c r="D178" s="2" t="s">
        <v>173</v>
      </c>
      <c r="E178" s="2" t="s">
        <v>80</v>
      </c>
      <c r="F178" s="4">
        <v>15000</v>
      </c>
      <c r="G178" s="5">
        <v>1.1000000000000001</v>
      </c>
      <c r="H178" s="6">
        <v>0</v>
      </c>
      <c r="I178" s="7">
        <f t="shared" si="20"/>
        <v>16500</v>
      </c>
      <c r="J178" s="7">
        <f t="shared" si="21"/>
        <v>0</v>
      </c>
      <c r="K178" s="7">
        <f t="shared" si="22"/>
        <v>16500</v>
      </c>
      <c r="L178" s="4">
        <v>48000</v>
      </c>
      <c r="M178" s="7">
        <f t="shared" si="23"/>
        <v>64500</v>
      </c>
      <c r="N178" s="2" t="s">
        <v>28</v>
      </c>
      <c r="O178" t="s">
        <v>22</v>
      </c>
      <c r="P178" s="2" t="s">
        <v>2365</v>
      </c>
      <c r="Q178" s="2">
        <v>4</v>
      </c>
      <c r="R178" s="2" t="s">
        <v>23</v>
      </c>
      <c r="S178" s="2" t="str">
        <f t="shared" si="24"/>
        <v>Rendah</v>
      </c>
      <c r="T178" s="2" t="str">
        <f t="shared" si="25"/>
        <v>FALSE</v>
      </c>
      <c r="U178" s="2" t="str">
        <f t="shared" si="26"/>
        <v>FALSE</v>
      </c>
      <c r="V178" s="2" t="b">
        <f t="shared" si="27"/>
        <v>0</v>
      </c>
      <c r="W178" s="2" t="b">
        <f t="shared" si="28"/>
        <v>0</v>
      </c>
      <c r="X178" s="2" t="b">
        <f t="shared" si="29"/>
        <v>0</v>
      </c>
    </row>
    <row r="179" spans="1:24" ht="10.5" customHeight="1">
      <c r="A179" s="2" t="s">
        <v>380</v>
      </c>
      <c r="B179" s="3">
        <v>45688.817789351851</v>
      </c>
      <c r="C179" s="2" t="s">
        <v>381</v>
      </c>
      <c r="D179" s="2" t="s">
        <v>114</v>
      </c>
      <c r="E179" s="2" t="s">
        <v>35</v>
      </c>
      <c r="F179" s="4">
        <v>13500</v>
      </c>
      <c r="G179" s="5">
        <v>2.2999999999999998</v>
      </c>
      <c r="H179" s="6">
        <v>0</v>
      </c>
      <c r="I179" s="7">
        <f t="shared" si="20"/>
        <v>31049.999999999996</v>
      </c>
      <c r="J179" s="7">
        <f t="shared" si="21"/>
        <v>0</v>
      </c>
      <c r="K179" s="7">
        <f t="shared" si="22"/>
        <v>31049.999999999996</v>
      </c>
      <c r="L179" s="4">
        <v>78000</v>
      </c>
      <c r="M179" s="7">
        <f t="shared" si="23"/>
        <v>109050</v>
      </c>
      <c r="N179" s="2" t="s">
        <v>33</v>
      </c>
      <c r="O179" t="s">
        <v>22</v>
      </c>
      <c r="P179" s="2" t="s">
        <v>2370</v>
      </c>
      <c r="Q179" s="2">
        <v>5</v>
      </c>
      <c r="R179" s="2" t="s">
        <v>23</v>
      </c>
      <c r="S179" s="2" t="str">
        <f t="shared" si="24"/>
        <v>Standar</v>
      </c>
      <c r="T179" s="2" t="str">
        <f t="shared" si="25"/>
        <v>FALSE</v>
      </c>
      <c r="U179" s="2" t="str">
        <f t="shared" si="26"/>
        <v>FALSE</v>
      </c>
      <c r="V179" s="2" t="b">
        <f t="shared" si="27"/>
        <v>0</v>
      </c>
      <c r="W179" s="2" t="b">
        <f t="shared" si="28"/>
        <v>0</v>
      </c>
      <c r="X179" s="2" t="b">
        <f t="shared" si="29"/>
        <v>0</v>
      </c>
    </row>
    <row r="180" spans="1:24" ht="10.5" customHeight="1">
      <c r="A180" s="2" t="s">
        <v>382</v>
      </c>
      <c r="B180" s="3">
        <v>45688.823483796303</v>
      </c>
      <c r="C180" s="2" t="s">
        <v>192</v>
      </c>
      <c r="D180" s="2" t="s">
        <v>98</v>
      </c>
      <c r="E180" s="2" t="s">
        <v>143</v>
      </c>
      <c r="F180" s="4">
        <v>10000</v>
      </c>
      <c r="G180" s="5">
        <v>0.6</v>
      </c>
      <c r="H180" s="6">
        <v>0</v>
      </c>
      <c r="I180" s="7">
        <f t="shared" si="20"/>
        <v>6000</v>
      </c>
      <c r="J180" s="7">
        <f t="shared" si="21"/>
        <v>0</v>
      </c>
      <c r="K180" s="7">
        <f t="shared" si="22"/>
        <v>6000</v>
      </c>
      <c r="L180" s="4">
        <v>97000</v>
      </c>
      <c r="M180" s="7">
        <f t="shared" si="23"/>
        <v>103000</v>
      </c>
      <c r="N180" s="2" t="s">
        <v>33</v>
      </c>
      <c r="O180" t="s">
        <v>69</v>
      </c>
      <c r="P180" s="2" t="s">
        <v>2370</v>
      </c>
      <c r="Q180" s="2">
        <v>1</v>
      </c>
      <c r="R180" s="2" t="s">
        <v>23</v>
      </c>
      <c r="S180" s="2" t="str">
        <f t="shared" si="24"/>
        <v>Standar</v>
      </c>
      <c r="T180" s="2" t="str">
        <f t="shared" si="25"/>
        <v>FALSE</v>
      </c>
      <c r="U180" s="2" t="str">
        <f t="shared" si="26"/>
        <v>TRUE</v>
      </c>
      <c r="V180" s="2" t="b">
        <f t="shared" si="27"/>
        <v>0</v>
      </c>
      <c r="W180" s="2" t="b">
        <f t="shared" si="28"/>
        <v>0</v>
      </c>
      <c r="X180" s="2" t="b">
        <f t="shared" si="29"/>
        <v>0</v>
      </c>
    </row>
    <row r="181" spans="1:24" ht="10.5" customHeight="1">
      <c r="A181" s="2" t="s">
        <v>382</v>
      </c>
      <c r="B181" s="3">
        <v>45688.823483796303</v>
      </c>
      <c r="C181" s="2" t="s">
        <v>192</v>
      </c>
      <c r="D181" s="2" t="s">
        <v>98</v>
      </c>
      <c r="E181" s="2" t="s">
        <v>80</v>
      </c>
      <c r="F181" s="4">
        <v>15000</v>
      </c>
      <c r="G181" s="5">
        <v>1.5</v>
      </c>
      <c r="H181" s="6">
        <v>0</v>
      </c>
      <c r="I181" s="7">
        <f t="shared" si="20"/>
        <v>22500</v>
      </c>
      <c r="J181" s="7">
        <f t="shared" si="21"/>
        <v>0</v>
      </c>
      <c r="K181" s="7">
        <f t="shared" si="22"/>
        <v>22500</v>
      </c>
      <c r="L181" s="4">
        <v>0</v>
      </c>
      <c r="M181" s="7">
        <f t="shared" si="23"/>
        <v>22500</v>
      </c>
      <c r="N181" s="2" t="s">
        <v>33</v>
      </c>
      <c r="O181" t="s">
        <v>69</v>
      </c>
      <c r="P181" s="2" t="s">
        <v>2370</v>
      </c>
      <c r="Q181" s="2">
        <v>1</v>
      </c>
      <c r="R181" s="2" t="s">
        <v>23</v>
      </c>
      <c r="S181" s="2" t="str">
        <f t="shared" si="24"/>
        <v>Sangat Rendah</v>
      </c>
      <c r="T181" s="2" t="str">
        <f t="shared" si="25"/>
        <v>FALSE</v>
      </c>
      <c r="U181" s="2" t="str">
        <f t="shared" si="26"/>
        <v>FALSE</v>
      </c>
      <c r="V181" s="2" t="b">
        <f t="shared" si="27"/>
        <v>0</v>
      </c>
      <c r="W181" s="2" t="b">
        <f t="shared" si="28"/>
        <v>0</v>
      </c>
      <c r="X181" s="2" t="b">
        <f t="shared" si="29"/>
        <v>1</v>
      </c>
    </row>
    <row r="182" spans="1:24" ht="10.5" customHeight="1">
      <c r="A182" s="2" t="s">
        <v>383</v>
      </c>
      <c r="B182" s="3">
        <v>45689.184710648151</v>
      </c>
      <c r="C182" s="2" t="s">
        <v>384</v>
      </c>
      <c r="D182" s="2" t="s">
        <v>48</v>
      </c>
      <c r="E182" s="2" t="s">
        <v>102</v>
      </c>
      <c r="F182" s="4">
        <v>55000</v>
      </c>
      <c r="G182" s="5">
        <v>1.1000000000000001</v>
      </c>
      <c r="H182" s="6">
        <v>0</v>
      </c>
      <c r="I182" s="7">
        <f t="shared" si="20"/>
        <v>60500.000000000007</v>
      </c>
      <c r="J182" s="7">
        <f t="shared" si="21"/>
        <v>0</v>
      </c>
      <c r="K182" s="7">
        <f t="shared" si="22"/>
        <v>60500.000000000007</v>
      </c>
      <c r="L182" s="4">
        <v>18000</v>
      </c>
      <c r="M182" s="7">
        <f t="shared" si="23"/>
        <v>78500</v>
      </c>
      <c r="N182" s="2" t="s">
        <v>21</v>
      </c>
      <c r="O182" t="s">
        <v>22</v>
      </c>
      <c r="P182" s="2" t="s">
        <v>2366</v>
      </c>
      <c r="Q182" s="2">
        <v>2</v>
      </c>
      <c r="R182" s="2" t="s">
        <v>23</v>
      </c>
      <c r="S182" s="2" t="str">
        <f t="shared" si="24"/>
        <v>Rendah</v>
      </c>
      <c r="T182" s="2" t="str">
        <f t="shared" si="25"/>
        <v>FALSE</v>
      </c>
      <c r="U182" s="2" t="str">
        <f t="shared" si="26"/>
        <v>FALSE</v>
      </c>
      <c r="V182" s="2" t="b">
        <f t="shared" si="27"/>
        <v>0</v>
      </c>
      <c r="W182" s="2" t="b">
        <f t="shared" si="28"/>
        <v>0</v>
      </c>
      <c r="X182" s="2" t="b">
        <f t="shared" si="29"/>
        <v>0</v>
      </c>
    </row>
    <row r="183" spans="1:24" ht="10.5" customHeight="1">
      <c r="A183" s="2" t="s">
        <v>385</v>
      </c>
      <c r="B183" s="3">
        <v>45690.008703703701</v>
      </c>
      <c r="C183" s="2" t="s">
        <v>386</v>
      </c>
      <c r="D183" s="2" t="s">
        <v>61</v>
      </c>
      <c r="E183" s="2" t="s">
        <v>99</v>
      </c>
      <c r="F183" s="4">
        <v>10000</v>
      </c>
      <c r="G183" s="5">
        <v>0.3</v>
      </c>
      <c r="H183" s="6">
        <v>5</v>
      </c>
      <c r="I183" s="7">
        <f t="shared" si="20"/>
        <v>3000</v>
      </c>
      <c r="J183" s="7">
        <f t="shared" si="21"/>
        <v>150</v>
      </c>
      <c r="K183" s="7">
        <f t="shared" si="22"/>
        <v>2850</v>
      </c>
      <c r="L183" s="4">
        <v>59000</v>
      </c>
      <c r="M183" s="7">
        <f t="shared" si="23"/>
        <v>61850</v>
      </c>
      <c r="N183" s="2" t="s">
        <v>58</v>
      </c>
      <c r="O183" t="s">
        <v>22</v>
      </c>
      <c r="P183" s="2" t="s">
        <v>2368</v>
      </c>
      <c r="Q183" s="2">
        <v>4</v>
      </c>
      <c r="R183" s="2" t="s">
        <v>34</v>
      </c>
      <c r="S183" s="2" t="str">
        <f t="shared" si="24"/>
        <v>Rendah</v>
      </c>
      <c r="T183" s="2" t="str">
        <f t="shared" si="25"/>
        <v>FALSE</v>
      </c>
      <c r="U183" s="2" t="str">
        <f t="shared" si="26"/>
        <v>FALSE</v>
      </c>
      <c r="V183" s="2" t="b">
        <f t="shared" si="27"/>
        <v>0</v>
      </c>
      <c r="W183" s="2" t="b">
        <f t="shared" si="28"/>
        <v>0</v>
      </c>
      <c r="X183" s="2" t="b">
        <f t="shared" si="29"/>
        <v>0</v>
      </c>
    </row>
    <row r="184" spans="1:24" ht="10.5" customHeight="1">
      <c r="A184" s="2" t="s">
        <v>387</v>
      </c>
      <c r="B184" s="3">
        <v>45690.306087962963</v>
      </c>
      <c r="C184" s="2" t="s">
        <v>388</v>
      </c>
      <c r="D184" s="2" t="s">
        <v>173</v>
      </c>
      <c r="E184" s="2" t="s">
        <v>190</v>
      </c>
      <c r="F184" s="4">
        <v>15500</v>
      </c>
      <c r="G184" s="5">
        <v>0.2</v>
      </c>
      <c r="H184" s="6">
        <v>5</v>
      </c>
      <c r="I184" s="7">
        <f t="shared" si="20"/>
        <v>3100</v>
      </c>
      <c r="J184" s="7">
        <f t="shared" si="21"/>
        <v>155</v>
      </c>
      <c r="K184" s="7">
        <f t="shared" si="22"/>
        <v>2945</v>
      </c>
      <c r="L184" s="4">
        <v>48000</v>
      </c>
      <c r="M184" s="7">
        <f t="shared" si="23"/>
        <v>50945</v>
      </c>
      <c r="N184" s="2" t="s">
        <v>33</v>
      </c>
      <c r="O184" t="s">
        <v>69</v>
      </c>
      <c r="P184" s="2" t="s">
        <v>2367</v>
      </c>
      <c r="Q184" s="2">
        <v>4</v>
      </c>
      <c r="R184" s="2" t="s">
        <v>23</v>
      </c>
      <c r="S184" s="2" t="str">
        <f t="shared" si="24"/>
        <v>Rendah</v>
      </c>
      <c r="T184" s="2" t="str">
        <f t="shared" si="25"/>
        <v>FALSE</v>
      </c>
      <c r="U184" s="2" t="str">
        <f t="shared" si="26"/>
        <v>FALSE</v>
      </c>
      <c r="V184" s="2" t="b">
        <f t="shared" si="27"/>
        <v>0</v>
      </c>
      <c r="W184" s="2" t="b">
        <f t="shared" si="28"/>
        <v>1</v>
      </c>
      <c r="X184" s="2" t="b">
        <f t="shared" si="29"/>
        <v>0</v>
      </c>
    </row>
    <row r="185" spans="1:24" ht="10.5" customHeight="1">
      <c r="A185" s="2" t="s">
        <v>389</v>
      </c>
      <c r="B185" s="3">
        <v>45690.326898148152</v>
      </c>
      <c r="C185" s="2" t="s">
        <v>390</v>
      </c>
      <c r="D185" s="2" t="s">
        <v>26</v>
      </c>
      <c r="E185" s="2" t="s">
        <v>41</v>
      </c>
      <c r="F185" s="4">
        <v>40000</v>
      </c>
      <c r="G185" s="5">
        <v>0.2</v>
      </c>
      <c r="H185" s="6">
        <v>5</v>
      </c>
      <c r="I185" s="7">
        <f t="shared" si="20"/>
        <v>8000</v>
      </c>
      <c r="J185" s="7">
        <f t="shared" si="21"/>
        <v>400</v>
      </c>
      <c r="K185" s="7">
        <f t="shared" si="22"/>
        <v>7600</v>
      </c>
      <c r="L185" s="4">
        <v>17000</v>
      </c>
      <c r="M185" s="7">
        <f t="shared" si="23"/>
        <v>24600</v>
      </c>
      <c r="N185" s="2" t="s">
        <v>58</v>
      </c>
      <c r="O185" t="s">
        <v>69</v>
      </c>
      <c r="P185" s="2" t="s">
        <v>2366</v>
      </c>
      <c r="Q185" s="2">
        <v>2</v>
      </c>
      <c r="R185" s="2" t="s">
        <v>23</v>
      </c>
      <c r="S185" s="2" t="str">
        <f t="shared" si="24"/>
        <v>Sangat Rendah</v>
      </c>
      <c r="T185" s="2" t="str">
        <f t="shared" si="25"/>
        <v>FALSE</v>
      </c>
      <c r="U185" s="2" t="str">
        <f t="shared" si="26"/>
        <v>FALSE</v>
      </c>
      <c r="V185" s="2" t="b">
        <f t="shared" si="27"/>
        <v>0</v>
      </c>
      <c r="W185" s="2" t="b">
        <f t="shared" si="28"/>
        <v>0</v>
      </c>
      <c r="X185" s="2" t="b">
        <f t="shared" si="29"/>
        <v>1</v>
      </c>
    </row>
    <row r="186" spans="1:24" ht="10.5" customHeight="1">
      <c r="A186" s="2" t="s">
        <v>391</v>
      </c>
      <c r="B186" s="3">
        <v>45690.484768518523</v>
      </c>
      <c r="C186" s="2" t="s">
        <v>392</v>
      </c>
      <c r="D186" s="2" t="s">
        <v>153</v>
      </c>
      <c r="E186" s="2" t="s">
        <v>53</v>
      </c>
      <c r="F186" s="4">
        <v>14000</v>
      </c>
      <c r="G186" s="5">
        <v>1.2</v>
      </c>
      <c r="H186" s="6">
        <v>5</v>
      </c>
      <c r="I186" s="7">
        <f t="shared" si="20"/>
        <v>16800</v>
      </c>
      <c r="J186" s="7">
        <f t="shared" si="21"/>
        <v>840</v>
      </c>
      <c r="K186" s="7">
        <f t="shared" si="22"/>
        <v>15960</v>
      </c>
      <c r="L186" s="4">
        <v>50000</v>
      </c>
      <c r="M186" s="7">
        <f t="shared" si="23"/>
        <v>65960</v>
      </c>
      <c r="N186" s="2" t="s">
        <v>28</v>
      </c>
      <c r="O186" t="s">
        <v>22</v>
      </c>
      <c r="P186" s="2" t="s">
        <v>2366</v>
      </c>
      <c r="Q186" s="2">
        <v>2</v>
      </c>
      <c r="R186" s="2" t="s">
        <v>23</v>
      </c>
      <c r="S186" s="2" t="str">
        <f t="shared" si="24"/>
        <v>Rendah</v>
      </c>
      <c r="T186" s="2" t="str">
        <f t="shared" si="25"/>
        <v>FALSE</v>
      </c>
      <c r="U186" s="2" t="str">
        <f t="shared" si="26"/>
        <v>FALSE</v>
      </c>
      <c r="V186" s="2" t="b">
        <f t="shared" si="27"/>
        <v>0</v>
      </c>
      <c r="W186" s="2" t="b">
        <f t="shared" si="28"/>
        <v>0</v>
      </c>
      <c r="X186" s="2" t="b">
        <f t="shared" si="29"/>
        <v>0</v>
      </c>
    </row>
    <row r="187" spans="1:24" ht="10.5" customHeight="1">
      <c r="A187" s="2" t="s">
        <v>393</v>
      </c>
      <c r="B187" s="3">
        <v>45690.50309027778</v>
      </c>
      <c r="C187" s="2" t="s">
        <v>394</v>
      </c>
      <c r="D187" s="2" t="s">
        <v>167</v>
      </c>
      <c r="E187" s="2" t="s">
        <v>65</v>
      </c>
      <c r="F187" s="4">
        <v>46000</v>
      </c>
      <c r="G187" s="5">
        <v>0.4</v>
      </c>
      <c r="H187" s="6">
        <v>5</v>
      </c>
      <c r="I187" s="7">
        <f t="shared" si="20"/>
        <v>18400</v>
      </c>
      <c r="J187" s="7">
        <f t="shared" si="21"/>
        <v>920</v>
      </c>
      <c r="K187" s="7">
        <f t="shared" si="22"/>
        <v>17480</v>
      </c>
      <c r="L187" s="4">
        <v>56000</v>
      </c>
      <c r="M187" s="7">
        <f t="shared" si="23"/>
        <v>73480</v>
      </c>
      <c r="N187" s="2" t="s">
        <v>21</v>
      </c>
      <c r="O187" t="s">
        <v>115</v>
      </c>
      <c r="P187" s="2" t="s">
        <v>2368</v>
      </c>
      <c r="Q187" s="2">
        <v>5</v>
      </c>
      <c r="R187" s="2" t="s">
        <v>34</v>
      </c>
      <c r="S187" s="2" t="str">
        <f t="shared" si="24"/>
        <v>Rendah</v>
      </c>
      <c r="T187" s="2" t="str">
        <f t="shared" si="25"/>
        <v>FALSE</v>
      </c>
      <c r="U187" s="2" t="str">
        <f t="shared" si="26"/>
        <v>FALSE</v>
      </c>
      <c r="V187" s="2" t="b">
        <f t="shared" si="27"/>
        <v>0</v>
      </c>
      <c r="W187" s="2" t="b">
        <f t="shared" si="28"/>
        <v>0</v>
      </c>
      <c r="X187" s="2" t="b">
        <f t="shared" si="29"/>
        <v>0</v>
      </c>
    </row>
    <row r="188" spans="1:24" ht="10.5" customHeight="1">
      <c r="A188" s="2" t="s">
        <v>395</v>
      </c>
      <c r="B188" s="3">
        <v>45690.645208333342</v>
      </c>
      <c r="C188" s="2" t="s">
        <v>246</v>
      </c>
      <c r="D188" s="2" t="s">
        <v>98</v>
      </c>
      <c r="E188" s="2" t="s">
        <v>41</v>
      </c>
      <c r="F188" s="4">
        <v>40000</v>
      </c>
      <c r="G188" s="5">
        <v>0.5</v>
      </c>
      <c r="H188" s="6">
        <v>5</v>
      </c>
      <c r="I188" s="7">
        <f t="shared" si="20"/>
        <v>20000</v>
      </c>
      <c r="J188" s="7">
        <f t="shared" si="21"/>
        <v>1000</v>
      </c>
      <c r="K188" s="7">
        <f t="shared" si="22"/>
        <v>19000</v>
      </c>
      <c r="L188" s="4">
        <v>97000</v>
      </c>
      <c r="M188" s="7">
        <f t="shared" si="23"/>
        <v>116000</v>
      </c>
      <c r="N188" s="2" t="s">
        <v>33</v>
      </c>
      <c r="O188" t="s">
        <v>22</v>
      </c>
      <c r="P188" s="2" t="s">
        <v>2368</v>
      </c>
      <c r="Q188" s="2">
        <v>5</v>
      </c>
      <c r="R188" s="2" t="s">
        <v>23</v>
      </c>
      <c r="S188" s="2" t="str">
        <f t="shared" si="24"/>
        <v>Standar</v>
      </c>
      <c r="T188" s="2" t="str">
        <f t="shared" si="25"/>
        <v>FALSE</v>
      </c>
      <c r="U188" s="2" t="str">
        <f t="shared" si="26"/>
        <v>FALSE</v>
      </c>
      <c r="V188" s="2" t="b">
        <f t="shared" si="27"/>
        <v>0</v>
      </c>
      <c r="W188" s="2" t="b">
        <f t="shared" si="28"/>
        <v>0</v>
      </c>
      <c r="X188" s="2" t="b">
        <f t="shared" si="29"/>
        <v>0</v>
      </c>
    </row>
    <row r="189" spans="1:24" ht="10.5" customHeight="1">
      <c r="A189" s="2" t="s">
        <v>396</v>
      </c>
      <c r="B189" s="3">
        <v>45690.715462962973</v>
      </c>
      <c r="C189" s="2" t="s">
        <v>145</v>
      </c>
      <c r="D189" s="2" t="s">
        <v>84</v>
      </c>
      <c r="E189" s="2" t="s">
        <v>190</v>
      </c>
      <c r="F189" s="4">
        <v>15500</v>
      </c>
      <c r="G189" s="5">
        <v>0.6</v>
      </c>
      <c r="H189" s="6">
        <v>5</v>
      </c>
      <c r="I189" s="7">
        <f t="shared" si="20"/>
        <v>9300</v>
      </c>
      <c r="J189" s="7">
        <f t="shared" si="21"/>
        <v>465</v>
      </c>
      <c r="K189" s="7">
        <f t="shared" si="22"/>
        <v>8835</v>
      </c>
      <c r="L189" s="4">
        <v>30000</v>
      </c>
      <c r="M189" s="7">
        <f t="shared" si="23"/>
        <v>38835</v>
      </c>
      <c r="N189" s="2" t="s">
        <v>58</v>
      </c>
      <c r="O189" t="s">
        <v>22</v>
      </c>
      <c r="P189" s="2" t="s">
        <v>2366</v>
      </c>
      <c r="Q189" s="2">
        <v>1</v>
      </c>
      <c r="R189" s="2" t="s">
        <v>23</v>
      </c>
      <c r="S189" s="2" t="str">
        <f t="shared" si="24"/>
        <v>Sangat Rendah</v>
      </c>
      <c r="T189" s="2" t="str">
        <f t="shared" si="25"/>
        <v>FALSE</v>
      </c>
      <c r="U189" s="2" t="str">
        <f t="shared" si="26"/>
        <v>FALSE</v>
      </c>
      <c r="V189" s="2" t="b">
        <f t="shared" si="27"/>
        <v>0</v>
      </c>
      <c r="W189" s="2" t="b">
        <f t="shared" si="28"/>
        <v>0</v>
      </c>
      <c r="X189" s="2" t="b">
        <f t="shared" si="29"/>
        <v>1</v>
      </c>
    </row>
    <row r="190" spans="1:24" ht="10.5" customHeight="1">
      <c r="A190" s="2" t="s">
        <v>397</v>
      </c>
      <c r="B190" s="3">
        <v>45690.760891203703</v>
      </c>
      <c r="C190" s="2" t="s">
        <v>398</v>
      </c>
      <c r="D190" s="2" t="s">
        <v>68</v>
      </c>
      <c r="E190" s="2" t="s">
        <v>41</v>
      </c>
      <c r="F190" s="4">
        <v>40000</v>
      </c>
      <c r="G190" s="5">
        <v>1.1000000000000001</v>
      </c>
      <c r="H190" s="6">
        <v>5</v>
      </c>
      <c r="I190" s="7">
        <f t="shared" si="20"/>
        <v>44000</v>
      </c>
      <c r="J190" s="7">
        <f t="shared" si="21"/>
        <v>2200</v>
      </c>
      <c r="K190" s="7">
        <f t="shared" si="22"/>
        <v>41800</v>
      </c>
      <c r="L190" s="4">
        <v>87000</v>
      </c>
      <c r="M190" s="7">
        <f t="shared" si="23"/>
        <v>128800</v>
      </c>
      <c r="N190" s="2" t="s">
        <v>21</v>
      </c>
      <c r="O190" t="s">
        <v>22</v>
      </c>
      <c r="P190" s="2" t="s">
        <v>2367</v>
      </c>
      <c r="Q190" s="2">
        <v>3</v>
      </c>
      <c r="R190" s="2" t="s">
        <v>23</v>
      </c>
      <c r="S190" s="2" t="str">
        <f t="shared" si="24"/>
        <v>Standar</v>
      </c>
      <c r="T190" s="2" t="str">
        <f t="shared" si="25"/>
        <v>FALSE</v>
      </c>
      <c r="U190" s="2" t="str">
        <f t="shared" si="26"/>
        <v>FALSE</v>
      </c>
      <c r="V190" s="2" t="b">
        <f t="shared" si="27"/>
        <v>0</v>
      </c>
      <c r="W190" s="2" t="b">
        <f t="shared" si="28"/>
        <v>1</v>
      </c>
      <c r="X190" s="2" t="b">
        <f t="shared" si="29"/>
        <v>0</v>
      </c>
    </row>
    <row r="191" spans="1:24" ht="10.5" customHeight="1">
      <c r="A191" s="2" t="s">
        <v>399</v>
      </c>
      <c r="B191" s="3">
        <v>45690.789652777778</v>
      </c>
      <c r="C191" s="2" t="s">
        <v>400</v>
      </c>
      <c r="D191" s="2" t="s">
        <v>140</v>
      </c>
      <c r="E191" s="2" t="s">
        <v>41</v>
      </c>
      <c r="F191" s="4">
        <v>40000</v>
      </c>
      <c r="G191" s="5">
        <v>1.3</v>
      </c>
      <c r="H191" s="6">
        <v>5</v>
      </c>
      <c r="I191" s="7">
        <f t="shared" si="20"/>
        <v>52000</v>
      </c>
      <c r="J191" s="7">
        <f t="shared" si="21"/>
        <v>2600</v>
      </c>
      <c r="K191" s="7">
        <f t="shared" si="22"/>
        <v>49400</v>
      </c>
      <c r="L191" s="4">
        <v>55000</v>
      </c>
      <c r="M191" s="7">
        <f t="shared" si="23"/>
        <v>104400</v>
      </c>
      <c r="N191" s="2" t="s">
        <v>21</v>
      </c>
      <c r="O191" t="s">
        <v>22</v>
      </c>
      <c r="P191" s="2" t="s">
        <v>2368</v>
      </c>
      <c r="Q191" s="2">
        <v>2</v>
      </c>
      <c r="R191" s="2" t="s">
        <v>23</v>
      </c>
      <c r="S191" s="2" t="str">
        <f t="shared" si="24"/>
        <v>Standar</v>
      </c>
      <c r="T191" s="2" t="str">
        <f t="shared" si="25"/>
        <v>FALSE</v>
      </c>
      <c r="U191" s="2" t="str">
        <f t="shared" si="26"/>
        <v>FALSE</v>
      </c>
      <c r="V191" s="2" t="b">
        <f t="shared" si="27"/>
        <v>0</v>
      </c>
      <c r="W191" s="2" t="b">
        <f t="shared" si="28"/>
        <v>0</v>
      </c>
      <c r="X191" s="2" t="b">
        <f t="shared" si="29"/>
        <v>0</v>
      </c>
    </row>
    <row r="192" spans="1:24" ht="10.5" customHeight="1">
      <c r="A192" s="2" t="s">
        <v>401</v>
      </c>
      <c r="B192" s="3">
        <v>45691.549062500002</v>
      </c>
      <c r="C192" s="2" t="s">
        <v>402</v>
      </c>
      <c r="D192" s="2" t="s">
        <v>64</v>
      </c>
      <c r="E192" s="2" t="s">
        <v>57</v>
      </c>
      <c r="F192" s="4">
        <v>17500</v>
      </c>
      <c r="G192" s="5">
        <v>1.9</v>
      </c>
      <c r="H192" s="6">
        <v>0</v>
      </c>
      <c r="I192" s="7">
        <f t="shared" si="20"/>
        <v>33250</v>
      </c>
      <c r="J192" s="7">
        <f t="shared" si="21"/>
        <v>0</v>
      </c>
      <c r="K192" s="7">
        <f t="shared" si="22"/>
        <v>33250</v>
      </c>
      <c r="L192" s="4">
        <v>89000</v>
      </c>
      <c r="M192" s="7">
        <f t="shared" si="23"/>
        <v>122250</v>
      </c>
      <c r="N192" s="2" t="s">
        <v>28</v>
      </c>
      <c r="O192" t="s">
        <v>22</v>
      </c>
      <c r="P192" s="2" t="s">
        <v>2366</v>
      </c>
      <c r="Q192" s="2">
        <v>3</v>
      </c>
      <c r="R192" s="2" t="s">
        <v>23</v>
      </c>
      <c r="S192" s="2" t="str">
        <f t="shared" si="24"/>
        <v>Standar</v>
      </c>
      <c r="T192" s="2" t="str">
        <f t="shared" si="25"/>
        <v>FALSE</v>
      </c>
      <c r="U192" s="2" t="str">
        <f t="shared" si="26"/>
        <v>FALSE</v>
      </c>
      <c r="V192" s="2" t="b">
        <f t="shared" si="27"/>
        <v>0</v>
      </c>
      <c r="W192" s="2" t="b">
        <f t="shared" si="28"/>
        <v>0</v>
      </c>
      <c r="X192" s="2" t="b">
        <f t="shared" si="29"/>
        <v>0</v>
      </c>
    </row>
    <row r="193" spans="1:24" ht="10.5" customHeight="1">
      <c r="A193" s="2" t="s">
        <v>403</v>
      </c>
      <c r="B193" s="3">
        <v>45692.38144675926</v>
      </c>
      <c r="C193" s="2" t="s">
        <v>222</v>
      </c>
      <c r="D193" s="2" t="s">
        <v>61</v>
      </c>
      <c r="E193" s="2" t="s">
        <v>20</v>
      </c>
      <c r="F193" s="4">
        <v>10000</v>
      </c>
      <c r="G193" s="5">
        <v>2.2000000000000002</v>
      </c>
      <c r="H193" s="6">
        <v>0</v>
      </c>
      <c r="I193" s="7">
        <f t="shared" si="20"/>
        <v>22000</v>
      </c>
      <c r="J193" s="7">
        <f t="shared" si="21"/>
        <v>0</v>
      </c>
      <c r="K193" s="7">
        <f t="shared" si="22"/>
        <v>22000</v>
      </c>
      <c r="L193" s="4">
        <v>59000</v>
      </c>
      <c r="M193" s="7">
        <f t="shared" si="23"/>
        <v>81000</v>
      </c>
      <c r="N193" s="2" t="s">
        <v>28</v>
      </c>
      <c r="O193" t="s">
        <v>22</v>
      </c>
      <c r="P193" s="2" t="s">
        <v>2367</v>
      </c>
      <c r="Q193" s="2">
        <v>1</v>
      </c>
      <c r="R193" s="2" t="s">
        <v>23</v>
      </c>
      <c r="S193" s="2" t="str">
        <f t="shared" si="24"/>
        <v>Rendah</v>
      </c>
      <c r="T193" s="2" t="str">
        <f t="shared" si="25"/>
        <v>FALSE</v>
      </c>
      <c r="U193" s="2" t="str">
        <f t="shared" si="26"/>
        <v>FALSE</v>
      </c>
      <c r="V193" s="2" t="b">
        <f t="shared" si="27"/>
        <v>0</v>
      </c>
      <c r="W193" s="2" t="b">
        <f t="shared" si="28"/>
        <v>1</v>
      </c>
      <c r="X193" s="2" t="b">
        <f t="shared" si="29"/>
        <v>0</v>
      </c>
    </row>
    <row r="194" spans="1:24" ht="10.5" customHeight="1">
      <c r="A194" s="2" t="s">
        <v>403</v>
      </c>
      <c r="B194" s="3">
        <v>45692.38144675926</v>
      </c>
      <c r="C194" s="2" t="s">
        <v>222</v>
      </c>
      <c r="D194" s="2" t="s">
        <v>61</v>
      </c>
      <c r="E194" s="2" t="s">
        <v>190</v>
      </c>
      <c r="F194" s="4">
        <v>15500</v>
      </c>
      <c r="G194" s="5">
        <v>0.6</v>
      </c>
      <c r="H194" s="6">
        <v>0</v>
      </c>
      <c r="I194" s="7">
        <f t="shared" si="20"/>
        <v>9300</v>
      </c>
      <c r="J194" s="7">
        <f t="shared" si="21"/>
        <v>0</v>
      </c>
      <c r="K194" s="7">
        <f t="shared" si="22"/>
        <v>9300</v>
      </c>
      <c r="L194" s="4">
        <v>0</v>
      </c>
      <c r="M194" s="7">
        <f t="shared" si="23"/>
        <v>9300</v>
      </c>
      <c r="N194" s="2" t="s">
        <v>28</v>
      </c>
      <c r="O194" t="s">
        <v>22</v>
      </c>
      <c r="P194" s="2" t="s">
        <v>2367</v>
      </c>
      <c r="Q194" s="2">
        <v>1</v>
      </c>
      <c r="R194" s="2" t="s">
        <v>23</v>
      </c>
      <c r="S194" s="2" t="str">
        <f t="shared" si="24"/>
        <v>Sangat Rendah</v>
      </c>
      <c r="T194" s="2" t="str">
        <f t="shared" si="25"/>
        <v>FALSE</v>
      </c>
      <c r="U194" s="2" t="str">
        <f t="shared" si="26"/>
        <v>FALSE</v>
      </c>
      <c r="V194" s="2" t="b">
        <f t="shared" si="27"/>
        <v>0</v>
      </c>
      <c r="W194" s="2" t="b">
        <f t="shared" si="28"/>
        <v>1</v>
      </c>
      <c r="X194" s="2" t="b">
        <f t="shared" si="29"/>
        <v>1</v>
      </c>
    </row>
    <row r="195" spans="1:24" ht="10.5" customHeight="1">
      <c r="A195" s="2" t="s">
        <v>404</v>
      </c>
      <c r="B195" s="3">
        <v>45692.655219907407</v>
      </c>
      <c r="C195" s="2" t="s">
        <v>101</v>
      </c>
      <c r="D195" s="2" t="s">
        <v>44</v>
      </c>
      <c r="E195" s="2" t="s">
        <v>53</v>
      </c>
      <c r="F195" s="4">
        <v>14000</v>
      </c>
      <c r="G195" s="5">
        <v>0.2</v>
      </c>
      <c r="H195" s="6">
        <v>0</v>
      </c>
      <c r="I195" s="7">
        <f t="shared" si="20"/>
        <v>2800</v>
      </c>
      <c r="J195" s="7">
        <f t="shared" si="21"/>
        <v>0</v>
      </c>
      <c r="K195" s="7">
        <f t="shared" si="22"/>
        <v>2800</v>
      </c>
      <c r="L195" s="4">
        <v>43000</v>
      </c>
      <c r="M195" s="7">
        <f t="shared" si="23"/>
        <v>45800</v>
      </c>
      <c r="N195" s="2" t="s">
        <v>28</v>
      </c>
      <c r="O195" t="s">
        <v>69</v>
      </c>
      <c r="P195" s="2" t="s">
        <v>2368</v>
      </c>
      <c r="Q195" s="2">
        <v>4</v>
      </c>
      <c r="R195" s="2" t="s">
        <v>23</v>
      </c>
      <c r="S195" s="2" t="str">
        <f t="shared" si="24"/>
        <v>Sangat Rendah</v>
      </c>
      <c r="T195" s="2" t="str">
        <f t="shared" si="25"/>
        <v>FALSE</v>
      </c>
      <c r="U195" s="2" t="str">
        <f t="shared" si="26"/>
        <v>FALSE</v>
      </c>
      <c r="V195" s="2" t="b">
        <f t="shared" si="27"/>
        <v>0</v>
      </c>
      <c r="W195" s="2" t="b">
        <f t="shared" si="28"/>
        <v>0</v>
      </c>
      <c r="X195" s="2" t="b">
        <f t="shared" si="29"/>
        <v>1</v>
      </c>
    </row>
    <row r="196" spans="1:24" ht="10.5" customHeight="1">
      <c r="A196" s="2" t="s">
        <v>405</v>
      </c>
      <c r="B196" s="3">
        <v>45692.694050925929</v>
      </c>
      <c r="C196" s="2" t="s">
        <v>406</v>
      </c>
      <c r="D196" s="2" t="s">
        <v>123</v>
      </c>
      <c r="E196" s="2" t="s">
        <v>32</v>
      </c>
      <c r="F196" s="4">
        <v>20000</v>
      </c>
      <c r="G196" s="5">
        <v>1.3</v>
      </c>
      <c r="H196" s="6">
        <v>0</v>
      </c>
      <c r="I196" s="7">
        <f t="shared" ref="I196:I259" si="30">F196*G196</f>
        <v>26000</v>
      </c>
      <c r="J196" s="7">
        <f t="shared" ref="J196:J259" si="31">I196*(H196/100)</f>
        <v>0</v>
      </c>
      <c r="K196" s="7">
        <f t="shared" ref="K196:K259" si="32">I196-J196</f>
        <v>26000</v>
      </c>
      <c r="L196" s="4">
        <v>59000</v>
      </c>
      <c r="M196" s="7">
        <f t="shared" ref="M196:M259" si="33">K196+L196</f>
        <v>85000</v>
      </c>
      <c r="N196" s="2" t="s">
        <v>33</v>
      </c>
      <c r="O196" t="s">
        <v>22</v>
      </c>
      <c r="P196" s="2" t="s">
        <v>2368</v>
      </c>
      <c r="Q196" s="2">
        <v>2</v>
      </c>
      <c r="R196" s="2" t="s">
        <v>23</v>
      </c>
      <c r="S196" s="2" t="str">
        <f t="shared" ref="S196:S259" si="34">IF(M196&lt;=50000,"Sangat Rendah",IF(M196&lt;=100000,"Rendah",IF(M196&lt;=150000,"Standar",IF(M196&lt;=200000,"Tinggi","Sangat Tinggi"))))</f>
        <v>Rendah</v>
      </c>
      <c r="T196" s="2" t="str">
        <f t="shared" ref="T196:T259" si="35">IF(AND(S196="Rendah",D196="Yogyakarta"),"TRUE","FALSE")</f>
        <v>FALSE</v>
      </c>
      <c r="U196" s="2" t="str">
        <f t="shared" ref="U196:U259" si="36">IF(OR(S196="Tinggi",E196="Bayam"),"TRUE","FALSE")</f>
        <v>FALSE</v>
      </c>
      <c r="V196" s="2" t="b">
        <f t="shared" ref="V196:V259" si="37">IF(AND(S196="Standar",N196="Transef Bank"),TRUE,FALSE)</f>
        <v>0</v>
      </c>
      <c r="W196" s="2" t="b">
        <f t="shared" ref="W196:W259" si="38">IF(OR(S196="Sangat Tinggi",P196="FoodMart"),TRUE,FALSE)</f>
        <v>0</v>
      </c>
      <c r="X196" s="2" t="b">
        <f t="shared" ref="X196:X259" si="39">IF(AND(S196="Sangat Rendah",R196="Perempuan"),TRUE,FALSE)</f>
        <v>0</v>
      </c>
    </row>
    <row r="197" spans="1:24" ht="10.5" customHeight="1">
      <c r="A197" s="2" t="s">
        <v>407</v>
      </c>
      <c r="B197" s="3">
        <v>45692.707870370366</v>
      </c>
      <c r="C197" s="2" t="s">
        <v>263</v>
      </c>
      <c r="D197" s="2" t="s">
        <v>185</v>
      </c>
      <c r="E197" s="2" t="s">
        <v>182</v>
      </c>
      <c r="F197" s="4">
        <v>11000</v>
      </c>
      <c r="G197" s="5">
        <v>2.2000000000000002</v>
      </c>
      <c r="H197" s="6">
        <v>0</v>
      </c>
      <c r="I197" s="7">
        <f t="shared" si="30"/>
        <v>24200.000000000004</v>
      </c>
      <c r="J197" s="7">
        <f t="shared" si="31"/>
        <v>0</v>
      </c>
      <c r="K197" s="7">
        <f t="shared" si="32"/>
        <v>24200.000000000004</v>
      </c>
      <c r="L197" s="4">
        <v>87000</v>
      </c>
      <c r="M197" s="7">
        <f t="shared" si="33"/>
        <v>111200</v>
      </c>
      <c r="N197" s="2" t="s">
        <v>28</v>
      </c>
      <c r="O197" t="s">
        <v>22</v>
      </c>
      <c r="P197" s="2" t="s">
        <v>2366</v>
      </c>
      <c r="Q197" s="2">
        <v>2</v>
      </c>
      <c r="R197" s="2" t="s">
        <v>23</v>
      </c>
      <c r="S197" s="2" t="str">
        <f t="shared" si="34"/>
        <v>Standar</v>
      </c>
      <c r="T197" s="2" t="str">
        <f t="shared" si="35"/>
        <v>FALSE</v>
      </c>
      <c r="U197" s="2" t="str">
        <f t="shared" si="36"/>
        <v>FALSE</v>
      </c>
      <c r="V197" s="2" t="b">
        <f t="shared" si="37"/>
        <v>0</v>
      </c>
      <c r="W197" s="2" t="b">
        <f t="shared" si="38"/>
        <v>0</v>
      </c>
      <c r="X197" s="2" t="b">
        <f t="shared" si="39"/>
        <v>0</v>
      </c>
    </row>
    <row r="198" spans="1:24" ht="10.5" customHeight="1">
      <c r="A198" s="2" t="s">
        <v>408</v>
      </c>
      <c r="B198" s="3">
        <v>45692.736701388887</v>
      </c>
      <c r="C198" s="2" t="s">
        <v>409</v>
      </c>
      <c r="D198" s="2" t="s">
        <v>94</v>
      </c>
      <c r="E198" s="2" t="s">
        <v>20</v>
      </c>
      <c r="F198" s="4">
        <v>10000</v>
      </c>
      <c r="G198" s="5">
        <v>2.2999999999999998</v>
      </c>
      <c r="H198" s="6">
        <v>0</v>
      </c>
      <c r="I198" s="7">
        <f t="shared" si="30"/>
        <v>23000</v>
      </c>
      <c r="J198" s="7">
        <f t="shared" si="31"/>
        <v>0</v>
      </c>
      <c r="K198" s="7">
        <f t="shared" si="32"/>
        <v>23000</v>
      </c>
      <c r="L198" s="4">
        <v>85000</v>
      </c>
      <c r="M198" s="7">
        <f t="shared" si="33"/>
        <v>108000</v>
      </c>
      <c r="N198" s="2" t="s">
        <v>58</v>
      </c>
      <c r="O198" t="s">
        <v>69</v>
      </c>
      <c r="P198" s="2" t="s">
        <v>2365</v>
      </c>
      <c r="Q198" s="2">
        <v>5</v>
      </c>
      <c r="R198" s="2" t="s">
        <v>34</v>
      </c>
      <c r="S198" s="2" t="str">
        <f t="shared" si="34"/>
        <v>Standar</v>
      </c>
      <c r="T198" s="2" t="str">
        <f t="shared" si="35"/>
        <v>FALSE</v>
      </c>
      <c r="U198" s="2" t="str">
        <f t="shared" si="36"/>
        <v>FALSE</v>
      </c>
      <c r="V198" s="2" t="b">
        <f t="shared" si="37"/>
        <v>0</v>
      </c>
      <c r="W198" s="2" t="b">
        <f t="shared" si="38"/>
        <v>0</v>
      </c>
      <c r="X198" s="2" t="b">
        <f t="shared" si="39"/>
        <v>0</v>
      </c>
    </row>
    <row r="199" spans="1:24" ht="10.5" customHeight="1">
      <c r="A199" s="2" t="s">
        <v>410</v>
      </c>
      <c r="B199" s="3">
        <v>45693.729328703703</v>
      </c>
      <c r="C199" s="2" t="s">
        <v>411</v>
      </c>
      <c r="D199" s="2" t="s">
        <v>94</v>
      </c>
      <c r="E199" s="2" t="s">
        <v>99</v>
      </c>
      <c r="F199" s="4">
        <v>10000</v>
      </c>
      <c r="G199" s="5">
        <v>1.4</v>
      </c>
      <c r="H199" s="6">
        <v>0</v>
      </c>
      <c r="I199" s="7">
        <f t="shared" si="30"/>
        <v>14000</v>
      </c>
      <c r="J199" s="7">
        <f t="shared" si="31"/>
        <v>0</v>
      </c>
      <c r="K199" s="7">
        <f t="shared" si="32"/>
        <v>14000</v>
      </c>
      <c r="L199" s="4">
        <v>85000</v>
      </c>
      <c r="M199" s="7">
        <f t="shared" si="33"/>
        <v>99000</v>
      </c>
      <c r="N199" s="2" t="s">
        <v>21</v>
      </c>
      <c r="O199" t="s">
        <v>22</v>
      </c>
      <c r="P199" s="2" t="s">
        <v>2370</v>
      </c>
      <c r="Q199" s="2">
        <v>3</v>
      </c>
      <c r="R199" s="2" t="s">
        <v>23</v>
      </c>
      <c r="S199" s="2" t="str">
        <f t="shared" si="34"/>
        <v>Rendah</v>
      </c>
      <c r="T199" s="2" t="str">
        <f t="shared" si="35"/>
        <v>FALSE</v>
      </c>
      <c r="U199" s="2" t="str">
        <f t="shared" si="36"/>
        <v>FALSE</v>
      </c>
      <c r="V199" s="2" t="b">
        <f t="shared" si="37"/>
        <v>0</v>
      </c>
      <c r="W199" s="2" t="b">
        <f t="shared" si="38"/>
        <v>0</v>
      </c>
      <c r="X199" s="2" t="b">
        <f t="shared" si="39"/>
        <v>0</v>
      </c>
    </row>
    <row r="200" spans="1:24" ht="10.5" customHeight="1">
      <c r="A200" s="2" t="s">
        <v>412</v>
      </c>
      <c r="B200" s="3">
        <v>45694.688807870371</v>
      </c>
      <c r="C200" s="2" t="s">
        <v>299</v>
      </c>
      <c r="D200" s="2" t="s">
        <v>98</v>
      </c>
      <c r="E200" s="2" t="s">
        <v>45</v>
      </c>
      <c r="F200" s="4">
        <v>10500</v>
      </c>
      <c r="G200" s="5">
        <v>3</v>
      </c>
      <c r="H200" s="6">
        <v>0</v>
      </c>
      <c r="I200" s="7">
        <f t="shared" si="30"/>
        <v>31500</v>
      </c>
      <c r="J200" s="7">
        <f t="shared" si="31"/>
        <v>0</v>
      </c>
      <c r="K200" s="7">
        <f t="shared" si="32"/>
        <v>31500</v>
      </c>
      <c r="L200" s="4">
        <v>97000</v>
      </c>
      <c r="M200" s="7">
        <f t="shared" si="33"/>
        <v>128500</v>
      </c>
      <c r="N200" s="2" t="s">
        <v>58</v>
      </c>
      <c r="O200" t="s">
        <v>69</v>
      </c>
      <c r="P200" s="2" t="s">
        <v>2370</v>
      </c>
      <c r="Q200" s="2">
        <v>4</v>
      </c>
      <c r="R200" s="2" t="s">
        <v>34</v>
      </c>
      <c r="S200" s="2" t="str">
        <f t="shared" si="34"/>
        <v>Standar</v>
      </c>
      <c r="T200" s="2" t="str">
        <f t="shared" si="35"/>
        <v>FALSE</v>
      </c>
      <c r="U200" s="2" t="str">
        <f t="shared" si="36"/>
        <v>FALSE</v>
      </c>
      <c r="V200" s="2" t="b">
        <f t="shared" si="37"/>
        <v>0</v>
      </c>
      <c r="W200" s="2" t="b">
        <f t="shared" si="38"/>
        <v>0</v>
      </c>
      <c r="X200" s="2" t="b">
        <f t="shared" si="39"/>
        <v>0</v>
      </c>
    </row>
    <row r="201" spans="1:24" ht="10.5" customHeight="1">
      <c r="A201" s="2" t="s">
        <v>413</v>
      </c>
      <c r="B201" s="3">
        <v>45694.735462962963</v>
      </c>
      <c r="C201" s="2" t="s">
        <v>145</v>
      </c>
      <c r="D201" s="2" t="s">
        <v>84</v>
      </c>
      <c r="E201" s="2" t="s">
        <v>75</v>
      </c>
      <c r="F201" s="4">
        <v>45000</v>
      </c>
      <c r="G201" s="5">
        <v>1.4</v>
      </c>
      <c r="H201" s="6">
        <v>0</v>
      </c>
      <c r="I201" s="7">
        <f t="shared" si="30"/>
        <v>62999.999999999993</v>
      </c>
      <c r="J201" s="7">
        <f t="shared" si="31"/>
        <v>0</v>
      </c>
      <c r="K201" s="7">
        <f t="shared" si="32"/>
        <v>62999.999999999993</v>
      </c>
      <c r="L201" s="4">
        <v>30000</v>
      </c>
      <c r="M201" s="7">
        <f t="shared" si="33"/>
        <v>93000</v>
      </c>
      <c r="N201" s="2" t="s">
        <v>33</v>
      </c>
      <c r="O201" t="s">
        <v>22</v>
      </c>
      <c r="P201" s="2" t="s">
        <v>2368</v>
      </c>
      <c r="Q201" s="2">
        <v>5</v>
      </c>
      <c r="R201" s="2" t="s">
        <v>23</v>
      </c>
      <c r="S201" s="2" t="str">
        <f t="shared" si="34"/>
        <v>Rendah</v>
      </c>
      <c r="T201" s="2" t="str">
        <f t="shared" si="35"/>
        <v>FALSE</v>
      </c>
      <c r="U201" s="2" t="str">
        <f t="shared" si="36"/>
        <v>FALSE</v>
      </c>
      <c r="V201" s="2" t="b">
        <f t="shared" si="37"/>
        <v>0</v>
      </c>
      <c r="W201" s="2" t="b">
        <f t="shared" si="38"/>
        <v>0</v>
      </c>
      <c r="X201" s="2" t="b">
        <f t="shared" si="39"/>
        <v>0</v>
      </c>
    </row>
    <row r="202" spans="1:24" ht="10.5" customHeight="1">
      <c r="A202" s="2" t="s">
        <v>414</v>
      </c>
      <c r="B202" s="3">
        <v>45695.427893518521</v>
      </c>
      <c r="C202" s="2" t="s">
        <v>415</v>
      </c>
      <c r="D202" s="2" t="s">
        <v>40</v>
      </c>
      <c r="E202" s="2" t="s">
        <v>161</v>
      </c>
      <c r="F202" s="4">
        <v>115000</v>
      </c>
      <c r="G202" s="5">
        <v>0.5</v>
      </c>
      <c r="H202" s="6">
        <v>0</v>
      </c>
      <c r="I202" s="7">
        <f t="shared" si="30"/>
        <v>57500</v>
      </c>
      <c r="J202" s="7">
        <f t="shared" si="31"/>
        <v>0</v>
      </c>
      <c r="K202" s="7">
        <f t="shared" si="32"/>
        <v>57500</v>
      </c>
      <c r="L202" s="4">
        <v>93000</v>
      </c>
      <c r="M202" s="7">
        <f t="shared" si="33"/>
        <v>150500</v>
      </c>
      <c r="N202" s="2" t="s">
        <v>58</v>
      </c>
      <c r="O202" t="s">
        <v>115</v>
      </c>
      <c r="P202" s="2" t="s">
        <v>2365</v>
      </c>
      <c r="Q202" s="2">
        <v>2</v>
      </c>
      <c r="R202" s="2" t="s">
        <v>34</v>
      </c>
      <c r="S202" s="2" t="str">
        <f t="shared" si="34"/>
        <v>Tinggi</v>
      </c>
      <c r="T202" s="2" t="str">
        <f t="shared" si="35"/>
        <v>FALSE</v>
      </c>
      <c r="U202" s="2" t="str">
        <f t="shared" si="36"/>
        <v>TRUE</v>
      </c>
      <c r="V202" s="2" t="b">
        <f t="shared" si="37"/>
        <v>0</v>
      </c>
      <c r="W202" s="2" t="b">
        <f t="shared" si="38"/>
        <v>0</v>
      </c>
      <c r="X202" s="2" t="b">
        <f t="shared" si="39"/>
        <v>0</v>
      </c>
    </row>
    <row r="203" spans="1:24" ht="10.5" customHeight="1">
      <c r="A203" s="2" t="s">
        <v>416</v>
      </c>
      <c r="B203" s="3">
        <v>45695.681921296287</v>
      </c>
      <c r="C203" s="2" t="s">
        <v>417</v>
      </c>
      <c r="D203" s="2" t="s">
        <v>94</v>
      </c>
      <c r="E203" s="2" t="s">
        <v>27</v>
      </c>
      <c r="F203" s="4">
        <v>15000</v>
      </c>
      <c r="G203" s="5">
        <v>0.8</v>
      </c>
      <c r="H203" s="6">
        <v>0</v>
      </c>
      <c r="I203" s="7">
        <f t="shared" si="30"/>
        <v>12000</v>
      </c>
      <c r="J203" s="7">
        <f t="shared" si="31"/>
        <v>0</v>
      </c>
      <c r="K203" s="7">
        <f t="shared" si="32"/>
        <v>12000</v>
      </c>
      <c r="L203" s="4">
        <v>85000</v>
      </c>
      <c r="M203" s="7">
        <f t="shared" si="33"/>
        <v>97000</v>
      </c>
      <c r="N203" s="2" t="s">
        <v>21</v>
      </c>
      <c r="O203" t="s">
        <v>22</v>
      </c>
      <c r="P203" s="2" t="s">
        <v>2367</v>
      </c>
      <c r="Q203" s="2">
        <v>1</v>
      </c>
      <c r="R203" s="2" t="s">
        <v>23</v>
      </c>
      <c r="S203" s="2" t="str">
        <f t="shared" si="34"/>
        <v>Rendah</v>
      </c>
      <c r="T203" s="2" t="str">
        <f t="shared" si="35"/>
        <v>FALSE</v>
      </c>
      <c r="U203" s="2" t="str">
        <f t="shared" si="36"/>
        <v>FALSE</v>
      </c>
      <c r="V203" s="2" t="b">
        <f t="shared" si="37"/>
        <v>0</v>
      </c>
      <c r="W203" s="2" t="b">
        <f t="shared" si="38"/>
        <v>1</v>
      </c>
      <c r="X203" s="2" t="b">
        <f t="shared" si="39"/>
        <v>0</v>
      </c>
    </row>
    <row r="204" spans="1:24" ht="10.5" customHeight="1">
      <c r="A204" s="2" t="s">
        <v>418</v>
      </c>
      <c r="B204" s="3">
        <v>45695.708402777767</v>
      </c>
      <c r="C204" s="2" t="s">
        <v>419</v>
      </c>
      <c r="D204" s="2" t="s">
        <v>167</v>
      </c>
      <c r="E204" s="2" t="s">
        <v>45</v>
      </c>
      <c r="F204" s="4">
        <v>10500</v>
      </c>
      <c r="G204" s="5">
        <v>2</v>
      </c>
      <c r="H204" s="6">
        <v>0</v>
      </c>
      <c r="I204" s="7">
        <f t="shared" si="30"/>
        <v>21000</v>
      </c>
      <c r="J204" s="7">
        <f t="shared" si="31"/>
        <v>0</v>
      </c>
      <c r="K204" s="7">
        <f t="shared" si="32"/>
        <v>21000</v>
      </c>
      <c r="L204" s="4">
        <v>56000</v>
      </c>
      <c r="M204" s="7">
        <f t="shared" si="33"/>
        <v>77000</v>
      </c>
      <c r="N204" s="2" t="s">
        <v>33</v>
      </c>
      <c r="O204" t="s">
        <v>69</v>
      </c>
      <c r="P204" s="2" t="s">
        <v>2370</v>
      </c>
      <c r="Q204" s="2">
        <v>4</v>
      </c>
      <c r="R204" s="2" t="s">
        <v>34</v>
      </c>
      <c r="S204" s="2" t="str">
        <f t="shared" si="34"/>
        <v>Rendah</v>
      </c>
      <c r="T204" s="2" t="str">
        <f t="shared" si="35"/>
        <v>FALSE</v>
      </c>
      <c r="U204" s="2" t="str">
        <f t="shared" si="36"/>
        <v>FALSE</v>
      </c>
      <c r="V204" s="2" t="b">
        <f t="shared" si="37"/>
        <v>0</v>
      </c>
      <c r="W204" s="2" t="b">
        <f t="shared" si="38"/>
        <v>0</v>
      </c>
      <c r="X204" s="2" t="b">
        <f t="shared" si="39"/>
        <v>0</v>
      </c>
    </row>
    <row r="205" spans="1:24" ht="10.5" customHeight="1">
      <c r="A205" s="2" t="s">
        <v>420</v>
      </c>
      <c r="B205" s="3">
        <v>45695.767824074072</v>
      </c>
      <c r="C205" s="2" t="s">
        <v>421</v>
      </c>
      <c r="D205" s="2" t="s">
        <v>31</v>
      </c>
      <c r="E205" s="2" t="s">
        <v>190</v>
      </c>
      <c r="F205" s="4">
        <v>15500</v>
      </c>
      <c r="G205" s="5">
        <v>0.4</v>
      </c>
      <c r="H205" s="6">
        <v>0</v>
      </c>
      <c r="I205" s="7">
        <f t="shared" si="30"/>
        <v>6200</v>
      </c>
      <c r="J205" s="7">
        <f t="shared" si="31"/>
        <v>0</v>
      </c>
      <c r="K205" s="7">
        <f t="shared" si="32"/>
        <v>6200</v>
      </c>
      <c r="L205" s="4">
        <v>76000</v>
      </c>
      <c r="M205" s="7">
        <f t="shared" si="33"/>
        <v>82200</v>
      </c>
      <c r="N205" s="2" t="s">
        <v>28</v>
      </c>
      <c r="O205" t="s">
        <v>69</v>
      </c>
      <c r="P205" s="2" t="s">
        <v>2368</v>
      </c>
      <c r="Q205" s="2">
        <v>1</v>
      </c>
      <c r="R205" s="2" t="s">
        <v>23</v>
      </c>
      <c r="S205" s="2" t="str">
        <f t="shared" si="34"/>
        <v>Rendah</v>
      </c>
      <c r="T205" s="2" t="str">
        <f t="shared" si="35"/>
        <v>FALSE</v>
      </c>
      <c r="U205" s="2" t="str">
        <f t="shared" si="36"/>
        <v>FALSE</v>
      </c>
      <c r="V205" s="2" t="b">
        <f t="shared" si="37"/>
        <v>0</v>
      </c>
      <c r="W205" s="2" t="b">
        <f t="shared" si="38"/>
        <v>0</v>
      </c>
      <c r="X205" s="2" t="b">
        <f t="shared" si="39"/>
        <v>0</v>
      </c>
    </row>
    <row r="206" spans="1:24" ht="10.5" customHeight="1">
      <c r="A206" s="2" t="s">
        <v>420</v>
      </c>
      <c r="B206" s="3">
        <v>45695.767824074072</v>
      </c>
      <c r="C206" s="2" t="s">
        <v>421</v>
      </c>
      <c r="D206" s="2" t="s">
        <v>31</v>
      </c>
      <c r="E206" s="2" t="s">
        <v>80</v>
      </c>
      <c r="F206" s="4">
        <v>15000</v>
      </c>
      <c r="G206" s="5">
        <v>0.9</v>
      </c>
      <c r="H206" s="6">
        <v>0</v>
      </c>
      <c r="I206" s="7">
        <f t="shared" si="30"/>
        <v>13500</v>
      </c>
      <c r="J206" s="7">
        <f t="shared" si="31"/>
        <v>0</v>
      </c>
      <c r="K206" s="7">
        <f t="shared" si="32"/>
        <v>13500</v>
      </c>
      <c r="L206" s="4">
        <v>0</v>
      </c>
      <c r="M206" s="7">
        <f t="shared" si="33"/>
        <v>13500</v>
      </c>
      <c r="N206" s="2" t="s">
        <v>28</v>
      </c>
      <c r="O206" t="s">
        <v>69</v>
      </c>
      <c r="P206" s="2" t="s">
        <v>2368</v>
      </c>
      <c r="Q206" s="2">
        <v>1</v>
      </c>
      <c r="R206" s="2" t="s">
        <v>23</v>
      </c>
      <c r="S206" s="2" t="str">
        <f t="shared" si="34"/>
        <v>Sangat Rendah</v>
      </c>
      <c r="T206" s="2" t="str">
        <f t="shared" si="35"/>
        <v>FALSE</v>
      </c>
      <c r="U206" s="2" t="str">
        <f t="shared" si="36"/>
        <v>FALSE</v>
      </c>
      <c r="V206" s="2" t="b">
        <f t="shared" si="37"/>
        <v>0</v>
      </c>
      <c r="W206" s="2" t="b">
        <f t="shared" si="38"/>
        <v>0</v>
      </c>
      <c r="X206" s="2" t="b">
        <f t="shared" si="39"/>
        <v>1</v>
      </c>
    </row>
    <row r="207" spans="1:24" ht="10.5" customHeight="1">
      <c r="A207" s="2" t="s">
        <v>422</v>
      </c>
      <c r="B207" s="3">
        <v>45697.495069444441</v>
      </c>
      <c r="C207" s="2" t="s">
        <v>255</v>
      </c>
      <c r="D207" s="2" t="s">
        <v>111</v>
      </c>
      <c r="E207" s="2" t="s">
        <v>95</v>
      </c>
      <c r="F207" s="4">
        <v>9500</v>
      </c>
      <c r="G207" s="5">
        <v>1.9</v>
      </c>
      <c r="H207" s="6">
        <v>0</v>
      </c>
      <c r="I207" s="7">
        <f t="shared" si="30"/>
        <v>18050</v>
      </c>
      <c r="J207" s="7">
        <f t="shared" si="31"/>
        <v>0</v>
      </c>
      <c r="K207" s="7">
        <f t="shared" si="32"/>
        <v>18050</v>
      </c>
      <c r="L207" s="4">
        <v>0</v>
      </c>
      <c r="M207" s="7">
        <f t="shared" si="33"/>
        <v>18050</v>
      </c>
      <c r="N207" s="2" t="s">
        <v>28</v>
      </c>
      <c r="O207" t="s">
        <v>69</v>
      </c>
      <c r="P207" s="2" t="s">
        <v>2370</v>
      </c>
      <c r="Q207" s="2">
        <v>2</v>
      </c>
      <c r="R207" s="2" t="s">
        <v>23</v>
      </c>
      <c r="S207" s="2" t="str">
        <f t="shared" si="34"/>
        <v>Sangat Rendah</v>
      </c>
      <c r="T207" s="2" t="str">
        <f t="shared" si="35"/>
        <v>FALSE</v>
      </c>
      <c r="U207" s="2" t="str">
        <f t="shared" si="36"/>
        <v>FALSE</v>
      </c>
      <c r="V207" s="2" t="b">
        <f t="shared" si="37"/>
        <v>0</v>
      </c>
      <c r="W207" s="2" t="b">
        <f t="shared" si="38"/>
        <v>0</v>
      </c>
      <c r="X207" s="2" t="b">
        <f t="shared" si="39"/>
        <v>1</v>
      </c>
    </row>
    <row r="208" spans="1:24" ht="10.5" customHeight="1">
      <c r="A208" s="2" t="s">
        <v>423</v>
      </c>
      <c r="B208" s="3">
        <v>45697.51934027778</v>
      </c>
      <c r="C208" s="2" t="s">
        <v>424</v>
      </c>
      <c r="D208" s="2" t="s">
        <v>425</v>
      </c>
      <c r="E208" s="2" t="s">
        <v>80</v>
      </c>
      <c r="F208" s="4">
        <v>15000</v>
      </c>
      <c r="G208" s="5">
        <v>1.7</v>
      </c>
      <c r="H208" s="6">
        <v>0</v>
      </c>
      <c r="I208" s="7">
        <f t="shared" si="30"/>
        <v>25500</v>
      </c>
      <c r="J208" s="7">
        <f t="shared" si="31"/>
        <v>0</v>
      </c>
      <c r="K208" s="7">
        <f t="shared" si="32"/>
        <v>25500</v>
      </c>
      <c r="L208" s="4">
        <v>67000</v>
      </c>
      <c r="M208" s="7">
        <f t="shared" si="33"/>
        <v>92500</v>
      </c>
      <c r="N208" s="2" t="s">
        <v>28</v>
      </c>
      <c r="O208" t="s">
        <v>69</v>
      </c>
      <c r="P208" s="2" t="s">
        <v>2370</v>
      </c>
      <c r="Q208" s="2">
        <v>4</v>
      </c>
      <c r="R208" s="2" t="s">
        <v>23</v>
      </c>
      <c r="S208" s="2" t="str">
        <f t="shared" si="34"/>
        <v>Rendah</v>
      </c>
      <c r="T208" s="2" t="str">
        <f t="shared" si="35"/>
        <v>FALSE</v>
      </c>
      <c r="U208" s="2" t="str">
        <f t="shared" si="36"/>
        <v>FALSE</v>
      </c>
      <c r="V208" s="2" t="b">
        <f t="shared" si="37"/>
        <v>0</v>
      </c>
      <c r="W208" s="2" t="b">
        <f t="shared" si="38"/>
        <v>0</v>
      </c>
      <c r="X208" s="2" t="b">
        <f t="shared" si="39"/>
        <v>0</v>
      </c>
    </row>
    <row r="209" spans="1:24" ht="10.5" customHeight="1">
      <c r="A209" s="2" t="s">
        <v>426</v>
      </c>
      <c r="B209" s="3">
        <v>45697.605567129627</v>
      </c>
      <c r="C209" s="2" t="s">
        <v>427</v>
      </c>
      <c r="D209" s="2" t="s">
        <v>365</v>
      </c>
      <c r="E209" s="2" t="s">
        <v>161</v>
      </c>
      <c r="F209" s="4">
        <v>115000</v>
      </c>
      <c r="G209" s="5">
        <v>1.3</v>
      </c>
      <c r="H209" s="6">
        <v>0</v>
      </c>
      <c r="I209" s="7">
        <f t="shared" si="30"/>
        <v>149500</v>
      </c>
      <c r="J209" s="7">
        <f t="shared" si="31"/>
        <v>0</v>
      </c>
      <c r="K209" s="7">
        <f t="shared" si="32"/>
        <v>149500</v>
      </c>
      <c r="L209" s="4">
        <v>21000</v>
      </c>
      <c r="M209" s="7">
        <f t="shared" si="33"/>
        <v>170500</v>
      </c>
      <c r="N209" s="2" t="s">
        <v>58</v>
      </c>
      <c r="O209" t="s">
        <v>22</v>
      </c>
      <c r="P209" s="2" t="s">
        <v>2365</v>
      </c>
      <c r="Q209" s="2">
        <v>3</v>
      </c>
      <c r="R209" s="2" t="s">
        <v>23</v>
      </c>
      <c r="S209" s="2" t="str">
        <f t="shared" si="34"/>
        <v>Tinggi</v>
      </c>
      <c r="T209" s="2" t="str">
        <f t="shared" si="35"/>
        <v>FALSE</v>
      </c>
      <c r="U209" s="2" t="str">
        <f t="shared" si="36"/>
        <v>TRUE</v>
      </c>
      <c r="V209" s="2" t="b">
        <f t="shared" si="37"/>
        <v>0</v>
      </c>
      <c r="W209" s="2" t="b">
        <f t="shared" si="38"/>
        <v>0</v>
      </c>
      <c r="X209" s="2" t="b">
        <f t="shared" si="39"/>
        <v>0</v>
      </c>
    </row>
    <row r="210" spans="1:24" ht="10.5" customHeight="1">
      <c r="A210" s="2" t="s">
        <v>428</v>
      </c>
      <c r="B210" s="3">
        <v>45697.607662037037</v>
      </c>
      <c r="C210" s="2" t="s">
        <v>429</v>
      </c>
      <c r="D210" s="2" t="s">
        <v>111</v>
      </c>
      <c r="E210" s="2" t="s">
        <v>53</v>
      </c>
      <c r="F210" s="4">
        <v>14000</v>
      </c>
      <c r="G210" s="5">
        <v>1</v>
      </c>
      <c r="H210" s="6">
        <v>0</v>
      </c>
      <c r="I210" s="7">
        <f t="shared" si="30"/>
        <v>14000</v>
      </c>
      <c r="J210" s="7">
        <f t="shared" si="31"/>
        <v>0</v>
      </c>
      <c r="K210" s="7">
        <f t="shared" si="32"/>
        <v>14000</v>
      </c>
      <c r="L210" s="4">
        <v>0</v>
      </c>
      <c r="M210" s="7">
        <f t="shared" si="33"/>
        <v>14000</v>
      </c>
      <c r="N210" s="2" t="s">
        <v>33</v>
      </c>
      <c r="O210" t="s">
        <v>22</v>
      </c>
      <c r="P210" s="2" t="s">
        <v>2365</v>
      </c>
      <c r="Q210" s="2">
        <v>1</v>
      </c>
      <c r="R210" s="2" t="s">
        <v>34</v>
      </c>
      <c r="S210" s="2" t="str">
        <f t="shared" si="34"/>
        <v>Sangat Rendah</v>
      </c>
      <c r="T210" s="2" t="str">
        <f t="shared" si="35"/>
        <v>FALSE</v>
      </c>
      <c r="U210" s="2" t="str">
        <f t="shared" si="36"/>
        <v>FALSE</v>
      </c>
      <c r="V210" s="2" t="b">
        <f t="shared" si="37"/>
        <v>0</v>
      </c>
      <c r="W210" s="2" t="b">
        <f t="shared" si="38"/>
        <v>0</v>
      </c>
      <c r="X210" s="2" t="b">
        <f t="shared" si="39"/>
        <v>0</v>
      </c>
    </row>
    <row r="211" spans="1:24" ht="10.5" customHeight="1">
      <c r="A211" s="2" t="s">
        <v>430</v>
      </c>
      <c r="B211" s="3">
        <v>45697.655127314807</v>
      </c>
      <c r="C211" s="2" t="s">
        <v>431</v>
      </c>
      <c r="D211" s="2" t="s">
        <v>108</v>
      </c>
      <c r="E211" s="2" t="s">
        <v>170</v>
      </c>
      <c r="F211" s="4">
        <v>12000</v>
      </c>
      <c r="G211" s="5">
        <v>1.3</v>
      </c>
      <c r="H211" s="6">
        <v>0</v>
      </c>
      <c r="I211" s="7">
        <f t="shared" si="30"/>
        <v>15600</v>
      </c>
      <c r="J211" s="7">
        <f t="shared" si="31"/>
        <v>0</v>
      </c>
      <c r="K211" s="7">
        <f t="shared" si="32"/>
        <v>15600</v>
      </c>
      <c r="L211" s="4">
        <v>72000</v>
      </c>
      <c r="M211" s="7">
        <f t="shared" si="33"/>
        <v>87600</v>
      </c>
      <c r="N211" s="2" t="s">
        <v>58</v>
      </c>
      <c r="O211" t="s">
        <v>22</v>
      </c>
      <c r="P211" s="2" t="s">
        <v>2370</v>
      </c>
      <c r="Q211" s="2">
        <v>1</v>
      </c>
      <c r="R211" s="2" t="s">
        <v>34</v>
      </c>
      <c r="S211" s="2" t="str">
        <f t="shared" si="34"/>
        <v>Rendah</v>
      </c>
      <c r="T211" s="2" t="str">
        <f t="shared" si="35"/>
        <v>FALSE</v>
      </c>
      <c r="U211" s="2" t="str">
        <f t="shared" si="36"/>
        <v>FALSE</v>
      </c>
      <c r="V211" s="2" t="b">
        <f t="shared" si="37"/>
        <v>0</v>
      </c>
      <c r="W211" s="2" t="b">
        <f t="shared" si="38"/>
        <v>0</v>
      </c>
      <c r="X211" s="2" t="b">
        <f t="shared" si="39"/>
        <v>0</v>
      </c>
    </row>
    <row r="212" spans="1:24" ht="10.5" customHeight="1">
      <c r="A212" s="2" t="s">
        <v>432</v>
      </c>
      <c r="B212" s="3">
        <v>45697.695300925923</v>
      </c>
      <c r="C212" s="2" t="s">
        <v>433</v>
      </c>
      <c r="D212" s="2" t="s">
        <v>48</v>
      </c>
      <c r="E212" s="2" t="s">
        <v>57</v>
      </c>
      <c r="F212" s="4">
        <v>17500</v>
      </c>
      <c r="G212" s="5">
        <v>2.5</v>
      </c>
      <c r="H212" s="6">
        <v>0</v>
      </c>
      <c r="I212" s="7">
        <f t="shared" si="30"/>
        <v>43750</v>
      </c>
      <c r="J212" s="7">
        <f t="shared" si="31"/>
        <v>0</v>
      </c>
      <c r="K212" s="7">
        <f t="shared" si="32"/>
        <v>43750</v>
      </c>
      <c r="L212" s="4">
        <v>18000</v>
      </c>
      <c r="M212" s="7">
        <f t="shared" si="33"/>
        <v>61750</v>
      </c>
      <c r="N212" s="2" t="s">
        <v>28</v>
      </c>
      <c r="O212" t="s">
        <v>22</v>
      </c>
      <c r="P212" s="2" t="s">
        <v>2367</v>
      </c>
      <c r="Q212" s="2">
        <v>1</v>
      </c>
      <c r="R212" s="2" t="s">
        <v>23</v>
      </c>
      <c r="S212" s="2" t="str">
        <f t="shared" si="34"/>
        <v>Rendah</v>
      </c>
      <c r="T212" s="2" t="str">
        <f t="shared" si="35"/>
        <v>FALSE</v>
      </c>
      <c r="U212" s="2" t="str">
        <f t="shared" si="36"/>
        <v>FALSE</v>
      </c>
      <c r="V212" s="2" t="b">
        <f t="shared" si="37"/>
        <v>0</v>
      </c>
      <c r="W212" s="2" t="b">
        <f t="shared" si="38"/>
        <v>1</v>
      </c>
      <c r="X212" s="2" t="b">
        <f t="shared" si="39"/>
        <v>0</v>
      </c>
    </row>
    <row r="213" spans="1:24" ht="10.5" customHeight="1">
      <c r="A213" s="2" t="s">
        <v>434</v>
      </c>
      <c r="B213" s="3">
        <v>45697.746261574073</v>
      </c>
      <c r="C213" s="2" t="s">
        <v>77</v>
      </c>
      <c r="D213" s="2" t="s">
        <v>52</v>
      </c>
      <c r="E213" s="2" t="s">
        <v>35</v>
      </c>
      <c r="F213" s="4">
        <v>13500</v>
      </c>
      <c r="G213" s="5">
        <v>2.5</v>
      </c>
      <c r="H213" s="6">
        <v>0</v>
      </c>
      <c r="I213" s="7">
        <f t="shared" si="30"/>
        <v>33750</v>
      </c>
      <c r="J213" s="7">
        <f t="shared" si="31"/>
        <v>0</v>
      </c>
      <c r="K213" s="7">
        <f t="shared" si="32"/>
        <v>33750</v>
      </c>
      <c r="L213" s="4">
        <v>80000</v>
      </c>
      <c r="M213" s="7">
        <f t="shared" si="33"/>
        <v>113750</v>
      </c>
      <c r="N213" s="2" t="s">
        <v>58</v>
      </c>
      <c r="O213" t="s">
        <v>22</v>
      </c>
      <c r="P213" s="2" t="s">
        <v>2365</v>
      </c>
      <c r="Q213" s="2">
        <v>3</v>
      </c>
      <c r="R213" s="2" t="s">
        <v>34</v>
      </c>
      <c r="S213" s="2" t="str">
        <f t="shared" si="34"/>
        <v>Standar</v>
      </c>
      <c r="T213" s="2" t="str">
        <f t="shared" si="35"/>
        <v>FALSE</v>
      </c>
      <c r="U213" s="2" t="str">
        <f t="shared" si="36"/>
        <v>FALSE</v>
      </c>
      <c r="V213" s="2" t="b">
        <f t="shared" si="37"/>
        <v>0</v>
      </c>
      <c r="W213" s="2" t="b">
        <f t="shared" si="38"/>
        <v>0</v>
      </c>
      <c r="X213" s="2" t="b">
        <f t="shared" si="39"/>
        <v>0</v>
      </c>
    </row>
    <row r="214" spans="1:24" ht="10.5" customHeight="1">
      <c r="A214" s="2" t="s">
        <v>435</v>
      </c>
      <c r="B214" s="3">
        <v>45698.26152777778</v>
      </c>
      <c r="C214" s="2" t="s">
        <v>436</v>
      </c>
      <c r="D214" s="2" t="s">
        <v>286</v>
      </c>
      <c r="E214" s="2" t="s">
        <v>32</v>
      </c>
      <c r="F214" s="4">
        <v>20000</v>
      </c>
      <c r="G214" s="5">
        <v>2.2999999999999998</v>
      </c>
      <c r="H214" s="6">
        <v>0</v>
      </c>
      <c r="I214" s="7">
        <f t="shared" si="30"/>
        <v>46000</v>
      </c>
      <c r="J214" s="7">
        <f t="shared" si="31"/>
        <v>0</v>
      </c>
      <c r="K214" s="7">
        <f t="shared" si="32"/>
        <v>46000</v>
      </c>
      <c r="L214" s="4">
        <v>79000</v>
      </c>
      <c r="M214" s="7">
        <f t="shared" si="33"/>
        <v>125000</v>
      </c>
      <c r="N214" s="2" t="s">
        <v>33</v>
      </c>
      <c r="O214" t="s">
        <v>69</v>
      </c>
      <c r="P214" s="2" t="s">
        <v>2366</v>
      </c>
      <c r="Q214" s="2">
        <v>5</v>
      </c>
      <c r="R214" s="2" t="s">
        <v>34</v>
      </c>
      <c r="S214" s="2" t="str">
        <f t="shared" si="34"/>
        <v>Standar</v>
      </c>
      <c r="T214" s="2" t="str">
        <f t="shared" si="35"/>
        <v>FALSE</v>
      </c>
      <c r="U214" s="2" t="str">
        <f t="shared" si="36"/>
        <v>FALSE</v>
      </c>
      <c r="V214" s="2" t="b">
        <f t="shared" si="37"/>
        <v>0</v>
      </c>
      <c r="W214" s="2" t="b">
        <f t="shared" si="38"/>
        <v>0</v>
      </c>
      <c r="X214" s="2" t="b">
        <f t="shared" si="39"/>
        <v>0</v>
      </c>
    </row>
    <row r="215" spans="1:24" ht="10.5" customHeight="1">
      <c r="A215" s="2" t="s">
        <v>437</v>
      </c>
      <c r="B215" s="3">
        <v>45698.285138888888</v>
      </c>
      <c r="C215" s="2" t="s">
        <v>240</v>
      </c>
      <c r="D215" s="2" t="s">
        <v>44</v>
      </c>
      <c r="E215" s="2" t="s">
        <v>190</v>
      </c>
      <c r="F215" s="4">
        <v>15500</v>
      </c>
      <c r="G215" s="5">
        <v>0.2</v>
      </c>
      <c r="H215" s="6">
        <v>0</v>
      </c>
      <c r="I215" s="7">
        <f t="shared" si="30"/>
        <v>3100</v>
      </c>
      <c r="J215" s="7">
        <f t="shared" si="31"/>
        <v>0</v>
      </c>
      <c r="K215" s="7">
        <f t="shared" si="32"/>
        <v>3100</v>
      </c>
      <c r="L215" s="4">
        <v>43000</v>
      </c>
      <c r="M215" s="7">
        <f t="shared" si="33"/>
        <v>46100</v>
      </c>
      <c r="N215" s="2" t="s">
        <v>28</v>
      </c>
      <c r="O215" t="s">
        <v>22</v>
      </c>
      <c r="P215" s="2" t="s">
        <v>2368</v>
      </c>
      <c r="Q215" s="2">
        <v>2</v>
      </c>
      <c r="R215" s="2" t="s">
        <v>23</v>
      </c>
      <c r="S215" s="2" t="str">
        <f t="shared" si="34"/>
        <v>Sangat Rendah</v>
      </c>
      <c r="T215" s="2" t="str">
        <f t="shared" si="35"/>
        <v>FALSE</v>
      </c>
      <c r="U215" s="2" t="str">
        <f t="shared" si="36"/>
        <v>FALSE</v>
      </c>
      <c r="V215" s="2" t="b">
        <f t="shared" si="37"/>
        <v>0</v>
      </c>
      <c r="W215" s="2" t="b">
        <f t="shared" si="38"/>
        <v>0</v>
      </c>
      <c r="X215" s="2" t="b">
        <f t="shared" si="39"/>
        <v>1</v>
      </c>
    </row>
    <row r="216" spans="1:24" ht="10.5" customHeight="1">
      <c r="A216" s="2" t="s">
        <v>437</v>
      </c>
      <c r="B216" s="3">
        <v>45698.285138888888</v>
      </c>
      <c r="C216" s="2" t="s">
        <v>240</v>
      </c>
      <c r="D216" s="2" t="s">
        <v>44</v>
      </c>
      <c r="E216" s="2" t="s">
        <v>95</v>
      </c>
      <c r="F216" s="4">
        <v>9500</v>
      </c>
      <c r="G216" s="5">
        <v>1.8</v>
      </c>
      <c r="H216" s="6">
        <v>0</v>
      </c>
      <c r="I216" s="7">
        <f t="shared" si="30"/>
        <v>17100</v>
      </c>
      <c r="J216" s="7">
        <f t="shared" si="31"/>
        <v>0</v>
      </c>
      <c r="K216" s="7">
        <f t="shared" si="32"/>
        <v>17100</v>
      </c>
      <c r="L216" s="4">
        <v>0</v>
      </c>
      <c r="M216" s="7">
        <f t="shared" si="33"/>
        <v>17100</v>
      </c>
      <c r="N216" s="2" t="s">
        <v>28</v>
      </c>
      <c r="O216" t="s">
        <v>22</v>
      </c>
      <c r="P216" s="2" t="s">
        <v>2368</v>
      </c>
      <c r="Q216" s="2">
        <v>2</v>
      </c>
      <c r="R216" s="2" t="s">
        <v>23</v>
      </c>
      <c r="S216" s="2" t="str">
        <f t="shared" si="34"/>
        <v>Sangat Rendah</v>
      </c>
      <c r="T216" s="2" t="str">
        <f t="shared" si="35"/>
        <v>FALSE</v>
      </c>
      <c r="U216" s="2" t="str">
        <f t="shared" si="36"/>
        <v>FALSE</v>
      </c>
      <c r="V216" s="2" t="b">
        <f t="shared" si="37"/>
        <v>0</v>
      </c>
      <c r="W216" s="2" t="b">
        <f t="shared" si="38"/>
        <v>0</v>
      </c>
      <c r="X216" s="2" t="b">
        <f t="shared" si="39"/>
        <v>1</v>
      </c>
    </row>
    <row r="217" spans="1:24" ht="10.5" customHeight="1">
      <c r="A217" s="2" t="s">
        <v>438</v>
      </c>
      <c r="B217" s="3">
        <v>45699.632534722223</v>
      </c>
      <c r="C217" s="2" t="s">
        <v>439</v>
      </c>
      <c r="D217" s="2" t="s">
        <v>140</v>
      </c>
      <c r="E217" s="2" t="s">
        <v>95</v>
      </c>
      <c r="F217" s="4">
        <v>9500</v>
      </c>
      <c r="G217" s="5">
        <v>1.3</v>
      </c>
      <c r="H217" s="6">
        <v>0</v>
      </c>
      <c r="I217" s="7">
        <f t="shared" si="30"/>
        <v>12350</v>
      </c>
      <c r="J217" s="7">
        <f t="shared" si="31"/>
        <v>0</v>
      </c>
      <c r="K217" s="7">
        <f t="shared" si="32"/>
        <v>12350</v>
      </c>
      <c r="L217" s="4">
        <v>55000</v>
      </c>
      <c r="M217" s="7">
        <f t="shared" si="33"/>
        <v>67350</v>
      </c>
      <c r="N217" s="2" t="s">
        <v>33</v>
      </c>
      <c r="O217" t="s">
        <v>22</v>
      </c>
      <c r="P217" s="2" t="s">
        <v>2367</v>
      </c>
      <c r="Q217" s="2">
        <v>1</v>
      </c>
      <c r="R217" s="2" t="s">
        <v>23</v>
      </c>
      <c r="S217" s="2" t="str">
        <f t="shared" si="34"/>
        <v>Rendah</v>
      </c>
      <c r="T217" s="2" t="str">
        <f t="shared" si="35"/>
        <v>FALSE</v>
      </c>
      <c r="U217" s="2" t="str">
        <f t="shared" si="36"/>
        <v>FALSE</v>
      </c>
      <c r="V217" s="2" t="b">
        <f t="shared" si="37"/>
        <v>0</v>
      </c>
      <c r="W217" s="2" t="b">
        <f t="shared" si="38"/>
        <v>1</v>
      </c>
      <c r="X217" s="2" t="b">
        <f t="shared" si="39"/>
        <v>0</v>
      </c>
    </row>
    <row r="218" spans="1:24" ht="10.5" customHeight="1">
      <c r="A218" s="2" t="s">
        <v>440</v>
      </c>
      <c r="B218" s="3">
        <v>45699.677245370367</v>
      </c>
      <c r="C218" s="2" t="s">
        <v>441</v>
      </c>
      <c r="D218" s="2" t="s">
        <v>108</v>
      </c>
      <c r="E218" s="2" t="s">
        <v>32</v>
      </c>
      <c r="F218" s="4">
        <v>20000</v>
      </c>
      <c r="G218" s="5">
        <v>1.8</v>
      </c>
      <c r="H218" s="6">
        <v>0</v>
      </c>
      <c r="I218" s="7">
        <f t="shared" si="30"/>
        <v>36000</v>
      </c>
      <c r="J218" s="7">
        <f t="shared" si="31"/>
        <v>0</v>
      </c>
      <c r="K218" s="7">
        <f t="shared" si="32"/>
        <v>36000</v>
      </c>
      <c r="L218" s="4">
        <v>72000</v>
      </c>
      <c r="M218" s="7">
        <f t="shared" si="33"/>
        <v>108000</v>
      </c>
      <c r="N218" s="2" t="s">
        <v>28</v>
      </c>
      <c r="O218" t="s">
        <v>22</v>
      </c>
      <c r="P218" s="2" t="s">
        <v>2367</v>
      </c>
      <c r="Q218" s="2">
        <v>4</v>
      </c>
      <c r="R218" s="2" t="s">
        <v>23</v>
      </c>
      <c r="S218" s="2" t="str">
        <f t="shared" si="34"/>
        <v>Standar</v>
      </c>
      <c r="T218" s="2" t="str">
        <f t="shared" si="35"/>
        <v>FALSE</v>
      </c>
      <c r="U218" s="2" t="str">
        <f t="shared" si="36"/>
        <v>FALSE</v>
      </c>
      <c r="V218" s="2" t="b">
        <f t="shared" si="37"/>
        <v>0</v>
      </c>
      <c r="W218" s="2" t="b">
        <f t="shared" si="38"/>
        <v>1</v>
      </c>
      <c r="X218" s="2" t="b">
        <f t="shared" si="39"/>
        <v>0</v>
      </c>
    </row>
    <row r="219" spans="1:24" ht="10.5" customHeight="1">
      <c r="A219" s="2" t="s">
        <v>442</v>
      </c>
      <c r="B219" s="3">
        <v>45699.723668981482</v>
      </c>
      <c r="C219" s="2" t="s">
        <v>443</v>
      </c>
      <c r="D219" s="2" t="s">
        <v>26</v>
      </c>
      <c r="E219" s="2" t="s">
        <v>143</v>
      </c>
      <c r="F219" s="4">
        <v>10000</v>
      </c>
      <c r="G219" s="5">
        <v>1</v>
      </c>
      <c r="H219" s="6">
        <v>0</v>
      </c>
      <c r="I219" s="7">
        <f t="shared" si="30"/>
        <v>10000</v>
      </c>
      <c r="J219" s="7">
        <f t="shared" si="31"/>
        <v>0</v>
      </c>
      <c r="K219" s="7">
        <f t="shared" si="32"/>
        <v>10000</v>
      </c>
      <c r="L219" s="4">
        <v>17000</v>
      </c>
      <c r="M219" s="7">
        <f t="shared" si="33"/>
        <v>27000</v>
      </c>
      <c r="N219" s="2" t="s">
        <v>28</v>
      </c>
      <c r="O219" t="s">
        <v>22</v>
      </c>
      <c r="P219" s="2" t="s">
        <v>2365</v>
      </c>
      <c r="Q219" s="2">
        <v>4</v>
      </c>
      <c r="R219" s="2" t="s">
        <v>34</v>
      </c>
      <c r="S219" s="2" t="str">
        <f t="shared" si="34"/>
        <v>Sangat Rendah</v>
      </c>
      <c r="T219" s="2" t="str">
        <f t="shared" si="35"/>
        <v>FALSE</v>
      </c>
      <c r="U219" s="2" t="str">
        <f t="shared" si="36"/>
        <v>TRUE</v>
      </c>
      <c r="V219" s="2" t="b">
        <f t="shared" si="37"/>
        <v>0</v>
      </c>
      <c r="W219" s="2" t="b">
        <f t="shared" si="38"/>
        <v>0</v>
      </c>
      <c r="X219" s="2" t="b">
        <f t="shared" si="39"/>
        <v>0</v>
      </c>
    </row>
    <row r="220" spans="1:24" ht="10.5" customHeight="1">
      <c r="A220" s="2" t="s">
        <v>444</v>
      </c>
      <c r="B220" s="3">
        <v>45700.456064814818</v>
      </c>
      <c r="C220" s="2" t="s">
        <v>445</v>
      </c>
      <c r="D220" s="2" t="s">
        <v>31</v>
      </c>
      <c r="E220" s="2" t="s">
        <v>65</v>
      </c>
      <c r="F220" s="4">
        <v>46000</v>
      </c>
      <c r="G220" s="5">
        <v>0.5</v>
      </c>
      <c r="H220" s="6">
        <v>0</v>
      </c>
      <c r="I220" s="7">
        <f t="shared" si="30"/>
        <v>23000</v>
      </c>
      <c r="J220" s="7">
        <f t="shared" si="31"/>
        <v>0</v>
      </c>
      <c r="K220" s="7">
        <f t="shared" si="32"/>
        <v>23000</v>
      </c>
      <c r="L220" s="4">
        <v>76000</v>
      </c>
      <c r="M220" s="7">
        <f t="shared" si="33"/>
        <v>99000</v>
      </c>
      <c r="N220" s="2" t="s">
        <v>28</v>
      </c>
      <c r="O220" t="s">
        <v>22</v>
      </c>
      <c r="P220" s="2" t="s">
        <v>2367</v>
      </c>
      <c r="Q220" s="2">
        <v>1</v>
      </c>
      <c r="R220" s="2" t="s">
        <v>23</v>
      </c>
      <c r="S220" s="2" t="str">
        <f t="shared" si="34"/>
        <v>Rendah</v>
      </c>
      <c r="T220" s="2" t="str">
        <f t="shared" si="35"/>
        <v>FALSE</v>
      </c>
      <c r="U220" s="2" t="str">
        <f t="shared" si="36"/>
        <v>FALSE</v>
      </c>
      <c r="V220" s="2" t="b">
        <f t="shared" si="37"/>
        <v>0</v>
      </c>
      <c r="W220" s="2" t="b">
        <f t="shared" si="38"/>
        <v>1</v>
      </c>
      <c r="X220" s="2" t="b">
        <f t="shared" si="39"/>
        <v>0</v>
      </c>
    </row>
    <row r="221" spans="1:24" ht="10.5" customHeight="1">
      <c r="A221" s="2" t="s">
        <v>444</v>
      </c>
      <c r="B221" s="3">
        <v>45700.456064814818</v>
      </c>
      <c r="C221" s="2" t="s">
        <v>445</v>
      </c>
      <c r="D221" s="2" t="s">
        <v>31</v>
      </c>
      <c r="E221" s="2" t="s">
        <v>75</v>
      </c>
      <c r="F221" s="4">
        <v>45000</v>
      </c>
      <c r="G221" s="5">
        <v>0.9</v>
      </c>
      <c r="H221" s="6">
        <v>0</v>
      </c>
      <c r="I221" s="7">
        <f t="shared" si="30"/>
        <v>40500</v>
      </c>
      <c r="J221" s="7">
        <f t="shared" si="31"/>
        <v>0</v>
      </c>
      <c r="K221" s="7">
        <f t="shared" si="32"/>
        <v>40500</v>
      </c>
      <c r="L221" s="4">
        <v>0</v>
      </c>
      <c r="M221" s="7">
        <f t="shared" si="33"/>
        <v>40500</v>
      </c>
      <c r="N221" s="2" t="s">
        <v>28</v>
      </c>
      <c r="O221" t="s">
        <v>22</v>
      </c>
      <c r="P221" s="2" t="s">
        <v>2367</v>
      </c>
      <c r="Q221" s="2">
        <v>1</v>
      </c>
      <c r="R221" s="2" t="s">
        <v>23</v>
      </c>
      <c r="S221" s="2" t="str">
        <f t="shared" si="34"/>
        <v>Sangat Rendah</v>
      </c>
      <c r="T221" s="2" t="str">
        <f t="shared" si="35"/>
        <v>FALSE</v>
      </c>
      <c r="U221" s="2" t="str">
        <f t="shared" si="36"/>
        <v>FALSE</v>
      </c>
      <c r="V221" s="2" t="b">
        <f t="shared" si="37"/>
        <v>0</v>
      </c>
      <c r="W221" s="2" t="b">
        <f t="shared" si="38"/>
        <v>1</v>
      </c>
      <c r="X221" s="2" t="b">
        <f t="shared" si="39"/>
        <v>1</v>
      </c>
    </row>
    <row r="222" spans="1:24" ht="10.5" customHeight="1">
      <c r="A222" s="2" t="s">
        <v>446</v>
      </c>
      <c r="B222" s="3">
        <v>45701.911400462966</v>
      </c>
      <c r="C222" s="2" t="s">
        <v>447</v>
      </c>
      <c r="D222" s="2" t="s">
        <v>74</v>
      </c>
      <c r="E222" s="2" t="s">
        <v>65</v>
      </c>
      <c r="F222" s="4">
        <v>46000</v>
      </c>
      <c r="G222" s="5">
        <v>0.2</v>
      </c>
      <c r="H222" s="6">
        <v>0</v>
      </c>
      <c r="I222" s="7">
        <f t="shared" si="30"/>
        <v>9200</v>
      </c>
      <c r="J222" s="7">
        <f t="shared" si="31"/>
        <v>0</v>
      </c>
      <c r="K222" s="7">
        <f t="shared" si="32"/>
        <v>9200</v>
      </c>
      <c r="L222" s="4">
        <v>74000</v>
      </c>
      <c r="M222" s="7">
        <f t="shared" si="33"/>
        <v>83200</v>
      </c>
      <c r="N222" s="2" t="s">
        <v>21</v>
      </c>
      <c r="O222" t="s">
        <v>22</v>
      </c>
      <c r="P222" s="2" t="s">
        <v>2365</v>
      </c>
      <c r="Q222" s="2">
        <v>3</v>
      </c>
      <c r="R222" s="2" t="s">
        <v>23</v>
      </c>
      <c r="S222" s="2" t="str">
        <f t="shared" si="34"/>
        <v>Rendah</v>
      </c>
      <c r="T222" s="2" t="str">
        <f t="shared" si="35"/>
        <v>FALSE</v>
      </c>
      <c r="U222" s="2" t="str">
        <f t="shared" si="36"/>
        <v>FALSE</v>
      </c>
      <c r="V222" s="2" t="b">
        <f t="shared" si="37"/>
        <v>0</v>
      </c>
      <c r="W222" s="2" t="b">
        <f t="shared" si="38"/>
        <v>0</v>
      </c>
      <c r="X222" s="2" t="b">
        <f t="shared" si="39"/>
        <v>0</v>
      </c>
    </row>
    <row r="223" spans="1:24" ht="10.5" customHeight="1">
      <c r="A223" s="2" t="s">
        <v>448</v>
      </c>
      <c r="B223" s="3">
        <v>45702.109722222223</v>
      </c>
      <c r="C223" s="2" t="s">
        <v>449</v>
      </c>
      <c r="D223" s="2" t="s">
        <v>56</v>
      </c>
      <c r="E223" s="2" t="s">
        <v>27</v>
      </c>
      <c r="F223" s="4">
        <v>15000</v>
      </c>
      <c r="G223" s="5">
        <v>0.5</v>
      </c>
      <c r="H223" s="6">
        <v>0</v>
      </c>
      <c r="I223" s="7">
        <f t="shared" si="30"/>
        <v>7500</v>
      </c>
      <c r="J223" s="7">
        <f t="shared" si="31"/>
        <v>0</v>
      </c>
      <c r="K223" s="7">
        <f t="shared" si="32"/>
        <v>7500</v>
      </c>
      <c r="L223" s="4">
        <v>26000</v>
      </c>
      <c r="M223" s="7">
        <f t="shared" si="33"/>
        <v>33500</v>
      </c>
      <c r="N223" s="2" t="s">
        <v>28</v>
      </c>
      <c r="O223" t="s">
        <v>22</v>
      </c>
      <c r="P223" s="2" t="s">
        <v>2370</v>
      </c>
      <c r="Q223" s="2">
        <v>5</v>
      </c>
      <c r="R223" s="2" t="s">
        <v>23</v>
      </c>
      <c r="S223" s="2" t="str">
        <f t="shared" si="34"/>
        <v>Sangat Rendah</v>
      </c>
      <c r="T223" s="2" t="str">
        <f t="shared" si="35"/>
        <v>FALSE</v>
      </c>
      <c r="U223" s="2" t="str">
        <f t="shared" si="36"/>
        <v>FALSE</v>
      </c>
      <c r="V223" s="2" t="b">
        <f t="shared" si="37"/>
        <v>0</v>
      </c>
      <c r="W223" s="2" t="b">
        <f t="shared" si="38"/>
        <v>0</v>
      </c>
      <c r="X223" s="2" t="b">
        <f t="shared" si="39"/>
        <v>1</v>
      </c>
    </row>
    <row r="224" spans="1:24" ht="10.5" customHeight="1">
      <c r="A224" s="2" t="s">
        <v>450</v>
      </c>
      <c r="B224" s="3">
        <v>45703.341400462959</v>
      </c>
      <c r="C224" s="2" t="s">
        <v>451</v>
      </c>
      <c r="D224" s="2" t="s">
        <v>84</v>
      </c>
      <c r="E224" s="2" t="s">
        <v>57</v>
      </c>
      <c r="F224" s="4">
        <v>17500</v>
      </c>
      <c r="G224" s="5">
        <v>1.4</v>
      </c>
      <c r="H224" s="6">
        <v>0</v>
      </c>
      <c r="I224" s="7">
        <f t="shared" si="30"/>
        <v>24500</v>
      </c>
      <c r="J224" s="7">
        <f t="shared" si="31"/>
        <v>0</v>
      </c>
      <c r="K224" s="7">
        <f t="shared" si="32"/>
        <v>24500</v>
      </c>
      <c r="L224" s="4">
        <v>30000</v>
      </c>
      <c r="M224" s="7">
        <f t="shared" si="33"/>
        <v>54500</v>
      </c>
      <c r="N224" s="2" t="s">
        <v>33</v>
      </c>
      <c r="O224" t="s">
        <v>22</v>
      </c>
      <c r="P224" s="2" t="s">
        <v>2367</v>
      </c>
      <c r="Q224" s="2">
        <v>1</v>
      </c>
      <c r="R224" s="2" t="s">
        <v>34</v>
      </c>
      <c r="S224" s="2" t="str">
        <f t="shared" si="34"/>
        <v>Rendah</v>
      </c>
      <c r="T224" s="2" t="str">
        <f t="shared" si="35"/>
        <v>FALSE</v>
      </c>
      <c r="U224" s="2" t="str">
        <f t="shared" si="36"/>
        <v>FALSE</v>
      </c>
      <c r="V224" s="2" t="b">
        <f t="shared" si="37"/>
        <v>0</v>
      </c>
      <c r="W224" s="2" t="b">
        <f t="shared" si="38"/>
        <v>1</v>
      </c>
      <c r="X224" s="2" t="b">
        <f t="shared" si="39"/>
        <v>0</v>
      </c>
    </row>
    <row r="225" spans="1:24" ht="10.5" customHeight="1">
      <c r="A225" s="2" t="s">
        <v>452</v>
      </c>
      <c r="B225" s="3">
        <v>45703.58320601852</v>
      </c>
      <c r="C225" s="2" t="s">
        <v>110</v>
      </c>
      <c r="D225" s="2" t="s">
        <v>111</v>
      </c>
      <c r="E225" s="2" t="s">
        <v>27</v>
      </c>
      <c r="F225" s="4">
        <v>15000</v>
      </c>
      <c r="G225" s="5">
        <v>0.6</v>
      </c>
      <c r="H225" s="6">
        <v>0</v>
      </c>
      <c r="I225" s="7">
        <f t="shared" si="30"/>
        <v>9000</v>
      </c>
      <c r="J225" s="7">
        <f t="shared" si="31"/>
        <v>0</v>
      </c>
      <c r="K225" s="7">
        <f t="shared" si="32"/>
        <v>9000</v>
      </c>
      <c r="L225" s="4">
        <v>0</v>
      </c>
      <c r="M225" s="7">
        <f t="shared" si="33"/>
        <v>9000</v>
      </c>
      <c r="N225" s="2" t="s">
        <v>33</v>
      </c>
      <c r="O225" t="s">
        <v>22</v>
      </c>
      <c r="P225" s="2" t="s">
        <v>2367</v>
      </c>
      <c r="Q225" s="2">
        <v>3</v>
      </c>
      <c r="R225" s="2" t="s">
        <v>23</v>
      </c>
      <c r="S225" s="2" t="str">
        <f t="shared" si="34"/>
        <v>Sangat Rendah</v>
      </c>
      <c r="T225" s="2" t="str">
        <f t="shared" si="35"/>
        <v>FALSE</v>
      </c>
      <c r="U225" s="2" t="str">
        <f t="shared" si="36"/>
        <v>FALSE</v>
      </c>
      <c r="V225" s="2" t="b">
        <f t="shared" si="37"/>
        <v>0</v>
      </c>
      <c r="W225" s="2" t="b">
        <f t="shared" si="38"/>
        <v>1</v>
      </c>
      <c r="X225" s="2" t="b">
        <f t="shared" si="39"/>
        <v>1</v>
      </c>
    </row>
    <row r="226" spans="1:24" ht="10.5" customHeight="1">
      <c r="A226" s="2" t="s">
        <v>453</v>
      </c>
      <c r="B226" s="3">
        <v>45704.71974537037</v>
      </c>
      <c r="C226" s="2" t="s">
        <v>454</v>
      </c>
      <c r="D226" s="2" t="s">
        <v>286</v>
      </c>
      <c r="E226" s="2" t="s">
        <v>65</v>
      </c>
      <c r="F226" s="4">
        <v>46000</v>
      </c>
      <c r="G226" s="5">
        <v>0.8</v>
      </c>
      <c r="H226" s="6">
        <v>0</v>
      </c>
      <c r="I226" s="7">
        <f t="shared" si="30"/>
        <v>36800</v>
      </c>
      <c r="J226" s="7">
        <f t="shared" si="31"/>
        <v>0</v>
      </c>
      <c r="K226" s="7">
        <f t="shared" si="32"/>
        <v>36800</v>
      </c>
      <c r="L226" s="4">
        <v>79000</v>
      </c>
      <c r="M226" s="7">
        <f t="shared" si="33"/>
        <v>115800</v>
      </c>
      <c r="N226" s="2" t="s">
        <v>28</v>
      </c>
      <c r="O226" t="s">
        <v>22</v>
      </c>
      <c r="P226" s="2" t="s">
        <v>2370</v>
      </c>
      <c r="Q226" s="2">
        <v>4</v>
      </c>
      <c r="R226" s="2" t="s">
        <v>34</v>
      </c>
      <c r="S226" s="2" t="str">
        <f t="shared" si="34"/>
        <v>Standar</v>
      </c>
      <c r="T226" s="2" t="str">
        <f t="shared" si="35"/>
        <v>FALSE</v>
      </c>
      <c r="U226" s="2" t="str">
        <f t="shared" si="36"/>
        <v>FALSE</v>
      </c>
      <c r="V226" s="2" t="b">
        <f t="shared" si="37"/>
        <v>0</v>
      </c>
      <c r="W226" s="2" t="b">
        <f t="shared" si="38"/>
        <v>0</v>
      </c>
      <c r="X226" s="2" t="b">
        <f t="shared" si="39"/>
        <v>0</v>
      </c>
    </row>
    <row r="227" spans="1:24" ht="10.5" customHeight="1">
      <c r="A227" s="2" t="s">
        <v>455</v>
      </c>
      <c r="B227" s="3">
        <v>45705.573854166672</v>
      </c>
      <c r="C227" s="2" t="s">
        <v>456</v>
      </c>
      <c r="D227" s="2" t="s">
        <v>123</v>
      </c>
      <c r="E227" s="2" t="s">
        <v>102</v>
      </c>
      <c r="F227" s="4">
        <v>55000</v>
      </c>
      <c r="G227" s="5">
        <v>0.6</v>
      </c>
      <c r="H227" s="6">
        <v>0</v>
      </c>
      <c r="I227" s="7">
        <f t="shared" si="30"/>
        <v>33000</v>
      </c>
      <c r="J227" s="7">
        <f t="shared" si="31"/>
        <v>0</v>
      </c>
      <c r="K227" s="7">
        <f t="shared" si="32"/>
        <v>33000</v>
      </c>
      <c r="L227" s="4">
        <v>59000</v>
      </c>
      <c r="M227" s="7">
        <f t="shared" si="33"/>
        <v>92000</v>
      </c>
      <c r="N227" s="2" t="s">
        <v>21</v>
      </c>
      <c r="O227" t="s">
        <v>22</v>
      </c>
      <c r="P227" s="2" t="s">
        <v>2368</v>
      </c>
      <c r="Q227" s="2">
        <v>5</v>
      </c>
      <c r="R227" s="2" t="s">
        <v>23</v>
      </c>
      <c r="S227" s="2" t="str">
        <f t="shared" si="34"/>
        <v>Rendah</v>
      </c>
      <c r="T227" s="2" t="str">
        <f t="shared" si="35"/>
        <v>FALSE</v>
      </c>
      <c r="U227" s="2" t="str">
        <f t="shared" si="36"/>
        <v>FALSE</v>
      </c>
      <c r="V227" s="2" t="b">
        <f t="shared" si="37"/>
        <v>0</v>
      </c>
      <c r="W227" s="2" t="b">
        <f t="shared" si="38"/>
        <v>0</v>
      </c>
      <c r="X227" s="2" t="b">
        <f t="shared" si="39"/>
        <v>0</v>
      </c>
    </row>
    <row r="228" spans="1:24" ht="10.5" customHeight="1">
      <c r="A228" s="2" t="s">
        <v>457</v>
      </c>
      <c r="B228" s="3">
        <v>45705.703159722223</v>
      </c>
      <c r="C228" s="2" t="s">
        <v>458</v>
      </c>
      <c r="D228" s="2" t="s">
        <v>153</v>
      </c>
      <c r="E228" s="2" t="s">
        <v>32</v>
      </c>
      <c r="F228" s="4">
        <v>20000</v>
      </c>
      <c r="G228" s="5">
        <v>1.8</v>
      </c>
      <c r="H228" s="6">
        <v>0</v>
      </c>
      <c r="I228" s="7">
        <f t="shared" si="30"/>
        <v>36000</v>
      </c>
      <c r="J228" s="7">
        <f t="shared" si="31"/>
        <v>0</v>
      </c>
      <c r="K228" s="7">
        <f t="shared" si="32"/>
        <v>36000</v>
      </c>
      <c r="L228" s="4">
        <v>50000</v>
      </c>
      <c r="M228" s="7">
        <f t="shared" si="33"/>
        <v>86000</v>
      </c>
      <c r="N228" s="2" t="s">
        <v>33</v>
      </c>
      <c r="O228" t="s">
        <v>22</v>
      </c>
      <c r="P228" s="2" t="s">
        <v>2367</v>
      </c>
      <c r="Q228" s="2">
        <v>4</v>
      </c>
      <c r="R228" s="2" t="s">
        <v>23</v>
      </c>
      <c r="S228" s="2" t="str">
        <f t="shared" si="34"/>
        <v>Rendah</v>
      </c>
      <c r="T228" s="2" t="str">
        <f t="shared" si="35"/>
        <v>FALSE</v>
      </c>
      <c r="U228" s="2" t="str">
        <f t="shared" si="36"/>
        <v>FALSE</v>
      </c>
      <c r="V228" s="2" t="b">
        <f t="shared" si="37"/>
        <v>0</v>
      </c>
      <c r="W228" s="2" t="b">
        <f t="shared" si="38"/>
        <v>1</v>
      </c>
      <c r="X228" s="2" t="b">
        <f t="shared" si="39"/>
        <v>0</v>
      </c>
    </row>
    <row r="229" spans="1:24" ht="10.5" customHeight="1">
      <c r="A229" s="2" t="s">
        <v>459</v>
      </c>
      <c r="B229" s="3">
        <v>45705.715231481481</v>
      </c>
      <c r="C229" s="2" t="s">
        <v>460</v>
      </c>
      <c r="D229" s="2" t="s">
        <v>108</v>
      </c>
      <c r="E229" s="2" t="s">
        <v>182</v>
      </c>
      <c r="F229" s="4">
        <v>11000</v>
      </c>
      <c r="G229" s="5">
        <v>2.1</v>
      </c>
      <c r="H229" s="6">
        <v>0</v>
      </c>
      <c r="I229" s="7">
        <f t="shared" si="30"/>
        <v>23100</v>
      </c>
      <c r="J229" s="7">
        <f t="shared" si="31"/>
        <v>0</v>
      </c>
      <c r="K229" s="7">
        <f t="shared" si="32"/>
        <v>23100</v>
      </c>
      <c r="L229" s="4">
        <v>72000</v>
      </c>
      <c r="M229" s="7">
        <f t="shared" si="33"/>
        <v>95100</v>
      </c>
      <c r="N229" s="2" t="s">
        <v>58</v>
      </c>
      <c r="O229" t="s">
        <v>22</v>
      </c>
      <c r="P229" s="2" t="s">
        <v>2370</v>
      </c>
      <c r="Q229" s="2">
        <v>2</v>
      </c>
      <c r="R229" s="2" t="s">
        <v>23</v>
      </c>
      <c r="S229" s="2" t="str">
        <f t="shared" si="34"/>
        <v>Rendah</v>
      </c>
      <c r="T229" s="2" t="str">
        <f t="shared" si="35"/>
        <v>FALSE</v>
      </c>
      <c r="U229" s="2" t="str">
        <f t="shared" si="36"/>
        <v>FALSE</v>
      </c>
      <c r="V229" s="2" t="b">
        <f t="shared" si="37"/>
        <v>0</v>
      </c>
      <c r="W229" s="2" t="b">
        <f t="shared" si="38"/>
        <v>0</v>
      </c>
      <c r="X229" s="2" t="b">
        <f t="shared" si="39"/>
        <v>0</v>
      </c>
    </row>
    <row r="230" spans="1:24" ht="10.5" customHeight="1">
      <c r="A230" s="2" t="s">
        <v>461</v>
      </c>
      <c r="B230" s="3">
        <v>45706.569340277783</v>
      </c>
      <c r="C230" s="2" t="s">
        <v>369</v>
      </c>
      <c r="D230" s="2" t="s">
        <v>26</v>
      </c>
      <c r="E230" s="2" t="s">
        <v>41</v>
      </c>
      <c r="F230" s="4">
        <v>40000</v>
      </c>
      <c r="G230" s="5">
        <v>1.4</v>
      </c>
      <c r="H230" s="6">
        <v>0</v>
      </c>
      <c r="I230" s="7">
        <f t="shared" si="30"/>
        <v>56000</v>
      </c>
      <c r="J230" s="7">
        <f t="shared" si="31"/>
        <v>0</v>
      </c>
      <c r="K230" s="7">
        <f t="shared" si="32"/>
        <v>56000</v>
      </c>
      <c r="L230" s="4">
        <v>17000</v>
      </c>
      <c r="M230" s="7">
        <f t="shared" si="33"/>
        <v>73000</v>
      </c>
      <c r="N230" s="2" t="s">
        <v>33</v>
      </c>
      <c r="O230" t="s">
        <v>22</v>
      </c>
      <c r="P230" s="2" t="s">
        <v>2365</v>
      </c>
      <c r="Q230" s="2">
        <v>4</v>
      </c>
      <c r="R230" s="2" t="s">
        <v>23</v>
      </c>
      <c r="S230" s="2" t="str">
        <f t="shared" si="34"/>
        <v>Rendah</v>
      </c>
      <c r="T230" s="2" t="str">
        <f t="shared" si="35"/>
        <v>FALSE</v>
      </c>
      <c r="U230" s="2" t="str">
        <f t="shared" si="36"/>
        <v>FALSE</v>
      </c>
      <c r="V230" s="2" t="b">
        <f t="shared" si="37"/>
        <v>0</v>
      </c>
      <c r="W230" s="2" t="b">
        <f t="shared" si="38"/>
        <v>0</v>
      </c>
      <c r="X230" s="2" t="b">
        <f t="shared" si="39"/>
        <v>0</v>
      </c>
    </row>
    <row r="231" spans="1:24" ht="10.5" customHeight="1">
      <c r="A231" s="2" t="s">
        <v>462</v>
      </c>
      <c r="B231" s="3">
        <v>45707.269016203703</v>
      </c>
      <c r="C231" s="2" t="s">
        <v>463</v>
      </c>
      <c r="D231" s="2" t="s">
        <v>114</v>
      </c>
      <c r="E231" s="2" t="s">
        <v>170</v>
      </c>
      <c r="F231" s="4">
        <v>12000</v>
      </c>
      <c r="G231" s="5">
        <v>1.7</v>
      </c>
      <c r="H231" s="6">
        <v>0</v>
      </c>
      <c r="I231" s="7">
        <f t="shared" si="30"/>
        <v>20400</v>
      </c>
      <c r="J231" s="7">
        <f t="shared" si="31"/>
        <v>0</v>
      </c>
      <c r="K231" s="7">
        <f t="shared" si="32"/>
        <v>20400</v>
      </c>
      <c r="L231" s="4">
        <v>78000</v>
      </c>
      <c r="M231" s="7">
        <f t="shared" si="33"/>
        <v>98400</v>
      </c>
      <c r="N231" s="2" t="s">
        <v>28</v>
      </c>
      <c r="O231" t="s">
        <v>69</v>
      </c>
      <c r="P231" s="2" t="s">
        <v>2365</v>
      </c>
      <c r="Q231" s="2">
        <v>1</v>
      </c>
      <c r="R231" s="2" t="s">
        <v>23</v>
      </c>
      <c r="S231" s="2" t="str">
        <f t="shared" si="34"/>
        <v>Rendah</v>
      </c>
      <c r="T231" s="2" t="str">
        <f t="shared" si="35"/>
        <v>TRUE</v>
      </c>
      <c r="U231" s="2" t="str">
        <f t="shared" si="36"/>
        <v>FALSE</v>
      </c>
      <c r="V231" s="2" t="b">
        <f t="shared" si="37"/>
        <v>0</v>
      </c>
      <c r="W231" s="2" t="b">
        <f t="shared" si="38"/>
        <v>0</v>
      </c>
      <c r="X231" s="2" t="b">
        <f t="shared" si="39"/>
        <v>0</v>
      </c>
    </row>
    <row r="232" spans="1:24" ht="10.5" customHeight="1">
      <c r="A232" s="2" t="s">
        <v>464</v>
      </c>
      <c r="B232" s="3">
        <v>45707.5937962963</v>
      </c>
      <c r="C232" s="2" t="s">
        <v>47</v>
      </c>
      <c r="D232" s="2" t="s">
        <v>48</v>
      </c>
      <c r="E232" s="2" t="s">
        <v>45</v>
      </c>
      <c r="F232" s="4">
        <v>10500</v>
      </c>
      <c r="G232" s="5">
        <v>1.2</v>
      </c>
      <c r="H232" s="6">
        <v>0</v>
      </c>
      <c r="I232" s="7">
        <f t="shared" si="30"/>
        <v>12600</v>
      </c>
      <c r="J232" s="7">
        <f t="shared" si="31"/>
        <v>0</v>
      </c>
      <c r="K232" s="7">
        <f t="shared" si="32"/>
        <v>12600</v>
      </c>
      <c r="L232" s="4">
        <v>18000</v>
      </c>
      <c r="M232" s="7">
        <f t="shared" si="33"/>
        <v>30600</v>
      </c>
      <c r="N232" s="2" t="s">
        <v>21</v>
      </c>
      <c r="O232" t="s">
        <v>22</v>
      </c>
      <c r="P232" s="2" t="s">
        <v>2368</v>
      </c>
      <c r="Q232" s="2">
        <v>5</v>
      </c>
      <c r="R232" s="2" t="s">
        <v>23</v>
      </c>
      <c r="S232" s="2" t="str">
        <f t="shared" si="34"/>
        <v>Sangat Rendah</v>
      </c>
      <c r="T232" s="2" t="str">
        <f t="shared" si="35"/>
        <v>FALSE</v>
      </c>
      <c r="U232" s="2" t="str">
        <f t="shared" si="36"/>
        <v>FALSE</v>
      </c>
      <c r="V232" s="2" t="b">
        <f t="shared" si="37"/>
        <v>0</v>
      </c>
      <c r="W232" s="2" t="b">
        <f t="shared" si="38"/>
        <v>0</v>
      </c>
      <c r="X232" s="2" t="b">
        <f t="shared" si="39"/>
        <v>1</v>
      </c>
    </row>
    <row r="233" spans="1:24" ht="10.5" customHeight="1">
      <c r="A233" s="2" t="s">
        <v>465</v>
      </c>
      <c r="B233" s="3">
        <v>45708.151493055557</v>
      </c>
      <c r="C233" s="2" t="s">
        <v>436</v>
      </c>
      <c r="D233" s="2" t="s">
        <v>286</v>
      </c>
      <c r="E233" s="2" t="s">
        <v>75</v>
      </c>
      <c r="F233" s="4">
        <v>45000</v>
      </c>
      <c r="G233" s="5">
        <v>0.5</v>
      </c>
      <c r="H233" s="6">
        <v>0</v>
      </c>
      <c r="I233" s="7">
        <f t="shared" si="30"/>
        <v>22500</v>
      </c>
      <c r="J233" s="7">
        <f t="shared" si="31"/>
        <v>0</v>
      </c>
      <c r="K233" s="7">
        <f t="shared" si="32"/>
        <v>22500</v>
      </c>
      <c r="L233" s="4">
        <v>79000</v>
      </c>
      <c r="M233" s="7">
        <f t="shared" si="33"/>
        <v>101500</v>
      </c>
      <c r="N233" s="2" t="s">
        <v>28</v>
      </c>
      <c r="O233" t="s">
        <v>22</v>
      </c>
      <c r="P233" s="2" t="s">
        <v>2368</v>
      </c>
      <c r="Q233" s="2">
        <v>5</v>
      </c>
      <c r="R233" s="2" t="s">
        <v>34</v>
      </c>
      <c r="S233" s="2" t="str">
        <f t="shared" si="34"/>
        <v>Standar</v>
      </c>
      <c r="T233" s="2" t="str">
        <f t="shared" si="35"/>
        <v>FALSE</v>
      </c>
      <c r="U233" s="2" t="str">
        <f t="shared" si="36"/>
        <v>FALSE</v>
      </c>
      <c r="V233" s="2" t="b">
        <f t="shared" si="37"/>
        <v>0</v>
      </c>
      <c r="W233" s="2" t="b">
        <f t="shared" si="38"/>
        <v>0</v>
      </c>
      <c r="X233" s="2" t="b">
        <f t="shared" si="39"/>
        <v>0</v>
      </c>
    </row>
    <row r="234" spans="1:24" ht="10.5" customHeight="1">
      <c r="A234" s="2" t="s">
        <v>466</v>
      </c>
      <c r="B234" s="3">
        <v>45708.590381944443</v>
      </c>
      <c r="C234" s="2" t="s">
        <v>467</v>
      </c>
      <c r="D234" s="2" t="s">
        <v>173</v>
      </c>
      <c r="E234" s="2" t="s">
        <v>170</v>
      </c>
      <c r="F234" s="4">
        <v>12000</v>
      </c>
      <c r="G234" s="5">
        <v>0.3</v>
      </c>
      <c r="H234" s="6">
        <v>0</v>
      </c>
      <c r="I234" s="7">
        <f t="shared" si="30"/>
        <v>3600</v>
      </c>
      <c r="J234" s="7">
        <f t="shared" si="31"/>
        <v>0</v>
      </c>
      <c r="K234" s="7">
        <f t="shared" si="32"/>
        <v>3600</v>
      </c>
      <c r="L234" s="4">
        <v>48000</v>
      </c>
      <c r="M234" s="7">
        <f t="shared" si="33"/>
        <v>51600</v>
      </c>
      <c r="N234" s="2" t="s">
        <v>33</v>
      </c>
      <c r="O234" t="s">
        <v>69</v>
      </c>
      <c r="P234" s="2" t="s">
        <v>2368</v>
      </c>
      <c r="Q234" s="2">
        <v>1</v>
      </c>
      <c r="R234" s="2" t="s">
        <v>23</v>
      </c>
      <c r="S234" s="2" t="str">
        <f t="shared" si="34"/>
        <v>Rendah</v>
      </c>
      <c r="T234" s="2" t="str">
        <f t="shared" si="35"/>
        <v>FALSE</v>
      </c>
      <c r="U234" s="2" t="str">
        <f t="shared" si="36"/>
        <v>FALSE</v>
      </c>
      <c r="V234" s="2" t="b">
        <f t="shared" si="37"/>
        <v>0</v>
      </c>
      <c r="W234" s="2" t="b">
        <f t="shared" si="38"/>
        <v>0</v>
      </c>
      <c r="X234" s="2" t="b">
        <f t="shared" si="39"/>
        <v>0</v>
      </c>
    </row>
    <row r="235" spans="1:24" ht="10.5" customHeight="1">
      <c r="A235" s="2" t="s">
        <v>468</v>
      </c>
      <c r="B235" s="3">
        <v>45708.592141203713</v>
      </c>
      <c r="C235" s="2" t="s">
        <v>469</v>
      </c>
      <c r="D235" s="2" t="s">
        <v>98</v>
      </c>
      <c r="E235" s="2" t="s">
        <v>75</v>
      </c>
      <c r="F235" s="4">
        <v>45000</v>
      </c>
      <c r="G235" s="5">
        <v>1.3</v>
      </c>
      <c r="H235" s="6">
        <v>0</v>
      </c>
      <c r="I235" s="7">
        <f t="shared" si="30"/>
        <v>58500</v>
      </c>
      <c r="J235" s="7">
        <f t="shared" si="31"/>
        <v>0</v>
      </c>
      <c r="K235" s="7">
        <f t="shared" si="32"/>
        <v>58500</v>
      </c>
      <c r="L235" s="4">
        <v>97000</v>
      </c>
      <c r="M235" s="7">
        <f t="shared" si="33"/>
        <v>155500</v>
      </c>
      <c r="N235" s="2" t="s">
        <v>58</v>
      </c>
      <c r="O235" t="s">
        <v>22</v>
      </c>
      <c r="P235" s="2" t="s">
        <v>2367</v>
      </c>
      <c r="Q235" s="2">
        <v>5</v>
      </c>
      <c r="R235" s="2" t="s">
        <v>34</v>
      </c>
      <c r="S235" s="2" t="str">
        <f t="shared" si="34"/>
        <v>Tinggi</v>
      </c>
      <c r="T235" s="2" t="str">
        <f t="shared" si="35"/>
        <v>FALSE</v>
      </c>
      <c r="U235" s="2" t="str">
        <f t="shared" si="36"/>
        <v>TRUE</v>
      </c>
      <c r="V235" s="2" t="b">
        <f t="shared" si="37"/>
        <v>0</v>
      </c>
      <c r="W235" s="2" t="b">
        <f t="shared" si="38"/>
        <v>1</v>
      </c>
      <c r="X235" s="2" t="b">
        <f t="shared" si="39"/>
        <v>0</v>
      </c>
    </row>
    <row r="236" spans="1:24" ht="10.5" customHeight="1">
      <c r="A236" s="2" t="s">
        <v>470</v>
      </c>
      <c r="B236" s="3">
        <v>45708.765486111108</v>
      </c>
      <c r="C236" s="2" t="s">
        <v>367</v>
      </c>
      <c r="D236" s="2" t="s">
        <v>173</v>
      </c>
      <c r="E236" s="2" t="s">
        <v>95</v>
      </c>
      <c r="F236" s="4">
        <v>9500</v>
      </c>
      <c r="G236" s="5">
        <v>2.6</v>
      </c>
      <c r="H236" s="6">
        <v>0</v>
      </c>
      <c r="I236" s="7">
        <f t="shared" si="30"/>
        <v>24700</v>
      </c>
      <c r="J236" s="7">
        <f t="shared" si="31"/>
        <v>0</v>
      </c>
      <c r="K236" s="7">
        <f t="shared" si="32"/>
        <v>24700</v>
      </c>
      <c r="L236" s="4">
        <v>48000</v>
      </c>
      <c r="M236" s="7">
        <f t="shared" si="33"/>
        <v>72700</v>
      </c>
      <c r="N236" s="2" t="s">
        <v>21</v>
      </c>
      <c r="O236" t="s">
        <v>22</v>
      </c>
      <c r="P236" s="2" t="s">
        <v>2368</v>
      </c>
      <c r="Q236" s="2">
        <v>3</v>
      </c>
      <c r="R236" s="2" t="s">
        <v>23</v>
      </c>
      <c r="S236" s="2" t="str">
        <f t="shared" si="34"/>
        <v>Rendah</v>
      </c>
      <c r="T236" s="2" t="str">
        <f t="shared" si="35"/>
        <v>FALSE</v>
      </c>
      <c r="U236" s="2" t="str">
        <f t="shared" si="36"/>
        <v>FALSE</v>
      </c>
      <c r="V236" s="2" t="b">
        <f t="shared" si="37"/>
        <v>0</v>
      </c>
      <c r="W236" s="2" t="b">
        <f t="shared" si="38"/>
        <v>0</v>
      </c>
      <c r="X236" s="2" t="b">
        <f t="shared" si="39"/>
        <v>0</v>
      </c>
    </row>
    <row r="237" spans="1:24" ht="10.5" customHeight="1">
      <c r="A237" s="2" t="s">
        <v>471</v>
      </c>
      <c r="B237" s="3">
        <v>45709.505324074067</v>
      </c>
      <c r="C237" s="2" t="s">
        <v>175</v>
      </c>
      <c r="D237" s="2" t="s">
        <v>94</v>
      </c>
      <c r="E237" s="2" t="s">
        <v>41</v>
      </c>
      <c r="F237" s="4">
        <v>40000</v>
      </c>
      <c r="G237" s="5">
        <v>0.4</v>
      </c>
      <c r="H237" s="6">
        <v>0</v>
      </c>
      <c r="I237" s="7">
        <f t="shared" si="30"/>
        <v>16000</v>
      </c>
      <c r="J237" s="7">
        <f t="shared" si="31"/>
        <v>0</v>
      </c>
      <c r="K237" s="7">
        <f t="shared" si="32"/>
        <v>16000</v>
      </c>
      <c r="L237" s="4">
        <v>85000</v>
      </c>
      <c r="M237" s="7">
        <f t="shared" si="33"/>
        <v>101000</v>
      </c>
      <c r="N237" s="2" t="s">
        <v>33</v>
      </c>
      <c r="O237" t="s">
        <v>22</v>
      </c>
      <c r="P237" s="2" t="s">
        <v>2365</v>
      </c>
      <c r="Q237" s="2">
        <v>1</v>
      </c>
      <c r="R237" s="2" t="s">
        <v>23</v>
      </c>
      <c r="S237" s="2" t="str">
        <f t="shared" si="34"/>
        <v>Standar</v>
      </c>
      <c r="T237" s="2" t="str">
        <f t="shared" si="35"/>
        <v>FALSE</v>
      </c>
      <c r="U237" s="2" t="str">
        <f t="shared" si="36"/>
        <v>FALSE</v>
      </c>
      <c r="V237" s="2" t="b">
        <f t="shared" si="37"/>
        <v>0</v>
      </c>
      <c r="W237" s="2" t="b">
        <f t="shared" si="38"/>
        <v>0</v>
      </c>
      <c r="X237" s="2" t="b">
        <f t="shared" si="39"/>
        <v>0</v>
      </c>
    </row>
    <row r="238" spans="1:24" ht="10.5" customHeight="1">
      <c r="A238" s="2" t="s">
        <v>472</v>
      </c>
      <c r="B238" s="3">
        <v>45709.55300925926</v>
      </c>
      <c r="C238" s="2" t="s">
        <v>473</v>
      </c>
      <c r="D238" s="2" t="s">
        <v>160</v>
      </c>
      <c r="E238" s="2" t="s">
        <v>57</v>
      </c>
      <c r="F238" s="4">
        <v>17500</v>
      </c>
      <c r="G238" s="5">
        <v>4.2</v>
      </c>
      <c r="H238" s="6">
        <v>0</v>
      </c>
      <c r="I238" s="7">
        <f t="shared" si="30"/>
        <v>73500</v>
      </c>
      <c r="J238" s="7">
        <f t="shared" si="31"/>
        <v>0</v>
      </c>
      <c r="K238" s="7">
        <f t="shared" si="32"/>
        <v>73500</v>
      </c>
      <c r="L238" s="4">
        <v>46000</v>
      </c>
      <c r="M238" s="7">
        <f t="shared" si="33"/>
        <v>119500</v>
      </c>
      <c r="N238" s="2" t="s">
        <v>28</v>
      </c>
      <c r="O238" t="s">
        <v>22</v>
      </c>
      <c r="P238" s="2" t="s">
        <v>2366</v>
      </c>
      <c r="Q238" s="2">
        <v>4</v>
      </c>
      <c r="R238" s="2" t="s">
        <v>23</v>
      </c>
      <c r="S238" s="2" t="str">
        <f t="shared" si="34"/>
        <v>Standar</v>
      </c>
      <c r="T238" s="2" t="str">
        <f t="shared" si="35"/>
        <v>FALSE</v>
      </c>
      <c r="U238" s="2" t="str">
        <f t="shared" si="36"/>
        <v>FALSE</v>
      </c>
      <c r="V238" s="2" t="b">
        <f t="shared" si="37"/>
        <v>0</v>
      </c>
      <c r="W238" s="2" t="b">
        <f t="shared" si="38"/>
        <v>0</v>
      </c>
      <c r="X238" s="2" t="b">
        <f t="shared" si="39"/>
        <v>0</v>
      </c>
    </row>
    <row r="239" spans="1:24" ht="10.5" customHeight="1">
      <c r="A239" s="2" t="s">
        <v>474</v>
      </c>
      <c r="B239" s="3">
        <v>45711.414085648154</v>
      </c>
      <c r="C239" s="2" t="s">
        <v>192</v>
      </c>
      <c r="D239" s="2" t="s">
        <v>98</v>
      </c>
      <c r="E239" s="2" t="s">
        <v>190</v>
      </c>
      <c r="F239" s="4">
        <v>15500</v>
      </c>
      <c r="G239" s="5">
        <v>0.4</v>
      </c>
      <c r="H239" s="6">
        <v>0</v>
      </c>
      <c r="I239" s="7">
        <f t="shared" si="30"/>
        <v>6200</v>
      </c>
      <c r="J239" s="7">
        <f t="shared" si="31"/>
        <v>0</v>
      </c>
      <c r="K239" s="7">
        <f t="shared" si="32"/>
        <v>6200</v>
      </c>
      <c r="L239" s="4">
        <v>97000</v>
      </c>
      <c r="M239" s="7">
        <f t="shared" si="33"/>
        <v>103200</v>
      </c>
      <c r="N239" s="2" t="s">
        <v>58</v>
      </c>
      <c r="O239" t="s">
        <v>22</v>
      </c>
      <c r="P239" s="2" t="s">
        <v>2370</v>
      </c>
      <c r="Q239" s="2">
        <v>5</v>
      </c>
      <c r="R239" s="2" t="s">
        <v>23</v>
      </c>
      <c r="S239" s="2" t="str">
        <f t="shared" si="34"/>
        <v>Standar</v>
      </c>
      <c r="T239" s="2" t="str">
        <f t="shared" si="35"/>
        <v>FALSE</v>
      </c>
      <c r="U239" s="2" t="str">
        <f t="shared" si="36"/>
        <v>FALSE</v>
      </c>
      <c r="V239" s="2" t="b">
        <f t="shared" si="37"/>
        <v>0</v>
      </c>
      <c r="W239" s="2" t="b">
        <f t="shared" si="38"/>
        <v>0</v>
      </c>
      <c r="X239" s="2" t="b">
        <f t="shared" si="39"/>
        <v>0</v>
      </c>
    </row>
    <row r="240" spans="1:24" ht="10.5" customHeight="1">
      <c r="A240" s="2" t="s">
        <v>475</v>
      </c>
      <c r="B240" s="3">
        <v>45711.74664351852</v>
      </c>
      <c r="C240" s="2" t="s">
        <v>476</v>
      </c>
      <c r="D240" s="2" t="s">
        <v>173</v>
      </c>
      <c r="E240" s="2" t="s">
        <v>143</v>
      </c>
      <c r="F240" s="4">
        <v>10000</v>
      </c>
      <c r="G240" s="5">
        <v>1</v>
      </c>
      <c r="H240" s="6">
        <v>0</v>
      </c>
      <c r="I240" s="7">
        <f t="shared" si="30"/>
        <v>10000</v>
      </c>
      <c r="J240" s="7">
        <f t="shared" si="31"/>
        <v>0</v>
      </c>
      <c r="K240" s="7">
        <f t="shared" si="32"/>
        <v>10000</v>
      </c>
      <c r="L240" s="4">
        <v>48000</v>
      </c>
      <c r="M240" s="7">
        <f t="shared" si="33"/>
        <v>58000</v>
      </c>
      <c r="N240" s="2" t="s">
        <v>58</v>
      </c>
      <c r="O240" t="s">
        <v>22</v>
      </c>
      <c r="P240" s="2" t="s">
        <v>2367</v>
      </c>
      <c r="Q240" s="2">
        <v>2</v>
      </c>
      <c r="R240" s="2" t="s">
        <v>23</v>
      </c>
      <c r="S240" s="2" t="str">
        <f t="shared" si="34"/>
        <v>Rendah</v>
      </c>
      <c r="T240" s="2" t="str">
        <f t="shared" si="35"/>
        <v>FALSE</v>
      </c>
      <c r="U240" s="2" t="str">
        <f t="shared" si="36"/>
        <v>TRUE</v>
      </c>
      <c r="V240" s="2" t="b">
        <f t="shared" si="37"/>
        <v>0</v>
      </c>
      <c r="W240" s="2" t="b">
        <f t="shared" si="38"/>
        <v>1</v>
      </c>
      <c r="X240" s="2" t="b">
        <f t="shared" si="39"/>
        <v>0</v>
      </c>
    </row>
    <row r="241" spans="1:24" ht="10.5" customHeight="1">
      <c r="A241" s="2" t="s">
        <v>477</v>
      </c>
      <c r="B241" s="3">
        <v>45712.643553240741</v>
      </c>
      <c r="C241" s="2" t="s">
        <v>478</v>
      </c>
      <c r="D241" s="2" t="s">
        <v>44</v>
      </c>
      <c r="E241" s="2" t="s">
        <v>170</v>
      </c>
      <c r="F241" s="4">
        <v>12000</v>
      </c>
      <c r="G241" s="5">
        <v>0.8</v>
      </c>
      <c r="H241" s="6">
        <v>0</v>
      </c>
      <c r="I241" s="7">
        <f t="shared" si="30"/>
        <v>9600</v>
      </c>
      <c r="J241" s="7">
        <f t="shared" si="31"/>
        <v>0</v>
      </c>
      <c r="K241" s="7">
        <f t="shared" si="32"/>
        <v>9600</v>
      </c>
      <c r="L241" s="4">
        <v>43000</v>
      </c>
      <c r="M241" s="7">
        <f t="shared" si="33"/>
        <v>52600</v>
      </c>
      <c r="N241" s="2" t="s">
        <v>33</v>
      </c>
      <c r="O241" t="s">
        <v>22</v>
      </c>
      <c r="P241" s="2" t="s">
        <v>2367</v>
      </c>
      <c r="Q241" s="2">
        <v>5</v>
      </c>
      <c r="R241" s="2" t="s">
        <v>23</v>
      </c>
      <c r="S241" s="2" t="str">
        <f t="shared" si="34"/>
        <v>Rendah</v>
      </c>
      <c r="T241" s="2" t="str">
        <f t="shared" si="35"/>
        <v>FALSE</v>
      </c>
      <c r="U241" s="2" t="str">
        <f t="shared" si="36"/>
        <v>FALSE</v>
      </c>
      <c r="V241" s="2" t="b">
        <f t="shared" si="37"/>
        <v>0</v>
      </c>
      <c r="W241" s="2" t="b">
        <f t="shared" si="38"/>
        <v>1</v>
      </c>
      <c r="X241" s="2" t="b">
        <f t="shared" si="39"/>
        <v>0</v>
      </c>
    </row>
    <row r="242" spans="1:24" ht="10.5" customHeight="1">
      <c r="A242" s="2" t="s">
        <v>479</v>
      </c>
      <c r="B242" s="3">
        <v>45713.036504629628</v>
      </c>
      <c r="C242" s="2" t="s">
        <v>194</v>
      </c>
      <c r="D242" s="2" t="s">
        <v>19</v>
      </c>
      <c r="E242" s="2" t="s">
        <v>20</v>
      </c>
      <c r="F242" s="4">
        <v>10000</v>
      </c>
      <c r="G242" s="5">
        <v>1.7</v>
      </c>
      <c r="H242" s="6">
        <v>5</v>
      </c>
      <c r="I242" s="7">
        <f t="shared" si="30"/>
        <v>17000</v>
      </c>
      <c r="J242" s="7">
        <f t="shared" si="31"/>
        <v>850</v>
      </c>
      <c r="K242" s="7">
        <f t="shared" si="32"/>
        <v>16150</v>
      </c>
      <c r="L242" s="4">
        <v>15000</v>
      </c>
      <c r="M242" s="7">
        <f t="shared" si="33"/>
        <v>31150</v>
      </c>
      <c r="N242" s="2" t="s">
        <v>21</v>
      </c>
      <c r="O242" t="s">
        <v>22</v>
      </c>
      <c r="P242" s="2" t="s">
        <v>2366</v>
      </c>
      <c r="Q242" s="2">
        <v>5</v>
      </c>
      <c r="R242" s="2" t="s">
        <v>23</v>
      </c>
      <c r="S242" s="2" t="str">
        <f t="shared" si="34"/>
        <v>Sangat Rendah</v>
      </c>
      <c r="T242" s="2" t="str">
        <f t="shared" si="35"/>
        <v>FALSE</v>
      </c>
      <c r="U242" s="2" t="str">
        <f t="shared" si="36"/>
        <v>FALSE</v>
      </c>
      <c r="V242" s="2" t="b">
        <f t="shared" si="37"/>
        <v>0</v>
      </c>
      <c r="W242" s="2" t="b">
        <f t="shared" si="38"/>
        <v>0</v>
      </c>
      <c r="X242" s="2" t="b">
        <f t="shared" si="39"/>
        <v>1</v>
      </c>
    </row>
    <row r="243" spans="1:24" ht="10.5" customHeight="1">
      <c r="A243" s="2" t="s">
        <v>480</v>
      </c>
      <c r="B243" s="3">
        <v>45713.195115740738</v>
      </c>
      <c r="C243" s="2" t="s">
        <v>172</v>
      </c>
      <c r="D243" s="2" t="s">
        <v>173</v>
      </c>
      <c r="E243" s="2" t="s">
        <v>161</v>
      </c>
      <c r="F243" s="4">
        <v>115000</v>
      </c>
      <c r="G243" s="5">
        <v>0.5</v>
      </c>
      <c r="H243" s="6">
        <v>5</v>
      </c>
      <c r="I243" s="7">
        <f t="shared" si="30"/>
        <v>57500</v>
      </c>
      <c r="J243" s="7">
        <f t="shared" si="31"/>
        <v>2875</v>
      </c>
      <c r="K243" s="7">
        <f t="shared" si="32"/>
        <v>54625</v>
      </c>
      <c r="L243" s="4">
        <v>48000</v>
      </c>
      <c r="M243" s="7">
        <f t="shared" si="33"/>
        <v>102625</v>
      </c>
      <c r="N243" s="2" t="s">
        <v>58</v>
      </c>
      <c r="O243" t="s">
        <v>22</v>
      </c>
      <c r="P243" s="2" t="s">
        <v>2366</v>
      </c>
      <c r="Q243" s="2">
        <v>2</v>
      </c>
      <c r="R243" s="2" t="s">
        <v>23</v>
      </c>
      <c r="S243" s="2" t="str">
        <f t="shared" si="34"/>
        <v>Standar</v>
      </c>
      <c r="T243" s="2" t="str">
        <f t="shared" si="35"/>
        <v>FALSE</v>
      </c>
      <c r="U243" s="2" t="str">
        <f t="shared" si="36"/>
        <v>FALSE</v>
      </c>
      <c r="V243" s="2" t="b">
        <f t="shared" si="37"/>
        <v>0</v>
      </c>
      <c r="W243" s="2" t="b">
        <f t="shared" si="38"/>
        <v>0</v>
      </c>
      <c r="X243" s="2" t="b">
        <f t="shared" si="39"/>
        <v>0</v>
      </c>
    </row>
    <row r="244" spans="1:24" ht="10.5" customHeight="1">
      <c r="A244" s="2" t="s">
        <v>481</v>
      </c>
      <c r="B244" s="3">
        <v>45713.226620370369</v>
      </c>
      <c r="C244" s="2" t="s">
        <v>482</v>
      </c>
      <c r="D244" s="2" t="s">
        <v>87</v>
      </c>
      <c r="E244" s="2" t="s">
        <v>170</v>
      </c>
      <c r="F244" s="4">
        <v>12000</v>
      </c>
      <c r="G244" s="5">
        <v>0.5</v>
      </c>
      <c r="H244" s="6">
        <v>5</v>
      </c>
      <c r="I244" s="7">
        <f t="shared" si="30"/>
        <v>6000</v>
      </c>
      <c r="J244" s="7">
        <f t="shared" si="31"/>
        <v>300</v>
      </c>
      <c r="K244" s="7">
        <f t="shared" si="32"/>
        <v>5700</v>
      </c>
      <c r="L244" s="4">
        <v>49000</v>
      </c>
      <c r="M244" s="7">
        <f t="shared" si="33"/>
        <v>54700</v>
      </c>
      <c r="N244" s="2" t="s">
        <v>58</v>
      </c>
      <c r="O244" t="s">
        <v>69</v>
      </c>
      <c r="P244" s="2" t="s">
        <v>2368</v>
      </c>
      <c r="Q244" s="2">
        <v>1</v>
      </c>
      <c r="R244" s="2" t="s">
        <v>34</v>
      </c>
      <c r="S244" s="2" t="str">
        <f t="shared" si="34"/>
        <v>Rendah</v>
      </c>
      <c r="T244" s="2" t="str">
        <f t="shared" si="35"/>
        <v>FALSE</v>
      </c>
      <c r="U244" s="2" t="str">
        <f t="shared" si="36"/>
        <v>FALSE</v>
      </c>
      <c r="V244" s="2" t="b">
        <f t="shared" si="37"/>
        <v>0</v>
      </c>
      <c r="W244" s="2" t="b">
        <f t="shared" si="38"/>
        <v>0</v>
      </c>
      <c r="X244" s="2" t="b">
        <f t="shared" si="39"/>
        <v>0</v>
      </c>
    </row>
    <row r="245" spans="1:24" ht="10.5" customHeight="1">
      <c r="A245" s="2" t="s">
        <v>483</v>
      </c>
      <c r="B245" s="3">
        <v>45713.292962962973</v>
      </c>
      <c r="C245" s="2" t="s">
        <v>467</v>
      </c>
      <c r="D245" s="2" t="s">
        <v>173</v>
      </c>
      <c r="E245" s="2" t="s">
        <v>49</v>
      </c>
      <c r="F245" s="4">
        <v>26000</v>
      </c>
      <c r="G245" s="5">
        <v>1</v>
      </c>
      <c r="H245" s="6">
        <v>5</v>
      </c>
      <c r="I245" s="7">
        <f t="shared" si="30"/>
        <v>26000</v>
      </c>
      <c r="J245" s="7">
        <f t="shared" si="31"/>
        <v>1300</v>
      </c>
      <c r="K245" s="7">
        <f t="shared" si="32"/>
        <v>24700</v>
      </c>
      <c r="L245" s="4">
        <v>48000</v>
      </c>
      <c r="M245" s="7">
        <f t="shared" si="33"/>
        <v>72700</v>
      </c>
      <c r="N245" s="2" t="s">
        <v>33</v>
      </c>
      <c r="O245" t="s">
        <v>22</v>
      </c>
      <c r="P245" s="2" t="s">
        <v>2368</v>
      </c>
      <c r="Q245" s="2">
        <v>1</v>
      </c>
      <c r="R245" s="2" t="s">
        <v>23</v>
      </c>
      <c r="S245" s="2" t="str">
        <f t="shared" si="34"/>
        <v>Rendah</v>
      </c>
      <c r="T245" s="2" t="str">
        <f t="shared" si="35"/>
        <v>FALSE</v>
      </c>
      <c r="U245" s="2" t="str">
        <f t="shared" si="36"/>
        <v>FALSE</v>
      </c>
      <c r="V245" s="2" t="b">
        <f t="shared" si="37"/>
        <v>0</v>
      </c>
      <c r="W245" s="2" t="b">
        <f t="shared" si="38"/>
        <v>0</v>
      </c>
      <c r="X245" s="2" t="b">
        <f t="shared" si="39"/>
        <v>0</v>
      </c>
    </row>
    <row r="246" spans="1:24" ht="10.5" customHeight="1">
      <c r="A246" s="2" t="s">
        <v>484</v>
      </c>
      <c r="B246" s="3">
        <v>45713.326608796298</v>
      </c>
      <c r="C246" s="2" t="s">
        <v>485</v>
      </c>
      <c r="D246" s="2" t="s">
        <v>40</v>
      </c>
      <c r="E246" s="2" t="s">
        <v>35</v>
      </c>
      <c r="F246" s="4">
        <v>13500</v>
      </c>
      <c r="G246" s="5">
        <v>2.8</v>
      </c>
      <c r="H246" s="6">
        <v>5</v>
      </c>
      <c r="I246" s="7">
        <f t="shared" si="30"/>
        <v>37800</v>
      </c>
      <c r="J246" s="7">
        <f t="shared" si="31"/>
        <v>1890</v>
      </c>
      <c r="K246" s="7">
        <f t="shared" si="32"/>
        <v>35910</v>
      </c>
      <c r="L246" s="4">
        <v>93000</v>
      </c>
      <c r="M246" s="7">
        <f t="shared" si="33"/>
        <v>128910</v>
      </c>
      <c r="N246" s="2" t="s">
        <v>21</v>
      </c>
      <c r="O246" t="s">
        <v>22</v>
      </c>
      <c r="P246" s="2" t="s">
        <v>2365</v>
      </c>
      <c r="Q246" s="2">
        <v>2</v>
      </c>
      <c r="R246" s="2" t="s">
        <v>34</v>
      </c>
      <c r="S246" s="2" t="str">
        <f t="shared" si="34"/>
        <v>Standar</v>
      </c>
      <c r="T246" s="2" t="str">
        <f t="shared" si="35"/>
        <v>FALSE</v>
      </c>
      <c r="U246" s="2" t="str">
        <f t="shared" si="36"/>
        <v>FALSE</v>
      </c>
      <c r="V246" s="2" t="b">
        <f t="shared" si="37"/>
        <v>0</v>
      </c>
      <c r="W246" s="2" t="b">
        <f t="shared" si="38"/>
        <v>0</v>
      </c>
      <c r="X246" s="2" t="b">
        <f t="shared" si="39"/>
        <v>0</v>
      </c>
    </row>
    <row r="247" spans="1:24" ht="10.5" customHeight="1">
      <c r="A247" s="2" t="s">
        <v>486</v>
      </c>
      <c r="B247" s="3">
        <v>45713.372800925928</v>
      </c>
      <c r="C247" s="2" t="s">
        <v>487</v>
      </c>
      <c r="D247" s="2" t="s">
        <v>164</v>
      </c>
      <c r="E247" s="2" t="s">
        <v>99</v>
      </c>
      <c r="F247" s="4">
        <v>10000</v>
      </c>
      <c r="G247" s="5">
        <v>0.6</v>
      </c>
      <c r="H247" s="6">
        <v>5</v>
      </c>
      <c r="I247" s="7">
        <f t="shared" si="30"/>
        <v>6000</v>
      </c>
      <c r="J247" s="7">
        <f t="shared" si="31"/>
        <v>300</v>
      </c>
      <c r="K247" s="7">
        <f t="shared" si="32"/>
        <v>5700</v>
      </c>
      <c r="L247" s="4">
        <v>49000</v>
      </c>
      <c r="M247" s="7">
        <f t="shared" si="33"/>
        <v>54700</v>
      </c>
      <c r="N247" s="2" t="s">
        <v>21</v>
      </c>
      <c r="O247" t="s">
        <v>69</v>
      </c>
      <c r="P247" s="2" t="s">
        <v>2365</v>
      </c>
      <c r="Q247" s="2">
        <v>1</v>
      </c>
      <c r="R247" s="2" t="s">
        <v>34</v>
      </c>
      <c r="S247" s="2" t="str">
        <f t="shared" si="34"/>
        <v>Rendah</v>
      </c>
      <c r="T247" s="2" t="str">
        <f t="shared" si="35"/>
        <v>FALSE</v>
      </c>
      <c r="U247" s="2" t="str">
        <f t="shared" si="36"/>
        <v>FALSE</v>
      </c>
      <c r="V247" s="2" t="b">
        <f t="shared" si="37"/>
        <v>0</v>
      </c>
      <c r="W247" s="2" t="b">
        <f t="shared" si="38"/>
        <v>0</v>
      </c>
      <c r="X247" s="2" t="b">
        <f t="shared" si="39"/>
        <v>0</v>
      </c>
    </row>
    <row r="248" spans="1:24" ht="10.5" customHeight="1">
      <c r="A248" s="2" t="s">
        <v>488</v>
      </c>
      <c r="B248" s="3">
        <v>45713.376006944447</v>
      </c>
      <c r="C248" s="2" t="s">
        <v>489</v>
      </c>
      <c r="D248" s="2" t="s">
        <v>123</v>
      </c>
      <c r="E248" s="2" t="s">
        <v>182</v>
      </c>
      <c r="F248" s="4">
        <v>11000</v>
      </c>
      <c r="G248" s="5">
        <v>0.9</v>
      </c>
      <c r="H248" s="6">
        <v>5</v>
      </c>
      <c r="I248" s="7">
        <f t="shared" si="30"/>
        <v>9900</v>
      </c>
      <c r="J248" s="7">
        <f t="shared" si="31"/>
        <v>495</v>
      </c>
      <c r="K248" s="7">
        <f t="shared" si="32"/>
        <v>9405</v>
      </c>
      <c r="L248" s="4">
        <v>59000</v>
      </c>
      <c r="M248" s="7">
        <f t="shared" si="33"/>
        <v>68405</v>
      </c>
      <c r="N248" s="2" t="s">
        <v>28</v>
      </c>
      <c r="O248" t="s">
        <v>22</v>
      </c>
      <c r="P248" s="2" t="s">
        <v>2367</v>
      </c>
      <c r="Q248" s="2">
        <v>5</v>
      </c>
      <c r="R248" s="2" t="s">
        <v>23</v>
      </c>
      <c r="S248" s="2" t="str">
        <f t="shared" si="34"/>
        <v>Rendah</v>
      </c>
      <c r="T248" s="2" t="str">
        <f t="shared" si="35"/>
        <v>FALSE</v>
      </c>
      <c r="U248" s="2" t="str">
        <f t="shared" si="36"/>
        <v>FALSE</v>
      </c>
      <c r="V248" s="2" t="b">
        <f t="shared" si="37"/>
        <v>0</v>
      </c>
      <c r="W248" s="2" t="b">
        <f t="shared" si="38"/>
        <v>1</v>
      </c>
      <c r="X248" s="2" t="b">
        <f t="shared" si="39"/>
        <v>0</v>
      </c>
    </row>
    <row r="249" spans="1:24" ht="10.5" customHeight="1">
      <c r="A249" s="2" t="s">
        <v>490</v>
      </c>
      <c r="B249" s="3">
        <v>45713.393611111111</v>
      </c>
      <c r="C249" s="2" t="s">
        <v>142</v>
      </c>
      <c r="D249" s="2" t="s">
        <v>94</v>
      </c>
      <c r="E249" s="2" t="s">
        <v>65</v>
      </c>
      <c r="F249" s="4">
        <v>46000</v>
      </c>
      <c r="G249" s="5">
        <v>1.2</v>
      </c>
      <c r="H249" s="6">
        <v>5</v>
      </c>
      <c r="I249" s="7">
        <f t="shared" si="30"/>
        <v>55200</v>
      </c>
      <c r="J249" s="7">
        <f t="shared" si="31"/>
        <v>2760</v>
      </c>
      <c r="K249" s="7">
        <f t="shared" si="32"/>
        <v>52440</v>
      </c>
      <c r="L249" s="4">
        <v>85000</v>
      </c>
      <c r="M249" s="7">
        <f t="shared" si="33"/>
        <v>137440</v>
      </c>
      <c r="N249" s="2" t="s">
        <v>28</v>
      </c>
      <c r="O249" t="s">
        <v>22</v>
      </c>
      <c r="P249" s="2" t="s">
        <v>2366</v>
      </c>
      <c r="Q249" s="2">
        <v>1</v>
      </c>
      <c r="R249" s="2" t="s">
        <v>34</v>
      </c>
      <c r="S249" s="2" t="str">
        <f t="shared" si="34"/>
        <v>Standar</v>
      </c>
      <c r="T249" s="2" t="str">
        <f t="shared" si="35"/>
        <v>FALSE</v>
      </c>
      <c r="U249" s="2" t="str">
        <f t="shared" si="36"/>
        <v>FALSE</v>
      </c>
      <c r="V249" s="2" t="b">
        <f t="shared" si="37"/>
        <v>0</v>
      </c>
      <c r="W249" s="2" t="b">
        <f t="shared" si="38"/>
        <v>0</v>
      </c>
      <c r="X249" s="2" t="b">
        <f t="shared" si="39"/>
        <v>0</v>
      </c>
    </row>
    <row r="250" spans="1:24" ht="10.5" customHeight="1">
      <c r="A250" s="2" t="s">
        <v>491</v>
      </c>
      <c r="B250" s="3">
        <v>45713.39770833333</v>
      </c>
      <c r="C250" s="2" t="s">
        <v>492</v>
      </c>
      <c r="D250" s="2" t="s">
        <v>98</v>
      </c>
      <c r="E250" s="2" t="s">
        <v>35</v>
      </c>
      <c r="F250" s="4">
        <v>13500</v>
      </c>
      <c r="G250" s="5">
        <v>2.1</v>
      </c>
      <c r="H250" s="6">
        <v>5</v>
      </c>
      <c r="I250" s="7">
        <f t="shared" si="30"/>
        <v>28350</v>
      </c>
      <c r="J250" s="7">
        <f t="shared" si="31"/>
        <v>1417.5</v>
      </c>
      <c r="K250" s="7">
        <f t="shared" si="32"/>
        <v>26932.5</v>
      </c>
      <c r="L250" s="4">
        <v>97000</v>
      </c>
      <c r="M250" s="7">
        <f t="shared" si="33"/>
        <v>123932.5</v>
      </c>
      <c r="N250" s="2" t="s">
        <v>58</v>
      </c>
      <c r="O250" t="s">
        <v>22</v>
      </c>
      <c r="P250" s="2" t="s">
        <v>2368</v>
      </c>
      <c r="Q250" s="2">
        <v>2</v>
      </c>
      <c r="R250" s="2" t="s">
        <v>23</v>
      </c>
      <c r="S250" s="2" t="str">
        <f t="shared" si="34"/>
        <v>Standar</v>
      </c>
      <c r="T250" s="2" t="str">
        <f t="shared" si="35"/>
        <v>FALSE</v>
      </c>
      <c r="U250" s="2" t="str">
        <f t="shared" si="36"/>
        <v>FALSE</v>
      </c>
      <c r="V250" s="2" t="b">
        <f t="shared" si="37"/>
        <v>0</v>
      </c>
      <c r="W250" s="2" t="b">
        <f t="shared" si="38"/>
        <v>0</v>
      </c>
      <c r="X250" s="2" t="b">
        <f t="shared" si="39"/>
        <v>0</v>
      </c>
    </row>
    <row r="251" spans="1:24" ht="10.5" customHeight="1">
      <c r="A251" s="2" t="s">
        <v>493</v>
      </c>
      <c r="B251" s="3">
        <v>45713.407743055563</v>
      </c>
      <c r="C251" s="2" t="s">
        <v>494</v>
      </c>
      <c r="D251" s="2" t="s">
        <v>185</v>
      </c>
      <c r="E251" s="2" t="s">
        <v>80</v>
      </c>
      <c r="F251" s="4">
        <v>15000</v>
      </c>
      <c r="G251" s="5">
        <v>0.9</v>
      </c>
      <c r="H251" s="6">
        <v>5</v>
      </c>
      <c r="I251" s="7">
        <f t="shared" si="30"/>
        <v>13500</v>
      </c>
      <c r="J251" s="7">
        <f t="shared" si="31"/>
        <v>675</v>
      </c>
      <c r="K251" s="7">
        <f t="shared" si="32"/>
        <v>12825</v>
      </c>
      <c r="L251" s="4">
        <v>87000</v>
      </c>
      <c r="M251" s="7">
        <f t="shared" si="33"/>
        <v>99825</v>
      </c>
      <c r="N251" s="2" t="s">
        <v>33</v>
      </c>
      <c r="O251" t="s">
        <v>115</v>
      </c>
      <c r="P251" s="2" t="s">
        <v>2365</v>
      </c>
      <c r="Q251" s="2">
        <v>4</v>
      </c>
      <c r="R251" s="2" t="s">
        <v>23</v>
      </c>
      <c r="S251" s="2" t="str">
        <f t="shared" si="34"/>
        <v>Rendah</v>
      </c>
      <c r="T251" s="2" t="str">
        <f t="shared" si="35"/>
        <v>FALSE</v>
      </c>
      <c r="U251" s="2" t="str">
        <f t="shared" si="36"/>
        <v>FALSE</v>
      </c>
      <c r="V251" s="2" t="b">
        <f t="shared" si="37"/>
        <v>0</v>
      </c>
      <c r="W251" s="2" t="b">
        <f t="shared" si="38"/>
        <v>0</v>
      </c>
      <c r="X251" s="2" t="b">
        <f t="shared" si="39"/>
        <v>0</v>
      </c>
    </row>
    <row r="252" spans="1:24" ht="10.5" customHeight="1">
      <c r="A252" s="2" t="s">
        <v>495</v>
      </c>
      <c r="B252" s="3">
        <v>45713.440462962957</v>
      </c>
      <c r="C252" s="2" t="s">
        <v>271</v>
      </c>
      <c r="D252" s="2" t="s">
        <v>140</v>
      </c>
      <c r="E252" s="2" t="s">
        <v>182</v>
      </c>
      <c r="F252" s="4">
        <v>11000</v>
      </c>
      <c r="G252" s="5">
        <v>1.1000000000000001</v>
      </c>
      <c r="H252" s="6">
        <v>5</v>
      </c>
      <c r="I252" s="7">
        <f t="shared" si="30"/>
        <v>12100.000000000002</v>
      </c>
      <c r="J252" s="7">
        <f t="shared" si="31"/>
        <v>605.00000000000011</v>
      </c>
      <c r="K252" s="7">
        <f t="shared" si="32"/>
        <v>11495.000000000002</v>
      </c>
      <c r="L252" s="4">
        <v>55000</v>
      </c>
      <c r="M252" s="7">
        <f t="shared" si="33"/>
        <v>66495</v>
      </c>
      <c r="N252" s="2" t="s">
        <v>33</v>
      </c>
      <c r="O252" t="s">
        <v>22</v>
      </c>
      <c r="P252" s="2" t="s">
        <v>2367</v>
      </c>
      <c r="Q252" s="2">
        <v>3</v>
      </c>
      <c r="R252" s="2" t="s">
        <v>23</v>
      </c>
      <c r="S252" s="2" t="str">
        <f t="shared" si="34"/>
        <v>Rendah</v>
      </c>
      <c r="T252" s="2" t="str">
        <f t="shared" si="35"/>
        <v>FALSE</v>
      </c>
      <c r="U252" s="2" t="str">
        <f t="shared" si="36"/>
        <v>FALSE</v>
      </c>
      <c r="V252" s="2" t="b">
        <f t="shared" si="37"/>
        <v>0</v>
      </c>
      <c r="W252" s="2" t="b">
        <f t="shared" si="38"/>
        <v>1</v>
      </c>
      <c r="X252" s="2" t="b">
        <f t="shared" si="39"/>
        <v>0</v>
      </c>
    </row>
    <row r="253" spans="1:24" ht="10.5" customHeight="1">
      <c r="A253" s="2" t="s">
        <v>496</v>
      </c>
      <c r="B253" s="3">
        <v>45713.469305555547</v>
      </c>
      <c r="C253" s="2" t="s">
        <v>194</v>
      </c>
      <c r="D253" s="2" t="s">
        <v>19</v>
      </c>
      <c r="E253" s="2" t="s">
        <v>49</v>
      </c>
      <c r="F253" s="4">
        <v>26000</v>
      </c>
      <c r="G253" s="5">
        <v>1</v>
      </c>
      <c r="H253" s="6">
        <v>5</v>
      </c>
      <c r="I253" s="7">
        <f t="shared" si="30"/>
        <v>26000</v>
      </c>
      <c r="J253" s="7">
        <f t="shared" si="31"/>
        <v>1300</v>
      </c>
      <c r="K253" s="7">
        <f t="shared" si="32"/>
        <v>24700</v>
      </c>
      <c r="L253" s="4">
        <v>15000</v>
      </c>
      <c r="M253" s="7">
        <f t="shared" si="33"/>
        <v>39700</v>
      </c>
      <c r="N253" s="2" t="s">
        <v>58</v>
      </c>
      <c r="O253" t="s">
        <v>115</v>
      </c>
      <c r="P253" s="2" t="s">
        <v>2368</v>
      </c>
      <c r="Q253" s="2">
        <v>2</v>
      </c>
      <c r="R253" s="2" t="s">
        <v>23</v>
      </c>
      <c r="S253" s="2" t="str">
        <f t="shared" si="34"/>
        <v>Sangat Rendah</v>
      </c>
      <c r="T253" s="2" t="str">
        <f t="shared" si="35"/>
        <v>FALSE</v>
      </c>
      <c r="U253" s="2" t="str">
        <f t="shared" si="36"/>
        <v>FALSE</v>
      </c>
      <c r="V253" s="2" t="b">
        <f t="shared" si="37"/>
        <v>0</v>
      </c>
      <c r="W253" s="2" t="b">
        <f t="shared" si="38"/>
        <v>0</v>
      </c>
      <c r="X253" s="2" t="b">
        <f t="shared" si="39"/>
        <v>1</v>
      </c>
    </row>
    <row r="254" spans="1:24" ht="10.5" customHeight="1">
      <c r="A254" s="2" t="s">
        <v>497</v>
      </c>
      <c r="B254" s="3">
        <v>45713.485590277778</v>
      </c>
      <c r="C254" s="2" t="s">
        <v>498</v>
      </c>
      <c r="D254" s="2" t="s">
        <v>19</v>
      </c>
      <c r="E254" s="2" t="s">
        <v>161</v>
      </c>
      <c r="F254" s="4">
        <v>115000</v>
      </c>
      <c r="G254" s="5">
        <v>1.3</v>
      </c>
      <c r="H254" s="6">
        <v>5</v>
      </c>
      <c r="I254" s="7">
        <f t="shared" si="30"/>
        <v>149500</v>
      </c>
      <c r="J254" s="7">
        <f t="shared" si="31"/>
        <v>7475</v>
      </c>
      <c r="K254" s="7">
        <f t="shared" si="32"/>
        <v>142025</v>
      </c>
      <c r="L254" s="4">
        <v>15000</v>
      </c>
      <c r="M254" s="7">
        <f t="shared" si="33"/>
        <v>157025</v>
      </c>
      <c r="N254" s="2" t="s">
        <v>58</v>
      </c>
      <c r="O254" t="s">
        <v>22</v>
      </c>
      <c r="P254" s="2" t="s">
        <v>2367</v>
      </c>
      <c r="Q254" s="2">
        <v>5</v>
      </c>
      <c r="R254" s="2" t="s">
        <v>34</v>
      </c>
      <c r="S254" s="2" t="str">
        <f t="shared" si="34"/>
        <v>Tinggi</v>
      </c>
      <c r="T254" s="2" t="str">
        <f t="shared" si="35"/>
        <v>FALSE</v>
      </c>
      <c r="U254" s="2" t="str">
        <f t="shared" si="36"/>
        <v>TRUE</v>
      </c>
      <c r="V254" s="2" t="b">
        <f t="shared" si="37"/>
        <v>0</v>
      </c>
      <c r="W254" s="2" t="b">
        <f t="shared" si="38"/>
        <v>1</v>
      </c>
      <c r="X254" s="2" t="b">
        <f t="shared" si="39"/>
        <v>0</v>
      </c>
    </row>
    <row r="255" spans="1:24" ht="10.5" customHeight="1">
      <c r="A255" s="2" t="s">
        <v>499</v>
      </c>
      <c r="B255" s="3">
        <v>45713.488981481481</v>
      </c>
      <c r="C255" s="2" t="s">
        <v>500</v>
      </c>
      <c r="D255" s="2" t="s">
        <v>87</v>
      </c>
      <c r="E255" s="2" t="s">
        <v>53</v>
      </c>
      <c r="F255" s="4">
        <v>14000</v>
      </c>
      <c r="G255" s="5">
        <v>1</v>
      </c>
      <c r="H255" s="6">
        <v>5</v>
      </c>
      <c r="I255" s="7">
        <f t="shared" si="30"/>
        <v>14000</v>
      </c>
      <c r="J255" s="7">
        <f t="shared" si="31"/>
        <v>700</v>
      </c>
      <c r="K255" s="7">
        <f t="shared" si="32"/>
        <v>13300</v>
      </c>
      <c r="L255" s="4">
        <v>49000</v>
      </c>
      <c r="M255" s="7">
        <f t="shared" si="33"/>
        <v>62300</v>
      </c>
      <c r="N255" s="2" t="s">
        <v>21</v>
      </c>
      <c r="O255" t="s">
        <v>22</v>
      </c>
      <c r="P255" s="2" t="s">
        <v>2365</v>
      </c>
      <c r="Q255" s="2">
        <v>4</v>
      </c>
      <c r="R255" s="2" t="s">
        <v>23</v>
      </c>
      <c r="S255" s="2" t="str">
        <f t="shared" si="34"/>
        <v>Rendah</v>
      </c>
      <c r="T255" s="2" t="str">
        <f t="shared" si="35"/>
        <v>FALSE</v>
      </c>
      <c r="U255" s="2" t="str">
        <f t="shared" si="36"/>
        <v>FALSE</v>
      </c>
      <c r="V255" s="2" t="b">
        <f t="shared" si="37"/>
        <v>0</v>
      </c>
      <c r="W255" s="2" t="b">
        <f t="shared" si="38"/>
        <v>0</v>
      </c>
      <c r="X255" s="2" t="b">
        <f t="shared" si="39"/>
        <v>0</v>
      </c>
    </row>
    <row r="256" spans="1:24" ht="10.5" customHeight="1">
      <c r="A256" s="2" t="s">
        <v>501</v>
      </c>
      <c r="B256" s="3">
        <v>45713.49428240741</v>
      </c>
      <c r="C256" s="2" t="s">
        <v>25</v>
      </c>
      <c r="D256" s="2" t="s">
        <v>26</v>
      </c>
      <c r="E256" s="2" t="s">
        <v>161</v>
      </c>
      <c r="F256" s="4">
        <v>115000</v>
      </c>
      <c r="G256" s="5">
        <v>1</v>
      </c>
      <c r="H256" s="6">
        <v>5</v>
      </c>
      <c r="I256" s="7">
        <f t="shared" si="30"/>
        <v>115000</v>
      </c>
      <c r="J256" s="7">
        <f t="shared" si="31"/>
        <v>5750</v>
      </c>
      <c r="K256" s="7">
        <f t="shared" si="32"/>
        <v>109250</v>
      </c>
      <c r="L256" s="4">
        <v>17000</v>
      </c>
      <c r="M256" s="7">
        <f t="shared" si="33"/>
        <v>126250</v>
      </c>
      <c r="N256" s="2" t="s">
        <v>21</v>
      </c>
      <c r="O256" t="s">
        <v>22</v>
      </c>
      <c r="P256" s="2" t="s">
        <v>2370</v>
      </c>
      <c r="Q256" s="2">
        <v>2</v>
      </c>
      <c r="R256" s="2" t="s">
        <v>23</v>
      </c>
      <c r="S256" s="2" t="str">
        <f t="shared" si="34"/>
        <v>Standar</v>
      </c>
      <c r="T256" s="2" t="str">
        <f t="shared" si="35"/>
        <v>FALSE</v>
      </c>
      <c r="U256" s="2" t="str">
        <f t="shared" si="36"/>
        <v>FALSE</v>
      </c>
      <c r="V256" s="2" t="b">
        <f t="shared" si="37"/>
        <v>0</v>
      </c>
      <c r="W256" s="2" t="b">
        <f t="shared" si="38"/>
        <v>0</v>
      </c>
      <c r="X256" s="2" t="b">
        <f t="shared" si="39"/>
        <v>0</v>
      </c>
    </row>
    <row r="257" spans="1:24" ht="10.5" customHeight="1">
      <c r="A257" s="2" t="s">
        <v>502</v>
      </c>
      <c r="B257" s="3">
        <v>45713.503680555557</v>
      </c>
      <c r="C257" s="2" t="s">
        <v>503</v>
      </c>
      <c r="D257" s="2" t="s">
        <v>173</v>
      </c>
      <c r="E257" s="2" t="s">
        <v>161</v>
      </c>
      <c r="F257" s="4">
        <v>115000</v>
      </c>
      <c r="G257" s="5">
        <v>0.4</v>
      </c>
      <c r="H257" s="6">
        <v>5</v>
      </c>
      <c r="I257" s="7">
        <f t="shared" si="30"/>
        <v>46000</v>
      </c>
      <c r="J257" s="7">
        <f t="shared" si="31"/>
        <v>2300</v>
      </c>
      <c r="K257" s="7">
        <f t="shared" si="32"/>
        <v>43700</v>
      </c>
      <c r="L257" s="4">
        <v>48000</v>
      </c>
      <c r="M257" s="7">
        <f t="shared" si="33"/>
        <v>91700</v>
      </c>
      <c r="N257" s="2" t="s">
        <v>21</v>
      </c>
      <c r="O257" t="s">
        <v>22</v>
      </c>
      <c r="P257" s="2" t="s">
        <v>2365</v>
      </c>
      <c r="Q257" s="2">
        <v>3</v>
      </c>
      <c r="R257" s="2" t="s">
        <v>23</v>
      </c>
      <c r="S257" s="2" t="str">
        <f t="shared" si="34"/>
        <v>Rendah</v>
      </c>
      <c r="T257" s="2" t="str">
        <f t="shared" si="35"/>
        <v>FALSE</v>
      </c>
      <c r="U257" s="2" t="str">
        <f t="shared" si="36"/>
        <v>FALSE</v>
      </c>
      <c r="V257" s="2" t="b">
        <f t="shared" si="37"/>
        <v>0</v>
      </c>
      <c r="W257" s="2" t="b">
        <f t="shared" si="38"/>
        <v>0</v>
      </c>
      <c r="X257" s="2" t="b">
        <f t="shared" si="39"/>
        <v>0</v>
      </c>
    </row>
    <row r="258" spans="1:24" ht="10.5" customHeight="1">
      <c r="A258" s="2" t="s">
        <v>504</v>
      </c>
      <c r="B258" s="3">
        <v>45713.521828703713</v>
      </c>
      <c r="C258" s="2" t="s">
        <v>505</v>
      </c>
      <c r="D258" s="2" t="s">
        <v>173</v>
      </c>
      <c r="E258" s="2" t="s">
        <v>32</v>
      </c>
      <c r="F258" s="4">
        <v>20000</v>
      </c>
      <c r="G258" s="5">
        <v>1</v>
      </c>
      <c r="H258" s="6">
        <v>5</v>
      </c>
      <c r="I258" s="7">
        <f t="shared" si="30"/>
        <v>20000</v>
      </c>
      <c r="J258" s="7">
        <f t="shared" si="31"/>
        <v>1000</v>
      </c>
      <c r="K258" s="7">
        <f t="shared" si="32"/>
        <v>19000</v>
      </c>
      <c r="L258" s="4">
        <v>48000</v>
      </c>
      <c r="M258" s="7">
        <f t="shared" si="33"/>
        <v>67000</v>
      </c>
      <c r="N258" s="2" t="s">
        <v>21</v>
      </c>
      <c r="O258" t="s">
        <v>22</v>
      </c>
      <c r="P258" s="2" t="s">
        <v>2366</v>
      </c>
      <c r="Q258" s="2">
        <v>2</v>
      </c>
      <c r="R258" s="2" t="s">
        <v>23</v>
      </c>
      <c r="S258" s="2" t="str">
        <f t="shared" si="34"/>
        <v>Rendah</v>
      </c>
      <c r="T258" s="2" t="str">
        <f t="shared" si="35"/>
        <v>FALSE</v>
      </c>
      <c r="U258" s="2" t="str">
        <f t="shared" si="36"/>
        <v>FALSE</v>
      </c>
      <c r="V258" s="2" t="b">
        <f t="shared" si="37"/>
        <v>0</v>
      </c>
      <c r="W258" s="2" t="b">
        <f t="shared" si="38"/>
        <v>0</v>
      </c>
      <c r="X258" s="2" t="b">
        <f t="shared" si="39"/>
        <v>0</v>
      </c>
    </row>
    <row r="259" spans="1:24" ht="10.5" customHeight="1">
      <c r="A259" s="2" t="s">
        <v>506</v>
      </c>
      <c r="B259" s="3">
        <v>45713.523692129631</v>
      </c>
      <c r="C259" s="2" t="s">
        <v>398</v>
      </c>
      <c r="D259" s="2" t="s">
        <v>68</v>
      </c>
      <c r="E259" s="2" t="s">
        <v>53</v>
      </c>
      <c r="F259" s="4">
        <v>14000</v>
      </c>
      <c r="G259" s="5">
        <v>0.9</v>
      </c>
      <c r="H259" s="6">
        <v>5</v>
      </c>
      <c r="I259" s="7">
        <f t="shared" si="30"/>
        <v>12600</v>
      </c>
      <c r="J259" s="7">
        <f t="shared" si="31"/>
        <v>630</v>
      </c>
      <c r="K259" s="7">
        <f t="shared" si="32"/>
        <v>11970</v>
      </c>
      <c r="L259" s="4">
        <v>87000</v>
      </c>
      <c r="M259" s="7">
        <f t="shared" si="33"/>
        <v>98970</v>
      </c>
      <c r="N259" s="2" t="s">
        <v>28</v>
      </c>
      <c r="O259" t="s">
        <v>22</v>
      </c>
      <c r="P259" s="2" t="s">
        <v>2366</v>
      </c>
      <c r="Q259" s="2">
        <v>3</v>
      </c>
      <c r="R259" s="2" t="s">
        <v>23</v>
      </c>
      <c r="S259" s="2" t="str">
        <f t="shared" si="34"/>
        <v>Rendah</v>
      </c>
      <c r="T259" s="2" t="str">
        <f t="shared" si="35"/>
        <v>FALSE</v>
      </c>
      <c r="U259" s="2" t="str">
        <f t="shared" si="36"/>
        <v>FALSE</v>
      </c>
      <c r="V259" s="2" t="b">
        <f t="shared" si="37"/>
        <v>0</v>
      </c>
      <c r="W259" s="2" t="b">
        <f t="shared" si="38"/>
        <v>0</v>
      </c>
      <c r="X259" s="2" t="b">
        <f t="shared" si="39"/>
        <v>0</v>
      </c>
    </row>
    <row r="260" spans="1:24" ht="10.5" customHeight="1">
      <c r="A260" s="2" t="s">
        <v>507</v>
      </c>
      <c r="B260" s="3">
        <v>45713.549571759257</v>
      </c>
      <c r="C260" s="2" t="s">
        <v>355</v>
      </c>
      <c r="D260" s="2" t="s">
        <v>56</v>
      </c>
      <c r="E260" s="2" t="s">
        <v>45</v>
      </c>
      <c r="F260" s="4">
        <v>10500</v>
      </c>
      <c r="G260" s="5">
        <v>1.6</v>
      </c>
      <c r="H260" s="6">
        <v>5</v>
      </c>
      <c r="I260" s="7">
        <f t="shared" ref="I260:I323" si="40">F260*G260</f>
        <v>16800</v>
      </c>
      <c r="J260" s="7">
        <f t="shared" ref="J260:J323" si="41">I260*(H260/100)</f>
        <v>840</v>
      </c>
      <c r="K260" s="7">
        <f t="shared" ref="K260:K323" si="42">I260-J260</f>
        <v>15960</v>
      </c>
      <c r="L260" s="4">
        <v>26000</v>
      </c>
      <c r="M260" s="7">
        <f t="shared" ref="M260:M323" si="43">K260+L260</f>
        <v>41960</v>
      </c>
      <c r="N260" s="2" t="s">
        <v>33</v>
      </c>
      <c r="O260" t="s">
        <v>69</v>
      </c>
      <c r="P260" s="2" t="s">
        <v>2365</v>
      </c>
      <c r="Q260" s="2">
        <v>2</v>
      </c>
      <c r="R260" s="2" t="s">
        <v>23</v>
      </c>
      <c r="S260" s="2" t="str">
        <f t="shared" ref="S260:S323" si="44">IF(M260&lt;=50000,"Sangat Rendah",IF(M260&lt;=100000,"Rendah",IF(M260&lt;=150000,"Standar",IF(M260&lt;=200000,"Tinggi","Sangat Tinggi"))))</f>
        <v>Sangat Rendah</v>
      </c>
      <c r="T260" s="2" t="str">
        <f t="shared" ref="T260:T323" si="45">IF(AND(S260="Rendah",D260="Yogyakarta"),"TRUE","FALSE")</f>
        <v>FALSE</v>
      </c>
      <c r="U260" s="2" t="str">
        <f t="shared" ref="U260:U323" si="46">IF(OR(S260="Tinggi",E260="Bayam"),"TRUE","FALSE")</f>
        <v>FALSE</v>
      </c>
      <c r="V260" s="2" t="b">
        <f t="shared" ref="V260:V323" si="47">IF(AND(S260="Standar",N260="Transef Bank"),TRUE,FALSE)</f>
        <v>0</v>
      </c>
      <c r="W260" s="2" t="b">
        <f t="shared" ref="W260:W323" si="48">IF(OR(S260="Sangat Tinggi",P260="FoodMart"),TRUE,FALSE)</f>
        <v>0</v>
      </c>
      <c r="X260" s="2" t="b">
        <f t="shared" ref="X260:X323" si="49">IF(AND(S260="Sangat Rendah",R260="Perempuan"),TRUE,FALSE)</f>
        <v>1</v>
      </c>
    </row>
    <row r="261" spans="1:24" ht="10.5" customHeight="1">
      <c r="A261" s="2" t="s">
        <v>508</v>
      </c>
      <c r="B261" s="3">
        <v>45713.562013888892</v>
      </c>
      <c r="C261" s="2" t="s">
        <v>79</v>
      </c>
      <c r="D261" s="2" t="s">
        <v>74</v>
      </c>
      <c r="E261" s="2" t="s">
        <v>35</v>
      </c>
      <c r="F261" s="4">
        <v>13500</v>
      </c>
      <c r="G261" s="5">
        <v>1.4</v>
      </c>
      <c r="H261" s="6">
        <v>5</v>
      </c>
      <c r="I261" s="7">
        <f t="shared" si="40"/>
        <v>18900</v>
      </c>
      <c r="J261" s="7">
        <f t="shared" si="41"/>
        <v>945</v>
      </c>
      <c r="K261" s="7">
        <f t="shared" si="42"/>
        <v>17955</v>
      </c>
      <c r="L261" s="4">
        <v>74000</v>
      </c>
      <c r="M261" s="7">
        <f t="shared" si="43"/>
        <v>91955</v>
      </c>
      <c r="N261" s="2" t="s">
        <v>21</v>
      </c>
      <c r="O261" t="s">
        <v>69</v>
      </c>
      <c r="P261" s="2" t="s">
        <v>2366</v>
      </c>
      <c r="Q261" s="2">
        <v>3</v>
      </c>
      <c r="R261" s="2" t="s">
        <v>23</v>
      </c>
      <c r="S261" s="2" t="str">
        <f t="shared" si="44"/>
        <v>Rendah</v>
      </c>
      <c r="T261" s="2" t="str">
        <f t="shared" si="45"/>
        <v>FALSE</v>
      </c>
      <c r="U261" s="2" t="str">
        <f t="shared" si="46"/>
        <v>FALSE</v>
      </c>
      <c r="V261" s="2" t="b">
        <f t="shared" si="47"/>
        <v>0</v>
      </c>
      <c r="W261" s="2" t="b">
        <f t="shared" si="48"/>
        <v>0</v>
      </c>
      <c r="X261" s="2" t="b">
        <f t="shared" si="49"/>
        <v>0</v>
      </c>
    </row>
    <row r="262" spans="1:24" ht="10.5" customHeight="1">
      <c r="A262" s="2" t="s">
        <v>509</v>
      </c>
      <c r="B262" s="3">
        <v>45713.644467592603</v>
      </c>
      <c r="C262" s="2" t="s">
        <v>510</v>
      </c>
      <c r="D262" s="2" t="s">
        <v>94</v>
      </c>
      <c r="E262" s="2" t="s">
        <v>75</v>
      </c>
      <c r="F262" s="4">
        <v>45000</v>
      </c>
      <c r="G262" s="5">
        <v>1.3</v>
      </c>
      <c r="H262" s="6">
        <v>5</v>
      </c>
      <c r="I262" s="7">
        <f t="shared" si="40"/>
        <v>58500</v>
      </c>
      <c r="J262" s="7">
        <f t="shared" si="41"/>
        <v>2925</v>
      </c>
      <c r="K262" s="7">
        <f t="shared" si="42"/>
        <v>55575</v>
      </c>
      <c r="L262" s="4">
        <v>85000</v>
      </c>
      <c r="M262" s="7">
        <f t="shared" si="43"/>
        <v>140575</v>
      </c>
      <c r="N262" s="2" t="s">
        <v>21</v>
      </c>
      <c r="O262" t="s">
        <v>22</v>
      </c>
      <c r="P262" s="2" t="s">
        <v>2367</v>
      </c>
      <c r="Q262" s="2">
        <v>5</v>
      </c>
      <c r="R262" s="2" t="s">
        <v>23</v>
      </c>
      <c r="S262" s="2" t="str">
        <f t="shared" si="44"/>
        <v>Standar</v>
      </c>
      <c r="T262" s="2" t="str">
        <f t="shared" si="45"/>
        <v>FALSE</v>
      </c>
      <c r="U262" s="2" t="str">
        <f t="shared" si="46"/>
        <v>FALSE</v>
      </c>
      <c r="V262" s="2" t="b">
        <f t="shared" si="47"/>
        <v>0</v>
      </c>
      <c r="W262" s="2" t="b">
        <f t="shared" si="48"/>
        <v>1</v>
      </c>
      <c r="X262" s="2" t="b">
        <f t="shared" si="49"/>
        <v>0</v>
      </c>
    </row>
    <row r="263" spans="1:24" ht="10.5" customHeight="1">
      <c r="A263" s="2" t="s">
        <v>511</v>
      </c>
      <c r="B263" s="3">
        <v>45713.657858796287</v>
      </c>
      <c r="C263" s="2" t="s">
        <v>275</v>
      </c>
      <c r="D263" s="2" t="s">
        <v>19</v>
      </c>
      <c r="E263" s="2" t="s">
        <v>41</v>
      </c>
      <c r="F263" s="4">
        <v>40000</v>
      </c>
      <c r="G263" s="5">
        <v>0.8</v>
      </c>
      <c r="H263" s="6">
        <v>5</v>
      </c>
      <c r="I263" s="7">
        <f t="shared" si="40"/>
        <v>32000</v>
      </c>
      <c r="J263" s="7">
        <f t="shared" si="41"/>
        <v>1600</v>
      </c>
      <c r="K263" s="7">
        <f t="shared" si="42"/>
        <v>30400</v>
      </c>
      <c r="L263" s="4">
        <v>15000</v>
      </c>
      <c r="M263" s="7">
        <f t="shared" si="43"/>
        <v>45400</v>
      </c>
      <c r="N263" s="2" t="s">
        <v>33</v>
      </c>
      <c r="O263" t="s">
        <v>115</v>
      </c>
      <c r="P263" s="2" t="s">
        <v>2370</v>
      </c>
      <c r="Q263" s="2">
        <v>3</v>
      </c>
      <c r="R263" s="2" t="s">
        <v>34</v>
      </c>
      <c r="S263" s="2" t="str">
        <f t="shared" si="44"/>
        <v>Sangat Rendah</v>
      </c>
      <c r="T263" s="2" t="str">
        <f t="shared" si="45"/>
        <v>FALSE</v>
      </c>
      <c r="U263" s="2" t="str">
        <f t="shared" si="46"/>
        <v>FALSE</v>
      </c>
      <c r="V263" s="2" t="b">
        <f t="shared" si="47"/>
        <v>0</v>
      </c>
      <c r="W263" s="2" t="b">
        <f t="shared" si="48"/>
        <v>0</v>
      </c>
      <c r="X263" s="2" t="b">
        <f t="shared" si="49"/>
        <v>0</v>
      </c>
    </row>
    <row r="264" spans="1:24" ht="10.5" customHeight="1">
      <c r="A264" s="2" t="s">
        <v>512</v>
      </c>
      <c r="B264" s="3">
        <v>45713.65834490741</v>
      </c>
      <c r="C264" s="2" t="s">
        <v>513</v>
      </c>
      <c r="D264" s="2" t="s">
        <v>105</v>
      </c>
      <c r="E264" s="2" t="s">
        <v>41</v>
      </c>
      <c r="F264" s="4">
        <v>40000</v>
      </c>
      <c r="G264" s="5">
        <v>1.2</v>
      </c>
      <c r="H264" s="6">
        <v>5</v>
      </c>
      <c r="I264" s="7">
        <f t="shared" si="40"/>
        <v>48000</v>
      </c>
      <c r="J264" s="7">
        <f t="shared" si="41"/>
        <v>2400</v>
      </c>
      <c r="K264" s="7">
        <f t="shared" si="42"/>
        <v>45600</v>
      </c>
      <c r="L264" s="4">
        <v>18000</v>
      </c>
      <c r="M264" s="7">
        <f t="shared" si="43"/>
        <v>63600</v>
      </c>
      <c r="N264" s="2" t="s">
        <v>28</v>
      </c>
      <c r="O264" t="s">
        <v>22</v>
      </c>
      <c r="P264" s="2" t="s">
        <v>2366</v>
      </c>
      <c r="Q264" s="2">
        <v>4</v>
      </c>
      <c r="R264" s="2" t="s">
        <v>23</v>
      </c>
      <c r="S264" s="2" t="str">
        <f t="shared" si="44"/>
        <v>Rendah</v>
      </c>
      <c r="T264" s="2" t="str">
        <f t="shared" si="45"/>
        <v>FALSE</v>
      </c>
      <c r="U264" s="2" t="str">
        <f t="shared" si="46"/>
        <v>FALSE</v>
      </c>
      <c r="V264" s="2" t="b">
        <f t="shared" si="47"/>
        <v>0</v>
      </c>
      <c r="W264" s="2" t="b">
        <f t="shared" si="48"/>
        <v>0</v>
      </c>
      <c r="X264" s="2" t="b">
        <f t="shared" si="49"/>
        <v>0</v>
      </c>
    </row>
    <row r="265" spans="1:24" ht="10.5" customHeight="1">
      <c r="A265" s="2" t="s">
        <v>514</v>
      </c>
      <c r="B265" s="3">
        <v>45713.671412037038</v>
      </c>
      <c r="C265" s="2" t="s">
        <v>515</v>
      </c>
      <c r="D265" s="2" t="s">
        <v>87</v>
      </c>
      <c r="E265" s="2" t="s">
        <v>95</v>
      </c>
      <c r="F265" s="4">
        <v>9500</v>
      </c>
      <c r="G265" s="5">
        <v>1.8</v>
      </c>
      <c r="H265" s="6">
        <v>5</v>
      </c>
      <c r="I265" s="7">
        <f t="shared" si="40"/>
        <v>17100</v>
      </c>
      <c r="J265" s="7">
        <f t="shared" si="41"/>
        <v>855</v>
      </c>
      <c r="K265" s="7">
        <f t="shared" si="42"/>
        <v>16245</v>
      </c>
      <c r="L265" s="4">
        <v>49000</v>
      </c>
      <c r="M265" s="7">
        <f t="shared" si="43"/>
        <v>65245</v>
      </c>
      <c r="N265" s="2" t="s">
        <v>28</v>
      </c>
      <c r="O265" t="s">
        <v>22</v>
      </c>
      <c r="P265" s="2" t="s">
        <v>2367</v>
      </c>
      <c r="Q265" s="2">
        <v>3</v>
      </c>
      <c r="R265" s="2" t="s">
        <v>23</v>
      </c>
      <c r="S265" s="2" t="str">
        <f t="shared" si="44"/>
        <v>Rendah</v>
      </c>
      <c r="T265" s="2" t="str">
        <f t="shared" si="45"/>
        <v>FALSE</v>
      </c>
      <c r="U265" s="2" t="str">
        <f t="shared" si="46"/>
        <v>FALSE</v>
      </c>
      <c r="V265" s="2" t="b">
        <f t="shared" si="47"/>
        <v>0</v>
      </c>
      <c r="W265" s="2" t="b">
        <f t="shared" si="48"/>
        <v>1</v>
      </c>
      <c r="X265" s="2" t="b">
        <f t="shared" si="49"/>
        <v>0</v>
      </c>
    </row>
    <row r="266" spans="1:24" ht="10.5" customHeight="1">
      <c r="A266" s="2" t="s">
        <v>516</v>
      </c>
      <c r="B266" s="3">
        <v>45713.700775462959</v>
      </c>
      <c r="C266" s="2" t="s">
        <v>517</v>
      </c>
      <c r="D266" s="2" t="s">
        <v>164</v>
      </c>
      <c r="E266" s="2" t="s">
        <v>27</v>
      </c>
      <c r="F266" s="4">
        <v>15000</v>
      </c>
      <c r="G266" s="5">
        <v>0.9</v>
      </c>
      <c r="H266" s="6">
        <v>5</v>
      </c>
      <c r="I266" s="7">
        <f t="shared" si="40"/>
        <v>13500</v>
      </c>
      <c r="J266" s="7">
        <f t="shared" si="41"/>
        <v>675</v>
      </c>
      <c r="K266" s="7">
        <f t="shared" si="42"/>
        <v>12825</v>
      </c>
      <c r="L266" s="4">
        <v>49000</v>
      </c>
      <c r="M266" s="7">
        <f t="shared" si="43"/>
        <v>61825</v>
      </c>
      <c r="N266" s="2" t="s">
        <v>28</v>
      </c>
      <c r="O266" t="s">
        <v>22</v>
      </c>
      <c r="P266" s="2" t="s">
        <v>2365</v>
      </c>
      <c r="Q266" s="2">
        <v>1</v>
      </c>
      <c r="R266" s="2" t="s">
        <v>23</v>
      </c>
      <c r="S266" s="2" t="str">
        <f t="shared" si="44"/>
        <v>Rendah</v>
      </c>
      <c r="T266" s="2" t="str">
        <f t="shared" si="45"/>
        <v>FALSE</v>
      </c>
      <c r="U266" s="2" t="str">
        <f t="shared" si="46"/>
        <v>FALSE</v>
      </c>
      <c r="V266" s="2" t="b">
        <f t="shared" si="47"/>
        <v>0</v>
      </c>
      <c r="W266" s="2" t="b">
        <f t="shared" si="48"/>
        <v>0</v>
      </c>
      <c r="X266" s="2" t="b">
        <f t="shared" si="49"/>
        <v>0</v>
      </c>
    </row>
    <row r="267" spans="1:24" ht="10.5" customHeight="1">
      <c r="A267" s="2" t="s">
        <v>518</v>
      </c>
      <c r="B267" s="3">
        <v>45713.725671296299</v>
      </c>
      <c r="C267" s="2" t="s">
        <v>445</v>
      </c>
      <c r="D267" s="2" t="s">
        <v>31</v>
      </c>
      <c r="E267" s="2" t="s">
        <v>27</v>
      </c>
      <c r="F267" s="4">
        <v>15000</v>
      </c>
      <c r="G267" s="5">
        <v>0.4</v>
      </c>
      <c r="H267" s="6">
        <v>5</v>
      </c>
      <c r="I267" s="7">
        <f t="shared" si="40"/>
        <v>6000</v>
      </c>
      <c r="J267" s="7">
        <f t="shared" si="41"/>
        <v>300</v>
      </c>
      <c r="K267" s="7">
        <f t="shared" si="42"/>
        <v>5700</v>
      </c>
      <c r="L267" s="4">
        <v>76000</v>
      </c>
      <c r="M267" s="7">
        <f t="shared" si="43"/>
        <v>81700</v>
      </c>
      <c r="N267" s="2" t="s">
        <v>33</v>
      </c>
      <c r="O267" t="s">
        <v>69</v>
      </c>
      <c r="P267" s="2" t="s">
        <v>2370</v>
      </c>
      <c r="Q267" s="2">
        <v>1</v>
      </c>
      <c r="R267" s="2" t="s">
        <v>23</v>
      </c>
      <c r="S267" s="2" t="str">
        <f t="shared" si="44"/>
        <v>Rendah</v>
      </c>
      <c r="T267" s="2" t="str">
        <f t="shared" si="45"/>
        <v>FALSE</v>
      </c>
      <c r="U267" s="2" t="str">
        <f t="shared" si="46"/>
        <v>FALSE</v>
      </c>
      <c r="V267" s="2" t="b">
        <f t="shared" si="47"/>
        <v>0</v>
      </c>
      <c r="W267" s="2" t="b">
        <f t="shared" si="48"/>
        <v>0</v>
      </c>
      <c r="X267" s="2" t="b">
        <f t="shared" si="49"/>
        <v>0</v>
      </c>
    </row>
    <row r="268" spans="1:24" ht="10.5" customHeight="1">
      <c r="A268" s="2" t="s">
        <v>519</v>
      </c>
      <c r="B268" s="3">
        <v>45713.734722222223</v>
      </c>
      <c r="C268" s="2" t="s">
        <v>520</v>
      </c>
      <c r="D268" s="2" t="s">
        <v>140</v>
      </c>
      <c r="E268" s="2" t="s">
        <v>35</v>
      </c>
      <c r="F268" s="4">
        <v>13500</v>
      </c>
      <c r="G268" s="5">
        <v>3.8</v>
      </c>
      <c r="H268" s="6">
        <v>5</v>
      </c>
      <c r="I268" s="7">
        <f t="shared" si="40"/>
        <v>51300</v>
      </c>
      <c r="J268" s="7">
        <f t="shared" si="41"/>
        <v>2565</v>
      </c>
      <c r="K268" s="7">
        <f t="shared" si="42"/>
        <v>48735</v>
      </c>
      <c r="L268" s="4">
        <v>55000</v>
      </c>
      <c r="M268" s="7">
        <f t="shared" si="43"/>
        <v>103735</v>
      </c>
      <c r="N268" s="2" t="s">
        <v>58</v>
      </c>
      <c r="O268" t="s">
        <v>22</v>
      </c>
      <c r="P268" s="2" t="s">
        <v>2368</v>
      </c>
      <c r="Q268" s="2">
        <v>2</v>
      </c>
      <c r="R268" s="2" t="s">
        <v>23</v>
      </c>
      <c r="S268" s="2" t="str">
        <f t="shared" si="44"/>
        <v>Standar</v>
      </c>
      <c r="T268" s="2" t="str">
        <f t="shared" si="45"/>
        <v>FALSE</v>
      </c>
      <c r="U268" s="2" t="str">
        <f t="shared" si="46"/>
        <v>FALSE</v>
      </c>
      <c r="V268" s="2" t="b">
        <f t="shared" si="47"/>
        <v>0</v>
      </c>
      <c r="W268" s="2" t="b">
        <f t="shared" si="48"/>
        <v>0</v>
      </c>
      <c r="X268" s="2" t="b">
        <f t="shared" si="49"/>
        <v>0</v>
      </c>
    </row>
    <row r="269" spans="1:24" ht="10.5" customHeight="1">
      <c r="A269" s="2" t="s">
        <v>521</v>
      </c>
      <c r="B269" s="3">
        <v>45713.74763888889</v>
      </c>
      <c r="C269" s="2" t="s">
        <v>522</v>
      </c>
      <c r="D269" s="2" t="s">
        <v>252</v>
      </c>
      <c r="E269" s="2" t="s">
        <v>99</v>
      </c>
      <c r="F269" s="4">
        <v>10000</v>
      </c>
      <c r="G269" s="5">
        <v>1.3</v>
      </c>
      <c r="H269" s="6">
        <v>5</v>
      </c>
      <c r="I269" s="7">
        <f t="shared" si="40"/>
        <v>13000</v>
      </c>
      <c r="J269" s="7">
        <f t="shared" si="41"/>
        <v>650</v>
      </c>
      <c r="K269" s="7">
        <f t="shared" si="42"/>
        <v>12350</v>
      </c>
      <c r="L269" s="4">
        <v>18000</v>
      </c>
      <c r="M269" s="7">
        <f t="shared" si="43"/>
        <v>30350</v>
      </c>
      <c r="N269" s="2" t="s">
        <v>21</v>
      </c>
      <c r="O269" t="s">
        <v>22</v>
      </c>
      <c r="P269" s="2" t="s">
        <v>2366</v>
      </c>
      <c r="Q269" s="2">
        <v>2</v>
      </c>
      <c r="R269" s="2" t="s">
        <v>23</v>
      </c>
      <c r="S269" s="2" t="str">
        <f t="shared" si="44"/>
        <v>Sangat Rendah</v>
      </c>
      <c r="T269" s="2" t="str">
        <f t="shared" si="45"/>
        <v>FALSE</v>
      </c>
      <c r="U269" s="2" t="str">
        <f t="shared" si="46"/>
        <v>FALSE</v>
      </c>
      <c r="V269" s="2" t="b">
        <f t="shared" si="47"/>
        <v>0</v>
      </c>
      <c r="W269" s="2" t="b">
        <f t="shared" si="48"/>
        <v>0</v>
      </c>
      <c r="X269" s="2" t="b">
        <f t="shared" si="49"/>
        <v>1</v>
      </c>
    </row>
    <row r="270" spans="1:24" ht="10.5" customHeight="1">
      <c r="A270" s="2" t="s">
        <v>521</v>
      </c>
      <c r="B270" s="3">
        <v>45713.74763888889</v>
      </c>
      <c r="C270" s="2" t="s">
        <v>522</v>
      </c>
      <c r="D270" s="2" t="s">
        <v>252</v>
      </c>
      <c r="E270" s="2" t="s">
        <v>182</v>
      </c>
      <c r="F270" s="4">
        <v>11000</v>
      </c>
      <c r="G270" s="5">
        <v>1.5</v>
      </c>
      <c r="H270" s="6">
        <v>5</v>
      </c>
      <c r="I270" s="7">
        <f t="shared" si="40"/>
        <v>16500</v>
      </c>
      <c r="J270" s="7">
        <f t="shared" si="41"/>
        <v>825</v>
      </c>
      <c r="K270" s="7">
        <f t="shared" si="42"/>
        <v>15675</v>
      </c>
      <c r="L270" s="4">
        <v>0</v>
      </c>
      <c r="M270" s="7">
        <f t="shared" si="43"/>
        <v>15675</v>
      </c>
      <c r="N270" s="2" t="s">
        <v>21</v>
      </c>
      <c r="O270" t="s">
        <v>22</v>
      </c>
      <c r="P270" s="2" t="s">
        <v>2366</v>
      </c>
      <c r="Q270" s="2">
        <v>2</v>
      </c>
      <c r="R270" s="2" t="s">
        <v>23</v>
      </c>
      <c r="S270" s="2" t="str">
        <f t="shared" si="44"/>
        <v>Sangat Rendah</v>
      </c>
      <c r="T270" s="2" t="str">
        <f t="shared" si="45"/>
        <v>FALSE</v>
      </c>
      <c r="U270" s="2" t="str">
        <f t="shared" si="46"/>
        <v>FALSE</v>
      </c>
      <c r="V270" s="2" t="b">
        <f t="shared" si="47"/>
        <v>0</v>
      </c>
      <c r="W270" s="2" t="b">
        <f t="shared" si="48"/>
        <v>0</v>
      </c>
      <c r="X270" s="2" t="b">
        <f t="shared" si="49"/>
        <v>1</v>
      </c>
    </row>
    <row r="271" spans="1:24" ht="10.5" customHeight="1">
      <c r="A271" s="2" t="s">
        <v>523</v>
      </c>
      <c r="B271" s="3">
        <v>45713.758657407408</v>
      </c>
      <c r="C271" s="2" t="s">
        <v>222</v>
      </c>
      <c r="D271" s="2" t="s">
        <v>61</v>
      </c>
      <c r="E271" s="2" t="s">
        <v>57</v>
      </c>
      <c r="F271" s="4">
        <v>17500</v>
      </c>
      <c r="G271" s="5">
        <v>3.2</v>
      </c>
      <c r="H271" s="6">
        <v>5</v>
      </c>
      <c r="I271" s="7">
        <f t="shared" si="40"/>
        <v>56000</v>
      </c>
      <c r="J271" s="7">
        <f t="shared" si="41"/>
        <v>2800</v>
      </c>
      <c r="K271" s="7">
        <f t="shared" si="42"/>
        <v>53200</v>
      </c>
      <c r="L271" s="4">
        <v>59000</v>
      </c>
      <c r="M271" s="7">
        <f t="shared" si="43"/>
        <v>112200</v>
      </c>
      <c r="N271" s="2" t="s">
        <v>28</v>
      </c>
      <c r="O271" t="s">
        <v>22</v>
      </c>
      <c r="P271" s="2" t="s">
        <v>2366</v>
      </c>
      <c r="Q271" s="2">
        <v>3</v>
      </c>
      <c r="R271" s="2" t="s">
        <v>23</v>
      </c>
      <c r="S271" s="2" t="str">
        <f t="shared" si="44"/>
        <v>Standar</v>
      </c>
      <c r="T271" s="2" t="str">
        <f t="shared" si="45"/>
        <v>FALSE</v>
      </c>
      <c r="U271" s="2" t="str">
        <f t="shared" si="46"/>
        <v>FALSE</v>
      </c>
      <c r="V271" s="2" t="b">
        <f t="shared" si="47"/>
        <v>0</v>
      </c>
      <c r="W271" s="2" t="b">
        <f t="shared" si="48"/>
        <v>0</v>
      </c>
      <c r="X271" s="2" t="b">
        <f t="shared" si="49"/>
        <v>0</v>
      </c>
    </row>
    <row r="272" spans="1:24" ht="10.5" customHeight="1">
      <c r="A272" s="2" t="s">
        <v>524</v>
      </c>
      <c r="B272" s="3">
        <v>45713.770578703698</v>
      </c>
      <c r="C272" s="2" t="s">
        <v>456</v>
      </c>
      <c r="D272" s="2" t="s">
        <v>123</v>
      </c>
      <c r="E272" s="2" t="s">
        <v>99</v>
      </c>
      <c r="F272" s="4">
        <v>10000</v>
      </c>
      <c r="G272" s="5">
        <v>0.5</v>
      </c>
      <c r="H272" s="6">
        <v>5</v>
      </c>
      <c r="I272" s="7">
        <f t="shared" si="40"/>
        <v>5000</v>
      </c>
      <c r="J272" s="7">
        <f t="shared" si="41"/>
        <v>250</v>
      </c>
      <c r="K272" s="7">
        <f t="shared" si="42"/>
        <v>4750</v>
      </c>
      <c r="L272" s="4">
        <v>59000</v>
      </c>
      <c r="M272" s="7">
        <f t="shared" si="43"/>
        <v>63750</v>
      </c>
      <c r="N272" s="2" t="s">
        <v>58</v>
      </c>
      <c r="O272" t="s">
        <v>22</v>
      </c>
      <c r="P272" s="2" t="s">
        <v>2366</v>
      </c>
      <c r="Q272" s="2">
        <v>3</v>
      </c>
      <c r="R272" s="2" t="s">
        <v>23</v>
      </c>
      <c r="S272" s="2" t="str">
        <f t="shared" si="44"/>
        <v>Rendah</v>
      </c>
      <c r="T272" s="2" t="str">
        <f t="shared" si="45"/>
        <v>FALSE</v>
      </c>
      <c r="U272" s="2" t="str">
        <f t="shared" si="46"/>
        <v>FALSE</v>
      </c>
      <c r="V272" s="2" t="b">
        <f t="shared" si="47"/>
        <v>0</v>
      </c>
      <c r="W272" s="2" t="b">
        <f t="shared" si="48"/>
        <v>0</v>
      </c>
      <c r="X272" s="2" t="b">
        <f t="shared" si="49"/>
        <v>0</v>
      </c>
    </row>
    <row r="273" spans="1:24" ht="10.5" customHeight="1">
      <c r="A273" s="2" t="s">
        <v>525</v>
      </c>
      <c r="B273" s="3">
        <v>45713.781215277777</v>
      </c>
      <c r="C273" s="2" t="s">
        <v>222</v>
      </c>
      <c r="D273" s="2" t="s">
        <v>61</v>
      </c>
      <c r="E273" s="2" t="s">
        <v>27</v>
      </c>
      <c r="F273" s="4">
        <v>15000</v>
      </c>
      <c r="G273" s="5">
        <v>0.4</v>
      </c>
      <c r="H273" s="6">
        <v>5</v>
      </c>
      <c r="I273" s="7">
        <f t="shared" si="40"/>
        <v>6000</v>
      </c>
      <c r="J273" s="7">
        <f t="shared" si="41"/>
        <v>300</v>
      </c>
      <c r="K273" s="7">
        <f t="shared" si="42"/>
        <v>5700</v>
      </c>
      <c r="L273" s="4">
        <v>59000</v>
      </c>
      <c r="M273" s="7">
        <f t="shared" si="43"/>
        <v>64700</v>
      </c>
      <c r="N273" s="2" t="s">
        <v>28</v>
      </c>
      <c r="O273" t="s">
        <v>22</v>
      </c>
      <c r="P273" s="2" t="s">
        <v>2368</v>
      </c>
      <c r="Q273" s="2">
        <v>1</v>
      </c>
      <c r="R273" s="2" t="s">
        <v>23</v>
      </c>
      <c r="S273" s="2" t="str">
        <f t="shared" si="44"/>
        <v>Rendah</v>
      </c>
      <c r="T273" s="2" t="str">
        <f t="shared" si="45"/>
        <v>FALSE</v>
      </c>
      <c r="U273" s="2" t="str">
        <f t="shared" si="46"/>
        <v>FALSE</v>
      </c>
      <c r="V273" s="2" t="b">
        <f t="shared" si="47"/>
        <v>0</v>
      </c>
      <c r="W273" s="2" t="b">
        <f t="shared" si="48"/>
        <v>0</v>
      </c>
      <c r="X273" s="2" t="b">
        <f t="shared" si="49"/>
        <v>0</v>
      </c>
    </row>
    <row r="274" spans="1:24" ht="10.5" customHeight="1">
      <c r="A274" s="2" t="s">
        <v>526</v>
      </c>
      <c r="B274" s="3">
        <v>45713.812754629631</v>
      </c>
      <c r="C274" s="2" t="s">
        <v>527</v>
      </c>
      <c r="D274" s="2" t="s">
        <v>52</v>
      </c>
      <c r="E274" s="2" t="s">
        <v>80</v>
      </c>
      <c r="F274" s="4">
        <v>15000</v>
      </c>
      <c r="G274" s="5">
        <v>1.6</v>
      </c>
      <c r="H274" s="6">
        <v>5</v>
      </c>
      <c r="I274" s="7">
        <f t="shared" si="40"/>
        <v>24000</v>
      </c>
      <c r="J274" s="7">
        <f t="shared" si="41"/>
        <v>1200</v>
      </c>
      <c r="K274" s="7">
        <f t="shared" si="42"/>
        <v>22800</v>
      </c>
      <c r="L274" s="4">
        <v>80000</v>
      </c>
      <c r="M274" s="7">
        <f t="shared" si="43"/>
        <v>102800</v>
      </c>
      <c r="N274" s="2" t="s">
        <v>21</v>
      </c>
      <c r="O274" t="s">
        <v>22</v>
      </c>
      <c r="P274" s="2" t="s">
        <v>2365</v>
      </c>
      <c r="Q274" s="2">
        <v>3</v>
      </c>
      <c r="R274" s="2" t="s">
        <v>34</v>
      </c>
      <c r="S274" s="2" t="str">
        <f t="shared" si="44"/>
        <v>Standar</v>
      </c>
      <c r="T274" s="2" t="str">
        <f t="shared" si="45"/>
        <v>FALSE</v>
      </c>
      <c r="U274" s="2" t="str">
        <f t="shared" si="46"/>
        <v>FALSE</v>
      </c>
      <c r="V274" s="2" t="b">
        <f t="shared" si="47"/>
        <v>0</v>
      </c>
      <c r="W274" s="2" t="b">
        <f t="shared" si="48"/>
        <v>0</v>
      </c>
      <c r="X274" s="2" t="b">
        <f t="shared" si="49"/>
        <v>0</v>
      </c>
    </row>
    <row r="275" spans="1:24" ht="10.5" customHeight="1">
      <c r="A275" s="2" t="s">
        <v>528</v>
      </c>
      <c r="B275" s="3">
        <v>45713.81590277778</v>
      </c>
      <c r="C275" s="2" t="s">
        <v>289</v>
      </c>
      <c r="D275" s="2" t="s">
        <v>153</v>
      </c>
      <c r="E275" s="2" t="s">
        <v>170</v>
      </c>
      <c r="F275" s="4">
        <v>12000</v>
      </c>
      <c r="G275" s="5">
        <v>1.5</v>
      </c>
      <c r="H275" s="6">
        <v>5</v>
      </c>
      <c r="I275" s="7">
        <f t="shared" si="40"/>
        <v>18000</v>
      </c>
      <c r="J275" s="7">
        <f t="shared" si="41"/>
        <v>900</v>
      </c>
      <c r="K275" s="7">
        <f t="shared" si="42"/>
        <v>17100</v>
      </c>
      <c r="L275" s="4">
        <v>50000</v>
      </c>
      <c r="M275" s="7">
        <f t="shared" si="43"/>
        <v>67100</v>
      </c>
      <c r="N275" s="2" t="s">
        <v>28</v>
      </c>
      <c r="O275" t="s">
        <v>22</v>
      </c>
      <c r="P275" s="2" t="s">
        <v>2367</v>
      </c>
      <c r="Q275" s="2">
        <v>3</v>
      </c>
      <c r="R275" s="2" t="s">
        <v>23</v>
      </c>
      <c r="S275" s="2" t="str">
        <f t="shared" si="44"/>
        <v>Rendah</v>
      </c>
      <c r="T275" s="2" t="str">
        <f t="shared" si="45"/>
        <v>FALSE</v>
      </c>
      <c r="U275" s="2" t="str">
        <f t="shared" si="46"/>
        <v>FALSE</v>
      </c>
      <c r="V275" s="2" t="b">
        <f t="shared" si="47"/>
        <v>0</v>
      </c>
      <c r="W275" s="2" t="b">
        <f t="shared" si="48"/>
        <v>1</v>
      </c>
      <c r="X275" s="2" t="b">
        <f t="shared" si="49"/>
        <v>0</v>
      </c>
    </row>
    <row r="276" spans="1:24" ht="10.5" customHeight="1">
      <c r="A276" s="2" t="s">
        <v>529</v>
      </c>
      <c r="B276" s="3">
        <v>45713.870740740742</v>
      </c>
      <c r="C276" s="2" t="s">
        <v>73</v>
      </c>
      <c r="D276" s="2" t="s">
        <v>74</v>
      </c>
      <c r="E276" s="2" t="s">
        <v>75</v>
      </c>
      <c r="F276" s="4">
        <v>45000</v>
      </c>
      <c r="G276" s="5">
        <v>1.4</v>
      </c>
      <c r="H276" s="6">
        <v>5</v>
      </c>
      <c r="I276" s="7">
        <f t="shared" si="40"/>
        <v>62999.999999999993</v>
      </c>
      <c r="J276" s="7">
        <f t="shared" si="41"/>
        <v>3150</v>
      </c>
      <c r="K276" s="7">
        <f t="shared" si="42"/>
        <v>59849.999999999993</v>
      </c>
      <c r="L276" s="4">
        <v>74000</v>
      </c>
      <c r="M276" s="7">
        <f t="shared" si="43"/>
        <v>133850</v>
      </c>
      <c r="N276" s="2" t="s">
        <v>33</v>
      </c>
      <c r="O276" t="s">
        <v>22</v>
      </c>
      <c r="P276" s="2" t="s">
        <v>2365</v>
      </c>
      <c r="Q276" s="2">
        <v>4</v>
      </c>
      <c r="R276" s="2" t="s">
        <v>23</v>
      </c>
      <c r="S276" s="2" t="str">
        <f t="shared" si="44"/>
        <v>Standar</v>
      </c>
      <c r="T276" s="2" t="str">
        <f t="shared" si="45"/>
        <v>FALSE</v>
      </c>
      <c r="U276" s="2" t="str">
        <f t="shared" si="46"/>
        <v>FALSE</v>
      </c>
      <c r="V276" s="2" t="b">
        <f t="shared" si="47"/>
        <v>0</v>
      </c>
      <c r="W276" s="2" t="b">
        <f t="shared" si="48"/>
        <v>0</v>
      </c>
      <c r="X276" s="2" t="b">
        <f t="shared" si="49"/>
        <v>0</v>
      </c>
    </row>
    <row r="277" spans="1:24" ht="10.5" customHeight="1">
      <c r="A277" s="2" t="s">
        <v>530</v>
      </c>
      <c r="B277" s="3">
        <v>45713.959918981483</v>
      </c>
      <c r="C277" s="2" t="s">
        <v>139</v>
      </c>
      <c r="D277" s="2" t="s">
        <v>140</v>
      </c>
      <c r="E277" s="2" t="s">
        <v>57</v>
      </c>
      <c r="F277" s="4">
        <v>17500</v>
      </c>
      <c r="G277" s="5">
        <v>1</v>
      </c>
      <c r="H277" s="6">
        <v>5</v>
      </c>
      <c r="I277" s="7">
        <f t="shared" si="40"/>
        <v>17500</v>
      </c>
      <c r="J277" s="7">
        <f t="shared" si="41"/>
        <v>875</v>
      </c>
      <c r="K277" s="7">
        <f t="shared" si="42"/>
        <v>16625</v>
      </c>
      <c r="L277" s="4">
        <v>55000</v>
      </c>
      <c r="M277" s="7">
        <f t="shared" si="43"/>
        <v>71625</v>
      </c>
      <c r="N277" s="2" t="s">
        <v>58</v>
      </c>
      <c r="O277" t="s">
        <v>22</v>
      </c>
      <c r="P277" s="2" t="s">
        <v>2365</v>
      </c>
      <c r="Q277" s="2">
        <v>4</v>
      </c>
      <c r="R277" s="2" t="s">
        <v>34</v>
      </c>
      <c r="S277" s="2" t="str">
        <f t="shared" si="44"/>
        <v>Rendah</v>
      </c>
      <c r="T277" s="2" t="str">
        <f t="shared" si="45"/>
        <v>FALSE</v>
      </c>
      <c r="U277" s="2" t="str">
        <f t="shared" si="46"/>
        <v>FALSE</v>
      </c>
      <c r="V277" s="2" t="b">
        <f t="shared" si="47"/>
        <v>0</v>
      </c>
      <c r="W277" s="2" t="b">
        <f t="shared" si="48"/>
        <v>0</v>
      </c>
      <c r="X277" s="2" t="b">
        <f t="shared" si="49"/>
        <v>0</v>
      </c>
    </row>
    <row r="278" spans="1:24" ht="10.5" customHeight="1">
      <c r="A278" s="2" t="s">
        <v>531</v>
      </c>
      <c r="B278" s="3">
        <v>45714.037094907413</v>
      </c>
      <c r="C278" s="2" t="s">
        <v>532</v>
      </c>
      <c r="D278" s="2" t="s">
        <v>114</v>
      </c>
      <c r="E278" s="2" t="s">
        <v>49</v>
      </c>
      <c r="F278" s="4">
        <v>26000</v>
      </c>
      <c r="G278" s="5">
        <v>1.7</v>
      </c>
      <c r="H278" s="6">
        <v>0</v>
      </c>
      <c r="I278" s="7">
        <f t="shared" si="40"/>
        <v>44200</v>
      </c>
      <c r="J278" s="7">
        <f t="shared" si="41"/>
        <v>0</v>
      </c>
      <c r="K278" s="7">
        <f t="shared" si="42"/>
        <v>44200</v>
      </c>
      <c r="L278" s="4">
        <v>78000</v>
      </c>
      <c r="M278" s="7">
        <f t="shared" si="43"/>
        <v>122200</v>
      </c>
      <c r="N278" s="2" t="s">
        <v>58</v>
      </c>
      <c r="O278" t="s">
        <v>22</v>
      </c>
      <c r="P278" s="2" t="s">
        <v>2367</v>
      </c>
      <c r="Q278" s="2">
        <v>4</v>
      </c>
      <c r="R278" s="2" t="s">
        <v>23</v>
      </c>
      <c r="S278" s="2" t="str">
        <f t="shared" si="44"/>
        <v>Standar</v>
      </c>
      <c r="T278" s="2" t="str">
        <f t="shared" si="45"/>
        <v>FALSE</v>
      </c>
      <c r="U278" s="2" t="str">
        <f t="shared" si="46"/>
        <v>FALSE</v>
      </c>
      <c r="V278" s="2" t="b">
        <f t="shared" si="47"/>
        <v>0</v>
      </c>
      <c r="W278" s="2" t="b">
        <f t="shared" si="48"/>
        <v>1</v>
      </c>
      <c r="X278" s="2" t="b">
        <f t="shared" si="49"/>
        <v>0</v>
      </c>
    </row>
    <row r="279" spans="1:24" ht="10.5" customHeight="1">
      <c r="A279" s="2" t="s">
        <v>533</v>
      </c>
      <c r="B279" s="3">
        <v>45714.109097222223</v>
      </c>
      <c r="C279" s="2" t="s">
        <v>534</v>
      </c>
      <c r="D279" s="2" t="s">
        <v>153</v>
      </c>
      <c r="E279" s="2" t="s">
        <v>99</v>
      </c>
      <c r="F279" s="4">
        <v>10000</v>
      </c>
      <c r="G279" s="5">
        <v>0.9</v>
      </c>
      <c r="H279" s="6">
        <v>0</v>
      </c>
      <c r="I279" s="7">
        <f t="shared" si="40"/>
        <v>9000</v>
      </c>
      <c r="J279" s="7">
        <f t="shared" si="41"/>
        <v>0</v>
      </c>
      <c r="K279" s="7">
        <f t="shared" si="42"/>
        <v>9000</v>
      </c>
      <c r="L279" s="4">
        <v>50000</v>
      </c>
      <c r="M279" s="7">
        <f t="shared" si="43"/>
        <v>59000</v>
      </c>
      <c r="N279" s="2" t="s">
        <v>21</v>
      </c>
      <c r="O279" t="s">
        <v>22</v>
      </c>
      <c r="P279" s="2" t="s">
        <v>2365</v>
      </c>
      <c r="Q279" s="2">
        <v>4</v>
      </c>
      <c r="R279" s="2" t="s">
        <v>23</v>
      </c>
      <c r="S279" s="2" t="str">
        <f t="shared" si="44"/>
        <v>Rendah</v>
      </c>
      <c r="T279" s="2" t="str">
        <f t="shared" si="45"/>
        <v>FALSE</v>
      </c>
      <c r="U279" s="2" t="str">
        <f t="shared" si="46"/>
        <v>FALSE</v>
      </c>
      <c r="V279" s="2" t="b">
        <f t="shared" si="47"/>
        <v>0</v>
      </c>
      <c r="W279" s="2" t="b">
        <f t="shared" si="48"/>
        <v>0</v>
      </c>
      <c r="X279" s="2" t="b">
        <f t="shared" si="49"/>
        <v>0</v>
      </c>
    </row>
    <row r="280" spans="1:24" ht="10.5" customHeight="1">
      <c r="A280" s="2" t="s">
        <v>535</v>
      </c>
      <c r="B280" s="3">
        <v>45714.287847222222</v>
      </c>
      <c r="C280" s="2" t="s">
        <v>297</v>
      </c>
      <c r="D280" s="2" t="s">
        <v>64</v>
      </c>
      <c r="E280" s="2" t="s">
        <v>170</v>
      </c>
      <c r="F280" s="4">
        <v>12000</v>
      </c>
      <c r="G280" s="5">
        <v>0.9</v>
      </c>
      <c r="H280" s="6">
        <v>0</v>
      </c>
      <c r="I280" s="7">
        <f t="shared" si="40"/>
        <v>10800</v>
      </c>
      <c r="J280" s="7">
        <f t="shared" si="41"/>
        <v>0</v>
      </c>
      <c r="K280" s="7">
        <f t="shared" si="42"/>
        <v>10800</v>
      </c>
      <c r="L280" s="4">
        <v>89000</v>
      </c>
      <c r="M280" s="7">
        <f t="shared" si="43"/>
        <v>99800</v>
      </c>
      <c r="N280" s="2" t="s">
        <v>28</v>
      </c>
      <c r="O280" t="s">
        <v>22</v>
      </c>
      <c r="P280" s="2" t="s">
        <v>2368</v>
      </c>
      <c r="Q280" s="2">
        <v>2</v>
      </c>
      <c r="R280" s="2" t="s">
        <v>23</v>
      </c>
      <c r="S280" s="2" t="str">
        <f t="shared" si="44"/>
        <v>Rendah</v>
      </c>
      <c r="T280" s="2" t="str">
        <f t="shared" si="45"/>
        <v>FALSE</v>
      </c>
      <c r="U280" s="2" t="str">
        <f t="shared" si="46"/>
        <v>FALSE</v>
      </c>
      <c r="V280" s="2" t="b">
        <f t="shared" si="47"/>
        <v>0</v>
      </c>
      <c r="W280" s="2" t="b">
        <f t="shared" si="48"/>
        <v>0</v>
      </c>
      <c r="X280" s="2" t="b">
        <f t="shared" si="49"/>
        <v>0</v>
      </c>
    </row>
    <row r="281" spans="1:24" ht="10.5" customHeight="1">
      <c r="A281" s="2" t="s">
        <v>536</v>
      </c>
      <c r="B281" s="3">
        <v>45714.343784722223</v>
      </c>
      <c r="C281" s="2" t="s">
        <v>537</v>
      </c>
      <c r="D281" s="2" t="s">
        <v>111</v>
      </c>
      <c r="E281" s="2" t="s">
        <v>57</v>
      </c>
      <c r="F281" s="4">
        <v>17500</v>
      </c>
      <c r="G281" s="5">
        <v>1.8</v>
      </c>
      <c r="H281" s="6">
        <v>0</v>
      </c>
      <c r="I281" s="7">
        <f t="shared" si="40"/>
        <v>31500</v>
      </c>
      <c r="J281" s="7">
        <f t="shared" si="41"/>
        <v>0</v>
      </c>
      <c r="K281" s="7">
        <f t="shared" si="42"/>
        <v>31500</v>
      </c>
      <c r="L281" s="4">
        <v>0</v>
      </c>
      <c r="M281" s="7">
        <f t="shared" si="43"/>
        <v>31500</v>
      </c>
      <c r="N281" s="2" t="s">
        <v>33</v>
      </c>
      <c r="O281" t="s">
        <v>22</v>
      </c>
      <c r="P281" s="2" t="s">
        <v>2366</v>
      </c>
      <c r="Q281" s="2">
        <v>2</v>
      </c>
      <c r="R281" s="2" t="s">
        <v>34</v>
      </c>
      <c r="S281" s="2" t="str">
        <f t="shared" si="44"/>
        <v>Sangat Rendah</v>
      </c>
      <c r="T281" s="2" t="str">
        <f t="shared" si="45"/>
        <v>FALSE</v>
      </c>
      <c r="U281" s="2" t="str">
        <f t="shared" si="46"/>
        <v>FALSE</v>
      </c>
      <c r="V281" s="2" t="b">
        <f t="shared" si="47"/>
        <v>0</v>
      </c>
      <c r="W281" s="2" t="b">
        <f t="shared" si="48"/>
        <v>0</v>
      </c>
      <c r="X281" s="2" t="b">
        <f t="shared" si="49"/>
        <v>0</v>
      </c>
    </row>
    <row r="282" spans="1:24" ht="10.5" customHeight="1">
      <c r="A282" s="2" t="s">
        <v>538</v>
      </c>
      <c r="B282" s="3">
        <v>45714.345416666663</v>
      </c>
      <c r="C282" s="2" t="s">
        <v>539</v>
      </c>
      <c r="D282" s="2" t="s">
        <v>98</v>
      </c>
      <c r="E282" s="2" t="s">
        <v>35</v>
      </c>
      <c r="F282" s="4">
        <v>13500</v>
      </c>
      <c r="G282" s="5">
        <v>2.7</v>
      </c>
      <c r="H282" s="6">
        <v>0</v>
      </c>
      <c r="I282" s="7">
        <f t="shared" si="40"/>
        <v>36450</v>
      </c>
      <c r="J282" s="7">
        <f t="shared" si="41"/>
        <v>0</v>
      </c>
      <c r="K282" s="7">
        <f t="shared" si="42"/>
        <v>36450</v>
      </c>
      <c r="L282" s="4">
        <v>97000</v>
      </c>
      <c r="M282" s="7">
        <f t="shared" si="43"/>
        <v>133450</v>
      </c>
      <c r="N282" s="2" t="s">
        <v>28</v>
      </c>
      <c r="O282" t="s">
        <v>115</v>
      </c>
      <c r="P282" s="2" t="s">
        <v>2367</v>
      </c>
      <c r="Q282" s="2">
        <v>1</v>
      </c>
      <c r="R282" s="2" t="s">
        <v>23</v>
      </c>
      <c r="S282" s="2" t="str">
        <f t="shared" si="44"/>
        <v>Standar</v>
      </c>
      <c r="T282" s="2" t="str">
        <f t="shared" si="45"/>
        <v>FALSE</v>
      </c>
      <c r="U282" s="2" t="str">
        <f t="shared" si="46"/>
        <v>FALSE</v>
      </c>
      <c r="V282" s="2" t="b">
        <f t="shared" si="47"/>
        <v>0</v>
      </c>
      <c r="W282" s="2" t="b">
        <f t="shared" si="48"/>
        <v>1</v>
      </c>
      <c r="X282" s="2" t="b">
        <f t="shared" si="49"/>
        <v>0</v>
      </c>
    </row>
    <row r="283" spans="1:24" ht="10.5" customHeight="1">
      <c r="A283" s="2" t="s">
        <v>540</v>
      </c>
      <c r="B283" s="3">
        <v>45714.384409722217</v>
      </c>
      <c r="C283" s="2" t="s">
        <v>541</v>
      </c>
      <c r="D283" s="2" t="s">
        <v>252</v>
      </c>
      <c r="E283" s="2" t="s">
        <v>53</v>
      </c>
      <c r="F283" s="4">
        <v>14000</v>
      </c>
      <c r="G283" s="5">
        <v>1</v>
      </c>
      <c r="H283" s="6">
        <v>0</v>
      </c>
      <c r="I283" s="7">
        <f t="shared" si="40"/>
        <v>14000</v>
      </c>
      <c r="J283" s="7">
        <f t="shared" si="41"/>
        <v>0</v>
      </c>
      <c r="K283" s="7">
        <f t="shared" si="42"/>
        <v>14000</v>
      </c>
      <c r="L283" s="4">
        <v>18000</v>
      </c>
      <c r="M283" s="7">
        <f t="shared" si="43"/>
        <v>32000</v>
      </c>
      <c r="N283" s="2" t="s">
        <v>21</v>
      </c>
      <c r="O283" t="s">
        <v>115</v>
      </c>
      <c r="P283" s="2" t="s">
        <v>2365</v>
      </c>
      <c r="Q283" s="2">
        <v>5</v>
      </c>
      <c r="R283" s="2" t="s">
        <v>34</v>
      </c>
      <c r="S283" s="2" t="str">
        <f t="shared" si="44"/>
        <v>Sangat Rendah</v>
      </c>
      <c r="T283" s="2" t="str">
        <f t="shared" si="45"/>
        <v>FALSE</v>
      </c>
      <c r="U283" s="2" t="str">
        <f t="shared" si="46"/>
        <v>FALSE</v>
      </c>
      <c r="V283" s="2" t="b">
        <f t="shared" si="47"/>
        <v>0</v>
      </c>
      <c r="W283" s="2" t="b">
        <f t="shared" si="48"/>
        <v>0</v>
      </c>
      <c r="X283" s="2" t="b">
        <f t="shared" si="49"/>
        <v>0</v>
      </c>
    </row>
    <row r="284" spans="1:24" ht="10.5" customHeight="1">
      <c r="A284" s="2" t="s">
        <v>542</v>
      </c>
      <c r="B284" s="3">
        <v>45714.478773148148</v>
      </c>
      <c r="C284" s="2" t="s">
        <v>543</v>
      </c>
      <c r="D284" s="2" t="s">
        <v>98</v>
      </c>
      <c r="E284" s="2" t="s">
        <v>20</v>
      </c>
      <c r="F284" s="4">
        <v>10000</v>
      </c>
      <c r="G284" s="5">
        <v>1</v>
      </c>
      <c r="H284" s="6">
        <v>0</v>
      </c>
      <c r="I284" s="7">
        <f t="shared" si="40"/>
        <v>10000</v>
      </c>
      <c r="J284" s="7">
        <f t="shared" si="41"/>
        <v>0</v>
      </c>
      <c r="K284" s="7">
        <f t="shared" si="42"/>
        <v>10000</v>
      </c>
      <c r="L284" s="4">
        <v>97000</v>
      </c>
      <c r="M284" s="7">
        <f t="shared" si="43"/>
        <v>107000</v>
      </c>
      <c r="N284" s="2" t="s">
        <v>28</v>
      </c>
      <c r="O284" t="s">
        <v>22</v>
      </c>
      <c r="P284" s="2" t="s">
        <v>2370</v>
      </c>
      <c r="Q284" s="2">
        <v>3</v>
      </c>
      <c r="R284" s="2" t="s">
        <v>23</v>
      </c>
      <c r="S284" s="2" t="str">
        <f t="shared" si="44"/>
        <v>Standar</v>
      </c>
      <c r="T284" s="2" t="str">
        <f t="shared" si="45"/>
        <v>FALSE</v>
      </c>
      <c r="U284" s="2" t="str">
        <f t="shared" si="46"/>
        <v>FALSE</v>
      </c>
      <c r="V284" s="2" t="b">
        <f t="shared" si="47"/>
        <v>0</v>
      </c>
      <c r="W284" s="2" t="b">
        <f t="shared" si="48"/>
        <v>0</v>
      </c>
      <c r="X284" s="2" t="b">
        <f t="shared" si="49"/>
        <v>0</v>
      </c>
    </row>
    <row r="285" spans="1:24" ht="10.5" customHeight="1">
      <c r="A285" s="2" t="s">
        <v>544</v>
      </c>
      <c r="B285" s="3">
        <v>45714.494189814817</v>
      </c>
      <c r="C285" s="2" t="s">
        <v>443</v>
      </c>
      <c r="D285" s="2" t="s">
        <v>26</v>
      </c>
      <c r="E285" s="2" t="s">
        <v>102</v>
      </c>
      <c r="F285" s="4">
        <v>55000</v>
      </c>
      <c r="G285" s="5">
        <v>1.1000000000000001</v>
      </c>
      <c r="H285" s="6">
        <v>0</v>
      </c>
      <c r="I285" s="7">
        <f t="shared" si="40"/>
        <v>60500.000000000007</v>
      </c>
      <c r="J285" s="7">
        <f t="shared" si="41"/>
        <v>0</v>
      </c>
      <c r="K285" s="7">
        <f t="shared" si="42"/>
        <v>60500.000000000007</v>
      </c>
      <c r="L285" s="4">
        <v>17000</v>
      </c>
      <c r="M285" s="7">
        <f t="shared" si="43"/>
        <v>77500</v>
      </c>
      <c r="N285" s="2" t="s">
        <v>28</v>
      </c>
      <c r="O285" t="s">
        <v>22</v>
      </c>
      <c r="P285" s="2" t="s">
        <v>2365</v>
      </c>
      <c r="Q285" s="2">
        <v>2</v>
      </c>
      <c r="R285" s="2" t="s">
        <v>34</v>
      </c>
      <c r="S285" s="2" t="str">
        <f t="shared" si="44"/>
        <v>Rendah</v>
      </c>
      <c r="T285" s="2" t="str">
        <f t="shared" si="45"/>
        <v>FALSE</v>
      </c>
      <c r="U285" s="2" t="str">
        <f t="shared" si="46"/>
        <v>FALSE</v>
      </c>
      <c r="V285" s="2" t="b">
        <f t="shared" si="47"/>
        <v>0</v>
      </c>
      <c r="W285" s="2" t="b">
        <f t="shared" si="48"/>
        <v>0</v>
      </c>
      <c r="X285" s="2" t="b">
        <f t="shared" si="49"/>
        <v>0</v>
      </c>
    </row>
    <row r="286" spans="1:24" ht="10.5" customHeight="1">
      <c r="A286" s="2" t="s">
        <v>545</v>
      </c>
      <c r="B286" s="3">
        <v>45714.651331018518</v>
      </c>
      <c r="C286" s="2" t="s">
        <v>323</v>
      </c>
      <c r="D286" s="2" t="s">
        <v>98</v>
      </c>
      <c r="E286" s="2" t="s">
        <v>49</v>
      </c>
      <c r="F286" s="4">
        <v>26000</v>
      </c>
      <c r="G286" s="5">
        <v>1.2</v>
      </c>
      <c r="H286" s="6">
        <v>0</v>
      </c>
      <c r="I286" s="7">
        <f t="shared" si="40"/>
        <v>31200</v>
      </c>
      <c r="J286" s="7">
        <f t="shared" si="41"/>
        <v>0</v>
      </c>
      <c r="K286" s="7">
        <f t="shared" si="42"/>
        <v>31200</v>
      </c>
      <c r="L286" s="4">
        <v>97000</v>
      </c>
      <c r="M286" s="7">
        <f t="shared" si="43"/>
        <v>128200</v>
      </c>
      <c r="N286" s="2" t="s">
        <v>21</v>
      </c>
      <c r="O286" t="s">
        <v>22</v>
      </c>
      <c r="P286" s="2" t="s">
        <v>2368</v>
      </c>
      <c r="Q286" s="2">
        <v>2</v>
      </c>
      <c r="R286" s="2" t="s">
        <v>34</v>
      </c>
      <c r="S286" s="2" t="str">
        <f t="shared" si="44"/>
        <v>Standar</v>
      </c>
      <c r="T286" s="2" t="str">
        <f t="shared" si="45"/>
        <v>FALSE</v>
      </c>
      <c r="U286" s="2" t="str">
        <f t="shared" si="46"/>
        <v>FALSE</v>
      </c>
      <c r="V286" s="2" t="b">
        <f t="shared" si="47"/>
        <v>0</v>
      </c>
      <c r="W286" s="2" t="b">
        <f t="shared" si="48"/>
        <v>0</v>
      </c>
      <c r="X286" s="2" t="b">
        <f t="shared" si="49"/>
        <v>0</v>
      </c>
    </row>
    <row r="287" spans="1:24" ht="10.5" customHeight="1">
      <c r="A287" s="2" t="s">
        <v>546</v>
      </c>
      <c r="B287" s="3">
        <v>45714.665451388893</v>
      </c>
      <c r="C287" s="2" t="s">
        <v>547</v>
      </c>
      <c r="D287" s="2" t="s">
        <v>164</v>
      </c>
      <c r="E287" s="2" t="s">
        <v>27</v>
      </c>
      <c r="F287" s="4">
        <v>15000</v>
      </c>
      <c r="G287" s="5">
        <v>0.8</v>
      </c>
      <c r="H287" s="6">
        <v>0</v>
      </c>
      <c r="I287" s="7">
        <f t="shared" si="40"/>
        <v>12000</v>
      </c>
      <c r="J287" s="7">
        <f t="shared" si="41"/>
        <v>0</v>
      </c>
      <c r="K287" s="7">
        <f t="shared" si="42"/>
        <v>12000</v>
      </c>
      <c r="L287" s="4">
        <v>49000</v>
      </c>
      <c r="M287" s="7">
        <f t="shared" si="43"/>
        <v>61000</v>
      </c>
      <c r="N287" s="2" t="s">
        <v>28</v>
      </c>
      <c r="O287" t="s">
        <v>22</v>
      </c>
      <c r="P287" s="2" t="s">
        <v>2368</v>
      </c>
      <c r="Q287" s="2">
        <v>5</v>
      </c>
      <c r="R287" s="2" t="s">
        <v>23</v>
      </c>
      <c r="S287" s="2" t="str">
        <f t="shared" si="44"/>
        <v>Rendah</v>
      </c>
      <c r="T287" s="2" t="str">
        <f t="shared" si="45"/>
        <v>FALSE</v>
      </c>
      <c r="U287" s="2" t="str">
        <f t="shared" si="46"/>
        <v>FALSE</v>
      </c>
      <c r="V287" s="2" t="b">
        <f t="shared" si="47"/>
        <v>0</v>
      </c>
      <c r="W287" s="2" t="b">
        <f t="shared" si="48"/>
        <v>0</v>
      </c>
      <c r="X287" s="2" t="b">
        <f t="shared" si="49"/>
        <v>0</v>
      </c>
    </row>
    <row r="288" spans="1:24" ht="10.5" customHeight="1">
      <c r="A288" s="2" t="s">
        <v>548</v>
      </c>
      <c r="B288" s="3">
        <v>45714.671469907407</v>
      </c>
      <c r="C288" s="2" t="s">
        <v>478</v>
      </c>
      <c r="D288" s="2" t="s">
        <v>44</v>
      </c>
      <c r="E288" s="2" t="s">
        <v>102</v>
      </c>
      <c r="F288" s="4">
        <v>55000</v>
      </c>
      <c r="G288" s="5">
        <v>0.4</v>
      </c>
      <c r="H288" s="6">
        <v>0</v>
      </c>
      <c r="I288" s="7">
        <f t="shared" si="40"/>
        <v>22000</v>
      </c>
      <c r="J288" s="7">
        <f t="shared" si="41"/>
        <v>0</v>
      </c>
      <c r="K288" s="7">
        <f t="shared" si="42"/>
        <v>22000</v>
      </c>
      <c r="L288" s="4">
        <v>43000</v>
      </c>
      <c r="M288" s="7">
        <f t="shared" si="43"/>
        <v>65000</v>
      </c>
      <c r="N288" s="2" t="s">
        <v>58</v>
      </c>
      <c r="O288" t="s">
        <v>22</v>
      </c>
      <c r="P288" s="2" t="s">
        <v>2370</v>
      </c>
      <c r="Q288" s="2">
        <v>2</v>
      </c>
      <c r="R288" s="2" t="s">
        <v>23</v>
      </c>
      <c r="S288" s="2" t="str">
        <f t="shared" si="44"/>
        <v>Rendah</v>
      </c>
      <c r="T288" s="2" t="str">
        <f t="shared" si="45"/>
        <v>FALSE</v>
      </c>
      <c r="U288" s="2" t="str">
        <f t="shared" si="46"/>
        <v>FALSE</v>
      </c>
      <c r="V288" s="2" t="b">
        <f t="shared" si="47"/>
        <v>0</v>
      </c>
      <c r="W288" s="2" t="b">
        <f t="shared" si="48"/>
        <v>0</v>
      </c>
      <c r="X288" s="2" t="b">
        <f t="shared" si="49"/>
        <v>0</v>
      </c>
    </row>
    <row r="289" spans="1:24" ht="10.5" customHeight="1">
      <c r="A289" s="2" t="s">
        <v>549</v>
      </c>
      <c r="B289" s="3">
        <v>45714.700844907413</v>
      </c>
      <c r="C289" s="2" t="s">
        <v>537</v>
      </c>
      <c r="D289" s="2" t="s">
        <v>111</v>
      </c>
      <c r="E289" s="2" t="s">
        <v>32</v>
      </c>
      <c r="F289" s="4">
        <v>20000</v>
      </c>
      <c r="G289" s="5">
        <v>0.8</v>
      </c>
      <c r="H289" s="6">
        <v>0</v>
      </c>
      <c r="I289" s="7">
        <f t="shared" si="40"/>
        <v>16000</v>
      </c>
      <c r="J289" s="7">
        <f t="shared" si="41"/>
        <v>0</v>
      </c>
      <c r="K289" s="7">
        <f t="shared" si="42"/>
        <v>16000</v>
      </c>
      <c r="L289" s="4">
        <v>0</v>
      </c>
      <c r="M289" s="7">
        <f t="shared" si="43"/>
        <v>16000</v>
      </c>
      <c r="N289" s="2" t="s">
        <v>21</v>
      </c>
      <c r="O289" t="s">
        <v>22</v>
      </c>
      <c r="P289" s="2" t="s">
        <v>2365</v>
      </c>
      <c r="Q289" s="2">
        <v>4</v>
      </c>
      <c r="R289" s="2" t="s">
        <v>34</v>
      </c>
      <c r="S289" s="2" t="str">
        <f t="shared" si="44"/>
        <v>Sangat Rendah</v>
      </c>
      <c r="T289" s="2" t="str">
        <f t="shared" si="45"/>
        <v>FALSE</v>
      </c>
      <c r="U289" s="2" t="str">
        <f t="shared" si="46"/>
        <v>FALSE</v>
      </c>
      <c r="V289" s="2" t="b">
        <f t="shared" si="47"/>
        <v>0</v>
      </c>
      <c r="W289" s="2" t="b">
        <f t="shared" si="48"/>
        <v>0</v>
      </c>
      <c r="X289" s="2" t="b">
        <f t="shared" si="49"/>
        <v>0</v>
      </c>
    </row>
    <row r="290" spans="1:24" ht="10.5" customHeight="1">
      <c r="A290" s="2" t="s">
        <v>549</v>
      </c>
      <c r="B290" s="3">
        <v>45714.700844907413</v>
      </c>
      <c r="C290" s="2" t="s">
        <v>537</v>
      </c>
      <c r="D290" s="2" t="s">
        <v>111</v>
      </c>
      <c r="E290" s="2" t="s">
        <v>170</v>
      </c>
      <c r="F290" s="4">
        <v>12000</v>
      </c>
      <c r="G290" s="5">
        <v>1.1000000000000001</v>
      </c>
      <c r="H290" s="6">
        <v>0</v>
      </c>
      <c r="I290" s="7">
        <f t="shared" si="40"/>
        <v>13200.000000000002</v>
      </c>
      <c r="J290" s="7">
        <f t="shared" si="41"/>
        <v>0</v>
      </c>
      <c r="K290" s="7">
        <f t="shared" si="42"/>
        <v>13200.000000000002</v>
      </c>
      <c r="L290" s="4">
        <v>0</v>
      </c>
      <c r="M290" s="7">
        <f t="shared" si="43"/>
        <v>13200.000000000002</v>
      </c>
      <c r="N290" s="2" t="s">
        <v>21</v>
      </c>
      <c r="O290" t="s">
        <v>22</v>
      </c>
      <c r="P290" s="2" t="s">
        <v>2365</v>
      </c>
      <c r="Q290" s="2">
        <v>4</v>
      </c>
      <c r="R290" s="2" t="s">
        <v>34</v>
      </c>
      <c r="S290" s="2" t="str">
        <f t="shared" si="44"/>
        <v>Sangat Rendah</v>
      </c>
      <c r="T290" s="2" t="str">
        <f t="shared" si="45"/>
        <v>FALSE</v>
      </c>
      <c r="U290" s="2" t="str">
        <f t="shared" si="46"/>
        <v>FALSE</v>
      </c>
      <c r="V290" s="2" t="b">
        <f t="shared" si="47"/>
        <v>0</v>
      </c>
      <c r="W290" s="2" t="b">
        <f t="shared" si="48"/>
        <v>0</v>
      </c>
      <c r="X290" s="2" t="b">
        <f t="shared" si="49"/>
        <v>0</v>
      </c>
    </row>
    <row r="291" spans="1:24" ht="10.5" customHeight="1">
      <c r="A291" s="2" t="s">
        <v>550</v>
      </c>
      <c r="B291" s="3">
        <v>45714.787951388891</v>
      </c>
      <c r="C291" s="2" t="s">
        <v>192</v>
      </c>
      <c r="D291" s="2" t="s">
        <v>98</v>
      </c>
      <c r="E291" s="2" t="s">
        <v>57</v>
      </c>
      <c r="F291" s="4">
        <v>17500</v>
      </c>
      <c r="G291" s="5">
        <v>2.6</v>
      </c>
      <c r="H291" s="6">
        <v>0</v>
      </c>
      <c r="I291" s="7">
        <f t="shared" si="40"/>
        <v>45500</v>
      </c>
      <c r="J291" s="7">
        <f t="shared" si="41"/>
        <v>0</v>
      </c>
      <c r="K291" s="7">
        <f t="shared" si="42"/>
        <v>45500</v>
      </c>
      <c r="L291" s="4">
        <v>97000</v>
      </c>
      <c r="M291" s="7">
        <f t="shared" si="43"/>
        <v>142500</v>
      </c>
      <c r="N291" s="2" t="s">
        <v>58</v>
      </c>
      <c r="O291" t="s">
        <v>22</v>
      </c>
      <c r="P291" s="2" t="s">
        <v>2367</v>
      </c>
      <c r="Q291" s="2">
        <v>5</v>
      </c>
      <c r="R291" s="2" t="s">
        <v>23</v>
      </c>
      <c r="S291" s="2" t="str">
        <f t="shared" si="44"/>
        <v>Standar</v>
      </c>
      <c r="T291" s="2" t="str">
        <f t="shared" si="45"/>
        <v>FALSE</v>
      </c>
      <c r="U291" s="2" t="str">
        <f t="shared" si="46"/>
        <v>FALSE</v>
      </c>
      <c r="V291" s="2" t="b">
        <f t="shared" si="47"/>
        <v>0</v>
      </c>
      <c r="W291" s="2" t="b">
        <f t="shared" si="48"/>
        <v>1</v>
      </c>
      <c r="X291" s="2" t="b">
        <f t="shared" si="49"/>
        <v>0</v>
      </c>
    </row>
    <row r="292" spans="1:24" ht="10.5" customHeight="1">
      <c r="A292" s="2" t="s">
        <v>551</v>
      </c>
      <c r="B292" s="3">
        <v>45714.847187500003</v>
      </c>
      <c r="C292" s="2" t="s">
        <v>345</v>
      </c>
      <c r="D292" s="2" t="s">
        <v>108</v>
      </c>
      <c r="E292" s="2" t="s">
        <v>20</v>
      </c>
      <c r="F292" s="4">
        <v>10000</v>
      </c>
      <c r="G292" s="5">
        <v>2</v>
      </c>
      <c r="H292" s="6">
        <v>0</v>
      </c>
      <c r="I292" s="7">
        <f t="shared" si="40"/>
        <v>20000</v>
      </c>
      <c r="J292" s="7">
        <f t="shared" si="41"/>
        <v>0</v>
      </c>
      <c r="K292" s="7">
        <f t="shared" si="42"/>
        <v>20000</v>
      </c>
      <c r="L292" s="4">
        <v>72000</v>
      </c>
      <c r="M292" s="7">
        <f t="shared" si="43"/>
        <v>92000</v>
      </c>
      <c r="N292" s="2" t="s">
        <v>58</v>
      </c>
      <c r="O292" t="s">
        <v>22</v>
      </c>
      <c r="P292" s="2" t="s">
        <v>2365</v>
      </c>
      <c r="Q292" s="2">
        <v>5</v>
      </c>
      <c r="R292" s="2" t="s">
        <v>23</v>
      </c>
      <c r="S292" s="2" t="str">
        <f t="shared" si="44"/>
        <v>Rendah</v>
      </c>
      <c r="T292" s="2" t="str">
        <f t="shared" si="45"/>
        <v>FALSE</v>
      </c>
      <c r="U292" s="2" t="str">
        <f t="shared" si="46"/>
        <v>FALSE</v>
      </c>
      <c r="V292" s="2" t="b">
        <f t="shared" si="47"/>
        <v>0</v>
      </c>
      <c r="W292" s="2" t="b">
        <f t="shared" si="48"/>
        <v>0</v>
      </c>
      <c r="X292" s="2" t="b">
        <f t="shared" si="49"/>
        <v>0</v>
      </c>
    </row>
    <row r="293" spans="1:24" ht="10.5" customHeight="1">
      <c r="A293" s="2" t="s">
        <v>552</v>
      </c>
      <c r="B293" s="3">
        <v>45715.012175925927</v>
      </c>
      <c r="C293" s="2" t="s">
        <v>207</v>
      </c>
      <c r="D293" s="2" t="s">
        <v>133</v>
      </c>
      <c r="E293" s="2" t="s">
        <v>41</v>
      </c>
      <c r="F293" s="4">
        <v>40000</v>
      </c>
      <c r="G293" s="5">
        <v>0.3</v>
      </c>
      <c r="H293" s="6">
        <v>0</v>
      </c>
      <c r="I293" s="7">
        <f t="shared" si="40"/>
        <v>12000</v>
      </c>
      <c r="J293" s="7">
        <f t="shared" si="41"/>
        <v>0</v>
      </c>
      <c r="K293" s="7">
        <f t="shared" si="42"/>
        <v>12000</v>
      </c>
      <c r="L293" s="4">
        <v>50000</v>
      </c>
      <c r="M293" s="7">
        <f t="shared" si="43"/>
        <v>62000</v>
      </c>
      <c r="N293" s="2" t="s">
        <v>58</v>
      </c>
      <c r="O293" t="s">
        <v>22</v>
      </c>
      <c r="P293" s="2" t="s">
        <v>2368</v>
      </c>
      <c r="Q293" s="2">
        <v>2</v>
      </c>
      <c r="R293" s="2" t="s">
        <v>23</v>
      </c>
      <c r="S293" s="2" t="str">
        <f t="shared" si="44"/>
        <v>Rendah</v>
      </c>
      <c r="T293" s="2" t="str">
        <f t="shared" si="45"/>
        <v>FALSE</v>
      </c>
      <c r="U293" s="2" t="str">
        <f t="shared" si="46"/>
        <v>FALSE</v>
      </c>
      <c r="V293" s="2" t="b">
        <f t="shared" si="47"/>
        <v>0</v>
      </c>
      <c r="W293" s="2" t="b">
        <f t="shared" si="48"/>
        <v>0</v>
      </c>
      <c r="X293" s="2" t="b">
        <f t="shared" si="49"/>
        <v>0</v>
      </c>
    </row>
    <row r="294" spans="1:24" ht="10.5" customHeight="1">
      <c r="A294" s="2" t="s">
        <v>553</v>
      </c>
      <c r="B294" s="3">
        <v>45715.292592592603</v>
      </c>
      <c r="C294" s="2" t="s">
        <v>139</v>
      </c>
      <c r="D294" s="2" t="s">
        <v>140</v>
      </c>
      <c r="E294" s="2" t="s">
        <v>95</v>
      </c>
      <c r="F294" s="4">
        <v>9500</v>
      </c>
      <c r="G294" s="5">
        <v>0.5</v>
      </c>
      <c r="H294" s="6">
        <v>0</v>
      </c>
      <c r="I294" s="7">
        <f t="shared" si="40"/>
        <v>4750</v>
      </c>
      <c r="J294" s="7">
        <f t="shared" si="41"/>
        <v>0</v>
      </c>
      <c r="K294" s="7">
        <f t="shared" si="42"/>
        <v>4750</v>
      </c>
      <c r="L294" s="4">
        <v>55000</v>
      </c>
      <c r="M294" s="7">
        <f t="shared" si="43"/>
        <v>59750</v>
      </c>
      <c r="N294" s="2" t="s">
        <v>33</v>
      </c>
      <c r="O294" t="s">
        <v>22</v>
      </c>
      <c r="P294" s="2" t="s">
        <v>2368</v>
      </c>
      <c r="Q294" s="2">
        <v>1</v>
      </c>
      <c r="R294" s="2" t="s">
        <v>34</v>
      </c>
      <c r="S294" s="2" t="str">
        <f t="shared" si="44"/>
        <v>Rendah</v>
      </c>
      <c r="T294" s="2" t="str">
        <f t="shared" si="45"/>
        <v>FALSE</v>
      </c>
      <c r="U294" s="2" t="str">
        <f t="shared" si="46"/>
        <v>FALSE</v>
      </c>
      <c r="V294" s="2" t="b">
        <f t="shared" si="47"/>
        <v>0</v>
      </c>
      <c r="W294" s="2" t="b">
        <f t="shared" si="48"/>
        <v>0</v>
      </c>
      <c r="X294" s="2" t="b">
        <f t="shared" si="49"/>
        <v>0</v>
      </c>
    </row>
    <row r="295" spans="1:24" ht="10.5" customHeight="1">
      <c r="A295" s="2" t="s">
        <v>554</v>
      </c>
      <c r="B295" s="3">
        <v>45715.437824074077</v>
      </c>
      <c r="C295" s="2" t="s">
        <v>555</v>
      </c>
      <c r="D295" s="2" t="s">
        <v>153</v>
      </c>
      <c r="E295" s="2" t="s">
        <v>95</v>
      </c>
      <c r="F295" s="4">
        <v>9500</v>
      </c>
      <c r="G295" s="5">
        <v>0.8</v>
      </c>
      <c r="H295" s="6">
        <v>0</v>
      </c>
      <c r="I295" s="7">
        <f t="shared" si="40"/>
        <v>7600</v>
      </c>
      <c r="J295" s="7">
        <f t="shared" si="41"/>
        <v>0</v>
      </c>
      <c r="K295" s="7">
        <f t="shared" si="42"/>
        <v>7600</v>
      </c>
      <c r="L295" s="4">
        <v>50000</v>
      </c>
      <c r="M295" s="7">
        <f t="shared" si="43"/>
        <v>57600</v>
      </c>
      <c r="N295" s="2" t="s">
        <v>21</v>
      </c>
      <c r="O295" t="s">
        <v>22</v>
      </c>
      <c r="P295" s="2" t="s">
        <v>2368</v>
      </c>
      <c r="Q295" s="2">
        <v>2</v>
      </c>
      <c r="R295" s="2" t="s">
        <v>23</v>
      </c>
      <c r="S295" s="2" t="str">
        <f t="shared" si="44"/>
        <v>Rendah</v>
      </c>
      <c r="T295" s="2" t="str">
        <f t="shared" si="45"/>
        <v>FALSE</v>
      </c>
      <c r="U295" s="2" t="str">
        <f t="shared" si="46"/>
        <v>FALSE</v>
      </c>
      <c r="V295" s="2" t="b">
        <f t="shared" si="47"/>
        <v>0</v>
      </c>
      <c r="W295" s="2" t="b">
        <f t="shared" si="48"/>
        <v>0</v>
      </c>
      <c r="X295" s="2" t="b">
        <f t="shared" si="49"/>
        <v>0</v>
      </c>
    </row>
    <row r="296" spans="1:24" ht="10.5" customHeight="1">
      <c r="A296" s="2" t="s">
        <v>556</v>
      </c>
      <c r="B296" s="3">
        <v>45715.454571759263</v>
      </c>
      <c r="C296" s="2" t="s">
        <v>492</v>
      </c>
      <c r="D296" s="2" t="s">
        <v>98</v>
      </c>
      <c r="E296" s="2" t="s">
        <v>49</v>
      </c>
      <c r="F296" s="4">
        <v>26000</v>
      </c>
      <c r="G296" s="5">
        <v>1.7</v>
      </c>
      <c r="H296" s="6">
        <v>0</v>
      </c>
      <c r="I296" s="7">
        <f t="shared" si="40"/>
        <v>44200</v>
      </c>
      <c r="J296" s="7">
        <f t="shared" si="41"/>
        <v>0</v>
      </c>
      <c r="K296" s="7">
        <f t="shared" si="42"/>
        <v>44200</v>
      </c>
      <c r="L296" s="4">
        <v>97000</v>
      </c>
      <c r="M296" s="7">
        <f t="shared" si="43"/>
        <v>141200</v>
      </c>
      <c r="N296" s="2" t="s">
        <v>58</v>
      </c>
      <c r="O296" t="s">
        <v>22</v>
      </c>
      <c r="P296" s="2" t="s">
        <v>2367</v>
      </c>
      <c r="Q296" s="2">
        <v>5</v>
      </c>
      <c r="R296" s="2" t="s">
        <v>23</v>
      </c>
      <c r="S296" s="2" t="str">
        <f t="shared" si="44"/>
        <v>Standar</v>
      </c>
      <c r="T296" s="2" t="str">
        <f t="shared" si="45"/>
        <v>FALSE</v>
      </c>
      <c r="U296" s="2" t="str">
        <f t="shared" si="46"/>
        <v>FALSE</v>
      </c>
      <c r="V296" s="2" t="b">
        <f t="shared" si="47"/>
        <v>0</v>
      </c>
      <c r="W296" s="2" t="b">
        <f t="shared" si="48"/>
        <v>1</v>
      </c>
      <c r="X296" s="2" t="b">
        <f t="shared" si="49"/>
        <v>0</v>
      </c>
    </row>
    <row r="297" spans="1:24" ht="10.5" customHeight="1">
      <c r="A297" s="2" t="s">
        <v>557</v>
      </c>
      <c r="B297" s="3">
        <v>45715.469872685193</v>
      </c>
      <c r="C297" s="2" t="s">
        <v>558</v>
      </c>
      <c r="D297" s="2" t="s">
        <v>425</v>
      </c>
      <c r="E297" s="2" t="s">
        <v>161</v>
      </c>
      <c r="F297" s="4">
        <v>115000</v>
      </c>
      <c r="G297" s="5">
        <v>1.1000000000000001</v>
      </c>
      <c r="H297" s="6">
        <v>0</v>
      </c>
      <c r="I297" s="7">
        <f t="shared" si="40"/>
        <v>126500.00000000001</v>
      </c>
      <c r="J297" s="7">
        <f t="shared" si="41"/>
        <v>0</v>
      </c>
      <c r="K297" s="7">
        <f t="shared" si="42"/>
        <v>126500.00000000001</v>
      </c>
      <c r="L297" s="4">
        <v>67000</v>
      </c>
      <c r="M297" s="7">
        <f t="shared" si="43"/>
        <v>193500</v>
      </c>
      <c r="N297" s="2" t="s">
        <v>28</v>
      </c>
      <c r="O297" t="s">
        <v>22</v>
      </c>
      <c r="P297" s="2" t="s">
        <v>2370</v>
      </c>
      <c r="Q297" s="2">
        <v>2</v>
      </c>
      <c r="R297" s="2" t="s">
        <v>23</v>
      </c>
      <c r="S297" s="2" t="str">
        <f t="shared" si="44"/>
        <v>Tinggi</v>
      </c>
      <c r="T297" s="2" t="str">
        <f t="shared" si="45"/>
        <v>FALSE</v>
      </c>
      <c r="U297" s="2" t="str">
        <f t="shared" si="46"/>
        <v>TRUE</v>
      </c>
      <c r="V297" s="2" t="b">
        <f t="shared" si="47"/>
        <v>0</v>
      </c>
      <c r="W297" s="2" t="b">
        <f t="shared" si="48"/>
        <v>0</v>
      </c>
      <c r="X297" s="2" t="b">
        <f t="shared" si="49"/>
        <v>0</v>
      </c>
    </row>
    <row r="298" spans="1:24" ht="10.5" customHeight="1">
      <c r="A298" s="2" t="s">
        <v>559</v>
      </c>
      <c r="B298" s="3">
        <v>45715.504895833343</v>
      </c>
      <c r="C298" s="2" t="s">
        <v>560</v>
      </c>
      <c r="D298" s="2" t="s">
        <v>74</v>
      </c>
      <c r="E298" s="2" t="s">
        <v>45</v>
      </c>
      <c r="F298" s="4">
        <v>10500</v>
      </c>
      <c r="G298" s="5">
        <v>1.5</v>
      </c>
      <c r="H298" s="6">
        <v>0</v>
      </c>
      <c r="I298" s="7">
        <f t="shared" si="40"/>
        <v>15750</v>
      </c>
      <c r="J298" s="7">
        <f t="shared" si="41"/>
        <v>0</v>
      </c>
      <c r="K298" s="7">
        <f t="shared" si="42"/>
        <v>15750</v>
      </c>
      <c r="L298" s="4">
        <v>74000</v>
      </c>
      <c r="M298" s="7">
        <f t="shared" si="43"/>
        <v>89750</v>
      </c>
      <c r="N298" s="2" t="s">
        <v>58</v>
      </c>
      <c r="O298" t="s">
        <v>22</v>
      </c>
      <c r="P298" s="2" t="s">
        <v>2366</v>
      </c>
      <c r="Q298" s="2">
        <v>4</v>
      </c>
      <c r="R298" s="2" t="s">
        <v>23</v>
      </c>
      <c r="S298" s="2" t="str">
        <f t="shared" si="44"/>
        <v>Rendah</v>
      </c>
      <c r="T298" s="2" t="str">
        <f t="shared" si="45"/>
        <v>FALSE</v>
      </c>
      <c r="U298" s="2" t="str">
        <f t="shared" si="46"/>
        <v>FALSE</v>
      </c>
      <c r="V298" s="2" t="b">
        <f t="shared" si="47"/>
        <v>0</v>
      </c>
      <c r="W298" s="2" t="b">
        <f t="shared" si="48"/>
        <v>0</v>
      </c>
      <c r="X298" s="2" t="b">
        <f t="shared" si="49"/>
        <v>0</v>
      </c>
    </row>
    <row r="299" spans="1:24" ht="10.5" customHeight="1">
      <c r="A299" s="2" t="s">
        <v>561</v>
      </c>
      <c r="B299" s="3">
        <v>45715.510138888887</v>
      </c>
      <c r="C299" s="2" t="s">
        <v>562</v>
      </c>
      <c r="D299" s="2" t="s">
        <v>31</v>
      </c>
      <c r="E299" s="2" t="s">
        <v>75</v>
      </c>
      <c r="F299" s="4">
        <v>45000</v>
      </c>
      <c r="G299" s="5">
        <v>1.2</v>
      </c>
      <c r="H299" s="6">
        <v>0</v>
      </c>
      <c r="I299" s="7">
        <f t="shared" si="40"/>
        <v>54000</v>
      </c>
      <c r="J299" s="7">
        <f t="shared" si="41"/>
        <v>0</v>
      </c>
      <c r="K299" s="7">
        <f t="shared" si="42"/>
        <v>54000</v>
      </c>
      <c r="L299" s="4">
        <v>76000</v>
      </c>
      <c r="M299" s="7">
        <f t="shared" si="43"/>
        <v>130000</v>
      </c>
      <c r="N299" s="2" t="s">
        <v>28</v>
      </c>
      <c r="O299" t="s">
        <v>69</v>
      </c>
      <c r="P299" s="2" t="s">
        <v>2370</v>
      </c>
      <c r="Q299" s="2">
        <v>2</v>
      </c>
      <c r="R299" s="2" t="s">
        <v>23</v>
      </c>
      <c r="S299" s="2" t="str">
        <f t="shared" si="44"/>
        <v>Standar</v>
      </c>
      <c r="T299" s="2" t="str">
        <f t="shared" si="45"/>
        <v>FALSE</v>
      </c>
      <c r="U299" s="2" t="str">
        <f t="shared" si="46"/>
        <v>FALSE</v>
      </c>
      <c r="V299" s="2" t="b">
        <f t="shared" si="47"/>
        <v>0</v>
      </c>
      <c r="W299" s="2" t="b">
        <f t="shared" si="48"/>
        <v>0</v>
      </c>
      <c r="X299" s="2" t="b">
        <f t="shared" si="49"/>
        <v>0</v>
      </c>
    </row>
    <row r="300" spans="1:24" ht="10.5" customHeight="1">
      <c r="A300" s="2" t="s">
        <v>563</v>
      </c>
      <c r="B300" s="3">
        <v>45715.519305555557</v>
      </c>
      <c r="C300" s="2" t="s">
        <v>37</v>
      </c>
      <c r="D300" s="2" t="s">
        <v>26</v>
      </c>
      <c r="E300" s="2" t="s">
        <v>41</v>
      </c>
      <c r="F300" s="4">
        <v>40000</v>
      </c>
      <c r="G300" s="5">
        <v>1.6</v>
      </c>
      <c r="H300" s="6">
        <v>0</v>
      </c>
      <c r="I300" s="7">
        <f t="shared" si="40"/>
        <v>64000</v>
      </c>
      <c r="J300" s="7">
        <f t="shared" si="41"/>
        <v>0</v>
      </c>
      <c r="K300" s="7">
        <f t="shared" si="42"/>
        <v>64000</v>
      </c>
      <c r="L300" s="4">
        <v>17000</v>
      </c>
      <c r="M300" s="7">
        <f t="shared" si="43"/>
        <v>81000</v>
      </c>
      <c r="N300" s="2" t="s">
        <v>28</v>
      </c>
      <c r="O300" t="s">
        <v>115</v>
      </c>
      <c r="P300" s="2" t="s">
        <v>2370</v>
      </c>
      <c r="Q300" s="2">
        <v>4</v>
      </c>
      <c r="R300" s="2" t="s">
        <v>23</v>
      </c>
      <c r="S300" s="2" t="str">
        <f t="shared" si="44"/>
        <v>Rendah</v>
      </c>
      <c r="T300" s="2" t="str">
        <f t="shared" si="45"/>
        <v>FALSE</v>
      </c>
      <c r="U300" s="2" t="str">
        <f t="shared" si="46"/>
        <v>FALSE</v>
      </c>
      <c r="V300" s="2" t="b">
        <f t="shared" si="47"/>
        <v>0</v>
      </c>
      <c r="W300" s="2" t="b">
        <f t="shared" si="48"/>
        <v>0</v>
      </c>
      <c r="X300" s="2" t="b">
        <f t="shared" si="49"/>
        <v>0</v>
      </c>
    </row>
    <row r="301" spans="1:24" ht="10.5" customHeight="1">
      <c r="A301" s="2" t="s">
        <v>564</v>
      </c>
      <c r="B301" s="3">
        <v>45715.55878472222</v>
      </c>
      <c r="C301" s="2" t="s">
        <v>505</v>
      </c>
      <c r="D301" s="2" t="s">
        <v>173</v>
      </c>
      <c r="E301" s="2" t="s">
        <v>80</v>
      </c>
      <c r="F301" s="4">
        <v>15000</v>
      </c>
      <c r="G301" s="5">
        <v>1.4</v>
      </c>
      <c r="H301" s="6">
        <v>0</v>
      </c>
      <c r="I301" s="7">
        <f t="shared" si="40"/>
        <v>21000</v>
      </c>
      <c r="J301" s="7">
        <f t="shared" si="41"/>
        <v>0</v>
      </c>
      <c r="K301" s="7">
        <f t="shared" si="42"/>
        <v>21000</v>
      </c>
      <c r="L301" s="4">
        <v>48000</v>
      </c>
      <c r="M301" s="7">
        <f t="shared" si="43"/>
        <v>69000</v>
      </c>
      <c r="N301" s="2" t="s">
        <v>33</v>
      </c>
      <c r="O301" t="s">
        <v>22</v>
      </c>
      <c r="P301" s="2" t="s">
        <v>2367</v>
      </c>
      <c r="Q301" s="2">
        <v>3</v>
      </c>
      <c r="R301" s="2" t="s">
        <v>23</v>
      </c>
      <c r="S301" s="2" t="str">
        <f t="shared" si="44"/>
        <v>Rendah</v>
      </c>
      <c r="T301" s="2" t="str">
        <f t="shared" si="45"/>
        <v>FALSE</v>
      </c>
      <c r="U301" s="2" t="str">
        <f t="shared" si="46"/>
        <v>FALSE</v>
      </c>
      <c r="V301" s="2" t="b">
        <f t="shared" si="47"/>
        <v>0</v>
      </c>
      <c r="W301" s="2" t="b">
        <f t="shared" si="48"/>
        <v>1</v>
      </c>
      <c r="X301" s="2" t="b">
        <f t="shared" si="49"/>
        <v>0</v>
      </c>
    </row>
    <row r="302" spans="1:24" ht="10.5" customHeight="1">
      <c r="A302" s="2" t="s">
        <v>564</v>
      </c>
      <c r="B302" s="3">
        <v>45715.55878472222</v>
      </c>
      <c r="C302" s="2" t="s">
        <v>505</v>
      </c>
      <c r="D302" s="2" t="s">
        <v>173</v>
      </c>
      <c r="E302" s="2" t="s">
        <v>35</v>
      </c>
      <c r="F302" s="4">
        <v>13500</v>
      </c>
      <c r="G302" s="5">
        <v>1.3</v>
      </c>
      <c r="H302" s="6">
        <v>0</v>
      </c>
      <c r="I302" s="7">
        <f t="shared" si="40"/>
        <v>17550</v>
      </c>
      <c r="J302" s="7">
        <f t="shared" si="41"/>
        <v>0</v>
      </c>
      <c r="K302" s="7">
        <f t="shared" si="42"/>
        <v>17550</v>
      </c>
      <c r="L302" s="4">
        <v>0</v>
      </c>
      <c r="M302" s="7">
        <f t="shared" si="43"/>
        <v>17550</v>
      </c>
      <c r="N302" s="2" t="s">
        <v>33</v>
      </c>
      <c r="O302" t="s">
        <v>22</v>
      </c>
      <c r="P302" s="2" t="s">
        <v>2367</v>
      </c>
      <c r="Q302" s="2">
        <v>3</v>
      </c>
      <c r="R302" s="2" t="s">
        <v>23</v>
      </c>
      <c r="S302" s="2" t="str">
        <f t="shared" si="44"/>
        <v>Sangat Rendah</v>
      </c>
      <c r="T302" s="2" t="str">
        <f t="shared" si="45"/>
        <v>FALSE</v>
      </c>
      <c r="U302" s="2" t="str">
        <f t="shared" si="46"/>
        <v>FALSE</v>
      </c>
      <c r="V302" s="2" t="b">
        <f t="shared" si="47"/>
        <v>0</v>
      </c>
      <c r="W302" s="2" t="b">
        <f t="shared" si="48"/>
        <v>1</v>
      </c>
      <c r="X302" s="2" t="b">
        <f t="shared" si="49"/>
        <v>1</v>
      </c>
    </row>
    <row r="303" spans="1:24" ht="10.5" customHeight="1">
      <c r="A303" s="2" t="s">
        <v>565</v>
      </c>
      <c r="B303" s="3">
        <v>45715.607233796298</v>
      </c>
      <c r="C303" s="2" t="s">
        <v>566</v>
      </c>
      <c r="D303" s="2" t="s">
        <v>52</v>
      </c>
      <c r="E303" s="2" t="s">
        <v>20</v>
      </c>
      <c r="F303" s="4">
        <v>10000</v>
      </c>
      <c r="G303" s="5">
        <v>3</v>
      </c>
      <c r="H303" s="6">
        <v>0</v>
      </c>
      <c r="I303" s="7">
        <f t="shared" si="40"/>
        <v>30000</v>
      </c>
      <c r="J303" s="7">
        <f t="shared" si="41"/>
        <v>0</v>
      </c>
      <c r="K303" s="7">
        <f t="shared" si="42"/>
        <v>30000</v>
      </c>
      <c r="L303" s="4">
        <v>80000</v>
      </c>
      <c r="M303" s="7">
        <f t="shared" si="43"/>
        <v>110000</v>
      </c>
      <c r="N303" s="2" t="s">
        <v>33</v>
      </c>
      <c r="O303" t="s">
        <v>22</v>
      </c>
      <c r="P303" s="2" t="s">
        <v>2367</v>
      </c>
      <c r="Q303" s="2">
        <v>1</v>
      </c>
      <c r="R303" s="2" t="s">
        <v>34</v>
      </c>
      <c r="S303" s="2" t="str">
        <f t="shared" si="44"/>
        <v>Standar</v>
      </c>
      <c r="T303" s="2" t="str">
        <f t="shared" si="45"/>
        <v>FALSE</v>
      </c>
      <c r="U303" s="2" t="str">
        <f t="shared" si="46"/>
        <v>FALSE</v>
      </c>
      <c r="V303" s="2" t="b">
        <f t="shared" si="47"/>
        <v>0</v>
      </c>
      <c r="W303" s="2" t="b">
        <f t="shared" si="48"/>
        <v>1</v>
      </c>
      <c r="X303" s="2" t="b">
        <f t="shared" si="49"/>
        <v>0</v>
      </c>
    </row>
    <row r="304" spans="1:24" ht="10.5" customHeight="1">
      <c r="A304" s="2" t="s">
        <v>567</v>
      </c>
      <c r="B304" s="3">
        <v>45715.625821759262</v>
      </c>
      <c r="C304" s="2" t="s">
        <v>445</v>
      </c>
      <c r="D304" s="2" t="s">
        <v>31</v>
      </c>
      <c r="E304" s="2" t="s">
        <v>20</v>
      </c>
      <c r="F304" s="4">
        <v>10000</v>
      </c>
      <c r="G304" s="5">
        <v>1.4</v>
      </c>
      <c r="H304" s="6">
        <v>0</v>
      </c>
      <c r="I304" s="7">
        <f t="shared" si="40"/>
        <v>14000</v>
      </c>
      <c r="J304" s="7">
        <f t="shared" si="41"/>
        <v>0</v>
      </c>
      <c r="K304" s="7">
        <f t="shared" si="42"/>
        <v>14000</v>
      </c>
      <c r="L304" s="4">
        <v>76000</v>
      </c>
      <c r="M304" s="7">
        <f t="shared" si="43"/>
        <v>90000</v>
      </c>
      <c r="N304" s="2" t="s">
        <v>58</v>
      </c>
      <c r="O304" t="s">
        <v>22</v>
      </c>
      <c r="P304" s="2" t="s">
        <v>2366</v>
      </c>
      <c r="Q304" s="2">
        <v>2</v>
      </c>
      <c r="R304" s="2" t="s">
        <v>23</v>
      </c>
      <c r="S304" s="2" t="str">
        <f t="shared" si="44"/>
        <v>Rendah</v>
      </c>
      <c r="T304" s="2" t="str">
        <f t="shared" si="45"/>
        <v>FALSE</v>
      </c>
      <c r="U304" s="2" t="str">
        <f t="shared" si="46"/>
        <v>FALSE</v>
      </c>
      <c r="V304" s="2" t="b">
        <f t="shared" si="47"/>
        <v>0</v>
      </c>
      <c r="W304" s="2" t="b">
        <f t="shared" si="48"/>
        <v>0</v>
      </c>
      <c r="X304" s="2" t="b">
        <f t="shared" si="49"/>
        <v>0</v>
      </c>
    </row>
    <row r="305" spans="1:24" ht="10.5" customHeight="1">
      <c r="A305" s="2" t="s">
        <v>568</v>
      </c>
      <c r="B305" s="3">
        <v>45715.666307870371</v>
      </c>
      <c r="C305" s="2" t="s">
        <v>71</v>
      </c>
      <c r="D305" s="2" t="s">
        <v>56</v>
      </c>
      <c r="E305" s="2" t="s">
        <v>57</v>
      </c>
      <c r="F305" s="4">
        <v>17500</v>
      </c>
      <c r="G305" s="5">
        <v>1.9</v>
      </c>
      <c r="H305" s="6">
        <v>0</v>
      </c>
      <c r="I305" s="7">
        <f t="shared" si="40"/>
        <v>33250</v>
      </c>
      <c r="J305" s="7">
        <f t="shared" si="41"/>
        <v>0</v>
      </c>
      <c r="K305" s="7">
        <f t="shared" si="42"/>
        <v>33250</v>
      </c>
      <c r="L305" s="4">
        <v>26000</v>
      </c>
      <c r="M305" s="7">
        <f t="shared" si="43"/>
        <v>59250</v>
      </c>
      <c r="N305" s="2" t="s">
        <v>33</v>
      </c>
      <c r="O305" t="s">
        <v>22</v>
      </c>
      <c r="P305" s="2" t="s">
        <v>2370</v>
      </c>
      <c r="Q305" s="2">
        <v>4</v>
      </c>
      <c r="R305" s="2" t="s">
        <v>23</v>
      </c>
      <c r="S305" s="2" t="str">
        <f t="shared" si="44"/>
        <v>Rendah</v>
      </c>
      <c r="T305" s="2" t="str">
        <f t="shared" si="45"/>
        <v>FALSE</v>
      </c>
      <c r="U305" s="2" t="str">
        <f t="shared" si="46"/>
        <v>FALSE</v>
      </c>
      <c r="V305" s="2" t="b">
        <f t="shared" si="47"/>
        <v>0</v>
      </c>
      <c r="W305" s="2" t="b">
        <f t="shared" si="48"/>
        <v>0</v>
      </c>
      <c r="X305" s="2" t="b">
        <f t="shared" si="49"/>
        <v>0</v>
      </c>
    </row>
    <row r="306" spans="1:24" ht="10.5" customHeight="1">
      <c r="A306" s="2" t="s">
        <v>569</v>
      </c>
      <c r="B306" s="3">
        <v>45715.675162037027</v>
      </c>
      <c r="C306" s="2" t="s">
        <v>192</v>
      </c>
      <c r="D306" s="2" t="s">
        <v>98</v>
      </c>
      <c r="E306" s="2" t="s">
        <v>143</v>
      </c>
      <c r="F306" s="4">
        <v>10000</v>
      </c>
      <c r="G306" s="5">
        <v>0.5</v>
      </c>
      <c r="H306" s="6">
        <v>0</v>
      </c>
      <c r="I306" s="7">
        <f t="shared" si="40"/>
        <v>5000</v>
      </c>
      <c r="J306" s="7">
        <f t="shared" si="41"/>
        <v>0</v>
      </c>
      <c r="K306" s="7">
        <f t="shared" si="42"/>
        <v>5000</v>
      </c>
      <c r="L306" s="4">
        <v>97000</v>
      </c>
      <c r="M306" s="7">
        <f t="shared" si="43"/>
        <v>102000</v>
      </c>
      <c r="N306" s="2" t="s">
        <v>33</v>
      </c>
      <c r="O306" t="s">
        <v>22</v>
      </c>
      <c r="P306" s="2" t="s">
        <v>2368</v>
      </c>
      <c r="Q306" s="2">
        <v>4</v>
      </c>
      <c r="R306" s="2" t="s">
        <v>23</v>
      </c>
      <c r="S306" s="2" t="str">
        <f t="shared" si="44"/>
        <v>Standar</v>
      </c>
      <c r="T306" s="2" t="str">
        <f t="shared" si="45"/>
        <v>FALSE</v>
      </c>
      <c r="U306" s="2" t="str">
        <f t="shared" si="46"/>
        <v>TRUE</v>
      </c>
      <c r="V306" s="2" t="b">
        <f t="shared" si="47"/>
        <v>0</v>
      </c>
      <c r="W306" s="2" t="b">
        <f t="shared" si="48"/>
        <v>0</v>
      </c>
      <c r="X306" s="2" t="b">
        <f t="shared" si="49"/>
        <v>0</v>
      </c>
    </row>
    <row r="307" spans="1:24" ht="10.5" customHeight="1">
      <c r="A307" s="2" t="s">
        <v>570</v>
      </c>
      <c r="B307" s="3">
        <v>45715.736400462964</v>
      </c>
      <c r="C307" s="2" t="s">
        <v>539</v>
      </c>
      <c r="D307" s="2" t="s">
        <v>98</v>
      </c>
      <c r="E307" s="2" t="s">
        <v>143</v>
      </c>
      <c r="F307" s="4">
        <v>10000</v>
      </c>
      <c r="G307" s="5">
        <v>0.5</v>
      </c>
      <c r="H307" s="6">
        <v>0</v>
      </c>
      <c r="I307" s="7">
        <f t="shared" si="40"/>
        <v>5000</v>
      </c>
      <c r="J307" s="7">
        <f t="shared" si="41"/>
        <v>0</v>
      </c>
      <c r="K307" s="7">
        <f t="shared" si="42"/>
        <v>5000</v>
      </c>
      <c r="L307" s="4">
        <v>97000</v>
      </c>
      <c r="M307" s="7">
        <f t="shared" si="43"/>
        <v>102000</v>
      </c>
      <c r="N307" s="2" t="s">
        <v>58</v>
      </c>
      <c r="O307" t="s">
        <v>22</v>
      </c>
      <c r="P307" s="2" t="s">
        <v>2368</v>
      </c>
      <c r="Q307" s="2">
        <v>3</v>
      </c>
      <c r="R307" s="2" t="s">
        <v>23</v>
      </c>
      <c r="S307" s="2" t="str">
        <f t="shared" si="44"/>
        <v>Standar</v>
      </c>
      <c r="T307" s="2" t="str">
        <f t="shared" si="45"/>
        <v>FALSE</v>
      </c>
      <c r="U307" s="2" t="str">
        <f t="shared" si="46"/>
        <v>TRUE</v>
      </c>
      <c r="V307" s="2" t="b">
        <f t="shared" si="47"/>
        <v>0</v>
      </c>
      <c r="W307" s="2" t="b">
        <f t="shared" si="48"/>
        <v>0</v>
      </c>
      <c r="X307" s="2" t="b">
        <f t="shared" si="49"/>
        <v>0</v>
      </c>
    </row>
    <row r="308" spans="1:24" ht="10.5" customHeight="1">
      <c r="A308" s="2" t="s">
        <v>570</v>
      </c>
      <c r="B308" s="3">
        <v>45715.736400462964</v>
      </c>
      <c r="C308" s="2" t="s">
        <v>539</v>
      </c>
      <c r="D308" s="2" t="s">
        <v>98</v>
      </c>
      <c r="E308" s="2" t="s">
        <v>182</v>
      </c>
      <c r="F308" s="4">
        <v>11000</v>
      </c>
      <c r="G308" s="5">
        <v>2.2000000000000002</v>
      </c>
      <c r="H308" s="6">
        <v>0</v>
      </c>
      <c r="I308" s="7">
        <f t="shared" si="40"/>
        <v>24200.000000000004</v>
      </c>
      <c r="J308" s="7">
        <f t="shared" si="41"/>
        <v>0</v>
      </c>
      <c r="K308" s="7">
        <f t="shared" si="42"/>
        <v>24200.000000000004</v>
      </c>
      <c r="L308" s="4">
        <v>0</v>
      </c>
      <c r="M308" s="7">
        <f t="shared" si="43"/>
        <v>24200.000000000004</v>
      </c>
      <c r="N308" s="2" t="s">
        <v>58</v>
      </c>
      <c r="O308" t="s">
        <v>22</v>
      </c>
      <c r="P308" s="2" t="s">
        <v>2368</v>
      </c>
      <c r="Q308" s="2">
        <v>3</v>
      </c>
      <c r="R308" s="2" t="s">
        <v>23</v>
      </c>
      <c r="S308" s="2" t="str">
        <f t="shared" si="44"/>
        <v>Sangat Rendah</v>
      </c>
      <c r="T308" s="2" t="str">
        <f t="shared" si="45"/>
        <v>FALSE</v>
      </c>
      <c r="U308" s="2" t="str">
        <f t="shared" si="46"/>
        <v>FALSE</v>
      </c>
      <c r="V308" s="2" t="b">
        <f t="shared" si="47"/>
        <v>0</v>
      </c>
      <c r="W308" s="2" t="b">
        <f t="shared" si="48"/>
        <v>0</v>
      </c>
      <c r="X308" s="2" t="b">
        <f t="shared" si="49"/>
        <v>1</v>
      </c>
    </row>
    <row r="309" spans="1:24" ht="10.5" customHeight="1">
      <c r="A309" s="2" t="s">
        <v>571</v>
      </c>
      <c r="B309" s="3">
        <v>45715.7421412037</v>
      </c>
      <c r="C309" s="2" t="s">
        <v>572</v>
      </c>
      <c r="D309" s="2" t="s">
        <v>425</v>
      </c>
      <c r="E309" s="2" t="s">
        <v>161</v>
      </c>
      <c r="F309" s="4">
        <v>115000</v>
      </c>
      <c r="G309" s="5">
        <v>0.6</v>
      </c>
      <c r="H309" s="6">
        <v>0</v>
      </c>
      <c r="I309" s="7">
        <f t="shared" si="40"/>
        <v>69000</v>
      </c>
      <c r="J309" s="7">
        <f t="shared" si="41"/>
        <v>0</v>
      </c>
      <c r="K309" s="7">
        <f t="shared" si="42"/>
        <v>69000</v>
      </c>
      <c r="L309" s="4">
        <v>67000</v>
      </c>
      <c r="M309" s="7">
        <f t="shared" si="43"/>
        <v>136000</v>
      </c>
      <c r="N309" s="2" t="s">
        <v>28</v>
      </c>
      <c r="O309" t="s">
        <v>69</v>
      </c>
      <c r="P309" s="2" t="s">
        <v>2365</v>
      </c>
      <c r="Q309" s="2">
        <v>2</v>
      </c>
      <c r="R309" s="2" t="s">
        <v>23</v>
      </c>
      <c r="S309" s="2" t="str">
        <f t="shared" si="44"/>
        <v>Standar</v>
      </c>
      <c r="T309" s="2" t="str">
        <f t="shared" si="45"/>
        <v>FALSE</v>
      </c>
      <c r="U309" s="2" t="str">
        <f t="shared" si="46"/>
        <v>FALSE</v>
      </c>
      <c r="V309" s="2" t="b">
        <f t="shared" si="47"/>
        <v>0</v>
      </c>
      <c r="W309" s="2" t="b">
        <f t="shared" si="48"/>
        <v>0</v>
      </c>
      <c r="X309" s="2" t="b">
        <f t="shared" si="49"/>
        <v>0</v>
      </c>
    </row>
    <row r="310" spans="1:24" ht="10.5" customHeight="1">
      <c r="A310" s="2" t="s">
        <v>573</v>
      </c>
      <c r="B310" s="3">
        <v>45715.765694444453</v>
      </c>
      <c r="C310" s="2" t="s">
        <v>574</v>
      </c>
      <c r="D310" s="2" t="s">
        <v>84</v>
      </c>
      <c r="E310" s="2" t="s">
        <v>75</v>
      </c>
      <c r="F310" s="4">
        <v>45000</v>
      </c>
      <c r="G310" s="5">
        <v>1.5</v>
      </c>
      <c r="H310" s="6">
        <v>0</v>
      </c>
      <c r="I310" s="7">
        <f t="shared" si="40"/>
        <v>67500</v>
      </c>
      <c r="J310" s="7">
        <f t="shared" si="41"/>
        <v>0</v>
      </c>
      <c r="K310" s="7">
        <f t="shared" si="42"/>
        <v>67500</v>
      </c>
      <c r="L310" s="4">
        <v>30000</v>
      </c>
      <c r="M310" s="7">
        <f t="shared" si="43"/>
        <v>97500</v>
      </c>
      <c r="N310" s="2" t="s">
        <v>21</v>
      </c>
      <c r="O310" t="s">
        <v>69</v>
      </c>
      <c r="P310" s="2" t="s">
        <v>2368</v>
      </c>
      <c r="Q310" s="2">
        <v>2</v>
      </c>
      <c r="R310" s="2" t="s">
        <v>23</v>
      </c>
      <c r="S310" s="2" t="str">
        <f t="shared" si="44"/>
        <v>Rendah</v>
      </c>
      <c r="T310" s="2" t="str">
        <f t="shared" si="45"/>
        <v>FALSE</v>
      </c>
      <c r="U310" s="2" t="str">
        <f t="shared" si="46"/>
        <v>FALSE</v>
      </c>
      <c r="V310" s="2" t="b">
        <f t="shared" si="47"/>
        <v>0</v>
      </c>
      <c r="W310" s="2" t="b">
        <f t="shared" si="48"/>
        <v>0</v>
      </c>
      <c r="X310" s="2" t="b">
        <f t="shared" si="49"/>
        <v>0</v>
      </c>
    </row>
    <row r="311" spans="1:24" ht="10.5" customHeight="1">
      <c r="A311" s="2" t="s">
        <v>575</v>
      </c>
      <c r="B311" s="3">
        <v>45715.784004629633</v>
      </c>
      <c r="C311" s="2" t="s">
        <v>244</v>
      </c>
      <c r="D311" s="2" t="s">
        <v>56</v>
      </c>
      <c r="E311" s="2" t="s">
        <v>41</v>
      </c>
      <c r="F311" s="4">
        <v>40000</v>
      </c>
      <c r="G311" s="5">
        <v>1.9</v>
      </c>
      <c r="H311" s="6">
        <v>0</v>
      </c>
      <c r="I311" s="7">
        <f t="shared" si="40"/>
        <v>76000</v>
      </c>
      <c r="J311" s="7">
        <f t="shared" si="41"/>
        <v>0</v>
      </c>
      <c r="K311" s="7">
        <f t="shared" si="42"/>
        <v>76000</v>
      </c>
      <c r="L311" s="4">
        <v>26000</v>
      </c>
      <c r="M311" s="7">
        <f t="shared" si="43"/>
        <v>102000</v>
      </c>
      <c r="N311" s="2" t="s">
        <v>28</v>
      </c>
      <c r="O311" t="s">
        <v>69</v>
      </c>
      <c r="P311" s="2" t="s">
        <v>2367</v>
      </c>
      <c r="Q311" s="2">
        <v>2</v>
      </c>
      <c r="R311" s="2" t="s">
        <v>23</v>
      </c>
      <c r="S311" s="2" t="str">
        <f t="shared" si="44"/>
        <v>Standar</v>
      </c>
      <c r="T311" s="2" t="str">
        <f t="shared" si="45"/>
        <v>FALSE</v>
      </c>
      <c r="U311" s="2" t="str">
        <f t="shared" si="46"/>
        <v>FALSE</v>
      </c>
      <c r="V311" s="2" t="b">
        <f t="shared" si="47"/>
        <v>0</v>
      </c>
      <c r="W311" s="2" t="b">
        <f t="shared" si="48"/>
        <v>1</v>
      </c>
      <c r="X311" s="2" t="b">
        <f t="shared" si="49"/>
        <v>0</v>
      </c>
    </row>
    <row r="312" spans="1:24" ht="10.5" customHeight="1">
      <c r="A312" s="2" t="s">
        <v>576</v>
      </c>
      <c r="B312" s="3">
        <v>45715.798576388886</v>
      </c>
      <c r="C312" s="2" t="s">
        <v>93</v>
      </c>
      <c r="D312" s="2" t="s">
        <v>94</v>
      </c>
      <c r="E312" s="2" t="s">
        <v>20</v>
      </c>
      <c r="F312" s="4">
        <v>10000</v>
      </c>
      <c r="G312" s="5">
        <v>1</v>
      </c>
      <c r="H312" s="6">
        <v>0</v>
      </c>
      <c r="I312" s="7">
        <f t="shared" si="40"/>
        <v>10000</v>
      </c>
      <c r="J312" s="7">
        <f t="shared" si="41"/>
        <v>0</v>
      </c>
      <c r="K312" s="7">
        <f t="shared" si="42"/>
        <v>10000</v>
      </c>
      <c r="L312" s="4">
        <v>85000</v>
      </c>
      <c r="M312" s="7">
        <f t="shared" si="43"/>
        <v>95000</v>
      </c>
      <c r="N312" s="2" t="s">
        <v>58</v>
      </c>
      <c r="O312" t="s">
        <v>22</v>
      </c>
      <c r="P312" s="2" t="s">
        <v>2368</v>
      </c>
      <c r="Q312" s="2">
        <v>4</v>
      </c>
      <c r="R312" s="2" t="s">
        <v>23</v>
      </c>
      <c r="S312" s="2" t="str">
        <f t="shared" si="44"/>
        <v>Rendah</v>
      </c>
      <c r="T312" s="2" t="str">
        <f t="shared" si="45"/>
        <v>FALSE</v>
      </c>
      <c r="U312" s="2" t="str">
        <f t="shared" si="46"/>
        <v>FALSE</v>
      </c>
      <c r="V312" s="2" t="b">
        <f t="shared" si="47"/>
        <v>0</v>
      </c>
      <c r="W312" s="2" t="b">
        <f t="shared" si="48"/>
        <v>0</v>
      </c>
      <c r="X312" s="2" t="b">
        <f t="shared" si="49"/>
        <v>0</v>
      </c>
    </row>
    <row r="313" spans="1:24" ht="10.5" customHeight="1">
      <c r="A313" s="2" t="s">
        <v>577</v>
      </c>
      <c r="B313" s="3">
        <v>45715.894537037027</v>
      </c>
      <c r="C313" s="2" t="s">
        <v>132</v>
      </c>
      <c r="D313" s="2" t="s">
        <v>133</v>
      </c>
      <c r="E313" s="2" t="s">
        <v>75</v>
      </c>
      <c r="F313" s="4">
        <v>45000</v>
      </c>
      <c r="G313" s="5">
        <v>0.8</v>
      </c>
      <c r="H313" s="6">
        <v>0</v>
      </c>
      <c r="I313" s="7">
        <f t="shared" si="40"/>
        <v>36000</v>
      </c>
      <c r="J313" s="7">
        <f t="shared" si="41"/>
        <v>0</v>
      </c>
      <c r="K313" s="7">
        <f t="shared" si="42"/>
        <v>36000</v>
      </c>
      <c r="L313" s="4">
        <v>50000</v>
      </c>
      <c r="M313" s="7">
        <f t="shared" si="43"/>
        <v>86000</v>
      </c>
      <c r="N313" s="2" t="s">
        <v>33</v>
      </c>
      <c r="O313" t="s">
        <v>22</v>
      </c>
      <c r="P313" s="2" t="s">
        <v>2366</v>
      </c>
      <c r="Q313" s="2">
        <v>5</v>
      </c>
      <c r="R313" s="2" t="s">
        <v>23</v>
      </c>
      <c r="S313" s="2" t="str">
        <f t="shared" si="44"/>
        <v>Rendah</v>
      </c>
      <c r="T313" s="2" t="str">
        <f t="shared" si="45"/>
        <v>FALSE</v>
      </c>
      <c r="U313" s="2" t="str">
        <f t="shared" si="46"/>
        <v>FALSE</v>
      </c>
      <c r="V313" s="2" t="b">
        <f t="shared" si="47"/>
        <v>0</v>
      </c>
      <c r="W313" s="2" t="b">
        <f t="shared" si="48"/>
        <v>0</v>
      </c>
      <c r="X313" s="2" t="b">
        <f t="shared" si="49"/>
        <v>0</v>
      </c>
    </row>
    <row r="314" spans="1:24" ht="10.5" customHeight="1">
      <c r="A314" s="2" t="s">
        <v>578</v>
      </c>
      <c r="B314" s="3">
        <v>45715.911724537043</v>
      </c>
      <c r="C314" s="2" t="s">
        <v>579</v>
      </c>
      <c r="D314" s="2" t="s">
        <v>252</v>
      </c>
      <c r="E314" s="2" t="s">
        <v>49</v>
      </c>
      <c r="F314" s="4">
        <v>26000</v>
      </c>
      <c r="G314" s="5">
        <v>0.5</v>
      </c>
      <c r="H314" s="6">
        <v>0</v>
      </c>
      <c r="I314" s="7">
        <f t="shared" si="40"/>
        <v>13000</v>
      </c>
      <c r="J314" s="7">
        <f t="shared" si="41"/>
        <v>0</v>
      </c>
      <c r="K314" s="7">
        <f t="shared" si="42"/>
        <v>13000</v>
      </c>
      <c r="L314" s="4">
        <v>18000</v>
      </c>
      <c r="M314" s="7">
        <f t="shared" si="43"/>
        <v>31000</v>
      </c>
      <c r="N314" s="2" t="s">
        <v>28</v>
      </c>
      <c r="O314" t="s">
        <v>22</v>
      </c>
      <c r="P314" s="2" t="s">
        <v>2367</v>
      </c>
      <c r="Q314" s="2">
        <v>4</v>
      </c>
      <c r="R314" s="2" t="s">
        <v>34</v>
      </c>
      <c r="S314" s="2" t="str">
        <f t="shared" si="44"/>
        <v>Sangat Rendah</v>
      </c>
      <c r="T314" s="2" t="str">
        <f t="shared" si="45"/>
        <v>FALSE</v>
      </c>
      <c r="U314" s="2" t="str">
        <f t="shared" si="46"/>
        <v>FALSE</v>
      </c>
      <c r="V314" s="2" t="b">
        <f t="shared" si="47"/>
        <v>0</v>
      </c>
      <c r="W314" s="2" t="b">
        <f t="shared" si="48"/>
        <v>1</v>
      </c>
      <c r="X314" s="2" t="b">
        <f t="shared" si="49"/>
        <v>0</v>
      </c>
    </row>
    <row r="315" spans="1:24" ht="10.5" customHeight="1">
      <c r="A315" s="2" t="s">
        <v>580</v>
      </c>
      <c r="B315" s="3">
        <v>45715.911921296298</v>
      </c>
      <c r="C315" s="2" t="s">
        <v>560</v>
      </c>
      <c r="D315" s="2" t="s">
        <v>74</v>
      </c>
      <c r="E315" s="2" t="s">
        <v>190</v>
      </c>
      <c r="F315" s="4">
        <v>15500</v>
      </c>
      <c r="G315" s="5">
        <v>0.4</v>
      </c>
      <c r="H315" s="6">
        <v>0</v>
      </c>
      <c r="I315" s="7">
        <f t="shared" si="40"/>
        <v>6200</v>
      </c>
      <c r="J315" s="7">
        <f t="shared" si="41"/>
        <v>0</v>
      </c>
      <c r="K315" s="7">
        <f t="shared" si="42"/>
        <v>6200</v>
      </c>
      <c r="L315" s="4">
        <v>74000</v>
      </c>
      <c r="M315" s="7">
        <f t="shared" si="43"/>
        <v>80200</v>
      </c>
      <c r="N315" s="2" t="s">
        <v>28</v>
      </c>
      <c r="O315" t="s">
        <v>22</v>
      </c>
      <c r="P315" s="2" t="s">
        <v>2365</v>
      </c>
      <c r="Q315" s="2">
        <v>1</v>
      </c>
      <c r="R315" s="2" t="s">
        <v>23</v>
      </c>
      <c r="S315" s="2" t="str">
        <f t="shared" si="44"/>
        <v>Rendah</v>
      </c>
      <c r="T315" s="2" t="str">
        <f t="shared" si="45"/>
        <v>FALSE</v>
      </c>
      <c r="U315" s="2" t="str">
        <f t="shared" si="46"/>
        <v>FALSE</v>
      </c>
      <c r="V315" s="2" t="b">
        <f t="shared" si="47"/>
        <v>0</v>
      </c>
      <c r="W315" s="2" t="b">
        <f t="shared" si="48"/>
        <v>0</v>
      </c>
      <c r="X315" s="2" t="b">
        <f t="shared" si="49"/>
        <v>0</v>
      </c>
    </row>
    <row r="316" spans="1:24" ht="10.5" customHeight="1">
      <c r="A316" s="2" t="s">
        <v>581</v>
      </c>
      <c r="B316" s="3">
        <v>45715.968124999999</v>
      </c>
      <c r="C316" s="2" t="s">
        <v>228</v>
      </c>
      <c r="D316" s="2" t="s">
        <v>229</v>
      </c>
      <c r="E316" s="2" t="s">
        <v>45</v>
      </c>
      <c r="F316" s="4">
        <v>10500</v>
      </c>
      <c r="G316" s="5">
        <v>1.2</v>
      </c>
      <c r="H316" s="6">
        <v>0</v>
      </c>
      <c r="I316" s="7">
        <f t="shared" si="40"/>
        <v>12600</v>
      </c>
      <c r="J316" s="7">
        <f t="shared" si="41"/>
        <v>0</v>
      </c>
      <c r="K316" s="7">
        <f t="shared" si="42"/>
        <v>12600</v>
      </c>
      <c r="L316" s="4">
        <v>28000</v>
      </c>
      <c r="M316" s="7">
        <f t="shared" si="43"/>
        <v>40600</v>
      </c>
      <c r="N316" s="2" t="s">
        <v>58</v>
      </c>
      <c r="O316" t="s">
        <v>22</v>
      </c>
      <c r="P316" s="2" t="s">
        <v>2367</v>
      </c>
      <c r="Q316" s="2">
        <v>4</v>
      </c>
      <c r="R316" s="2" t="s">
        <v>23</v>
      </c>
      <c r="S316" s="2" t="str">
        <f t="shared" si="44"/>
        <v>Sangat Rendah</v>
      </c>
      <c r="T316" s="2" t="str">
        <f t="shared" si="45"/>
        <v>FALSE</v>
      </c>
      <c r="U316" s="2" t="str">
        <f t="shared" si="46"/>
        <v>FALSE</v>
      </c>
      <c r="V316" s="2" t="b">
        <f t="shared" si="47"/>
        <v>0</v>
      </c>
      <c r="W316" s="2" t="b">
        <f t="shared" si="48"/>
        <v>1</v>
      </c>
      <c r="X316" s="2" t="b">
        <f t="shared" si="49"/>
        <v>1</v>
      </c>
    </row>
    <row r="317" spans="1:24" ht="10.5" customHeight="1">
      <c r="A317" s="2" t="s">
        <v>582</v>
      </c>
      <c r="B317" s="3">
        <v>45716.124907407408</v>
      </c>
      <c r="C317" s="2" t="s">
        <v>583</v>
      </c>
      <c r="D317" s="2" t="s">
        <v>185</v>
      </c>
      <c r="E317" s="2" t="s">
        <v>45</v>
      </c>
      <c r="F317" s="4">
        <v>10500</v>
      </c>
      <c r="G317" s="5">
        <v>2.5</v>
      </c>
      <c r="H317" s="6">
        <v>0</v>
      </c>
      <c r="I317" s="7">
        <f t="shared" si="40"/>
        <v>26250</v>
      </c>
      <c r="J317" s="7">
        <f t="shared" si="41"/>
        <v>0</v>
      </c>
      <c r="K317" s="7">
        <f t="shared" si="42"/>
        <v>26250</v>
      </c>
      <c r="L317" s="4">
        <v>87000</v>
      </c>
      <c r="M317" s="7">
        <f t="shared" si="43"/>
        <v>113250</v>
      </c>
      <c r="N317" s="2" t="s">
        <v>21</v>
      </c>
      <c r="O317" t="s">
        <v>22</v>
      </c>
      <c r="P317" s="2" t="s">
        <v>2370</v>
      </c>
      <c r="Q317" s="2">
        <v>4</v>
      </c>
      <c r="R317" s="2" t="s">
        <v>23</v>
      </c>
      <c r="S317" s="2" t="str">
        <f t="shared" si="44"/>
        <v>Standar</v>
      </c>
      <c r="T317" s="2" t="str">
        <f t="shared" si="45"/>
        <v>FALSE</v>
      </c>
      <c r="U317" s="2" t="str">
        <f t="shared" si="46"/>
        <v>FALSE</v>
      </c>
      <c r="V317" s="2" t="b">
        <f t="shared" si="47"/>
        <v>0</v>
      </c>
      <c r="W317" s="2" t="b">
        <f t="shared" si="48"/>
        <v>0</v>
      </c>
      <c r="X317" s="2" t="b">
        <f t="shared" si="49"/>
        <v>0</v>
      </c>
    </row>
    <row r="318" spans="1:24" ht="10.5" customHeight="1">
      <c r="A318" s="2" t="s">
        <v>584</v>
      </c>
      <c r="B318" s="3">
        <v>45716.313171296293</v>
      </c>
      <c r="C318" s="2" t="s">
        <v>97</v>
      </c>
      <c r="D318" s="2" t="s">
        <v>98</v>
      </c>
      <c r="E318" s="2" t="s">
        <v>20</v>
      </c>
      <c r="F318" s="4">
        <v>10000</v>
      </c>
      <c r="G318" s="5">
        <v>2.4</v>
      </c>
      <c r="H318" s="6">
        <v>0</v>
      </c>
      <c r="I318" s="7">
        <f t="shared" si="40"/>
        <v>24000</v>
      </c>
      <c r="J318" s="7">
        <f t="shared" si="41"/>
        <v>0</v>
      </c>
      <c r="K318" s="7">
        <f t="shared" si="42"/>
        <v>24000</v>
      </c>
      <c r="L318" s="4">
        <v>97000</v>
      </c>
      <c r="M318" s="7">
        <f t="shared" si="43"/>
        <v>121000</v>
      </c>
      <c r="N318" s="2" t="s">
        <v>21</v>
      </c>
      <c r="O318" t="s">
        <v>22</v>
      </c>
      <c r="P318" s="2" t="s">
        <v>2366</v>
      </c>
      <c r="Q318" s="2">
        <v>4</v>
      </c>
      <c r="R318" s="2" t="s">
        <v>23</v>
      </c>
      <c r="S318" s="2" t="str">
        <f t="shared" si="44"/>
        <v>Standar</v>
      </c>
      <c r="T318" s="2" t="str">
        <f t="shared" si="45"/>
        <v>FALSE</v>
      </c>
      <c r="U318" s="2" t="str">
        <f t="shared" si="46"/>
        <v>FALSE</v>
      </c>
      <c r="V318" s="2" t="b">
        <f t="shared" si="47"/>
        <v>0</v>
      </c>
      <c r="W318" s="2" t="b">
        <f t="shared" si="48"/>
        <v>0</v>
      </c>
      <c r="X318" s="2" t="b">
        <f t="shared" si="49"/>
        <v>0</v>
      </c>
    </row>
    <row r="319" spans="1:24" ht="10.5" customHeight="1">
      <c r="A319" s="2" t="s">
        <v>585</v>
      </c>
      <c r="B319" s="3">
        <v>45716.382418981477</v>
      </c>
      <c r="C319" s="2" t="s">
        <v>586</v>
      </c>
      <c r="D319" s="2" t="s">
        <v>64</v>
      </c>
      <c r="E319" s="2" t="s">
        <v>20</v>
      </c>
      <c r="F319" s="4">
        <v>10000</v>
      </c>
      <c r="G319" s="5">
        <v>1.3</v>
      </c>
      <c r="H319" s="6">
        <v>0</v>
      </c>
      <c r="I319" s="7">
        <f t="shared" si="40"/>
        <v>13000</v>
      </c>
      <c r="J319" s="7">
        <f t="shared" si="41"/>
        <v>0</v>
      </c>
      <c r="K319" s="7">
        <f t="shared" si="42"/>
        <v>13000</v>
      </c>
      <c r="L319" s="4">
        <v>89000</v>
      </c>
      <c r="M319" s="7">
        <f t="shared" si="43"/>
        <v>102000</v>
      </c>
      <c r="N319" s="2" t="s">
        <v>28</v>
      </c>
      <c r="O319" t="s">
        <v>22</v>
      </c>
      <c r="P319" s="2" t="s">
        <v>2367</v>
      </c>
      <c r="Q319" s="2">
        <v>3</v>
      </c>
      <c r="R319" s="2" t="s">
        <v>23</v>
      </c>
      <c r="S319" s="2" t="str">
        <f t="shared" si="44"/>
        <v>Standar</v>
      </c>
      <c r="T319" s="2" t="str">
        <f t="shared" si="45"/>
        <v>FALSE</v>
      </c>
      <c r="U319" s="2" t="str">
        <f t="shared" si="46"/>
        <v>FALSE</v>
      </c>
      <c r="V319" s="2" t="b">
        <f t="shared" si="47"/>
        <v>0</v>
      </c>
      <c r="W319" s="2" t="b">
        <f t="shared" si="48"/>
        <v>1</v>
      </c>
      <c r="X319" s="2" t="b">
        <f t="shared" si="49"/>
        <v>0</v>
      </c>
    </row>
    <row r="320" spans="1:24" ht="10.5" customHeight="1">
      <c r="A320" s="2" t="s">
        <v>587</v>
      </c>
      <c r="B320" s="3">
        <v>45716.400405092587</v>
      </c>
      <c r="C320" s="2" t="s">
        <v>588</v>
      </c>
      <c r="D320" s="2" t="s">
        <v>56</v>
      </c>
      <c r="E320" s="2" t="s">
        <v>102</v>
      </c>
      <c r="F320" s="4">
        <v>55000</v>
      </c>
      <c r="G320" s="5">
        <v>0.4</v>
      </c>
      <c r="H320" s="6">
        <v>0</v>
      </c>
      <c r="I320" s="7">
        <f t="shared" si="40"/>
        <v>22000</v>
      </c>
      <c r="J320" s="7">
        <f t="shared" si="41"/>
        <v>0</v>
      </c>
      <c r="K320" s="7">
        <f t="shared" si="42"/>
        <v>22000</v>
      </c>
      <c r="L320" s="4">
        <v>26000</v>
      </c>
      <c r="M320" s="7">
        <f t="shared" si="43"/>
        <v>48000</v>
      </c>
      <c r="N320" s="2" t="s">
        <v>28</v>
      </c>
      <c r="O320" t="s">
        <v>22</v>
      </c>
      <c r="P320" s="2" t="s">
        <v>2370</v>
      </c>
      <c r="Q320" s="2">
        <v>4</v>
      </c>
      <c r="R320" s="2" t="s">
        <v>23</v>
      </c>
      <c r="S320" s="2" t="str">
        <f t="shared" si="44"/>
        <v>Sangat Rendah</v>
      </c>
      <c r="T320" s="2" t="str">
        <f t="shared" si="45"/>
        <v>FALSE</v>
      </c>
      <c r="U320" s="2" t="str">
        <f t="shared" si="46"/>
        <v>FALSE</v>
      </c>
      <c r="V320" s="2" t="b">
        <f t="shared" si="47"/>
        <v>0</v>
      </c>
      <c r="W320" s="2" t="b">
        <f t="shared" si="48"/>
        <v>0</v>
      </c>
      <c r="X320" s="2" t="b">
        <f t="shared" si="49"/>
        <v>1</v>
      </c>
    </row>
    <row r="321" spans="1:24" ht="10.5" customHeight="1">
      <c r="A321" s="2" t="s">
        <v>589</v>
      </c>
      <c r="B321" s="3">
        <v>45716.403587962966</v>
      </c>
      <c r="C321" s="2" t="s">
        <v>433</v>
      </c>
      <c r="D321" s="2" t="s">
        <v>48</v>
      </c>
      <c r="E321" s="2" t="s">
        <v>80</v>
      </c>
      <c r="F321" s="4">
        <v>15000</v>
      </c>
      <c r="G321" s="5">
        <v>1.3</v>
      </c>
      <c r="H321" s="6">
        <v>0</v>
      </c>
      <c r="I321" s="7">
        <f t="shared" si="40"/>
        <v>19500</v>
      </c>
      <c r="J321" s="7">
        <f t="shared" si="41"/>
        <v>0</v>
      </c>
      <c r="K321" s="7">
        <f t="shared" si="42"/>
        <v>19500</v>
      </c>
      <c r="L321" s="4">
        <v>18000</v>
      </c>
      <c r="M321" s="7">
        <f t="shared" si="43"/>
        <v>37500</v>
      </c>
      <c r="N321" s="2" t="s">
        <v>33</v>
      </c>
      <c r="O321" t="s">
        <v>22</v>
      </c>
      <c r="P321" s="2" t="s">
        <v>2367</v>
      </c>
      <c r="Q321" s="2">
        <v>2</v>
      </c>
      <c r="R321" s="2" t="s">
        <v>23</v>
      </c>
      <c r="S321" s="2" t="str">
        <f t="shared" si="44"/>
        <v>Sangat Rendah</v>
      </c>
      <c r="T321" s="2" t="str">
        <f t="shared" si="45"/>
        <v>FALSE</v>
      </c>
      <c r="U321" s="2" t="str">
        <f t="shared" si="46"/>
        <v>FALSE</v>
      </c>
      <c r="V321" s="2" t="b">
        <f t="shared" si="47"/>
        <v>0</v>
      </c>
      <c r="W321" s="2" t="b">
        <f t="shared" si="48"/>
        <v>1</v>
      </c>
      <c r="X321" s="2" t="b">
        <f t="shared" si="49"/>
        <v>1</v>
      </c>
    </row>
    <row r="322" spans="1:24" ht="10.5" customHeight="1">
      <c r="A322" s="2" t="s">
        <v>590</v>
      </c>
      <c r="B322" s="3">
        <v>45716.407754629632</v>
      </c>
      <c r="C322" s="2" t="s">
        <v>591</v>
      </c>
      <c r="D322" s="2" t="s">
        <v>111</v>
      </c>
      <c r="E322" s="2" t="s">
        <v>20</v>
      </c>
      <c r="F322" s="4">
        <v>10000</v>
      </c>
      <c r="G322" s="5">
        <v>1</v>
      </c>
      <c r="H322" s="6">
        <v>0</v>
      </c>
      <c r="I322" s="7">
        <f t="shared" si="40"/>
        <v>10000</v>
      </c>
      <c r="J322" s="7">
        <f t="shared" si="41"/>
        <v>0</v>
      </c>
      <c r="K322" s="7">
        <f t="shared" si="42"/>
        <v>10000</v>
      </c>
      <c r="L322" s="4">
        <v>0</v>
      </c>
      <c r="M322" s="7">
        <f t="shared" si="43"/>
        <v>10000</v>
      </c>
      <c r="N322" s="2" t="s">
        <v>21</v>
      </c>
      <c r="O322" t="s">
        <v>22</v>
      </c>
      <c r="P322" s="2" t="s">
        <v>2370</v>
      </c>
      <c r="Q322" s="2">
        <v>3</v>
      </c>
      <c r="R322" s="2" t="s">
        <v>23</v>
      </c>
      <c r="S322" s="2" t="str">
        <f t="shared" si="44"/>
        <v>Sangat Rendah</v>
      </c>
      <c r="T322" s="2" t="str">
        <f t="shared" si="45"/>
        <v>FALSE</v>
      </c>
      <c r="U322" s="2" t="str">
        <f t="shared" si="46"/>
        <v>FALSE</v>
      </c>
      <c r="V322" s="2" t="b">
        <f t="shared" si="47"/>
        <v>0</v>
      </c>
      <c r="W322" s="2" t="b">
        <f t="shared" si="48"/>
        <v>0</v>
      </c>
      <c r="X322" s="2" t="b">
        <f t="shared" si="49"/>
        <v>1</v>
      </c>
    </row>
    <row r="323" spans="1:24" ht="10.5" customHeight="1">
      <c r="A323" s="2" t="s">
        <v>592</v>
      </c>
      <c r="B323" s="3">
        <v>45716.422430555547</v>
      </c>
      <c r="C323" s="2" t="s">
        <v>593</v>
      </c>
      <c r="D323" s="2" t="s">
        <v>48</v>
      </c>
      <c r="E323" s="2" t="s">
        <v>143</v>
      </c>
      <c r="F323" s="4">
        <v>10000</v>
      </c>
      <c r="G323" s="5">
        <v>1</v>
      </c>
      <c r="H323" s="6">
        <v>0</v>
      </c>
      <c r="I323" s="7">
        <f t="shared" si="40"/>
        <v>10000</v>
      </c>
      <c r="J323" s="7">
        <f t="shared" si="41"/>
        <v>0</v>
      </c>
      <c r="K323" s="7">
        <f t="shared" si="42"/>
        <v>10000</v>
      </c>
      <c r="L323" s="4">
        <v>18000</v>
      </c>
      <c r="M323" s="7">
        <f t="shared" si="43"/>
        <v>28000</v>
      </c>
      <c r="N323" s="2" t="s">
        <v>28</v>
      </c>
      <c r="O323" t="s">
        <v>69</v>
      </c>
      <c r="P323" s="2" t="s">
        <v>2365</v>
      </c>
      <c r="Q323" s="2">
        <v>1</v>
      </c>
      <c r="R323" s="2" t="s">
        <v>23</v>
      </c>
      <c r="S323" s="2" t="str">
        <f t="shared" si="44"/>
        <v>Sangat Rendah</v>
      </c>
      <c r="T323" s="2" t="str">
        <f t="shared" si="45"/>
        <v>FALSE</v>
      </c>
      <c r="U323" s="2" t="str">
        <f t="shared" si="46"/>
        <v>TRUE</v>
      </c>
      <c r="V323" s="2" t="b">
        <f t="shared" si="47"/>
        <v>0</v>
      </c>
      <c r="W323" s="2" t="b">
        <f t="shared" si="48"/>
        <v>0</v>
      </c>
      <c r="X323" s="2" t="b">
        <f t="shared" si="49"/>
        <v>1</v>
      </c>
    </row>
    <row r="324" spans="1:24" ht="10.5" customHeight="1">
      <c r="A324" s="2" t="s">
        <v>594</v>
      </c>
      <c r="B324" s="3">
        <v>45716.472824074073</v>
      </c>
      <c r="C324" s="2" t="s">
        <v>595</v>
      </c>
      <c r="D324" s="2" t="s">
        <v>140</v>
      </c>
      <c r="E324" s="2" t="s">
        <v>57</v>
      </c>
      <c r="F324" s="4">
        <v>17500</v>
      </c>
      <c r="G324" s="5">
        <v>1.1000000000000001</v>
      </c>
      <c r="H324" s="6">
        <v>0</v>
      </c>
      <c r="I324" s="7">
        <f t="shared" ref="I324:I387" si="50">F324*G324</f>
        <v>19250</v>
      </c>
      <c r="J324" s="7">
        <f t="shared" ref="J324:J387" si="51">I324*(H324/100)</f>
        <v>0</v>
      </c>
      <c r="K324" s="7">
        <f t="shared" ref="K324:K387" si="52">I324-J324</f>
        <v>19250</v>
      </c>
      <c r="L324" s="4">
        <v>55000</v>
      </c>
      <c r="M324" s="7">
        <f t="shared" ref="M324:M387" si="53">K324+L324</f>
        <v>74250</v>
      </c>
      <c r="N324" s="2" t="s">
        <v>28</v>
      </c>
      <c r="O324" t="s">
        <v>22</v>
      </c>
      <c r="P324" s="2" t="s">
        <v>2370</v>
      </c>
      <c r="Q324" s="2">
        <v>2</v>
      </c>
      <c r="R324" s="2" t="s">
        <v>23</v>
      </c>
      <c r="S324" s="2" t="str">
        <f t="shared" ref="S324:S387" si="54">IF(M324&lt;=50000,"Sangat Rendah",IF(M324&lt;=100000,"Rendah",IF(M324&lt;=150000,"Standar",IF(M324&lt;=200000,"Tinggi","Sangat Tinggi"))))</f>
        <v>Rendah</v>
      </c>
      <c r="T324" s="2" t="str">
        <f t="shared" ref="T324:T387" si="55">IF(AND(S324="Rendah",D324="Yogyakarta"),"TRUE","FALSE")</f>
        <v>FALSE</v>
      </c>
      <c r="U324" s="2" t="str">
        <f t="shared" ref="U324:U387" si="56">IF(OR(S324="Tinggi",E324="Bayam"),"TRUE","FALSE")</f>
        <v>FALSE</v>
      </c>
      <c r="V324" s="2" t="b">
        <f t="shared" ref="V324:V387" si="57">IF(AND(S324="Standar",N324="Transef Bank"),TRUE,FALSE)</f>
        <v>0</v>
      </c>
      <c r="W324" s="2" t="b">
        <f t="shared" ref="W324:W387" si="58">IF(OR(S324="Sangat Tinggi",P324="FoodMart"),TRUE,FALSE)</f>
        <v>0</v>
      </c>
      <c r="X324" s="2" t="b">
        <f t="shared" ref="X324:X387" si="59">IF(AND(S324="Sangat Rendah",R324="Perempuan"),TRUE,FALSE)</f>
        <v>0</v>
      </c>
    </row>
    <row r="325" spans="1:24" ht="10.5" customHeight="1">
      <c r="A325" s="2" t="s">
        <v>596</v>
      </c>
      <c r="B325" s="3">
        <v>45716.490543981483</v>
      </c>
      <c r="C325" s="2" t="s">
        <v>406</v>
      </c>
      <c r="D325" s="2" t="s">
        <v>123</v>
      </c>
      <c r="E325" s="2" t="s">
        <v>182</v>
      </c>
      <c r="F325" s="4">
        <v>11000</v>
      </c>
      <c r="G325" s="5">
        <v>1.2</v>
      </c>
      <c r="H325" s="6">
        <v>0</v>
      </c>
      <c r="I325" s="7">
        <f t="shared" si="50"/>
        <v>13200</v>
      </c>
      <c r="J325" s="7">
        <f t="shared" si="51"/>
        <v>0</v>
      </c>
      <c r="K325" s="7">
        <f t="shared" si="52"/>
        <v>13200</v>
      </c>
      <c r="L325" s="4">
        <v>59000</v>
      </c>
      <c r="M325" s="7">
        <f t="shared" si="53"/>
        <v>72200</v>
      </c>
      <c r="N325" s="2" t="s">
        <v>58</v>
      </c>
      <c r="O325" t="s">
        <v>22</v>
      </c>
      <c r="P325" s="2" t="s">
        <v>2370</v>
      </c>
      <c r="Q325" s="2">
        <v>1</v>
      </c>
      <c r="R325" s="2" t="s">
        <v>23</v>
      </c>
      <c r="S325" s="2" t="str">
        <f t="shared" si="54"/>
        <v>Rendah</v>
      </c>
      <c r="T325" s="2" t="str">
        <f t="shared" si="55"/>
        <v>FALSE</v>
      </c>
      <c r="U325" s="2" t="str">
        <f t="shared" si="56"/>
        <v>FALSE</v>
      </c>
      <c r="V325" s="2" t="b">
        <f t="shared" si="57"/>
        <v>0</v>
      </c>
      <c r="W325" s="2" t="b">
        <f t="shared" si="58"/>
        <v>0</v>
      </c>
      <c r="X325" s="2" t="b">
        <f t="shared" si="59"/>
        <v>0</v>
      </c>
    </row>
    <row r="326" spans="1:24" ht="10.5" customHeight="1">
      <c r="A326" s="2" t="s">
        <v>597</v>
      </c>
      <c r="B326" s="3">
        <v>45716.507025462961</v>
      </c>
      <c r="C326" s="2" t="s">
        <v>43</v>
      </c>
      <c r="D326" s="2" t="s">
        <v>44</v>
      </c>
      <c r="E326" s="2" t="s">
        <v>20</v>
      </c>
      <c r="F326" s="4">
        <v>10000</v>
      </c>
      <c r="G326" s="5">
        <v>2.7</v>
      </c>
      <c r="H326" s="6">
        <v>0</v>
      </c>
      <c r="I326" s="7">
        <f t="shared" si="50"/>
        <v>27000</v>
      </c>
      <c r="J326" s="7">
        <f t="shared" si="51"/>
        <v>0</v>
      </c>
      <c r="K326" s="7">
        <f t="shared" si="52"/>
        <v>27000</v>
      </c>
      <c r="L326" s="4">
        <v>43000</v>
      </c>
      <c r="M326" s="7">
        <f t="shared" si="53"/>
        <v>70000</v>
      </c>
      <c r="N326" s="2" t="s">
        <v>21</v>
      </c>
      <c r="O326" t="s">
        <v>22</v>
      </c>
      <c r="P326" s="2" t="s">
        <v>2366</v>
      </c>
      <c r="Q326" s="2">
        <v>4</v>
      </c>
      <c r="R326" s="2" t="s">
        <v>23</v>
      </c>
      <c r="S326" s="2" t="str">
        <f t="shared" si="54"/>
        <v>Rendah</v>
      </c>
      <c r="T326" s="2" t="str">
        <f t="shared" si="55"/>
        <v>FALSE</v>
      </c>
      <c r="U326" s="2" t="str">
        <f t="shared" si="56"/>
        <v>FALSE</v>
      </c>
      <c r="V326" s="2" t="b">
        <f t="shared" si="57"/>
        <v>0</v>
      </c>
      <c r="W326" s="2" t="b">
        <f t="shared" si="58"/>
        <v>0</v>
      </c>
      <c r="X326" s="2" t="b">
        <f t="shared" si="59"/>
        <v>0</v>
      </c>
    </row>
    <row r="327" spans="1:24" ht="10.5" customHeight="1">
      <c r="A327" s="2" t="s">
        <v>598</v>
      </c>
      <c r="B327" s="3">
        <v>45716.514791666668</v>
      </c>
      <c r="C327" s="2" t="s">
        <v>599</v>
      </c>
      <c r="D327" s="2" t="s">
        <v>74</v>
      </c>
      <c r="E327" s="2" t="s">
        <v>35</v>
      </c>
      <c r="F327" s="4">
        <v>13500</v>
      </c>
      <c r="G327" s="5">
        <v>2.4</v>
      </c>
      <c r="H327" s="6">
        <v>0</v>
      </c>
      <c r="I327" s="7">
        <f t="shared" si="50"/>
        <v>32400</v>
      </c>
      <c r="J327" s="7">
        <f t="shared" si="51"/>
        <v>0</v>
      </c>
      <c r="K327" s="7">
        <f t="shared" si="52"/>
        <v>32400</v>
      </c>
      <c r="L327" s="4">
        <v>74000</v>
      </c>
      <c r="M327" s="7">
        <f t="shared" si="53"/>
        <v>106400</v>
      </c>
      <c r="N327" s="2" t="s">
        <v>58</v>
      </c>
      <c r="O327" t="s">
        <v>22</v>
      </c>
      <c r="P327" s="2" t="s">
        <v>2368</v>
      </c>
      <c r="Q327" s="2">
        <v>2</v>
      </c>
      <c r="R327" s="2" t="s">
        <v>23</v>
      </c>
      <c r="S327" s="2" t="str">
        <f t="shared" si="54"/>
        <v>Standar</v>
      </c>
      <c r="T327" s="2" t="str">
        <f t="shared" si="55"/>
        <v>FALSE</v>
      </c>
      <c r="U327" s="2" t="str">
        <f t="shared" si="56"/>
        <v>FALSE</v>
      </c>
      <c r="V327" s="2" t="b">
        <f t="shared" si="57"/>
        <v>0</v>
      </c>
      <c r="W327" s="2" t="b">
        <f t="shared" si="58"/>
        <v>0</v>
      </c>
      <c r="X327" s="2" t="b">
        <f t="shared" si="59"/>
        <v>0</v>
      </c>
    </row>
    <row r="328" spans="1:24" ht="10.5" customHeight="1">
      <c r="A328" s="2" t="s">
        <v>600</v>
      </c>
      <c r="B328" s="3">
        <v>45716.516608796293</v>
      </c>
      <c r="C328" s="2" t="s">
        <v>271</v>
      </c>
      <c r="D328" s="2" t="s">
        <v>140</v>
      </c>
      <c r="E328" s="2" t="s">
        <v>41</v>
      </c>
      <c r="F328" s="4">
        <v>40000</v>
      </c>
      <c r="G328" s="5">
        <v>0.4</v>
      </c>
      <c r="H328" s="6">
        <v>0</v>
      </c>
      <c r="I328" s="7">
        <f t="shared" si="50"/>
        <v>16000</v>
      </c>
      <c r="J328" s="7">
        <f t="shared" si="51"/>
        <v>0</v>
      </c>
      <c r="K328" s="7">
        <f t="shared" si="52"/>
        <v>16000</v>
      </c>
      <c r="L328" s="4">
        <v>55000</v>
      </c>
      <c r="M328" s="7">
        <f t="shared" si="53"/>
        <v>71000</v>
      </c>
      <c r="N328" s="2" t="s">
        <v>28</v>
      </c>
      <c r="O328" t="s">
        <v>22</v>
      </c>
      <c r="P328" s="2" t="s">
        <v>2367</v>
      </c>
      <c r="Q328" s="2">
        <v>1</v>
      </c>
      <c r="R328" s="2" t="s">
        <v>23</v>
      </c>
      <c r="S328" s="2" t="str">
        <f t="shared" si="54"/>
        <v>Rendah</v>
      </c>
      <c r="T328" s="2" t="str">
        <f t="shared" si="55"/>
        <v>FALSE</v>
      </c>
      <c r="U328" s="2" t="str">
        <f t="shared" si="56"/>
        <v>FALSE</v>
      </c>
      <c r="V328" s="2" t="b">
        <f t="shared" si="57"/>
        <v>0</v>
      </c>
      <c r="W328" s="2" t="b">
        <f t="shared" si="58"/>
        <v>1</v>
      </c>
      <c r="X328" s="2" t="b">
        <f t="shared" si="59"/>
        <v>0</v>
      </c>
    </row>
    <row r="329" spans="1:24" ht="10.5" customHeight="1">
      <c r="A329" s="2" t="s">
        <v>601</v>
      </c>
      <c r="B329" s="3">
        <v>45716.518541666657</v>
      </c>
      <c r="C329" s="2" t="s">
        <v>492</v>
      </c>
      <c r="D329" s="2" t="s">
        <v>98</v>
      </c>
      <c r="E329" s="2" t="s">
        <v>182</v>
      </c>
      <c r="F329" s="4">
        <v>11000</v>
      </c>
      <c r="G329" s="5">
        <v>1.6</v>
      </c>
      <c r="H329" s="6">
        <v>0</v>
      </c>
      <c r="I329" s="7">
        <f t="shared" si="50"/>
        <v>17600</v>
      </c>
      <c r="J329" s="7">
        <f t="shared" si="51"/>
        <v>0</v>
      </c>
      <c r="K329" s="7">
        <f t="shared" si="52"/>
        <v>17600</v>
      </c>
      <c r="L329" s="4">
        <v>97000</v>
      </c>
      <c r="M329" s="7">
        <f t="shared" si="53"/>
        <v>114600</v>
      </c>
      <c r="N329" s="2" t="s">
        <v>33</v>
      </c>
      <c r="O329" t="s">
        <v>22</v>
      </c>
      <c r="P329" s="2" t="s">
        <v>2365</v>
      </c>
      <c r="Q329" s="2">
        <v>2</v>
      </c>
      <c r="R329" s="2" t="s">
        <v>23</v>
      </c>
      <c r="S329" s="2" t="str">
        <f t="shared" si="54"/>
        <v>Standar</v>
      </c>
      <c r="T329" s="2" t="str">
        <f t="shared" si="55"/>
        <v>FALSE</v>
      </c>
      <c r="U329" s="2" t="str">
        <f t="shared" si="56"/>
        <v>FALSE</v>
      </c>
      <c r="V329" s="2" t="b">
        <f t="shared" si="57"/>
        <v>0</v>
      </c>
      <c r="W329" s="2" t="b">
        <f t="shared" si="58"/>
        <v>0</v>
      </c>
      <c r="X329" s="2" t="b">
        <f t="shared" si="59"/>
        <v>0</v>
      </c>
    </row>
    <row r="330" spans="1:24" ht="10.5" customHeight="1">
      <c r="A330" s="2" t="s">
        <v>601</v>
      </c>
      <c r="B330" s="3">
        <v>45716.518541666657</v>
      </c>
      <c r="C330" s="2" t="s">
        <v>492</v>
      </c>
      <c r="D330" s="2" t="s">
        <v>98</v>
      </c>
      <c r="E330" s="2" t="s">
        <v>143</v>
      </c>
      <c r="F330" s="4">
        <v>10000</v>
      </c>
      <c r="G330" s="5">
        <v>1</v>
      </c>
      <c r="H330" s="6">
        <v>0</v>
      </c>
      <c r="I330" s="7">
        <f t="shared" si="50"/>
        <v>10000</v>
      </c>
      <c r="J330" s="7">
        <f t="shared" si="51"/>
        <v>0</v>
      </c>
      <c r="K330" s="7">
        <f t="shared" si="52"/>
        <v>10000</v>
      </c>
      <c r="L330" s="4">
        <v>0</v>
      </c>
      <c r="M330" s="7">
        <f t="shared" si="53"/>
        <v>10000</v>
      </c>
      <c r="N330" s="2" t="s">
        <v>33</v>
      </c>
      <c r="O330" t="s">
        <v>22</v>
      </c>
      <c r="P330" s="2" t="s">
        <v>2365</v>
      </c>
      <c r="Q330" s="2">
        <v>2</v>
      </c>
      <c r="R330" s="2" t="s">
        <v>23</v>
      </c>
      <c r="S330" s="2" t="str">
        <f t="shared" si="54"/>
        <v>Sangat Rendah</v>
      </c>
      <c r="T330" s="2" t="str">
        <f t="shared" si="55"/>
        <v>FALSE</v>
      </c>
      <c r="U330" s="2" t="str">
        <f t="shared" si="56"/>
        <v>TRUE</v>
      </c>
      <c r="V330" s="2" t="b">
        <f t="shared" si="57"/>
        <v>0</v>
      </c>
      <c r="W330" s="2" t="b">
        <f t="shared" si="58"/>
        <v>0</v>
      </c>
      <c r="X330" s="2" t="b">
        <f t="shared" si="59"/>
        <v>1</v>
      </c>
    </row>
    <row r="331" spans="1:24" ht="10.5" customHeight="1">
      <c r="A331" s="2" t="s">
        <v>602</v>
      </c>
      <c r="B331" s="3">
        <v>45716.525335648148</v>
      </c>
      <c r="C331" s="2" t="s">
        <v>603</v>
      </c>
      <c r="D331" s="2" t="s">
        <v>365</v>
      </c>
      <c r="E331" s="2" t="s">
        <v>20</v>
      </c>
      <c r="F331" s="4">
        <v>10000</v>
      </c>
      <c r="G331" s="5">
        <v>1.6</v>
      </c>
      <c r="H331" s="6">
        <v>0</v>
      </c>
      <c r="I331" s="7">
        <f t="shared" si="50"/>
        <v>16000</v>
      </c>
      <c r="J331" s="7">
        <f t="shared" si="51"/>
        <v>0</v>
      </c>
      <c r="K331" s="7">
        <f t="shared" si="52"/>
        <v>16000</v>
      </c>
      <c r="L331" s="4">
        <v>21000</v>
      </c>
      <c r="M331" s="7">
        <f t="shared" si="53"/>
        <v>37000</v>
      </c>
      <c r="N331" s="2" t="s">
        <v>21</v>
      </c>
      <c r="O331" t="s">
        <v>22</v>
      </c>
      <c r="P331" s="2" t="s">
        <v>2365</v>
      </c>
      <c r="Q331" s="2">
        <v>1</v>
      </c>
      <c r="R331" s="2" t="s">
        <v>23</v>
      </c>
      <c r="S331" s="2" t="str">
        <f t="shared" si="54"/>
        <v>Sangat Rendah</v>
      </c>
      <c r="T331" s="2" t="str">
        <f t="shared" si="55"/>
        <v>FALSE</v>
      </c>
      <c r="U331" s="2" t="str">
        <f t="shared" si="56"/>
        <v>FALSE</v>
      </c>
      <c r="V331" s="2" t="b">
        <f t="shared" si="57"/>
        <v>0</v>
      </c>
      <c r="W331" s="2" t="b">
        <f t="shared" si="58"/>
        <v>0</v>
      </c>
      <c r="X331" s="2" t="b">
        <f t="shared" si="59"/>
        <v>1</v>
      </c>
    </row>
    <row r="332" spans="1:24" ht="10.5" customHeight="1">
      <c r="A332" s="2" t="s">
        <v>604</v>
      </c>
      <c r="B332" s="3">
        <v>45716.539131944453</v>
      </c>
      <c r="C332" s="2" t="s">
        <v>605</v>
      </c>
      <c r="D332" s="2" t="s">
        <v>84</v>
      </c>
      <c r="E332" s="2" t="s">
        <v>20</v>
      </c>
      <c r="F332" s="4">
        <v>10000</v>
      </c>
      <c r="G332" s="5">
        <v>2.2000000000000002</v>
      </c>
      <c r="H332" s="6">
        <v>0</v>
      </c>
      <c r="I332" s="7">
        <f t="shared" si="50"/>
        <v>22000</v>
      </c>
      <c r="J332" s="7">
        <f t="shared" si="51"/>
        <v>0</v>
      </c>
      <c r="K332" s="7">
        <f t="shared" si="52"/>
        <v>22000</v>
      </c>
      <c r="L332" s="4">
        <v>30000</v>
      </c>
      <c r="M332" s="7">
        <f t="shared" si="53"/>
        <v>52000</v>
      </c>
      <c r="N332" s="2" t="s">
        <v>33</v>
      </c>
      <c r="O332" t="s">
        <v>22</v>
      </c>
      <c r="P332" s="2" t="s">
        <v>2366</v>
      </c>
      <c r="Q332" s="2">
        <v>4</v>
      </c>
      <c r="R332" s="2" t="s">
        <v>23</v>
      </c>
      <c r="S332" s="2" t="str">
        <f t="shared" si="54"/>
        <v>Rendah</v>
      </c>
      <c r="T332" s="2" t="str">
        <f t="shared" si="55"/>
        <v>FALSE</v>
      </c>
      <c r="U332" s="2" t="str">
        <f t="shared" si="56"/>
        <v>FALSE</v>
      </c>
      <c r="V332" s="2" t="b">
        <f t="shared" si="57"/>
        <v>0</v>
      </c>
      <c r="W332" s="2" t="b">
        <f t="shared" si="58"/>
        <v>0</v>
      </c>
      <c r="X332" s="2" t="b">
        <f t="shared" si="59"/>
        <v>0</v>
      </c>
    </row>
    <row r="333" spans="1:24" ht="10.5" customHeight="1">
      <c r="A333" s="2" t="s">
        <v>606</v>
      </c>
      <c r="B333" s="3">
        <v>45716.551261574074</v>
      </c>
      <c r="C333" s="2" t="s">
        <v>572</v>
      </c>
      <c r="D333" s="2" t="s">
        <v>425</v>
      </c>
      <c r="E333" s="2" t="s">
        <v>161</v>
      </c>
      <c r="F333" s="4">
        <v>115000</v>
      </c>
      <c r="G333" s="5">
        <v>0.4</v>
      </c>
      <c r="H333" s="6">
        <v>0</v>
      </c>
      <c r="I333" s="7">
        <f t="shared" si="50"/>
        <v>46000</v>
      </c>
      <c r="J333" s="7">
        <f t="shared" si="51"/>
        <v>0</v>
      </c>
      <c r="K333" s="7">
        <f t="shared" si="52"/>
        <v>46000</v>
      </c>
      <c r="L333" s="4">
        <v>67000</v>
      </c>
      <c r="M333" s="7">
        <f t="shared" si="53"/>
        <v>113000</v>
      </c>
      <c r="N333" s="2" t="s">
        <v>28</v>
      </c>
      <c r="O333" t="s">
        <v>69</v>
      </c>
      <c r="P333" s="2" t="s">
        <v>2368</v>
      </c>
      <c r="Q333" s="2">
        <v>2</v>
      </c>
      <c r="R333" s="2" t="s">
        <v>23</v>
      </c>
      <c r="S333" s="2" t="str">
        <f t="shared" si="54"/>
        <v>Standar</v>
      </c>
      <c r="T333" s="2" t="str">
        <f t="shared" si="55"/>
        <v>FALSE</v>
      </c>
      <c r="U333" s="2" t="str">
        <f t="shared" si="56"/>
        <v>FALSE</v>
      </c>
      <c r="V333" s="2" t="b">
        <f t="shared" si="57"/>
        <v>0</v>
      </c>
      <c r="W333" s="2" t="b">
        <f t="shared" si="58"/>
        <v>0</v>
      </c>
      <c r="X333" s="2" t="b">
        <f t="shared" si="59"/>
        <v>0</v>
      </c>
    </row>
    <row r="334" spans="1:24" ht="10.5" customHeight="1">
      <c r="A334" s="2" t="s">
        <v>607</v>
      </c>
      <c r="B334" s="3">
        <v>45716.600543981483</v>
      </c>
      <c r="C334" s="2" t="s">
        <v>220</v>
      </c>
      <c r="D334" s="2" t="s">
        <v>185</v>
      </c>
      <c r="E334" s="2" t="s">
        <v>65</v>
      </c>
      <c r="F334" s="4">
        <v>46000</v>
      </c>
      <c r="G334" s="5">
        <v>1.7</v>
      </c>
      <c r="H334" s="6">
        <v>0</v>
      </c>
      <c r="I334" s="7">
        <f t="shared" si="50"/>
        <v>78200</v>
      </c>
      <c r="J334" s="7">
        <f t="shared" si="51"/>
        <v>0</v>
      </c>
      <c r="K334" s="7">
        <f t="shared" si="52"/>
        <v>78200</v>
      </c>
      <c r="L334" s="4">
        <v>87000</v>
      </c>
      <c r="M334" s="7">
        <f t="shared" si="53"/>
        <v>165200</v>
      </c>
      <c r="N334" s="2" t="s">
        <v>21</v>
      </c>
      <c r="O334" t="s">
        <v>22</v>
      </c>
      <c r="P334" s="2" t="s">
        <v>2368</v>
      </c>
      <c r="Q334" s="2">
        <v>1</v>
      </c>
      <c r="R334" s="2" t="s">
        <v>23</v>
      </c>
      <c r="S334" s="2" t="str">
        <f t="shared" si="54"/>
        <v>Tinggi</v>
      </c>
      <c r="T334" s="2" t="str">
        <f t="shared" si="55"/>
        <v>FALSE</v>
      </c>
      <c r="U334" s="2" t="str">
        <f t="shared" si="56"/>
        <v>TRUE</v>
      </c>
      <c r="V334" s="2" t="b">
        <f t="shared" si="57"/>
        <v>0</v>
      </c>
      <c r="W334" s="2" t="b">
        <f t="shared" si="58"/>
        <v>0</v>
      </c>
      <c r="X334" s="2" t="b">
        <f t="shared" si="59"/>
        <v>0</v>
      </c>
    </row>
    <row r="335" spans="1:24" ht="10.5" customHeight="1">
      <c r="A335" s="2" t="s">
        <v>608</v>
      </c>
      <c r="B335" s="3">
        <v>45716.610833333332</v>
      </c>
      <c r="C335" s="2" t="s">
        <v>609</v>
      </c>
      <c r="D335" s="2" t="s">
        <v>425</v>
      </c>
      <c r="E335" s="2" t="s">
        <v>65</v>
      </c>
      <c r="F335" s="4">
        <v>46000</v>
      </c>
      <c r="G335" s="5">
        <v>1.1000000000000001</v>
      </c>
      <c r="H335" s="6">
        <v>0</v>
      </c>
      <c r="I335" s="7">
        <f t="shared" si="50"/>
        <v>50600.000000000007</v>
      </c>
      <c r="J335" s="7">
        <f t="shared" si="51"/>
        <v>0</v>
      </c>
      <c r="K335" s="7">
        <f t="shared" si="52"/>
        <v>50600.000000000007</v>
      </c>
      <c r="L335" s="4">
        <v>67000</v>
      </c>
      <c r="M335" s="7">
        <f t="shared" si="53"/>
        <v>117600</v>
      </c>
      <c r="N335" s="2" t="s">
        <v>58</v>
      </c>
      <c r="O335" t="s">
        <v>22</v>
      </c>
      <c r="P335" s="2" t="s">
        <v>2367</v>
      </c>
      <c r="Q335" s="2">
        <v>2</v>
      </c>
      <c r="R335" s="2" t="s">
        <v>23</v>
      </c>
      <c r="S335" s="2" t="str">
        <f t="shared" si="54"/>
        <v>Standar</v>
      </c>
      <c r="T335" s="2" t="str">
        <f t="shared" si="55"/>
        <v>FALSE</v>
      </c>
      <c r="U335" s="2" t="str">
        <f t="shared" si="56"/>
        <v>FALSE</v>
      </c>
      <c r="V335" s="2" t="b">
        <f t="shared" si="57"/>
        <v>0</v>
      </c>
      <c r="W335" s="2" t="b">
        <f t="shared" si="58"/>
        <v>1</v>
      </c>
      <c r="X335" s="2" t="b">
        <f t="shared" si="59"/>
        <v>0</v>
      </c>
    </row>
    <row r="336" spans="1:24" ht="10.5" customHeight="1">
      <c r="A336" s="2" t="s">
        <v>610</v>
      </c>
      <c r="B336" s="3">
        <v>45716.63925925926</v>
      </c>
      <c r="C336" s="2" t="s">
        <v>155</v>
      </c>
      <c r="D336" s="2" t="s">
        <v>133</v>
      </c>
      <c r="E336" s="2" t="s">
        <v>102</v>
      </c>
      <c r="F336" s="4">
        <v>55000</v>
      </c>
      <c r="G336" s="5">
        <v>0.2</v>
      </c>
      <c r="H336" s="6">
        <v>0</v>
      </c>
      <c r="I336" s="7">
        <f t="shared" si="50"/>
        <v>11000</v>
      </c>
      <c r="J336" s="7">
        <f t="shared" si="51"/>
        <v>0</v>
      </c>
      <c r="K336" s="7">
        <f t="shared" si="52"/>
        <v>11000</v>
      </c>
      <c r="L336" s="4">
        <v>50000</v>
      </c>
      <c r="M336" s="7">
        <f t="shared" si="53"/>
        <v>61000</v>
      </c>
      <c r="N336" s="2" t="s">
        <v>58</v>
      </c>
      <c r="O336" t="s">
        <v>22</v>
      </c>
      <c r="P336" s="2" t="s">
        <v>2366</v>
      </c>
      <c r="Q336" s="2">
        <v>2</v>
      </c>
      <c r="R336" s="2" t="s">
        <v>23</v>
      </c>
      <c r="S336" s="2" t="str">
        <f t="shared" si="54"/>
        <v>Rendah</v>
      </c>
      <c r="T336" s="2" t="str">
        <f t="shared" si="55"/>
        <v>FALSE</v>
      </c>
      <c r="U336" s="2" t="str">
        <f t="shared" si="56"/>
        <v>FALSE</v>
      </c>
      <c r="V336" s="2" t="b">
        <f t="shared" si="57"/>
        <v>0</v>
      </c>
      <c r="W336" s="2" t="b">
        <f t="shared" si="58"/>
        <v>0</v>
      </c>
      <c r="X336" s="2" t="b">
        <f t="shared" si="59"/>
        <v>0</v>
      </c>
    </row>
    <row r="337" spans="1:24" ht="10.5" customHeight="1">
      <c r="A337" s="2" t="s">
        <v>611</v>
      </c>
      <c r="B337" s="3">
        <v>45716.685787037037</v>
      </c>
      <c r="C337" s="2" t="s">
        <v>187</v>
      </c>
      <c r="D337" s="2" t="s">
        <v>111</v>
      </c>
      <c r="E337" s="2" t="s">
        <v>102</v>
      </c>
      <c r="F337" s="4">
        <v>55000</v>
      </c>
      <c r="G337" s="5">
        <v>0.5</v>
      </c>
      <c r="H337" s="6">
        <v>0</v>
      </c>
      <c r="I337" s="7">
        <f t="shared" si="50"/>
        <v>27500</v>
      </c>
      <c r="J337" s="7">
        <f t="shared" si="51"/>
        <v>0</v>
      </c>
      <c r="K337" s="7">
        <f t="shared" si="52"/>
        <v>27500</v>
      </c>
      <c r="L337" s="4">
        <v>0</v>
      </c>
      <c r="M337" s="7">
        <f t="shared" si="53"/>
        <v>27500</v>
      </c>
      <c r="N337" s="2" t="s">
        <v>28</v>
      </c>
      <c r="O337" t="s">
        <v>22</v>
      </c>
      <c r="P337" s="2" t="s">
        <v>2370</v>
      </c>
      <c r="Q337" s="2">
        <v>2</v>
      </c>
      <c r="R337" s="2" t="s">
        <v>34</v>
      </c>
      <c r="S337" s="2" t="str">
        <f t="shared" si="54"/>
        <v>Sangat Rendah</v>
      </c>
      <c r="T337" s="2" t="str">
        <f t="shared" si="55"/>
        <v>FALSE</v>
      </c>
      <c r="U337" s="2" t="str">
        <f t="shared" si="56"/>
        <v>FALSE</v>
      </c>
      <c r="V337" s="2" t="b">
        <f t="shared" si="57"/>
        <v>0</v>
      </c>
      <c r="W337" s="2" t="b">
        <f t="shared" si="58"/>
        <v>0</v>
      </c>
      <c r="X337" s="2" t="b">
        <f t="shared" si="59"/>
        <v>0</v>
      </c>
    </row>
    <row r="338" spans="1:24" ht="10.5" customHeight="1">
      <c r="A338" s="2" t="s">
        <v>612</v>
      </c>
      <c r="B338" s="3">
        <v>45716.700868055559</v>
      </c>
      <c r="C338" s="2" t="s">
        <v>51</v>
      </c>
      <c r="D338" s="2" t="s">
        <v>52</v>
      </c>
      <c r="E338" s="2" t="s">
        <v>65</v>
      </c>
      <c r="F338" s="4">
        <v>46000</v>
      </c>
      <c r="G338" s="5">
        <v>1.5</v>
      </c>
      <c r="H338" s="6">
        <v>0</v>
      </c>
      <c r="I338" s="7">
        <f t="shared" si="50"/>
        <v>69000</v>
      </c>
      <c r="J338" s="7">
        <f t="shared" si="51"/>
        <v>0</v>
      </c>
      <c r="K338" s="7">
        <f t="shared" si="52"/>
        <v>69000</v>
      </c>
      <c r="L338" s="4">
        <v>80000</v>
      </c>
      <c r="M338" s="7">
        <f t="shared" si="53"/>
        <v>149000</v>
      </c>
      <c r="N338" s="2" t="s">
        <v>28</v>
      </c>
      <c r="O338" t="s">
        <v>22</v>
      </c>
      <c r="P338" s="2" t="s">
        <v>2368</v>
      </c>
      <c r="Q338" s="2">
        <v>2</v>
      </c>
      <c r="R338" s="2" t="s">
        <v>23</v>
      </c>
      <c r="S338" s="2" t="str">
        <f t="shared" si="54"/>
        <v>Standar</v>
      </c>
      <c r="T338" s="2" t="str">
        <f t="shared" si="55"/>
        <v>FALSE</v>
      </c>
      <c r="U338" s="2" t="str">
        <f t="shared" si="56"/>
        <v>FALSE</v>
      </c>
      <c r="V338" s="2" t="b">
        <f t="shared" si="57"/>
        <v>0</v>
      </c>
      <c r="W338" s="2" t="b">
        <f t="shared" si="58"/>
        <v>0</v>
      </c>
      <c r="X338" s="2" t="b">
        <f t="shared" si="59"/>
        <v>0</v>
      </c>
    </row>
    <row r="339" spans="1:24" ht="10.5" customHeight="1">
      <c r="A339" s="2" t="s">
        <v>613</v>
      </c>
      <c r="B339" s="3">
        <v>45716.747627314813</v>
      </c>
      <c r="C339" s="2" t="s">
        <v>211</v>
      </c>
      <c r="D339" s="2" t="s">
        <v>48</v>
      </c>
      <c r="E339" s="2" t="s">
        <v>190</v>
      </c>
      <c r="F339" s="4">
        <v>15500</v>
      </c>
      <c r="G339" s="5">
        <v>0.5</v>
      </c>
      <c r="H339" s="6">
        <v>0</v>
      </c>
      <c r="I339" s="7">
        <f t="shared" si="50"/>
        <v>7750</v>
      </c>
      <c r="J339" s="7">
        <f t="shared" si="51"/>
        <v>0</v>
      </c>
      <c r="K339" s="7">
        <f t="shared" si="52"/>
        <v>7750</v>
      </c>
      <c r="L339" s="4">
        <v>18000</v>
      </c>
      <c r="M339" s="7">
        <f t="shared" si="53"/>
        <v>25750</v>
      </c>
      <c r="N339" s="2" t="s">
        <v>28</v>
      </c>
      <c r="O339" t="s">
        <v>22</v>
      </c>
      <c r="P339" s="2" t="s">
        <v>2368</v>
      </c>
      <c r="Q339" s="2">
        <v>5</v>
      </c>
      <c r="R339" s="2" t="s">
        <v>23</v>
      </c>
      <c r="S339" s="2" t="str">
        <f t="shared" si="54"/>
        <v>Sangat Rendah</v>
      </c>
      <c r="T339" s="2" t="str">
        <f t="shared" si="55"/>
        <v>FALSE</v>
      </c>
      <c r="U339" s="2" t="str">
        <f t="shared" si="56"/>
        <v>FALSE</v>
      </c>
      <c r="V339" s="2" t="b">
        <f t="shared" si="57"/>
        <v>0</v>
      </c>
      <c r="W339" s="2" t="b">
        <f t="shared" si="58"/>
        <v>0</v>
      </c>
      <c r="X339" s="2" t="b">
        <f t="shared" si="59"/>
        <v>1</v>
      </c>
    </row>
    <row r="340" spans="1:24" ht="10.5" customHeight="1">
      <c r="A340" s="2" t="s">
        <v>614</v>
      </c>
      <c r="B340" s="3">
        <v>45716.788703703707</v>
      </c>
      <c r="C340" s="2" t="s">
        <v>189</v>
      </c>
      <c r="D340" s="2" t="s">
        <v>133</v>
      </c>
      <c r="E340" s="2" t="s">
        <v>80</v>
      </c>
      <c r="F340" s="4">
        <v>15000</v>
      </c>
      <c r="G340" s="5">
        <v>2.2999999999999998</v>
      </c>
      <c r="H340" s="6">
        <v>0</v>
      </c>
      <c r="I340" s="7">
        <f t="shared" si="50"/>
        <v>34500</v>
      </c>
      <c r="J340" s="7">
        <f t="shared" si="51"/>
        <v>0</v>
      </c>
      <c r="K340" s="7">
        <f t="shared" si="52"/>
        <v>34500</v>
      </c>
      <c r="L340" s="4">
        <v>50000</v>
      </c>
      <c r="M340" s="7">
        <f t="shared" si="53"/>
        <v>84500</v>
      </c>
      <c r="N340" s="2" t="s">
        <v>33</v>
      </c>
      <c r="O340" t="s">
        <v>69</v>
      </c>
      <c r="P340" s="2" t="s">
        <v>2370</v>
      </c>
      <c r="Q340" s="2">
        <v>5</v>
      </c>
      <c r="R340" s="2" t="s">
        <v>23</v>
      </c>
      <c r="S340" s="2" t="str">
        <f t="shared" si="54"/>
        <v>Rendah</v>
      </c>
      <c r="T340" s="2" t="str">
        <f t="shared" si="55"/>
        <v>FALSE</v>
      </c>
      <c r="U340" s="2" t="str">
        <f t="shared" si="56"/>
        <v>FALSE</v>
      </c>
      <c r="V340" s="2" t="b">
        <f t="shared" si="57"/>
        <v>0</v>
      </c>
      <c r="W340" s="2" t="b">
        <f t="shared" si="58"/>
        <v>0</v>
      </c>
      <c r="X340" s="2" t="b">
        <f t="shared" si="59"/>
        <v>0</v>
      </c>
    </row>
    <row r="341" spans="1:24" ht="10.5" customHeight="1">
      <c r="A341" s="2" t="s">
        <v>615</v>
      </c>
      <c r="B341" s="3">
        <v>45717.860567129632</v>
      </c>
      <c r="C341" s="2" t="s">
        <v>616</v>
      </c>
      <c r="D341" s="2" t="s">
        <v>286</v>
      </c>
      <c r="E341" s="2" t="s">
        <v>161</v>
      </c>
      <c r="F341" s="4">
        <v>115000</v>
      </c>
      <c r="G341" s="5">
        <v>0.4</v>
      </c>
      <c r="H341" s="6">
        <v>0</v>
      </c>
      <c r="I341" s="7">
        <f t="shared" si="50"/>
        <v>46000</v>
      </c>
      <c r="J341" s="7">
        <f t="shared" si="51"/>
        <v>0</v>
      </c>
      <c r="K341" s="7">
        <f t="shared" si="52"/>
        <v>46000</v>
      </c>
      <c r="L341" s="4">
        <v>79000</v>
      </c>
      <c r="M341" s="7">
        <f t="shared" si="53"/>
        <v>125000</v>
      </c>
      <c r="N341" s="2" t="s">
        <v>28</v>
      </c>
      <c r="O341" t="s">
        <v>22</v>
      </c>
      <c r="P341" s="2" t="s">
        <v>2370</v>
      </c>
      <c r="Q341" s="2">
        <v>1</v>
      </c>
      <c r="R341" s="2" t="s">
        <v>23</v>
      </c>
      <c r="S341" s="2" t="str">
        <f t="shared" si="54"/>
        <v>Standar</v>
      </c>
      <c r="T341" s="2" t="str">
        <f t="shared" si="55"/>
        <v>FALSE</v>
      </c>
      <c r="U341" s="2" t="str">
        <f t="shared" si="56"/>
        <v>FALSE</v>
      </c>
      <c r="V341" s="2" t="b">
        <f t="shared" si="57"/>
        <v>0</v>
      </c>
      <c r="W341" s="2" t="b">
        <f t="shared" si="58"/>
        <v>0</v>
      </c>
      <c r="X341" s="2" t="b">
        <f t="shared" si="59"/>
        <v>0</v>
      </c>
    </row>
    <row r="342" spans="1:24" ht="10.5" customHeight="1">
      <c r="A342" s="2" t="s">
        <v>617</v>
      </c>
      <c r="B342" s="3">
        <v>45718.483923611107</v>
      </c>
      <c r="C342" s="2" t="s">
        <v>500</v>
      </c>
      <c r="D342" s="2" t="s">
        <v>87</v>
      </c>
      <c r="E342" s="2" t="s">
        <v>35</v>
      </c>
      <c r="F342" s="4">
        <v>13500</v>
      </c>
      <c r="G342" s="5">
        <v>3.2</v>
      </c>
      <c r="H342" s="6">
        <v>0</v>
      </c>
      <c r="I342" s="7">
        <f t="shared" si="50"/>
        <v>43200</v>
      </c>
      <c r="J342" s="7">
        <f t="shared" si="51"/>
        <v>0</v>
      </c>
      <c r="K342" s="7">
        <f t="shared" si="52"/>
        <v>43200</v>
      </c>
      <c r="L342" s="4">
        <v>49000</v>
      </c>
      <c r="M342" s="7">
        <f t="shared" si="53"/>
        <v>92200</v>
      </c>
      <c r="N342" s="2" t="s">
        <v>28</v>
      </c>
      <c r="O342" t="s">
        <v>22</v>
      </c>
      <c r="P342" s="2" t="s">
        <v>2370</v>
      </c>
      <c r="Q342" s="2">
        <v>4</v>
      </c>
      <c r="R342" s="2" t="s">
        <v>23</v>
      </c>
      <c r="S342" s="2" t="str">
        <f t="shared" si="54"/>
        <v>Rendah</v>
      </c>
      <c r="T342" s="2" t="str">
        <f t="shared" si="55"/>
        <v>FALSE</v>
      </c>
      <c r="U342" s="2" t="str">
        <f t="shared" si="56"/>
        <v>FALSE</v>
      </c>
      <c r="V342" s="2" t="b">
        <f t="shared" si="57"/>
        <v>0</v>
      </c>
      <c r="W342" s="2" t="b">
        <f t="shared" si="58"/>
        <v>0</v>
      </c>
      <c r="X342" s="2" t="b">
        <f t="shared" si="59"/>
        <v>0</v>
      </c>
    </row>
    <row r="343" spans="1:24" ht="10.5" customHeight="1">
      <c r="A343" s="2" t="s">
        <v>618</v>
      </c>
      <c r="B343" s="3">
        <v>45718.591122685182</v>
      </c>
      <c r="C343" s="2" t="s">
        <v>510</v>
      </c>
      <c r="D343" s="2" t="s">
        <v>94</v>
      </c>
      <c r="E343" s="2" t="s">
        <v>32</v>
      </c>
      <c r="F343" s="4">
        <v>20000</v>
      </c>
      <c r="G343" s="5">
        <v>2.8</v>
      </c>
      <c r="H343" s="6">
        <v>0</v>
      </c>
      <c r="I343" s="7">
        <f t="shared" si="50"/>
        <v>56000</v>
      </c>
      <c r="J343" s="7">
        <f t="shared" si="51"/>
        <v>0</v>
      </c>
      <c r="K343" s="7">
        <f t="shared" si="52"/>
        <v>56000</v>
      </c>
      <c r="L343" s="4">
        <v>85000</v>
      </c>
      <c r="M343" s="7">
        <f t="shared" si="53"/>
        <v>141000</v>
      </c>
      <c r="N343" s="2" t="s">
        <v>33</v>
      </c>
      <c r="O343" t="s">
        <v>22</v>
      </c>
      <c r="P343" s="2" t="s">
        <v>2370</v>
      </c>
      <c r="Q343" s="2">
        <v>4</v>
      </c>
      <c r="R343" s="2" t="s">
        <v>23</v>
      </c>
      <c r="S343" s="2" t="str">
        <f t="shared" si="54"/>
        <v>Standar</v>
      </c>
      <c r="T343" s="2" t="str">
        <f t="shared" si="55"/>
        <v>FALSE</v>
      </c>
      <c r="U343" s="2" t="str">
        <f t="shared" si="56"/>
        <v>FALSE</v>
      </c>
      <c r="V343" s="2" t="b">
        <f t="shared" si="57"/>
        <v>0</v>
      </c>
      <c r="W343" s="2" t="b">
        <f t="shared" si="58"/>
        <v>0</v>
      </c>
      <c r="X343" s="2" t="b">
        <f t="shared" si="59"/>
        <v>0</v>
      </c>
    </row>
    <row r="344" spans="1:24" ht="10.5" customHeight="1">
      <c r="A344" s="2" t="s">
        <v>619</v>
      </c>
      <c r="B344" s="3">
        <v>45718.744270833333</v>
      </c>
      <c r="C344" s="2" t="s">
        <v>467</v>
      </c>
      <c r="D344" s="2" t="s">
        <v>173</v>
      </c>
      <c r="E344" s="2" t="s">
        <v>53</v>
      </c>
      <c r="F344" s="4">
        <v>14000</v>
      </c>
      <c r="G344" s="5">
        <v>1</v>
      </c>
      <c r="H344" s="6">
        <v>0</v>
      </c>
      <c r="I344" s="7">
        <f t="shared" si="50"/>
        <v>14000</v>
      </c>
      <c r="J344" s="7">
        <f t="shared" si="51"/>
        <v>0</v>
      </c>
      <c r="K344" s="7">
        <f t="shared" si="52"/>
        <v>14000</v>
      </c>
      <c r="L344" s="4">
        <v>48000</v>
      </c>
      <c r="M344" s="7">
        <f t="shared" si="53"/>
        <v>62000</v>
      </c>
      <c r="N344" s="2" t="s">
        <v>28</v>
      </c>
      <c r="O344" t="s">
        <v>22</v>
      </c>
      <c r="P344" s="2" t="s">
        <v>2365</v>
      </c>
      <c r="Q344" s="2">
        <v>4</v>
      </c>
      <c r="R344" s="2" t="s">
        <v>23</v>
      </c>
      <c r="S344" s="2" t="str">
        <f t="shared" si="54"/>
        <v>Rendah</v>
      </c>
      <c r="T344" s="2" t="str">
        <f t="shared" si="55"/>
        <v>FALSE</v>
      </c>
      <c r="U344" s="2" t="str">
        <f t="shared" si="56"/>
        <v>FALSE</v>
      </c>
      <c r="V344" s="2" t="b">
        <f t="shared" si="57"/>
        <v>0</v>
      </c>
      <c r="W344" s="2" t="b">
        <f t="shared" si="58"/>
        <v>0</v>
      </c>
      <c r="X344" s="2" t="b">
        <f t="shared" si="59"/>
        <v>0</v>
      </c>
    </row>
    <row r="345" spans="1:24" ht="10.5" customHeight="1">
      <c r="A345" s="2" t="s">
        <v>620</v>
      </c>
      <c r="B345" s="3">
        <v>45718.833657407413</v>
      </c>
      <c r="C345" s="2" t="s">
        <v>621</v>
      </c>
      <c r="D345" s="2" t="s">
        <v>19</v>
      </c>
      <c r="E345" s="2" t="s">
        <v>161</v>
      </c>
      <c r="F345" s="4">
        <v>115000</v>
      </c>
      <c r="G345" s="5">
        <v>0.9</v>
      </c>
      <c r="H345" s="6">
        <v>0</v>
      </c>
      <c r="I345" s="7">
        <f t="shared" si="50"/>
        <v>103500</v>
      </c>
      <c r="J345" s="7">
        <f t="shared" si="51"/>
        <v>0</v>
      </c>
      <c r="K345" s="7">
        <f t="shared" si="52"/>
        <v>103500</v>
      </c>
      <c r="L345" s="4">
        <v>15000</v>
      </c>
      <c r="M345" s="7">
        <f t="shared" si="53"/>
        <v>118500</v>
      </c>
      <c r="N345" s="2" t="s">
        <v>33</v>
      </c>
      <c r="O345" t="s">
        <v>22</v>
      </c>
      <c r="P345" s="2" t="s">
        <v>2370</v>
      </c>
      <c r="Q345" s="2">
        <v>3</v>
      </c>
      <c r="R345" s="2" t="s">
        <v>34</v>
      </c>
      <c r="S345" s="2" t="str">
        <f t="shared" si="54"/>
        <v>Standar</v>
      </c>
      <c r="T345" s="2" t="str">
        <f t="shared" si="55"/>
        <v>FALSE</v>
      </c>
      <c r="U345" s="2" t="str">
        <f t="shared" si="56"/>
        <v>FALSE</v>
      </c>
      <c r="V345" s="2" t="b">
        <f t="shared" si="57"/>
        <v>0</v>
      </c>
      <c r="W345" s="2" t="b">
        <f t="shared" si="58"/>
        <v>0</v>
      </c>
      <c r="X345" s="2" t="b">
        <f t="shared" si="59"/>
        <v>0</v>
      </c>
    </row>
    <row r="346" spans="1:24" ht="10.5" customHeight="1">
      <c r="A346" s="2" t="s">
        <v>622</v>
      </c>
      <c r="B346" s="3">
        <v>45719.312210648153</v>
      </c>
      <c r="C346" s="2" t="s">
        <v>60</v>
      </c>
      <c r="D346" s="2" t="s">
        <v>61</v>
      </c>
      <c r="E346" s="2" t="s">
        <v>95</v>
      </c>
      <c r="F346" s="4">
        <v>9500</v>
      </c>
      <c r="G346" s="5">
        <v>1.3</v>
      </c>
      <c r="H346" s="6">
        <v>5</v>
      </c>
      <c r="I346" s="7">
        <f t="shared" si="50"/>
        <v>12350</v>
      </c>
      <c r="J346" s="7">
        <f t="shared" si="51"/>
        <v>617.5</v>
      </c>
      <c r="K346" s="7">
        <f t="shared" si="52"/>
        <v>11732.5</v>
      </c>
      <c r="L346" s="4">
        <v>59000</v>
      </c>
      <c r="M346" s="7">
        <f t="shared" si="53"/>
        <v>70732.5</v>
      </c>
      <c r="N346" s="2" t="s">
        <v>33</v>
      </c>
      <c r="O346" t="s">
        <v>22</v>
      </c>
      <c r="P346" s="2" t="s">
        <v>2365</v>
      </c>
      <c r="Q346" s="2">
        <v>3</v>
      </c>
      <c r="R346" s="2" t="s">
        <v>34</v>
      </c>
      <c r="S346" s="2" t="str">
        <f t="shared" si="54"/>
        <v>Rendah</v>
      </c>
      <c r="T346" s="2" t="str">
        <f t="shared" si="55"/>
        <v>FALSE</v>
      </c>
      <c r="U346" s="2" t="str">
        <f t="shared" si="56"/>
        <v>FALSE</v>
      </c>
      <c r="V346" s="2" t="b">
        <f t="shared" si="57"/>
        <v>0</v>
      </c>
      <c r="W346" s="2" t="b">
        <f t="shared" si="58"/>
        <v>0</v>
      </c>
      <c r="X346" s="2" t="b">
        <f t="shared" si="59"/>
        <v>0</v>
      </c>
    </row>
    <row r="347" spans="1:24" ht="10.5" customHeight="1">
      <c r="A347" s="2" t="s">
        <v>623</v>
      </c>
      <c r="B347" s="3">
        <v>45719.428622685176</v>
      </c>
      <c r="C347" s="2" t="s">
        <v>242</v>
      </c>
      <c r="D347" s="2" t="s">
        <v>123</v>
      </c>
      <c r="E347" s="2" t="s">
        <v>32</v>
      </c>
      <c r="F347" s="4">
        <v>20000</v>
      </c>
      <c r="G347" s="5">
        <v>1.2</v>
      </c>
      <c r="H347" s="6">
        <v>5</v>
      </c>
      <c r="I347" s="7">
        <f t="shared" si="50"/>
        <v>24000</v>
      </c>
      <c r="J347" s="7">
        <f t="shared" si="51"/>
        <v>1200</v>
      </c>
      <c r="K347" s="7">
        <f t="shared" si="52"/>
        <v>22800</v>
      </c>
      <c r="L347" s="4">
        <v>59000</v>
      </c>
      <c r="M347" s="7">
        <f t="shared" si="53"/>
        <v>81800</v>
      </c>
      <c r="N347" s="2" t="s">
        <v>21</v>
      </c>
      <c r="O347" t="s">
        <v>22</v>
      </c>
      <c r="P347" s="2" t="s">
        <v>2365</v>
      </c>
      <c r="Q347" s="2">
        <v>4</v>
      </c>
      <c r="R347" s="2" t="s">
        <v>23</v>
      </c>
      <c r="S347" s="2" t="str">
        <f t="shared" si="54"/>
        <v>Rendah</v>
      </c>
      <c r="T347" s="2" t="str">
        <f t="shared" si="55"/>
        <v>FALSE</v>
      </c>
      <c r="U347" s="2" t="str">
        <f t="shared" si="56"/>
        <v>FALSE</v>
      </c>
      <c r="V347" s="2" t="b">
        <f t="shared" si="57"/>
        <v>0</v>
      </c>
      <c r="W347" s="2" t="b">
        <f t="shared" si="58"/>
        <v>0</v>
      </c>
      <c r="X347" s="2" t="b">
        <f t="shared" si="59"/>
        <v>0</v>
      </c>
    </row>
    <row r="348" spans="1:24" ht="10.5" customHeight="1">
      <c r="A348" s="2" t="s">
        <v>624</v>
      </c>
      <c r="B348" s="3">
        <v>45719.43540509259</v>
      </c>
      <c r="C348" s="2" t="s">
        <v>625</v>
      </c>
      <c r="D348" s="2" t="s">
        <v>94</v>
      </c>
      <c r="E348" s="2" t="s">
        <v>170</v>
      </c>
      <c r="F348" s="4">
        <v>12000</v>
      </c>
      <c r="G348" s="5">
        <v>1.1000000000000001</v>
      </c>
      <c r="H348" s="6">
        <v>5</v>
      </c>
      <c r="I348" s="7">
        <f t="shared" si="50"/>
        <v>13200.000000000002</v>
      </c>
      <c r="J348" s="7">
        <f t="shared" si="51"/>
        <v>660.00000000000011</v>
      </c>
      <c r="K348" s="7">
        <f t="shared" si="52"/>
        <v>12540.000000000002</v>
      </c>
      <c r="L348" s="4">
        <v>85000</v>
      </c>
      <c r="M348" s="7">
        <f t="shared" si="53"/>
        <v>97540</v>
      </c>
      <c r="N348" s="2" t="s">
        <v>21</v>
      </c>
      <c r="O348" t="s">
        <v>22</v>
      </c>
      <c r="P348" s="2" t="s">
        <v>2370</v>
      </c>
      <c r="Q348" s="2">
        <v>5</v>
      </c>
      <c r="R348" s="2" t="s">
        <v>23</v>
      </c>
      <c r="S348" s="2" t="str">
        <f t="shared" si="54"/>
        <v>Rendah</v>
      </c>
      <c r="T348" s="2" t="str">
        <f t="shared" si="55"/>
        <v>FALSE</v>
      </c>
      <c r="U348" s="2" t="str">
        <f t="shared" si="56"/>
        <v>FALSE</v>
      </c>
      <c r="V348" s="2" t="b">
        <f t="shared" si="57"/>
        <v>0</v>
      </c>
      <c r="W348" s="2" t="b">
        <f t="shared" si="58"/>
        <v>0</v>
      </c>
      <c r="X348" s="2" t="b">
        <f t="shared" si="59"/>
        <v>0</v>
      </c>
    </row>
    <row r="349" spans="1:24" ht="10.5" customHeight="1">
      <c r="A349" s="2" t="s">
        <v>626</v>
      </c>
      <c r="B349" s="3">
        <v>45719.913761574076</v>
      </c>
      <c r="C349" s="2" t="s">
        <v>345</v>
      </c>
      <c r="D349" s="2" t="s">
        <v>108</v>
      </c>
      <c r="E349" s="2" t="s">
        <v>41</v>
      </c>
      <c r="F349" s="4">
        <v>40000</v>
      </c>
      <c r="G349" s="5">
        <v>0.5</v>
      </c>
      <c r="H349" s="6">
        <v>5</v>
      </c>
      <c r="I349" s="7">
        <f t="shared" si="50"/>
        <v>20000</v>
      </c>
      <c r="J349" s="7">
        <f t="shared" si="51"/>
        <v>1000</v>
      </c>
      <c r="K349" s="7">
        <f t="shared" si="52"/>
        <v>19000</v>
      </c>
      <c r="L349" s="4">
        <v>72000</v>
      </c>
      <c r="M349" s="7">
        <f t="shared" si="53"/>
        <v>91000</v>
      </c>
      <c r="N349" s="2" t="s">
        <v>58</v>
      </c>
      <c r="O349" t="s">
        <v>69</v>
      </c>
      <c r="P349" s="2" t="s">
        <v>2368</v>
      </c>
      <c r="Q349" s="2">
        <v>2</v>
      </c>
      <c r="R349" s="2" t="s">
        <v>23</v>
      </c>
      <c r="S349" s="2" t="str">
        <f t="shared" si="54"/>
        <v>Rendah</v>
      </c>
      <c r="T349" s="2" t="str">
        <f t="shared" si="55"/>
        <v>FALSE</v>
      </c>
      <c r="U349" s="2" t="str">
        <f t="shared" si="56"/>
        <v>FALSE</v>
      </c>
      <c r="V349" s="2" t="b">
        <f t="shared" si="57"/>
        <v>0</v>
      </c>
      <c r="W349" s="2" t="b">
        <f t="shared" si="58"/>
        <v>0</v>
      </c>
      <c r="X349" s="2" t="b">
        <f t="shared" si="59"/>
        <v>0</v>
      </c>
    </row>
    <row r="350" spans="1:24" ht="10.5" customHeight="1">
      <c r="A350" s="2" t="s">
        <v>627</v>
      </c>
      <c r="B350" s="3">
        <v>45721.270451388889</v>
      </c>
      <c r="C350" s="2" t="s">
        <v>628</v>
      </c>
      <c r="D350" s="2" t="s">
        <v>185</v>
      </c>
      <c r="E350" s="2" t="s">
        <v>102</v>
      </c>
      <c r="F350" s="4">
        <v>55000</v>
      </c>
      <c r="G350" s="5">
        <v>0.8</v>
      </c>
      <c r="H350" s="6">
        <v>0</v>
      </c>
      <c r="I350" s="7">
        <f t="shared" si="50"/>
        <v>44000</v>
      </c>
      <c r="J350" s="7">
        <f t="shared" si="51"/>
        <v>0</v>
      </c>
      <c r="K350" s="7">
        <f t="shared" si="52"/>
        <v>44000</v>
      </c>
      <c r="L350" s="4">
        <v>87000</v>
      </c>
      <c r="M350" s="7">
        <f t="shared" si="53"/>
        <v>131000</v>
      </c>
      <c r="N350" s="2" t="s">
        <v>21</v>
      </c>
      <c r="O350" t="s">
        <v>22</v>
      </c>
      <c r="P350" s="2" t="s">
        <v>2370</v>
      </c>
      <c r="Q350" s="2">
        <v>5</v>
      </c>
      <c r="R350" s="2" t="s">
        <v>34</v>
      </c>
      <c r="S350" s="2" t="str">
        <f t="shared" si="54"/>
        <v>Standar</v>
      </c>
      <c r="T350" s="2" t="str">
        <f t="shared" si="55"/>
        <v>FALSE</v>
      </c>
      <c r="U350" s="2" t="str">
        <f t="shared" si="56"/>
        <v>FALSE</v>
      </c>
      <c r="V350" s="2" t="b">
        <f t="shared" si="57"/>
        <v>0</v>
      </c>
      <c r="W350" s="2" t="b">
        <f t="shared" si="58"/>
        <v>0</v>
      </c>
      <c r="X350" s="2" t="b">
        <f t="shared" si="59"/>
        <v>0</v>
      </c>
    </row>
    <row r="351" spans="1:24" ht="10.5" customHeight="1">
      <c r="A351" s="2" t="s">
        <v>629</v>
      </c>
      <c r="B351" s="3">
        <v>45721.620775462958</v>
      </c>
      <c r="C351" s="2" t="s">
        <v>513</v>
      </c>
      <c r="D351" s="2" t="s">
        <v>105</v>
      </c>
      <c r="E351" s="2" t="s">
        <v>95</v>
      </c>
      <c r="F351" s="4">
        <v>9500</v>
      </c>
      <c r="G351" s="5">
        <v>1.8</v>
      </c>
      <c r="H351" s="6">
        <v>0</v>
      </c>
      <c r="I351" s="7">
        <f t="shared" si="50"/>
        <v>17100</v>
      </c>
      <c r="J351" s="7">
        <f t="shared" si="51"/>
        <v>0</v>
      </c>
      <c r="K351" s="7">
        <f t="shared" si="52"/>
        <v>17100</v>
      </c>
      <c r="L351" s="4">
        <v>18000</v>
      </c>
      <c r="M351" s="7">
        <f t="shared" si="53"/>
        <v>35100</v>
      </c>
      <c r="N351" s="2" t="s">
        <v>58</v>
      </c>
      <c r="O351" t="s">
        <v>22</v>
      </c>
      <c r="P351" s="2" t="s">
        <v>2370</v>
      </c>
      <c r="Q351" s="2">
        <v>5</v>
      </c>
      <c r="R351" s="2" t="s">
        <v>23</v>
      </c>
      <c r="S351" s="2" t="str">
        <f t="shared" si="54"/>
        <v>Sangat Rendah</v>
      </c>
      <c r="T351" s="2" t="str">
        <f t="shared" si="55"/>
        <v>FALSE</v>
      </c>
      <c r="U351" s="2" t="str">
        <f t="shared" si="56"/>
        <v>FALSE</v>
      </c>
      <c r="V351" s="2" t="b">
        <f t="shared" si="57"/>
        <v>0</v>
      </c>
      <c r="W351" s="2" t="b">
        <f t="shared" si="58"/>
        <v>0</v>
      </c>
      <c r="X351" s="2" t="b">
        <f t="shared" si="59"/>
        <v>1</v>
      </c>
    </row>
    <row r="352" spans="1:24" ht="10.5" customHeight="1">
      <c r="A352" s="2" t="s">
        <v>630</v>
      </c>
      <c r="B352" s="3">
        <v>45722.355624999997</v>
      </c>
      <c r="C352" s="2" t="s">
        <v>503</v>
      </c>
      <c r="D352" s="2" t="s">
        <v>173</v>
      </c>
      <c r="E352" s="2" t="s">
        <v>57</v>
      </c>
      <c r="F352" s="4">
        <v>17500</v>
      </c>
      <c r="G352" s="5">
        <v>1.9</v>
      </c>
      <c r="H352" s="6">
        <v>0</v>
      </c>
      <c r="I352" s="7">
        <f t="shared" si="50"/>
        <v>33250</v>
      </c>
      <c r="J352" s="7">
        <f t="shared" si="51"/>
        <v>0</v>
      </c>
      <c r="K352" s="7">
        <f t="shared" si="52"/>
        <v>33250</v>
      </c>
      <c r="L352" s="4">
        <v>48000</v>
      </c>
      <c r="M352" s="7">
        <f t="shared" si="53"/>
        <v>81250</v>
      </c>
      <c r="N352" s="2" t="s">
        <v>28</v>
      </c>
      <c r="O352" t="s">
        <v>22</v>
      </c>
      <c r="P352" s="2" t="s">
        <v>2365</v>
      </c>
      <c r="Q352" s="2">
        <v>1</v>
      </c>
      <c r="R352" s="2" t="s">
        <v>23</v>
      </c>
      <c r="S352" s="2" t="str">
        <f t="shared" si="54"/>
        <v>Rendah</v>
      </c>
      <c r="T352" s="2" t="str">
        <f t="shared" si="55"/>
        <v>FALSE</v>
      </c>
      <c r="U352" s="2" t="str">
        <f t="shared" si="56"/>
        <v>FALSE</v>
      </c>
      <c r="V352" s="2" t="b">
        <f t="shared" si="57"/>
        <v>0</v>
      </c>
      <c r="W352" s="2" t="b">
        <f t="shared" si="58"/>
        <v>0</v>
      </c>
      <c r="X352" s="2" t="b">
        <f t="shared" si="59"/>
        <v>0</v>
      </c>
    </row>
    <row r="353" spans="1:24" ht="10.5" customHeight="1">
      <c r="A353" s="2" t="s">
        <v>631</v>
      </c>
      <c r="B353" s="3">
        <v>45722.518333333333</v>
      </c>
      <c r="C353" s="2" t="s">
        <v>632</v>
      </c>
      <c r="D353" s="2" t="s">
        <v>150</v>
      </c>
      <c r="E353" s="2" t="s">
        <v>32</v>
      </c>
      <c r="F353" s="4">
        <v>20000</v>
      </c>
      <c r="G353" s="5">
        <v>1.6</v>
      </c>
      <c r="H353" s="6">
        <v>0</v>
      </c>
      <c r="I353" s="7">
        <f t="shared" si="50"/>
        <v>32000</v>
      </c>
      <c r="J353" s="7">
        <f t="shared" si="51"/>
        <v>0</v>
      </c>
      <c r="K353" s="7">
        <f t="shared" si="52"/>
        <v>32000</v>
      </c>
      <c r="L353" s="4">
        <v>68000</v>
      </c>
      <c r="M353" s="7">
        <f t="shared" si="53"/>
        <v>100000</v>
      </c>
      <c r="N353" s="2" t="s">
        <v>21</v>
      </c>
      <c r="O353" t="s">
        <v>22</v>
      </c>
      <c r="P353" s="2" t="s">
        <v>2366</v>
      </c>
      <c r="Q353" s="2">
        <v>2</v>
      </c>
      <c r="R353" s="2" t="s">
        <v>23</v>
      </c>
      <c r="S353" s="2" t="str">
        <f t="shared" si="54"/>
        <v>Rendah</v>
      </c>
      <c r="T353" s="2" t="str">
        <f t="shared" si="55"/>
        <v>FALSE</v>
      </c>
      <c r="U353" s="2" t="str">
        <f t="shared" si="56"/>
        <v>FALSE</v>
      </c>
      <c r="V353" s="2" t="b">
        <f t="shared" si="57"/>
        <v>0</v>
      </c>
      <c r="W353" s="2" t="b">
        <f t="shared" si="58"/>
        <v>0</v>
      </c>
      <c r="X353" s="2" t="b">
        <f t="shared" si="59"/>
        <v>0</v>
      </c>
    </row>
    <row r="354" spans="1:24" ht="10.5" customHeight="1">
      <c r="A354" s="2" t="s">
        <v>633</v>
      </c>
      <c r="B354" s="3">
        <v>45723.033136574071</v>
      </c>
      <c r="C354" s="2" t="s">
        <v>634</v>
      </c>
      <c r="D354" s="2" t="s">
        <v>235</v>
      </c>
      <c r="E354" s="2" t="s">
        <v>65</v>
      </c>
      <c r="F354" s="4">
        <v>46000</v>
      </c>
      <c r="G354" s="5">
        <v>0.6</v>
      </c>
      <c r="H354" s="6">
        <v>0</v>
      </c>
      <c r="I354" s="7">
        <f t="shared" si="50"/>
        <v>27600</v>
      </c>
      <c r="J354" s="7">
        <f t="shared" si="51"/>
        <v>0</v>
      </c>
      <c r="K354" s="7">
        <f t="shared" si="52"/>
        <v>27600</v>
      </c>
      <c r="L354" s="4">
        <v>80000</v>
      </c>
      <c r="M354" s="7">
        <f t="shared" si="53"/>
        <v>107600</v>
      </c>
      <c r="N354" s="2" t="s">
        <v>58</v>
      </c>
      <c r="O354" t="s">
        <v>22</v>
      </c>
      <c r="P354" s="2" t="s">
        <v>2367</v>
      </c>
      <c r="Q354" s="2">
        <v>2</v>
      </c>
      <c r="R354" s="2" t="s">
        <v>23</v>
      </c>
      <c r="S354" s="2" t="str">
        <f t="shared" si="54"/>
        <v>Standar</v>
      </c>
      <c r="T354" s="2" t="str">
        <f t="shared" si="55"/>
        <v>FALSE</v>
      </c>
      <c r="U354" s="2" t="str">
        <f t="shared" si="56"/>
        <v>FALSE</v>
      </c>
      <c r="V354" s="2" t="b">
        <f t="shared" si="57"/>
        <v>0</v>
      </c>
      <c r="W354" s="2" t="b">
        <f t="shared" si="58"/>
        <v>1</v>
      </c>
      <c r="X354" s="2" t="b">
        <f t="shared" si="59"/>
        <v>0</v>
      </c>
    </row>
    <row r="355" spans="1:24" ht="10.5" customHeight="1">
      <c r="A355" s="2" t="s">
        <v>635</v>
      </c>
      <c r="B355" s="3">
        <v>45723.362384259257</v>
      </c>
      <c r="C355" s="2" t="s">
        <v>251</v>
      </c>
      <c r="D355" s="2" t="s">
        <v>252</v>
      </c>
      <c r="E355" s="2" t="s">
        <v>27</v>
      </c>
      <c r="F355" s="4">
        <v>15000</v>
      </c>
      <c r="G355" s="5">
        <v>0.6</v>
      </c>
      <c r="H355" s="6">
        <v>0</v>
      </c>
      <c r="I355" s="7">
        <f t="shared" si="50"/>
        <v>9000</v>
      </c>
      <c r="J355" s="7">
        <f t="shared" si="51"/>
        <v>0</v>
      </c>
      <c r="K355" s="7">
        <f t="shared" si="52"/>
        <v>9000</v>
      </c>
      <c r="L355" s="4">
        <v>18000</v>
      </c>
      <c r="M355" s="7">
        <f t="shared" si="53"/>
        <v>27000</v>
      </c>
      <c r="N355" s="2" t="s">
        <v>28</v>
      </c>
      <c r="O355" t="s">
        <v>22</v>
      </c>
      <c r="P355" s="2" t="s">
        <v>2365</v>
      </c>
      <c r="Q355" s="2">
        <v>5</v>
      </c>
      <c r="R355" s="2" t="s">
        <v>23</v>
      </c>
      <c r="S355" s="2" t="str">
        <f t="shared" si="54"/>
        <v>Sangat Rendah</v>
      </c>
      <c r="T355" s="2" t="str">
        <f t="shared" si="55"/>
        <v>FALSE</v>
      </c>
      <c r="U355" s="2" t="str">
        <f t="shared" si="56"/>
        <v>FALSE</v>
      </c>
      <c r="V355" s="2" t="b">
        <f t="shared" si="57"/>
        <v>0</v>
      </c>
      <c r="W355" s="2" t="b">
        <f t="shared" si="58"/>
        <v>0</v>
      </c>
      <c r="X355" s="2" t="b">
        <f t="shared" si="59"/>
        <v>1</v>
      </c>
    </row>
    <row r="356" spans="1:24" ht="10.5" customHeight="1">
      <c r="A356" s="2" t="s">
        <v>635</v>
      </c>
      <c r="B356" s="3">
        <v>45723.362384259257</v>
      </c>
      <c r="C356" s="2" t="s">
        <v>251</v>
      </c>
      <c r="D356" s="2" t="s">
        <v>252</v>
      </c>
      <c r="E356" s="2" t="s">
        <v>49</v>
      </c>
      <c r="F356" s="4">
        <v>26000</v>
      </c>
      <c r="G356" s="5">
        <v>1.7</v>
      </c>
      <c r="H356" s="6">
        <v>0</v>
      </c>
      <c r="I356" s="7">
        <f t="shared" si="50"/>
        <v>44200</v>
      </c>
      <c r="J356" s="7">
        <f t="shared" si="51"/>
        <v>0</v>
      </c>
      <c r="K356" s="7">
        <f t="shared" si="52"/>
        <v>44200</v>
      </c>
      <c r="L356" s="4">
        <v>0</v>
      </c>
      <c r="M356" s="7">
        <f t="shared" si="53"/>
        <v>44200</v>
      </c>
      <c r="N356" s="2" t="s">
        <v>28</v>
      </c>
      <c r="O356" t="s">
        <v>22</v>
      </c>
      <c r="P356" s="2" t="s">
        <v>2365</v>
      </c>
      <c r="Q356" s="2">
        <v>5</v>
      </c>
      <c r="R356" s="2" t="s">
        <v>23</v>
      </c>
      <c r="S356" s="2" t="str">
        <f t="shared" si="54"/>
        <v>Sangat Rendah</v>
      </c>
      <c r="T356" s="2" t="str">
        <f t="shared" si="55"/>
        <v>FALSE</v>
      </c>
      <c r="U356" s="2" t="str">
        <f t="shared" si="56"/>
        <v>FALSE</v>
      </c>
      <c r="V356" s="2" t="b">
        <f t="shared" si="57"/>
        <v>0</v>
      </c>
      <c r="W356" s="2" t="b">
        <f t="shared" si="58"/>
        <v>0</v>
      </c>
      <c r="X356" s="2" t="b">
        <f t="shared" si="59"/>
        <v>1</v>
      </c>
    </row>
    <row r="357" spans="1:24" ht="10.5" customHeight="1">
      <c r="A357" s="2" t="s">
        <v>636</v>
      </c>
      <c r="B357" s="3">
        <v>45723.638622685183</v>
      </c>
      <c r="C357" s="2" t="s">
        <v>541</v>
      </c>
      <c r="D357" s="2" t="s">
        <v>252</v>
      </c>
      <c r="E357" s="2" t="s">
        <v>20</v>
      </c>
      <c r="F357" s="4">
        <v>10000</v>
      </c>
      <c r="G357" s="5">
        <v>1.6</v>
      </c>
      <c r="H357" s="6">
        <v>0</v>
      </c>
      <c r="I357" s="7">
        <f t="shared" si="50"/>
        <v>16000</v>
      </c>
      <c r="J357" s="7">
        <f t="shared" si="51"/>
        <v>0</v>
      </c>
      <c r="K357" s="7">
        <f t="shared" si="52"/>
        <v>16000</v>
      </c>
      <c r="L357" s="4">
        <v>18000</v>
      </c>
      <c r="M357" s="7">
        <f t="shared" si="53"/>
        <v>34000</v>
      </c>
      <c r="N357" s="2" t="s">
        <v>58</v>
      </c>
      <c r="O357" t="s">
        <v>22</v>
      </c>
      <c r="P357" s="2" t="s">
        <v>2366</v>
      </c>
      <c r="Q357" s="2">
        <v>5</v>
      </c>
      <c r="R357" s="2" t="s">
        <v>34</v>
      </c>
      <c r="S357" s="2" t="str">
        <f t="shared" si="54"/>
        <v>Sangat Rendah</v>
      </c>
      <c r="T357" s="2" t="str">
        <f t="shared" si="55"/>
        <v>FALSE</v>
      </c>
      <c r="U357" s="2" t="str">
        <f t="shared" si="56"/>
        <v>FALSE</v>
      </c>
      <c r="V357" s="2" t="b">
        <f t="shared" si="57"/>
        <v>0</v>
      </c>
      <c r="W357" s="2" t="b">
        <f t="shared" si="58"/>
        <v>0</v>
      </c>
      <c r="X357" s="2" t="b">
        <f t="shared" si="59"/>
        <v>0</v>
      </c>
    </row>
    <row r="358" spans="1:24" ht="10.5" customHeight="1">
      <c r="A358" s="2" t="s">
        <v>637</v>
      </c>
      <c r="B358" s="3">
        <v>45724.211435185192</v>
      </c>
      <c r="C358" s="2" t="s">
        <v>605</v>
      </c>
      <c r="D358" s="2" t="s">
        <v>84</v>
      </c>
      <c r="E358" s="2" t="s">
        <v>32</v>
      </c>
      <c r="F358" s="4">
        <v>20000</v>
      </c>
      <c r="G358" s="5">
        <v>2.2000000000000002</v>
      </c>
      <c r="H358" s="6">
        <v>0</v>
      </c>
      <c r="I358" s="7">
        <f t="shared" si="50"/>
        <v>44000</v>
      </c>
      <c r="J358" s="7">
        <f t="shared" si="51"/>
        <v>0</v>
      </c>
      <c r="K358" s="7">
        <f t="shared" si="52"/>
        <v>44000</v>
      </c>
      <c r="L358" s="4">
        <v>30000</v>
      </c>
      <c r="M358" s="7">
        <f t="shared" si="53"/>
        <v>74000</v>
      </c>
      <c r="N358" s="2" t="s">
        <v>33</v>
      </c>
      <c r="O358" t="s">
        <v>22</v>
      </c>
      <c r="P358" s="2" t="s">
        <v>2370</v>
      </c>
      <c r="Q358" s="2">
        <v>2</v>
      </c>
      <c r="R358" s="2" t="s">
        <v>23</v>
      </c>
      <c r="S358" s="2" t="str">
        <f t="shared" si="54"/>
        <v>Rendah</v>
      </c>
      <c r="T358" s="2" t="str">
        <f t="shared" si="55"/>
        <v>FALSE</v>
      </c>
      <c r="U358" s="2" t="str">
        <f t="shared" si="56"/>
        <v>FALSE</v>
      </c>
      <c r="V358" s="2" t="b">
        <f t="shared" si="57"/>
        <v>0</v>
      </c>
      <c r="W358" s="2" t="b">
        <f t="shared" si="58"/>
        <v>0</v>
      </c>
      <c r="X358" s="2" t="b">
        <f t="shared" si="59"/>
        <v>0</v>
      </c>
    </row>
    <row r="359" spans="1:24" ht="10.5" customHeight="1">
      <c r="A359" s="2" t="s">
        <v>638</v>
      </c>
      <c r="B359" s="3">
        <v>45724.324270833327</v>
      </c>
      <c r="C359" s="2" t="s">
        <v>639</v>
      </c>
      <c r="D359" s="2" t="s">
        <v>167</v>
      </c>
      <c r="E359" s="2" t="s">
        <v>102</v>
      </c>
      <c r="F359" s="4">
        <v>55000</v>
      </c>
      <c r="G359" s="5">
        <v>1.3</v>
      </c>
      <c r="H359" s="6">
        <v>0</v>
      </c>
      <c r="I359" s="7">
        <f t="shared" si="50"/>
        <v>71500</v>
      </c>
      <c r="J359" s="7">
        <f t="shared" si="51"/>
        <v>0</v>
      </c>
      <c r="K359" s="7">
        <f t="shared" si="52"/>
        <v>71500</v>
      </c>
      <c r="L359" s="4">
        <v>56000</v>
      </c>
      <c r="M359" s="7">
        <f t="shared" si="53"/>
        <v>127500</v>
      </c>
      <c r="N359" s="2" t="s">
        <v>21</v>
      </c>
      <c r="O359" t="s">
        <v>22</v>
      </c>
      <c r="P359" s="2" t="s">
        <v>2370</v>
      </c>
      <c r="Q359" s="2">
        <v>1</v>
      </c>
      <c r="R359" s="2" t="s">
        <v>23</v>
      </c>
      <c r="S359" s="2" t="str">
        <f t="shared" si="54"/>
        <v>Standar</v>
      </c>
      <c r="T359" s="2" t="str">
        <f t="shared" si="55"/>
        <v>FALSE</v>
      </c>
      <c r="U359" s="2" t="str">
        <f t="shared" si="56"/>
        <v>FALSE</v>
      </c>
      <c r="V359" s="2" t="b">
        <f t="shared" si="57"/>
        <v>0</v>
      </c>
      <c r="W359" s="2" t="b">
        <f t="shared" si="58"/>
        <v>0</v>
      </c>
      <c r="X359" s="2" t="b">
        <f t="shared" si="59"/>
        <v>0</v>
      </c>
    </row>
    <row r="360" spans="1:24" ht="10.5" customHeight="1">
      <c r="A360" s="2" t="s">
        <v>638</v>
      </c>
      <c r="B360" s="3">
        <v>45724.324270833327</v>
      </c>
      <c r="C360" s="2" t="s">
        <v>639</v>
      </c>
      <c r="D360" s="2" t="s">
        <v>167</v>
      </c>
      <c r="E360" s="2" t="s">
        <v>49</v>
      </c>
      <c r="F360" s="4">
        <v>26000</v>
      </c>
      <c r="G360" s="5">
        <v>1.1000000000000001</v>
      </c>
      <c r="H360" s="6">
        <v>0</v>
      </c>
      <c r="I360" s="7">
        <f t="shared" si="50"/>
        <v>28600.000000000004</v>
      </c>
      <c r="J360" s="7">
        <f t="shared" si="51"/>
        <v>0</v>
      </c>
      <c r="K360" s="7">
        <f t="shared" si="52"/>
        <v>28600.000000000004</v>
      </c>
      <c r="L360" s="4">
        <v>0</v>
      </c>
      <c r="M360" s="7">
        <f t="shared" si="53"/>
        <v>28600.000000000004</v>
      </c>
      <c r="N360" s="2" t="s">
        <v>21</v>
      </c>
      <c r="O360" t="s">
        <v>22</v>
      </c>
      <c r="P360" s="2" t="s">
        <v>2370</v>
      </c>
      <c r="Q360" s="2">
        <v>1</v>
      </c>
      <c r="R360" s="2" t="s">
        <v>23</v>
      </c>
      <c r="S360" s="2" t="str">
        <f t="shared" si="54"/>
        <v>Sangat Rendah</v>
      </c>
      <c r="T360" s="2" t="str">
        <f t="shared" si="55"/>
        <v>FALSE</v>
      </c>
      <c r="U360" s="2" t="str">
        <f t="shared" si="56"/>
        <v>FALSE</v>
      </c>
      <c r="V360" s="2" t="b">
        <f t="shared" si="57"/>
        <v>0</v>
      </c>
      <c r="W360" s="2" t="b">
        <f t="shared" si="58"/>
        <v>0</v>
      </c>
      <c r="X360" s="2" t="b">
        <f t="shared" si="59"/>
        <v>1</v>
      </c>
    </row>
    <row r="361" spans="1:24" ht="10.5" customHeight="1">
      <c r="A361" s="2" t="s">
        <v>640</v>
      </c>
      <c r="B361" s="3">
        <v>45724.591099537043</v>
      </c>
      <c r="C361" s="2" t="s">
        <v>641</v>
      </c>
      <c r="D361" s="2" t="s">
        <v>173</v>
      </c>
      <c r="E361" s="2" t="s">
        <v>41</v>
      </c>
      <c r="F361" s="4">
        <v>40000</v>
      </c>
      <c r="G361" s="5">
        <v>1</v>
      </c>
      <c r="H361" s="6">
        <v>0</v>
      </c>
      <c r="I361" s="7">
        <f t="shared" si="50"/>
        <v>40000</v>
      </c>
      <c r="J361" s="7">
        <f t="shared" si="51"/>
        <v>0</v>
      </c>
      <c r="K361" s="7">
        <f t="shared" si="52"/>
        <v>40000</v>
      </c>
      <c r="L361" s="4">
        <v>48000</v>
      </c>
      <c r="M361" s="7">
        <f t="shared" si="53"/>
        <v>88000</v>
      </c>
      <c r="N361" s="2" t="s">
        <v>21</v>
      </c>
      <c r="O361" t="s">
        <v>69</v>
      </c>
      <c r="P361" s="2" t="s">
        <v>2370</v>
      </c>
      <c r="Q361" s="2">
        <v>1</v>
      </c>
      <c r="R361" s="2" t="s">
        <v>34</v>
      </c>
      <c r="S361" s="2" t="str">
        <f t="shared" si="54"/>
        <v>Rendah</v>
      </c>
      <c r="T361" s="2" t="str">
        <f t="shared" si="55"/>
        <v>FALSE</v>
      </c>
      <c r="U361" s="2" t="str">
        <f t="shared" si="56"/>
        <v>FALSE</v>
      </c>
      <c r="V361" s="2" t="b">
        <f t="shared" si="57"/>
        <v>0</v>
      </c>
      <c r="W361" s="2" t="b">
        <f t="shared" si="58"/>
        <v>0</v>
      </c>
      <c r="X361" s="2" t="b">
        <f t="shared" si="59"/>
        <v>0</v>
      </c>
    </row>
    <row r="362" spans="1:24" ht="10.5" customHeight="1">
      <c r="A362" s="2" t="s">
        <v>642</v>
      </c>
      <c r="B362" s="3">
        <v>45726.601678240739</v>
      </c>
      <c r="C362" s="2" t="s">
        <v>429</v>
      </c>
      <c r="D362" s="2" t="s">
        <v>111</v>
      </c>
      <c r="E362" s="2" t="s">
        <v>95</v>
      </c>
      <c r="F362" s="4">
        <v>9500</v>
      </c>
      <c r="G362" s="5">
        <v>1.9</v>
      </c>
      <c r="H362" s="6">
        <v>0</v>
      </c>
      <c r="I362" s="7">
        <f t="shared" si="50"/>
        <v>18050</v>
      </c>
      <c r="J362" s="7">
        <f t="shared" si="51"/>
        <v>0</v>
      </c>
      <c r="K362" s="7">
        <f t="shared" si="52"/>
        <v>18050</v>
      </c>
      <c r="L362" s="4">
        <v>0</v>
      </c>
      <c r="M362" s="7">
        <f t="shared" si="53"/>
        <v>18050</v>
      </c>
      <c r="N362" s="2" t="s">
        <v>33</v>
      </c>
      <c r="O362" t="s">
        <v>22</v>
      </c>
      <c r="P362" s="2" t="s">
        <v>2368</v>
      </c>
      <c r="Q362" s="2">
        <v>5</v>
      </c>
      <c r="R362" s="2" t="s">
        <v>34</v>
      </c>
      <c r="S362" s="2" t="str">
        <f t="shared" si="54"/>
        <v>Sangat Rendah</v>
      </c>
      <c r="T362" s="2" t="str">
        <f t="shared" si="55"/>
        <v>FALSE</v>
      </c>
      <c r="U362" s="2" t="str">
        <f t="shared" si="56"/>
        <v>FALSE</v>
      </c>
      <c r="V362" s="2" t="b">
        <f t="shared" si="57"/>
        <v>0</v>
      </c>
      <c r="W362" s="2" t="b">
        <f t="shared" si="58"/>
        <v>0</v>
      </c>
      <c r="X362" s="2" t="b">
        <f t="shared" si="59"/>
        <v>0</v>
      </c>
    </row>
    <row r="363" spans="1:24" ht="10.5" customHeight="1">
      <c r="A363" s="2" t="s">
        <v>643</v>
      </c>
      <c r="B363" s="3">
        <v>45726.801527777781</v>
      </c>
      <c r="C363" s="2" t="s">
        <v>644</v>
      </c>
      <c r="D363" s="2" t="s">
        <v>365</v>
      </c>
      <c r="E363" s="2" t="s">
        <v>41</v>
      </c>
      <c r="F363" s="4">
        <v>40000</v>
      </c>
      <c r="G363" s="5">
        <v>0.7</v>
      </c>
      <c r="H363" s="6">
        <v>0</v>
      </c>
      <c r="I363" s="7">
        <f t="shared" si="50"/>
        <v>28000</v>
      </c>
      <c r="J363" s="7">
        <f t="shared" si="51"/>
        <v>0</v>
      </c>
      <c r="K363" s="7">
        <f t="shared" si="52"/>
        <v>28000</v>
      </c>
      <c r="L363" s="4">
        <v>21000</v>
      </c>
      <c r="M363" s="7">
        <f t="shared" si="53"/>
        <v>49000</v>
      </c>
      <c r="N363" s="2" t="s">
        <v>21</v>
      </c>
      <c r="O363" t="s">
        <v>22</v>
      </c>
      <c r="P363" s="2" t="s">
        <v>2368</v>
      </c>
      <c r="Q363" s="2">
        <v>1</v>
      </c>
      <c r="R363" s="2" t="s">
        <v>23</v>
      </c>
      <c r="S363" s="2" t="str">
        <f t="shared" si="54"/>
        <v>Sangat Rendah</v>
      </c>
      <c r="T363" s="2" t="str">
        <f t="shared" si="55"/>
        <v>FALSE</v>
      </c>
      <c r="U363" s="2" t="str">
        <f t="shared" si="56"/>
        <v>FALSE</v>
      </c>
      <c r="V363" s="2" t="b">
        <f t="shared" si="57"/>
        <v>0</v>
      </c>
      <c r="W363" s="2" t="b">
        <f t="shared" si="58"/>
        <v>0</v>
      </c>
      <c r="X363" s="2" t="b">
        <f t="shared" si="59"/>
        <v>1</v>
      </c>
    </row>
    <row r="364" spans="1:24" ht="10.5" customHeight="1">
      <c r="A364" s="2" t="s">
        <v>645</v>
      </c>
      <c r="B364" s="3">
        <v>45727.515694444453</v>
      </c>
      <c r="C364" s="2" t="s">
        <v>646</v>
      </c>
      <c r="D364" s="2" t="s">
        <v>185</v>
      </c>
      <c r="E364" s="2" t="s">
        <v>170</v>
      </c>
      <c r="F364" s="4">
        <v>12000</v>
      </c>
      <c r="G364" s="5">
        <v>1.5</v>
      </c>
      <c r="H364" s="6">
        <v>0</v>
      </c>
      <c r="I364" s="7">
        <f t="shared" si="50"/>
        <v>18000</v>
      </c>
      <c r="J364" s="7">
        <f t="shared" si="51"/>
        <v>0</v>
      </c>
      <c r="K364" s="7">
        <f t="shared" si="52"/>
        <v>18000</v>
      </c>
      <c r="L364" s="4">
        <v>87000</v>
      </c>
      <c r="M364" s="7">
        <f t="shared" si="53"/>
        <v>105000</v>
      </c>
      <c r="N364" s="2" t="s">
        <v>58</v>
      </c>
      <c r="O364" t="s">
        <v>22</v>
      </c>
      <c r="P364" s="2" t="s">
        <v>2370</v>
      </c>
      <c r="Q364" s="2">
        <v>2</v>
      </c>
      <c r="R364" s="2" t="s">
        <v>34</v>
      </c>
      <c r="S364" s="2" t="str">
        <f t="shared" si="54"/>
        <v>Standar</v>
      </c>
      <c r="T364" s="2" t="str">
        <f t="shared" si="55"/>
        <v>FALSE</v>
      </c>
      <c r="U364" s="2" t="str">
        <f t="shared" si="56"/>
        <v>FALSE</v>
      </c>
      <c r="V364" s="2" t="b">
        <f t="shared" si="57"/>
        <v>0</v>
      </c>
      <c r="W364" s="2" t="b">
        <f t="shared" si="58"/>
        <v>0</v>
      </c>
      <c r="X364" s="2" t="b">
        <f t="shared" si="59"/>
        <v>0</v>
      </c>
    </row>
    <row r="365" spans="1:24" ht="10.5" customHeight="1">
      <c r="A365" s="2" t="s">
        <v>647</v>
      </c>
      <c r="B365" s="3">
        <v>45728.568182870367</v>
      </c>
      <c r="C365" s="2" t="s">
        <v>202</v>
      </c>
      <c r="D365" s="2" t="s">
        <v>44</v>
      </c>
      <c r="E365" s="2" t="s">
        <v>80</v>
      </c>
      <c r="F365" s="4">
        <v>15000</v>
      </c>
      <c r="G365" s="5">
        <v>0.6</v>
      </c>
      <c r="H365" s="6">
        <v>0</v>
      </c>
      <c r="I365" s="7">
        <f t="shared" si="50"/>
        <v>9000</v>
      </c>
      <c r="J365" s="7">
        <f t="shared" si="51"/>
        <v>0</v>
      </c>
      <c r="K365" s="7">
        <f t="shared" si="52"/>
        <v>9000</v>
      </c>
      <c r="L365" s="4">
        <v>43000</v>
      </c>
      <c r="M365" s="7">
        <f t="shared" si="53"/>
        <v>52000</v>
      </c>
      <c r="N365" s="2" t="s">
        <v>21</v>
      </c>
      <c r="O365" t="s">
        <v>22</v>
      </c>
      <c r="P365" s="2" t="s">
        <v>2370</v>
      </c>
      <c r="Q365" s="2">
        <v>4</v>
      </c>
      <c r="R365" s="2" t="s">
        <v>23</v>
      </c>
      <c r="S365" s="2" t="str">
        <f t="shared" si="54"/>
        <v>Rendah</v>
      </c>
      <c r="T365" s="2" t="str">
        <f t="shared" si="55"/>
        <v>FALSE</v>
      </c>
      <c r="U365" s="2" t="str">
        <f t="shared" si="56"/>
        <v>FALSE</v>
      </c>
      <c r="V365" s="2" t="b">
        <f t="shared" si="57"/>
        <v>0</v>
      </c>
      <c r="W365" s="2" t="b">
        <f t="shared" si="58"/>
        <v>0</v>
      </c>
      <c r="X365" s="2" t="b">
        <f t="shared" si="59"/>
        <v>0</v>
      </c>
    </row>
    <row r="366" spans="1:24" ht="10.5" customHeight="1">
      <c r="A366" s="2" t="s">
        <v>647</v>
      </c>
      <c r="B366" s="3">
        <v>45728.568182870367</v>
      </c>
      <c r="C366" s="2" t="s">
        <v>202</v>
      </c>
      <c r="D366" s="2" t="s">
        <v>44</v>
      </c>
      <c r="E366" s="2" t="s">
        <v>65</v>
      </c>
      <c r="F366" s="4">
        <v>46000</v>
      </c>
      <c r="G366" s="5">
        <v>1.1000000000000001</v>
      </c>
      <c r="H366" s="6">
        <v>0</v>
      </c>
      <c r="I366" s="7">
        <f t="shared" si="50"/>
        <v>50600.000000000007</v>
      </c>
      <c r="J366" s="7">
        <f t="shared" si="51"/>
        <v>0</v>
      </c>
      <c r="K366" s="7">
        <f t="shared" si="52"/>
        <v>50600.000000000007</v>
      </c>
      <c r="L366" s="4">
        <v>0</v>
      </c>
      <c r="M366" s="7">
        <f t="shared" si="53"/>
        <v>50600.000000000007</v>
      </c>
      <c r="N366" s="2" t="s">
        <v>21</v>
      </c>
      <c r="O366" t="s">
        <v>22</v>
      </c>
      <c r="P366" s="2" t="s">
        <v>2370</v>
      </c>
      <c r="Q366" s="2">
        <v>4</v>
      </c>
      <c r="R366" s="2" t="s">
        <v>23</v>
      </c>
      <c r="S366" s="2" t="str">
        <f t="shared" si="54"/>
        <v>Rendah</v>
      </c>
      <c r="T366" s="2" t="str">
        <f t="shared" si="55"/>
        <v>FALSE</v>
      </c>
      <c r="U366" s="2" t="str">
        <f t="shared" si="56"/>
        <v>FALSE</v>
      </c>
      <c r="V366" s="2" t="b">
        <f t="shared" si="57"/>
        <v>0</v>
      </c>
      <c r="W366" s="2" t="b">
        <f t="shared" si="58"/>
        <v>0</v>
      </c>
      <c r="X366" s="2" t="b">
        <f t="shared" si="59"/>
        <v>0</v>
      </c>
    </row>
    <row r="367" spans="1:24" ht="10.5" customHeight="1">
      <c r="A367" s="2" t="s">
        <v>648</v>
      </c>
      <c r="B367" s="3">
        <v>45730.697615740741</v>
      </c>
      <c r="C367" s="2" t="s">
        <v>381</v>
      </c>
      <c r="D367" s="2" t="s">
        <v>114</v>
      </c>
      <c r="E367" s="2" t="s">
        <v>20</v>
      </c>
      <c r="F367" s="4">
        <v>10000</v>
      </c>
      <c r="G367" s="5">
        <v>2.2000000000000002</v>
      </c>
      <c r="H367" s="6">
        <v>0</v>
      </c>
      <c r="I367" s="7">
        <f t="shared" si="50"/>
        <v>22000</v>
      </c>
      <c r="J367" s="7">
        <f t="shared" si="51"/>
        <v>0</v>
      </c>
      <c r="K367" s="7">
        <f t="shared" si="52"/>
        <v>22000</v>
      </c>
      <c r="L367" s="4">
        <v>78000</v>
      </c>
      <c r="M367" s="7">
        <f t="shared" si="53"/>
        <v>100000</v>
      </c>
      <c r="N367" s="2" t="s">
        <v>28</v>
      </c>
      <c r="O367" t="s">
        <v>69</v>
      </c>
      <c r="P367" s="2" t="s">
        <v>2366</v>
      </c>
      <c r="Q367" s="2">
        <v>5</v>
      </c>
      <c r="R367" s="2" t="s">
        <v>23</v>
      </c>
      <c r="S367" s="2" t="str">
        <f t="shared" si="54"/>
        <v>Rendah</v>
      </c>
      <c r="T367" s="2" t="str">
        <f t="shared" si="55"/>
        <v>TRUE</v>
      </c>
      <c r="U367" s="2" t="str">
        <f t="shared" si="56"/>
        <v>FALSE</v>
      </c>
      <c r="V367" s="2" t="b">
        <f t="shared" si="57"/>
        <v>0</v>
      </c>
      <c r="W367" s="2" t="b">
        <f t="shared" si="58"/>
        <v>0</v>
      </c>
      <c r="X367" s="2" t="b">
        <f t="shared" si="59"/>
        <v>0</v>
      </c>
    </row>
    <row r="368" spans="1:24" ht="10.5" customHeight="1">
      <c r="A368" s="2" t="s">
        <v>649</v>
      </c>
      <c r="B368" s="3">
        <v>45730.735381944447</v>
      </c>
      <c r="C368" s="2" t="s">
        <v>184</v>
      </c>
      <c r="D368" s="2" t="s">
        <v>185</v>
      </c>
      <c r="E368" s="2" t="s">
        <v>170</v>
      </c>
      <c r="F368" s="4">
        <v>12000</v>
      </c>
      <c r="G368" s="5">
        <v>1.1000000000000001</v>
      </c>
      <c r="H368" s="6">
        <v>0</v>
      </c>
      <c r="I368" s="7">
        <f t="shared" si="50"/>
        <v>13200.000000000002</v>
      </c>
      <c r="J368" s="7">
        <f t="shared" si="51"/>
        <v>0</v>
      </c>
      <c r="K368" s="7">
        <f t="shared" si="52"/>
        <v>13200.000000000002</v>
      </c>
      <c r="L368" s="4">
        <v>87000</v>
      </c>
      <c r="M368" s="7">
        <f t="shared" si="53"/>
        <v>100200</v>
      </c>
      <c r="N368" s="2" t="s">
        <v>58</v>
      </c>
      <c r="O368" t="s">
        <v>22</v>
      </c>
      <c r="P368" s="2" t="s">
        <v>2368</v>
      </c>
      <c r="Q368" s="2">
        <v>4</v>
      </c>
      <c r="R368" s="2" t="s">
        <v>23</v>
      </c>
      <c r="S368" s="2" t="str">
        <f t="shared" si="54"/>
        <v>Standar</v>
      </c>
      <c r="T368" s="2" t="str">
        <f t="shared" si="55"/>
        <v>FALSE</v>
      </c>
      <c r="U368" s="2" t="str">
        <f t="shared" si="56"/>
        <v>FALSE</v>
      </c>
      <c r="V368" s="2" t="b">
        <f t="shared" si="57"/>
        <v>0</v>
      </c>
      <c r="W368" s="2" t="b">
        <f t="shared" si="58"/>
        <v>0</v>
      </c>
      <c r="X368" s="2" t="b">
        <f t="shared" si="59"/>
        <v>0</v>
      </c>
    </row>
    <row r="369" spans="1:24" ht="10.5" customHeight="1">
      <c r="A369" s="2" t="s">
        <v>650</v>
      </c>
      <c r="B369" s="3">
        <v>45732.497465277767</v>
      </c>
      <c r="C369" s="2" t="s">
        <v>651</v>
      </c>
      <c r="D369" s="2" t="s">
        <v>44</v>
      </c>
      <c r="E369" s="2" t="s">
        <v>20</v>
      </c>
      <c r="F369" s="4">
        <v>10000</v>
      </c>
      <c r="G369" s="5">
        <v>2</v>
      </c>
      <c r="H369" s="6">
        <v>0</v>
      </c>
      <c r="I369" s="7">
        <f t="shared" si="50"/>
        <v>20000</v>
      </c>
      <c r="J369" s="7">
        <f t="shared" si="51"/>
        <v>0</v>
      </c>
      <c r="K369" s="7">
        <f t="shared" si="52"/>
        <v>20000</v>
      </c>
      <c r="L369" s="4">
        <v>43000</v>
      </c>
      <c r="M369" s="7">
        <f t="shared" si="53"/>
        <v>63000</v>
      </c>
      <c r="N369" s="2" t="s">
        <v>21</v>
      </c>
      <c r="O369" t="s">
        <v>22</v>
      </c>
      <c r="P369" s="2" t="s">
        <v>2367</v>
      </c>
      <c r="Q369" s="2">
        <v>3</v>
      </c>
      <c r="R369" s="2" t="s">
        <v>23</v>
      </c>
      <c r="S369" s="2" t="str">
        <f t="shared" si="54"/>
        <v>Rendah</v>
      </c>
      <c r="T369" s="2" t="str">
        <f t="shared" si="55"/>
        <v>FALSE</v>
      </c>
      <c r="U369" s="2" t="str">
        <f t="shared" si="56"/>
        <v>FALSE</v>
      </c>
      <c r="V369" s="2" t="b">
        <f t="shared" si="57"/>
        <v>0</v>
      </c>
      <c r="W369" s="2" t="b">
        <f t="shared" si="58"/>
        <v>1</v>
      </c>
      <c r="X369" s="2" t="b">
        <f t="shared" si="59"/>
        <v>0</v>
      </c>
    </row>
    <row r="370" spans="1:24" ht="10.5" customHeight="1">
      <c r="A370" s="2" t="s">
        <v>650</v>
      </c>
      <c r="B370" s="3">
        <v>45732.497465277767</v>
      </c>
      <c r="C370" s="2" t="s">
        <v>651</v>
      </c>
      <c r="D370" s="2" t="s">
        <v>44</v>
      </c>
      <c r="E370" s="2" t="s">
        <v>41</v>
      </c>
      <c r="F370" s="4">
        <v>40000</v>
      </c>
      <c r="G370" s="5">
        <v>1.3</v>
      </c>
      <c r="H370" s="6">
        <v>0</v>
      </c>
      <c r="I370" s="7">
        <f t="shared" si="50"/>
        <v>52000</v>
      </c>
      <c r="J370" s="7">
        <f t="shared" si="51"/>
        <v>0</v>
      </c>
      <c r="K370" s="7">
        <f t="shared" si="52"/>
        <v>52000</v>
      </c>
      <c r="L370" s="4">
        <v>0</v>
      </c>
      <c r="M370" s="7">
        <f t="shared" si="53"/>
        <v>52000</v>
      </c>
      <c r="N370" s="2" t="s">
        <v>21</v>
      </c>
      <c r="O370" t="s">
        <v>22</v>
      </c>
      <c r="P370" s="2" t="s">
        <v>2367</v>
      </c>
      <c r="Q370" s="2">
        <v>3</v>
      </c>
      <c r="R370" s="2" t="s">
        <v>23</v>
      </c>
      <c r="S370" s="2" t="str">
        <f t="shared" si="54"/>
        <v>Rendah</v>
      </c>
      <c r="T370" s="2" t="str">
        <f t="shared" si="55"/>
        <v>FALSE</v>
      </c>
      <c r="U370" s="2" t="str">
        <f t="shared" si="56"/>
        <v>FALSE</v>
      </c>
      <c r="V370" s="2" t="b">
        <f t="shared" si="57"/>
        <v>0</v>
      </c>
      <c r="W370" s="2" t="b">
        <f t="shared" si="58"/>
        <v>1</v>
      </c>
      <c r="X370" s="2" t="b">
        <f t="shared" si="59"/>
        <v>0</v>
      </c>
    </row>
    <row r="371" spans="1:24" ht="10.5" customHeight="1">
      <c r="A371" s="2" t="s">
        <v>652</v>
      </c>
      <c r="B371" s="3">
        <v>45732.696574074071</v>
      </c>
      <c r="C371" s="2" t="s">
        <v>244</v>
      </c>
      <c r="D371" s="2" t="s">
        <v>56</v>
      </c>
      <c r="E371" s="2" t="s">
        <v>32</v>
      </c>
      <c r="F371" s="4">
        <v>20000</v>
      </c>
      <c r="G371" s="5">
        <v>1.5</v>
      </c>
      <c r="H371" s="6">
        <v>0</v>
      </c>
      <c r="I371" s="7">
        <f t="shared" si="50"/>
        <v>30000</v>
      </c>
      <c r="J371" s="7">
        <f t="shared" si="51"/>
        <v>0</v>
      </c>
      <c r="K371" s="7">
        <f t="shared" si="52"/>
        <v>30000</v>
      </c>
      <c r="L371" s="4">
        <v>26000</v>
      </c>
      <c r="M371" s="7">
        <f t="shared" si="53"/>
        <v>56000</v>
      </c>
      <c r="N371" s="2" t="s">
        <v>28</v>
      </c>
      <c r="O371" t="s">
        <v>22</v>
      </c>
      <c r="P371" s="2" t="s">
        <v>2368</v>
      </c>
      <c r="Q371" s="2">
        <v>1</v>
      </c>
      <c r="R371" s="2" t="s">
        <v>23</v>
      </c>
      <c r="S371" s="2" t="str">
        <f t="shared" si="54"/>
        <v>Rendah</v>
      </c>
      <c r="T371" s="2" t="str">
        <f t="shared" si="55"/>
        <v>FALSE</v>
      </c>
      <c r="U371" s="2" t="str">
        <f t="shared" si="56"/>
        <v>FALSE</v>
      </c>
      <c r="V371" s="2" t="b">
        <f t="shared" si="57"/>
        <v>0</v>
      </c>
      <c r="W371" s="2" t="b">
        <f t="shared" si="58"/>
        <v>0</v>
      </c>
      <c r="X371" s="2" t="b">
        <f t="shared" si="59"/>
        <v>0</v>
      </c>
    </row>
    <row r="372" spans="1:24" ht="10.5" customHeight="1">
      <c r="A372" s="2" t="s">
        <v>653</v>
      </c>
      <c r="B372" s="3">
        <v>45733.000138888892</v>
      </c>
      <c r="C372" s="2" t="s">
        <v>248</v>
      </c>
      <c r="D372" s="2" t="s">
        <v>40</v>
      </c>
      <c r="E372" s="2" t="s">
        <v>170</v>
      </c>
      <c r="F372" s="4">
        <v>12000</v>
      </c>
      <c r="G372" s="5">
        <v>1.3</v>
      </c>
      <c r="H372" s="6">
        <v>0</v>
      </c>
      <c r="I372" s="7">
        <f t="shared" si="50"/>
        <v>15600</v>
      </c>
      <c r="J372" s="7">
        <f t="shared" si="51"/>
        <v>0</v>
      </c>
      <c r="K372" s="7">
        <f t="shared" si="52"/>
        <v>15600</v>
      </c>
      <c r="L372" s="4">
        <v>93000</v>
      </c>
      <c r="M372" s="7">
        <f t="shared" si="53"/>
        <v>108600</v>
      </c>
      <c r="N372" s="2" t="s">
        <v>28</v>
      </c>
      <c r="O372" t="s">
        <v>69</v>
      </c>
      <c r="P372" s="2" t="s">
        <v>2370</v>
      </c>
      <c r="Q372" s="2">
        <v>1</v>
      </c>
      <c r="R372" s="2" t="s">
        <v>23</v>
      </c>
      <c r="S372" s="2" t="str">
        <f t="shared" si="54"/>
        <v>Standar</v>
      </c>
      <c r="T372" s="2" t="str">
        <f t="shared" si="55"/>
        <v>FALSE</v>
      </c>
      <c r="U372" s="2" t="str">
        <f t="shared" si="56"/>
        <v>FALSE</v>
      </c>
      <c r="V372" s="2" t="b">
        <f t="shared" si="57"/>
        <v>0</v>
      </c>
      <c r="W372" s="2" t="b">
        <f t="shared" si="58"/>
        <v>0</v>
      </c>
      <c r="X372" s="2" t="b">
        <f t="shared" si="59"/>
        <v>0</v>
      </c>
    </row>
    <row r="373" spans="1:24" ht="10.5" customHeight="1">
      <c r="A373" s="2" t="s">
        <v>654</v>
      </c>
      <c r="B373" s="3">
        <v>45733.664305555547</v>
      </c>
      <c r="C373" s="2" t="s">
        <v>343</v>
      </c>
      <c r="D373" s="2" t="s">
        <v>61</v>
      </c>
      <c r="E373" s="2" t="s">
        <v>35</v>
      </c>
      <c r="F373" s="4">
        <v>13500</v>
      </c>
      <c r="G373" s="5">
        <v>2.5</v>
      </c>
      <c r="H373" s="6">
        <v>0</v>
      </c>
      <c r="I373" s="7">
        <f t="shared" si="50"/>
        <v>33750</v>
      </c>
      <c r="J373" s="7">
        <f t="shared" si="51"/>
        <v>0</v>
      </c>
      <c r="K373" s="7">
        <f t="shared" si="52"/>
        <v>33750</v>
      </c>
      <c r="L373" s="4">
        <v>59000</v>
      </c>
      <c r="M373" s="7">
        <f t="shared" si="53"/>
        <v>92750</v>
      </c>
      <c r="N373" s="2" t="s">
        <v>58</v>
      </c>
      <c r="O373" t="s">
        <v>22</v>
      </c>
      <c r="P373" s="2" t="s">
        <v>2368</v>
      </c>
      <c r="Q373" s="2">
        <v>3</v>
      </c>
      <c r="R373" s="2" t="s">
        <v>23</v>
      </c>
      <c r="S373" s="2" t="str">
        <f t="shared" si="54"/>
        <v>Rendah</v>
      </c>
      <c r="T373" s="2" t="str">
        <f t="shared" si="55"/>
        <v>FALSE</v>
      </c>
      <c r="U373" s="2" t="str">
        <f t="shared" si="56"/>
        <v>FALSE</v>
      </c>
      <c r="V373" s="2" t="b">
        <f t="shared" si="57"/>
        <v>0</v>
      </c>
      <c r="W373" s="2" t="b">
        <f t="shared" si="58"/>
        <v>0</v>
      </c>
      <c r="X373" s="2" t="b">
        <f t="shared" si="59"/>
        <v>0</v>
      </c>
    </row>
    <row r="374" spans="1:24" ht="10.5" customHeight="1">
      <c r="A374" s="2" t="s">
        <v>655</v>
      </c>
      <c r="B374" s="3">
        <v>45733.736898148149</v>
      </c>
      <c r="C374" s="2" t="s">
        <v>656</v>
      </c>
      <c r="D374" s="2" t="s">
        <v>61</v>
      </c>
      <c r="E374" s="2" t="s">
        <v>65</v>
      </c>
      <c r="F374" s="4">
        <v>46000</v>
      </c>
      <c r="G374" s="5">
        <v>1.4</v>
      </c>
      <c r="H374" s="6">
        <v>0</v>
      </c>
      <c r="I374" s="7">
        <f t="shared" si="50"/>
        <v>64399.999999999993</v>
      </c>
      <c r="J374" s="7">
        <f t="shared" si="51"/>
        <v>0</v>
      </c>
      <c r="K374" s="7">
        <f t="shared" si="52"/>
        <v>64399.999999999993</v>
      </c>
      <c r="L374" s="4">
        <v>59000</v>
      </c>
      <c r="M374" s="7">
        <f t="shared" si="53"/>
        <v>123400</v>
      </c>
      <c r="N374" s="2" t="s">
        <v>21</v>
      </c>
      <c r="O374" t="s">
        <v>22</v>
      </c>
      <c r="P374" s="2" t="s">
        <v>2370</v>
      </c>
      <c r="Q374" s="2">
        <v>1</v>
      </c>
      <c r="R374" s="2" t="s">
        <v>23</v>
      </c>
      <c r="S374" s="2" t="str">
        <f t="shared" si="54"/>
        <v>Standar</v>
      </c>
      <c r="T374" s="2" t="str">
        <f t="shared" si="55"/>
        <v>FALSE</v>
      </c>
      <c r="U374" s="2" t="str">
        <f t="shared" si="56"/>
        <v>FALSE</v>
      </c>
      <c r="V374" s="2" t="b">
        <f t="shared" si="57"/>
        <v>0</v>
      </c>
      <c r="W374" s="2" t="b">
        <f t="shared" si="58"/>
        <v>0</v>
      </c>
      <c r="X374" s="2" t="b">
        <f t="shared" si="59"/>
        <v>0</v>
      </c>
    </row>
    <row r="375" spans="1:24" ht="10.5" customHeight="1">
      <c r="A375" s="2" t="s">
        <v>655</v>
      </c>
      <c r="B375" s="3">
        <v>45733.736898148149</v>
      </c>
      <c r="C375" s="2" t="s">
        <v>656</v>
      </c>
      <c r="D375" s="2" t="s">
        <v>61</v>
      </c>
      <c r="E375" s="2" t="s">
        <v>32</v>
      </c>
      <c r="F375" s="4">
        <v>20000</v>
      </c>
      <c r="G375" s="5">
        <v>3.6</v>
      </c>
      <c r="H375" s="6">
        <v>0</v>
      </c>
      <c r="I375" s="7">
        <f t="shared" si="50"/>
        <v>72000</v>
      </c>
      <c r="J375" s="7">
        <f t="shared" si="51"/>
        <v>0</v>
      </c>
      <c r="K375" s="7">
        <f t="shared" si="52"/>
        <v>72000</v>
      </c>
      <c r="L375" s="4">
        <v>0</v>
      </c>
      <c r="M375" s="7">
        <f t="shared" si="53"/>
        <v>72000</v>
      </c>
      <c r="N375" s="2" t="s">
        <v>21</v>
      </c>
      <c r="O375" t="s">
        <v>22</v>
      </c>
      <c r="P375" s="2" t="s">
        <v>2370</v>
      </c>
      <c r="Q375" s="2">
        <v>1</v>
      </c>
      <c r="R375" s="2" t="s">
        <v>23</v>
      </c>
      <c r="S375" s="2" t="str">
        <f t="shared" si="54"/>
        <v>Rendah</v>
      </c>
      <c r="T375" s="2" t="str">
        <f t="shared" si="55"/>
        <v>FALSE</v>
      </c>
      <c r="U375" s="2" t="str">
        <f t="shared" si="56"/>
        <v>FALSE</v>
      </c>
      <c r="V375" s="2" t="b">
        <f t="shared" si="57"/>
        <v>0</v>
      </c>
      <c r="W375" s="2" t="b">
        <f t="shared" si="58"/>
        <v>0</v>
      </c>
      <c r="X375" s="2" t="b">
        <f t="shared" si="59"/>
        <v>0</v>
      </c>
    </row>
    <row r="376" spans="1:24" ht="10.5" customHeight="1">
      <c r="A376" s="2" t="s">
        <v>657</v>
      </c>
      <c r="B376" s="3">
        <v>45733.824884259258</v>
      </c>
      <c r="C376" s="2" t="s">
        <v>279</v>
      </c>
      <c r="D376" s="2" t="s">
        <v>19</v>
      </c>
      <c r="E376" s="2" t="s">
        <v>20</v>
      </c>
      <c r="F376" s="4">
        <v>10000</v>
      </c>
      <c r="G376" s="5">
        <v>3</v>
      </c>
      <c r="H376" s="6">
        <v>0</v>
      </c>
      <c r="I376" s="7">
        <f t="shared" si="50"/>
        <v>30000</v>
      </c>
      <c r="J376" s="7">
        <f t="shared" si="51"/>
        <v>0</v>
      </c>
      <c r="K376" s="7">
        <f t="shared" si="52"/>
        <v>30000</v>
      </c>
      <c r="L376" s="4">
        <v>15000</v>
      </c>
      <c r="M376" s="7">
        <f t="shared" si="53"/>
        <v>45000</v>
      </c>
      <c r="N376" s="2" t="s">
        <v>28</v>
      </c>
      <c r="O376" t="s">
        <v>22</v>
      </c>
      <c r="P376" s="2" t="s">
        <v>2368</v>
      </c>
      <c r="Q376" s="2">
        <v>3</v>
      </c>
      <c r="R376" s="2" t="s">
        <v>23</v>
      </c>
      <c r="S376" s="2" t="str">
        <f t="shared" si="54"/>
        <v>Sangat Rendah</v>
      </c>
      <c r="T376" s="2" t="str">
        <f t="shared" si="55"/>
        <v>FALSE</v>
      </c>
      <c r="U376" s="2" t="str">
        <f t="shared" si="56"/>
        <v>FALSE</v>
      </c>
      <c r="V376" s="2" t="b">
        <f t="shared" si="57"/>
        <v>0</v>
      </c>
      <c r="W376" s="2" t="b">
        <f t="shared" si="58"/>
        <v>0</v>
      </c>
      <c r="X376" s="2" t="b">
        <f t="shared" si="59"/>
        <v>1</v>
      </c>
    </row>
    <row r="377" spans="1:24" ht="10.5" customHeight="1">
      <c r="A377" s="2" t="s">
        <v>658</v>
      </c>
      <c r="B377" s="3">
        <v>45734.199050925927</v>
      </c>
      <c r="C377" s="2" t="s">
        <v>659</v>
      </c>
      <c r="D377" s="2" t="s">
        <v>140</v>
      </c>
      <c r="E377" s="2" t="s">
        <v>75</v>
      </c>
      <c r="F377" s="4">
        <v>45000</v>
      </c>
      <c r="G377" s="5">
        <v>1.2</v>
      </c>
      <c r="H377" s="6">
        <v>0</v>
      </c>
      <c r="I377" s="7">
        <f t="shared" si="50"/>
        <v>54000</v>
      </c>
      <c r="J377" s="7">
        <f t="shared" si="51"/>
        <v>0</v>
      </c>
      <c r="K377" s="7">
        <f t="shared" si="52"/>
        <v>54000</v>
      </c>
      <c r="L377" s="4">
        <v>55000</v>
      </c>
      <c r="M377" s="7">
        <f t="shared" si="53"/>
        <v>109000</v>
      </c>
      <c r="N377" s="2" t="s">
        <v>28</v>
      </c>
      <c r="O377" t="s">
        <v>22</v>
      </c>
      <c r="P377" s="2" t="s">
        <v>2365</v>
      </c>
      <c r="Q377" s="2">
        <v>3</v>
      </c>
      <c r="R377" s="2" t="s">
        <v>23</v>
      </c>
      <c r="S377" s="2" t="str">
        <f t="shared" si="54"/>
        <v>Standar</v>
      </c>
      <c r="T377" s="2" t="str">
        <f t="shared" si="55"/>
        <v>FALSE</v>
      </c>
      <c r="U377" s="2" t="str">
        <f t="shared" si="56"/>
        <v>FALSE</v>
      </c>
      <c r="V377" s="2" t="b">
        <f t="shared" si="57"/>
        <v>0</v>
      </c>
      <c r="W377" s="2" t="b">
        <f t="shared" si="58"/>
        <v>0</v>
      </c>
      <c r="X377" s="2" t="b">
        <f t="shared" si="59"/>
        <v>0</v>
      </c>
    </row>
    <row r="378" spans="1:24" ht="10.5" customHeight="1">
      <c r="A378" s="2" t="s">
        <v>660</v>
      </c>
      <c r="B378" s="3">
        <v>45734.363159722219</v>
      </c>
      <c r="C378" s="2" t="s">
        <v>661</v>
      </c>
      <c r="D378" s="2" t="s">
        <v>150</v>
      </c>
      <c r="E378" s="2" t="s">
        <v>20</v>
      </c>
      <c r="F378" s="4">
        <v>10000</v>
      </c>
      <c r="G378" s="5">
        <v>3.3</v>
      </c>
      <c r="H378" s="6">
        <v>0</v>
      </c>
      <c r="I378" s="7">
        <f t="shared" si="50"/>
        <v>33000</v>
      </c>
      <c r="J378" s="7">
        <f t="shared" si="51"/>
        <v>0</v>
      </c>
      <c r="K378" s="7">
        <f t="shared" si="52"/>
        <v>33000</v>
      </c>
      <c r="L378" s="4">
        <v>68000</v>
      </c>
      <c r="M378" s="7">
        <f t="shared" si="53"/>
        <v>101000</v>
      </c>
      <c r="N378" s="2" t="s">
        <v>33</v>
      </c>
      <c r="O378" t="s">
        <v>69</v>
      </c>
      <c r="P378" s="2" t="s">
        <v>2367</v>
      </c>
      <c r="Q378" s="2">
        <v>2</v>
      </c>
      <c r="R378" s="2" t="s">
        <v>23</v>
      </c>
      <c r="S378" s="2" t="str">
        <f t="shared" si="54"/>
        <v>Standar</v>
      </c>
      <c r="T378" s="2" t="str">
        <f t="shared" si="55"/>
        <v>FALSE</v>
      </c>
      <c r="U378" s="2" t="str">
        <f t="shared" si="56"/>
        <v>FALSE</v>
      </c>
      <c r="V378" s="2" t="b">
        <f t="shared" si="57"/>
        <v>0</v>
      </c>
      <c r="W378" s="2" t="b">
        <f t="shared" si="58"/>
        <v>1</v>
      </c>
      <c r="X378" s="2" t="b">
        <f t="shared" si="59"/>
        <v>0</v>
      </c>
    </row>
    <row r="379" spans="1:24" ht="10.5" customHeight="1">
      <c r="A379" s="2" t="s">
        <v>662</v>
      </c>
      <c r="B379" s="3">
        <v>45735.558425925927</v>
      </c>
      <c r="C379" s="2" t="s">
        <v>558</v>
      </c>
      <c r="D379" s="2" t="s">
        <v>425</v>
      </c>
      <c r="E379" s="2" t="s">
        <v>161</v>
      </c>
      <c r="F379" s="4">
        <v>115000</v>
      </c>
      <c r="G379" s="5">
        <v>0.7</v>
      </c>
      <c r="H379" s="6">
        <v>0</v>
      </c>
      <c r="I379" s="7">
        <f t="shared" si="50"/>
        <v>80500</v>
      </c>
      <c r="J379" s="7">
        <f t="shared" si="51"/>
        <v>0</v>
      </c>
      <c r="K379" s="7">
        <f t="shared" si="52"/>
        <v>80500</v>
      </c>
      <c r="L379" s="4">
        <v>67000</v>
      </c>
      <c r="M379" s="7">
        <f t="shared" si="53"/>
        <v>147500</v>
      </c>
      <c r="N379" s="2" t="s">
        <v>28</v>
      </c>
      <c r="O379" t="s">
        <v>22</v>
      </c>
      <c r="P379" s="2" t="s">
        <v>2368</v>
      </c>
      <c r="Q379" s="2">
        <v>4</v>
      </c>
      <c r="R379" s="2" t="s">
        <v>23</v>
      </c>
      <c r="S379" s="2" t="str">
        <f t="shared" si="54"/>
        <v>Standar</v>
      </c>
      <c r="T379" s="2" t="str">
        <f t="shared" si="55"/>
        <v>FALSE</v>
      </c>
      <c r="U379" s="2" t="str">
        <f t="shared" si="56"/>
        <v>FALSE</v>
      </c>
      <c r="V379" s="2" t="b">
        <f t="shared" si="57"/>
        <v>0</v>
      </c>
      <c r="W379" s="2" t="b">
        <f t="shared" si="58"/>
        <v>0</v>
      </c>
      <c r="X379" s="2" t="b">
        <f t="shared" si="59"/>
        <v>0</v>
      </c>
    </row>
    <row r="380" spans="1:24" ht="10.5" customHeight="1">
      <c r="A380" s="2" t="s">
        <v>662</v>
      </c>
      <c r="B380" s="3">
        <v>45735.558425925927</v>
      </c>
      <c r="C380" s="2" t="s">
        <v>558</v>
      </c>
      <c r="D380" s="2" t="s">
        <v>425</v>
      </c>
      <c r="E380" s="2" t="s">
        <v>35</v>
      </c>
      <c r="F380" s="4">
        <v>13500</v>
      </c>
      <c r="G380" s="5">
        <v>1.5</v>
      </c>
      <c r="H380" s="6">
        <v>0</v>
      </c>
      <c r="I380" s="7">
        <f t="shared" si="50"/>
        <v>20250</v>
      </c>
      <c r="J380" s="7">
        <f t="shared" si="51"/>
        <v>0</v>
      </c>
      <c r="K380" s="7">
        <f t="shared" si="52"/>
        <v>20250</v>
      </c>
      <c r="L380" s="4">
        <v>0</v>
      </c>
      <c r="M380" s="7">
        <f t="shared" si="53"/>
        <v>20250</v>
      </c>
      <c r="N380" s="2" t="s">
        <v>28</v>
      </c>
      <c r="O380" t="s">
        <v>22</v>
      </c>
      <c r="P380" s="2" t="s">
        <v>2368</v>
      </c>
      <c r="Q380" s="2">
        <v>4</v>
      </c>
      <c r="R380" s="2" t="s">
        <v>23</v>
      </c>
      <c r="S380" s="2" t="str">
        <f t="shared" si="54"/>
        <v>Sangat Rendah</v>
      </c>
      <c r="T380" s="2" t="str">
        <f t="shared" si="55"/>
        <v>FALSE</v>
      </c>
      <c r="U380" s="2" t="str">
        <f t="shared" si="56"/>
        <v>FALSE</v>
      </c>
      <c r="V380" s="2" t="b">
        <f t="shared" si="57"/>
        <v>0</v>
      </c>
      <c r="W380" s="2" t="b">
        <f t="shared" si="58"/>
        <v>0</v>
      </c>
      <c r="X380" s="2" t="b">
        <f t="shared" si="59"/>
        <v>1</v>
      </c>
    </row>
    <row r="381" spans="1:24" ht="10.5" customHeight="1">
      <c r="A381" s="2" t="s">
        <v>663</v>
      </c>
      <c r="B381" s="3">
        <v>45735.609178240738</v>
      </c>
      <c r="C381" s="2" t="s">
        <v>406</v>
      </c>
      <c r="D381" s="2" t="s">
        <v>123</v>
      </c>
      <c r="E381" s="2" t="s">
        <v>75</v>
      </c>
      <c r="F381" s="4">
        <v>45000</v>
      </c>
      <c r="G381" s="5">
        <v>0.4</v>
      </c>
      <c r="H381" s="6">
        <v>0</v>
      </c>
      <c r="I381" s="7">
        <f t="shared" si="50"/>
        <v>18000</v>
      </c>
      <c r="J381" s="7">
        <f t="shared" si="51"/>
        <v>0</v>
      </c>
      <c r="K381" s="7">
        <f t="shared" si="52"/>
        <v>18000</v>
      </c>
      <c r="L381" s="4">
        <v>59000</v>
      </c>
      <c r="M381" s="7">
        <f t="shared" si="53"/>
        <v>77000</v>
      </c>
      <c r="N381" s="2" t="s">
        <v>28</v>
      </c>
      <c r="O381" t="s">
        <v>22</v>
      </c>
      <c r="P381" s="2" t="s">
        <v>2365</v>
      </c>
      <c r="Q381" s="2">
        <v>3</v>
      </c>
      <c r="R381" s="2" t="s">
        <v>23</v>
      </c>
      <c r="S381" s="2" t="str">
        <f t="shared" si="54"/>
        <v>Rendah</v>
      </c>
      <c r="T381" s="2" t="str">
        <f t="shared" si="55"/>
        <v>FALSE</v>
      </c>
      <c r="U381" s="2" t="str">
        <f t="shared" si="56"/>
        <v>FALSE</v>
      </c>
      <c r="V381" s="2" t="b">
        <f t="shared" si="57"/>
        <v>0</v>
      </c>
      <c r="W381" s="2" t="b">
        <f t="shared" si="58"/>
        <v>0</v>
      </c>
      <c r="X381" s="2" t="b">
        <f t="shared" si="59"/>
        <v>0</v>
      </c>
    </row>
    <row r="382" spans="1:24" ht="10.5" customHeight="1">
      <c r="A382" s="2" t="s">
        <v>664</v>
      </c>
      <c r="B382" s="3">
        <v>45735.718206018522</v>
      </c>
      <c r="C382" s="2" t="s">
        <v>510</v>
      </c>
      <c r="D382" s="2" t="s">
        <v>94</v>
      </c>
      <c r="E382" s="2" t="s">
        <v>102</v>
      </c>
      <c r="F382" s="4">
        <v>55000</v>
      </c>
      <c r="G382" s="5">
        <v>0.7</v>
      </c>
      <c r="H382" s="6">
        <v>0</v>
      </c>
      <c r="I382" s="7">
        <f t="shared" si="50"/>
        <v>38500</v>
      </c>
      <c r="J382" s="7">
        <f t="shared" si="51"/>
        <v>0</v>
      </c>
      <c r="K382" s="7">
        <f t="shared" si="52"/>
        <v>38500</v>
      </c>
      <c r="L382" s="4">
        <v>85000</v>
      </c>
      <c r="M382" s="7">
        <f t="shared" si="53"/>
        <v>123500</v>
      </c>
      <c r="N382" s="2" t="s">
        <v>21</v>
      </c>
      <c r="O382" t="s">
        <v>22</v>
      </c>
      <c r="P382" s="2" t="s">
        <v>2366</v>
      </c>
      <c r="Q382" s="2">
        <v>5</v>
      </c>
      <c r="R382" s="2" t="s">
        <v>23</v>
      </c>
      <c r="S382" s="2" t="str">
        <f t="shared" si="54"/>
        <v>Standar</v>
      </c>
      <c r="T382" s="2" t="str">
        <f t="shared" si="55"/>
        <v>FALSE</v>
      </c>
      <c r="U382" s="2" t="str">
        <f t="shared" si="56"/>
        <v>FALSE</v>
      </c>
      <c r="V382" s="2" t="b">
        <f t="shared" si="57"/>
        <v>0</v>
      </c>
      <c r="W382" s="2" t="b">
        <f t="shared" si="58"/>
        <v>0</v>
      </c>
      <c r="X382" s="2" t="b">
        <f t="shared" si="59"/>
        <v>0</v>
      </c>
    </row>
    <row r="383" spans="1:24" ht="10.5" customHeight="1">
      <c r="A383" s="2" t="s">
        <v>665</v>
      </c>
      <c r="B383" s="3">
        <v>45735.857118055559</v>
      </c>
      <c r="C383" s="2" t="s">
        <v>419</v>
      </c>
      <c r="D383" s="2" t="s">
        <v>167</v>
      </c>
      <c r="E383" s="2" t="s">
        <v>161</v>
      </c>
      <c r="F383" s="4">
        <v>115000</v>
      </c>
      <c r="G383" s="5">
        <v>0.5</v>
      </c>
      <c r="H383" s="6">
        <v>0</v>
      </c>
      <c r="I383" s="7">
        <f t="shared" si="50"/>
        <v>57500</v>
      </c>
      <c r="J383" s="7">
        <f t="shared" si="51"/>
        <v>0</v>
      </c>
      <c r="K383" s="7">
        <f t="shared" si="52"/>
        <v>57500</v>
      </c>
      <c r="L383" s="4">
        <v>56000</v>
      </c>
      <c r="M383" s="7">
        <f t="shared" si="53"/>
        <v>113500</v>
      </c>
      <c r="N383" s="2" t="s">
        <v>33</v>
      </c>
      <c r="O383" t="s">
        <v>69</v>
      </c>
      <c r="P383" s="2" t="s">
        <v>2367</v>
      </c>
      <c r="Q383" s="2">
        <v>3</v>
      </c>
      <c r="R383" s="2" t="s">
        <v>34</v>
      </c>
      <c r="S383" s="2" t="str">
        <f t="shared" si="54"/>
        <v>Standar</v>
      </c>
      <c r="T383" s="2" t="str">
        <f t="shared" si="55"/>
        <v>FALSE</v>
      </c>
      <c r="U383" s="2" t="str">
        <f t="shared" si="56"/>
        <v>FALSE</v>
      </c>
      <c r="V383" s="2" t="b">
        <f t="shared" si="57"/>
        <v>0</v>
      </c>
      <c r="W383" s="2" t="b">
        <f t="shared" si="58"/>
        <v>1</v>
      </c>
      <c r="X383" s="2" t="b">
        <f t="shared" si="59"/>
        <v>0</v>
      </c>
    </row>
    <row r="384" spans="1:24" ht="10.5" customHeight="1">
      <c r="A384" s="2" t="s">
        <v>666</v>
      </c>
      <c r="B384" s="3">
        <v>45736.234710648147</v>
      </c>
      <c r="C384" s="2" t="s">
        <v>332</v>
      </c>
      <c r="D384" s="2" t="s">
        <v>123</v>
      </c>
      <c r="E384" s="2" t="s">
        <v>102</v>
      </c>
      <c r="F384" s="4">
        <v>55000</v>
      </c>
      <c r="G384" s="5">
        <v>1.3</v>
      </c>
      <c r="H384" s="6">
        <v>0</v>
      </c>
      <c r="I384" s="7">
        <f t="shared" si="50"/>
        <v>71500</v>
      </c>
      <c r="J384" s="7">
        <f t="shared" si="51"/>
        <v>0</v>
      </c>
      <c r="K384" s="7">
        <f t="shared" si="52"/>
        <v>71500</v>
      </c>
      <c r="L384" s="4">
        <v>59000</v>
      </c>
      <c r="M384" s="7">
        <f t="shared" si="53"/>
        <v>130500</v>
      </c>
      <c r="N384" s="2" t="s">
        <v>21</v>
      </c>
      <c r="O384" t="s">
        <v>22</v>
      </c>
      <c r="P384" s="2" t="s">
        <v>2365</v>
      </c>
      <c r="Q384" s="2">
        <v>5</v>
      </c>
      <c r="R384" s="2" t="s">
        <v>34</v>
      </c>
      <c r="S384" s="2" t="str">
        <f t="shared" si="54"/>
        <v>Standar</v>
      </c>
      <c r="T384" s="2" t="str">
        <f t="shared" si="55"/>
        <v>FALSE</v>
      </c>
      <c r="U384" s="2" t="str">
        <f t="shared" si="56"/>
        <v>FALSE</v>
      </c>
      <c r="V384" s="2" t="b">
        <f t="shared" si="57"/>
        <v>0</v>
      </c>
      <c r="W384" s="2" t="b">
        <f t="shared" si="58"/>
        <v>0</v>
      </c>
      <c r="X384" s="2" t="b">
        <f t="shared" si="59"/>
        <v>0</v>
      </c>
    </row>
    <row r="385" spans="1:24" ht="10.5" customHeight="1">
      <c r="A385" s="2" t="s">
        <v>667</v>
      </c>
      <c r="B385" s="3">
        <v>45736.627986111111</v>
      </c>
      <c r="C385" s="2" t="s">
        <v>392</v>
      </c>
      <c r="D385" s="2" t="s">
        <v>153</v>
      </c>
      <c r="E385" s="2" t="s">
        <v>80</v>
      </c>
      <c r="F385" s="4">
        <v>15000</v>
      </c>
      <c r="G385" s="5">
        <v>2.2999999999999998</v>
      </c>
      <c r="H385" s="6">
        <v>0</v>
      </c>
      <c r="I385" s="7">
        <f t="shared" si="50"/>
        <v>34500</v>
      </c>
      <c r="J385" s="7">
        <f t="shared" si="51"/>
        <v>0</v>
      </c>
      <c r="K385" s="7">
        <f t="shared" si="52"/>
        <v>34500</v>
      </c>
      <c r="L385" s="4">
        <v>50000</v>
      </c>
      <c r="M385" s="7">
        <f t="shared" si="53"/>
        <v>84500</v>
      </c>
      <c r="N385" s="2" t="s">
        <v>58</v>
      </c>
      <c r="O385" t="s">
        <v>22</v>
      </c>
      <c r="P385" s="2" t="s">
        <v>2368</v>
      </c>
      <c r="Q385" s="2">
        <v>4</v>
      </c>
      <c r="R385" s="2" t="s">
        <v>23</v>
      </c>
      <c r="S385" s="2" t="str">
        <f t="shared" si="54"/>
        <v>Rendah</v>
      </c>
      <c r="T385" s="2" t="str">
        <f t="shared" si="55"/>
        <v>FALSE</v>
      </c>
      <c r="U385" s="2" t="str">
        <f t="shared" si="56"/>
        <v>FALSE</v>
      </c>
      <c r="V385" s="2" t="b">
        <f t="shared" si="57"/>
        <v>0</v>
      </c>
      <c r="W385" s="2" t="b">
        <f t="shared" si="58"/>
        <v>0</v>
      </c>
      <c r="X385" s="2" t="b">
        <f t="shared" si="59"/>
        <v>0</v>
      </c>
    </row>
    <row r="386" spans="1:24" ht="10.5" customHeight="1">
      <c r="A386" s="2" t="s">
        <v>668</v>
      </c>
      <c r="B386" s="3">
        <v>45736.724618055552</v>
      </c>
      <c r="C386" s="2" t="s">
        <v>591</v>
      </c>
      <c r="D386" s="2" t="s">
        <v>111</v>
      </c>
      <c r="E386" s="2" t="s">
        <v>170</v>
      </c>
      <c r="F386" s="4">
        <v>12000</v>
      </c>
      <c r="G386" s="5">
        <v>0.9</v>
      </c>
      <c r="H386" s="6">
        <v>0</v>
      </c>
      <c r="I386" s="7">
        <f t="shared" si="50"/>
        <v>10800</v>
      </c>
      <c r="J386" s="7">
        <f t="shared" si="51"/>
        <v>0</v>
      </c>
      <c r="K386" s="7">
        <f t="shared" si="52"/>
        <v>10800</v>
      </c>
      <c r="L386" s="4">
        <v>0</v>
      </c>
      <c r="M386" s="7">
        <f t="shared" si="53"/>
        <v>10800</v>
      </c>
      <c r="N386" s="2" t="s">
        <v>33</v>
      </c>
      <c r="O386" t="s">
        <v>22</v>
      </c>
      <c r="P386" s="2" t="s">
        <v>2366</v>
      </c>
      <c r="Q386" s="2">
        <v>4</v>
      </c>
      <c r="R386" s="2" t="s">
        <v>23</v>
      </c>
      <c r="S386" s="2" t="str">
        <f t="shared" si="54"/>
        <v>Sangat Rendah</v>
      </c>
      <c r="T386" s="2" t="str">
        <f t="shared" si="55"/>
        <v>FALSE</v>
      </c>
      <c r="U386" s="2" t="str">
        <f t="shared" si="56"/>
        <v>FALSE</v>
      </c>
      <c r="V386" s="2" t="b">
        <f t="shared" si="57"/>
        <v>0</v>
      </c>
      <c r="W386" s="2" t="b">
        <f t="shared" si="58"/>
        <v>0</v>
      </c>
      <c r="X386" s="2" t="b">
        <f t="shared" si="59"/>
        <v>1</v>
      </c>
    </row>
    <row r="387" spans="1:24" ht="10.5" customHeight="1">
      <c r="A387" s="2" t="s">
        <v>669</v>
      </c>
      <c r="B387" s="3">
        <v>45738.534143518518</v>
      </c>
      <c r="C387" s="2" t="s">
        <v>104</v>
      </c>
      <c r="D387" s="2" t="s">
        <v>105</v>
      </c>
      <c r="E387" s="2" t="s">
        <v>143</v>
      </c>
      <c r="F387" s="4">
        <v>10000</v>
      </c>
      <c r="G387" s="5">
        <v>0.3</v>
      </c>
      <c r="H387" s="6">
        <v>0</v>
      </c>
      <c r="I387" s="7">
        <f t="shared" si="50"/>
        <v>3000</v>
      </c>
      <c r="J387" s="7">
        <f t="shared" si="51"/>
        <v>0</v>
      </c>
      <c r="K387" s="7">
        <f t="shared" si="52"/>
        <v>3000</v>
      </c>
      <c r="L387" s="4">
        <v>18000</v>
      </c>
      <c r="M387" s="7">
        <f t="shared" si="53"/>
        <v>21000</v>
      </c>
      <c r="N387" s="2" t="s">
        <v>33</v>
      </c>
      <c r="O387" t="s">
        <v>22</v>
      </c>
      <c r="P387" s="2" t="s">
        <v>2366</v>
      </c>
      <c r="Q387" s="2">
        <v>2</v>
      </c>
      <c r="R387" s="2" t="s">
        <v>23</v>
      </c>
      <c r="S387" s="2" t="str">
        <f t="shared" si="54"/>
        <v>Sangat Rendah</v>
      </c>
      <c r="T387" s="2" t="str">
        <f t="shared" si="55"/>
        <v>FALSE</v>
      </c>
      <c r="U387" s="2" t="str">
        <f t="shared" si="56"/>
        <v>TRUE</v>
      </c>
      <c r="V387" s="2" t="b">
        <f t="shared" si="57"/>
        <v>0</v>
      </c>
      <c r="W387" s="2" t="b">
        <f t="shared" si="58"/>
        <v>0</v>
      </c>
      <c r="X387" s="2" t="b">
        <f t="shared" si="59"/>
        <v>1</v>
      </c>
    </row>
    <row r="388" spans="1:24" ht="10.5" customHeight="1">
      <c r="A388" s="2" t="s">
        <v>670</v>
      </c>
      <c r="B388" s="3">
        <v>45738.599247685182</v>
      </c>
      <c r="C388" s="2" t="s">
        <v>671</v>
      </c>
      <c r="D388" s="2" t="s">
        <v>252</v>
      </c>
      <c r="E388" s="2" t="s">
        <v>41</v>
      </c>
      <c r="F388" s="4">
        <v>40000</v>
      </c>
      <c r="G388" s="5">
        <v>0.7</v>
      </c>
      <c r="H388" s="6">
        <v>0</v>
      </c>
      <c r="I388" s="7">
        <f t="shared" ref="I388:I451" si="60">F388*G388</f>
        <v>28000</v>
      </c>
      <c r="J388" s="7">
        <f t="shared" ref="J388:J451" si="61">I388*(H388/100)</f>
        <v>0</v>
      </c>
      <c r="K388" s="7">
        <f t="shared" ref="K388:K451" si="62">I388-J388</f>
        <v>28000</v>
      </c>
      <c r="L388" s="4">
        <v>18000</v>
      </c>
      <c r="M388" s="7">
        <f t="shared" ref="M388:M451" si="63">K388+L388</f>
        <v>46000</v>
      </c>
      <c r="N388" s="2" t="s">
        <v>33</v>
      </c>
      <c r="O388" t="s">
        <v>22</v>
      </c>
      <c r="P388" s="2" t="s">
        <v>2368</v>
      </c>
      <c r="Q388" s="2">
        <v>5</v>
      </c>
      <c r="R388" s="2" t="s">
        <v>23</v>
      </c>
      <c r="S388" s="2" t="str">
        <f t="shared" ref="S388:S451" si="64">IF(M388&lt;=50000,"Sangat Rendah",IF(M388&lt;=100000,"Rendah",IF(M388&lt;=150000,"Standar",IF(M388&lt;=200000,"Tinggi","Sangat Tinggi"))))</f>
        <v>Sangat Rendah</v>
      </c>
      <c r="T388" s="2" t="str">
        <f t="shared" ref="T388:T451" si="65">IF(AND(S388="Rendah",D388="Yogyakarta"),"TRUE","FALSE")</f>
        <v>FALSE</v>
      </c>
      <c r="U388" s="2" t="str">
        <f t="shared" ref="U388:U451" si="66">IF(OR(S388="Tinggi",E388="Bayam"),"TRUE","FALSE")</f>
        <v>FALSE</v>
      </c>
      <c r="V388" s="2" t="b">
        <f t="shared" ref="V388:V451" si="67">IF(AND(S388="Standar",N388="Transef Bank"),TRUE,FALSE)</f>
        <v>0</v>
      </c>
      <c r="W388" s="2" t="b">
        <f t="shared" ref="W388:W451" si="68">IF(OR(S388="Sangat Tinggi",P388="FoodMart"),TRUE,FALSE)</f>
        <v>0</v>
      </c>
      <c r="X388" s="2" t="b">
        <f t="shared" ref="X388:X451" si="69">IF(AND(S388="Sangat Rendah",R388="Perempuan"),TRUE,FALSE)</f>
        <v>1</v>
      </c>
    </row>
    <row r="389" spans="1:24" ht="10.5" customHeight="1">
      <c r="A389" s="2" t="s">
        <v>672</v>
      </c>
      <c r="B389" s="3">
        <v>45739.794756944437</v>
      </c>
      <c r="C389" s="2" t="s">
        <v>673</v>
      </c>
      <c r="D389" s="2" t="s">
        <v>26</v>
      </c>
      <c r="E389" s="2" t="s">
        <v>170</v>
      </c>
      <c r="F389" s="4">
        <v>12000</v>
      </c>
      <c r="G389" s="5">
        <v>1.2</v>
      </c>
      <c r="H389" s="6">
        <v>0</v>
      </c>
      <c r="I389" s="7">
        <f t="shared" si="60"/>
        <v>14400</v>
      </c>
      <c r="J389" s="7">
        <f t="shared" si="61"/>
        <v>0</v>
      </c>
      <c r="K389" s="7">
        <f t="shared" si="62"/>
        <v>14400</v>
      </c>
      <c r="L389" s="4">
        <v>17000</v>
      </c>
      <c r="M389" s="7">
        <f t="shared" si="63"/>
        <v>31400</v>
      </c>
      <c r="N389" s="2" t="s">
        <v>33</v>
      </c>
      <c r="O389" t="s">
        <v>69</v>
      </c>
      <c r="P389" s="2" t="s">
        <v>2366</v>
      </c>
      <c r="Q389" s="2">
        <v>1</v>
      </c>
      <c r="R389" s="2" t="s">
        <v>34</v>
      </c>
      <c r="S389" s="2" t="str">
        <f t="shared" si="64"/>
        <v>Sangat Rendah</v>
      </c>
      <c r="T389" s="2" t="str">
        <f t="shared" si="65"/>
        <v>FALSE</v>
      </c>
      <c r="U389" s="2" t="str">
        <f t="shared" si="66"/>
        <v>FALSE</v>
      </c>
      <c r="V389" s="2" t="b">
        <f t="shared" si="67"/>
        <v>0</v>
      </c>
      <c r="W389" s="2" t="b">
        <f t="shared" si="68"/>
        <v>0</v>
      </c>
      <c r="X389" s="2" t="b">
        <f t="shared" si="69"/>
        <v>0</v>
      </c>
    </row>
    <row r="390" spans="1:24" ht="10.5" customHeight="1">
      <c r="A390" s="2" t="s">
        <v>674</v>
      </c>
      <c r="B390" s="3">
        <v>45739.943206018521</v>
      </c>
      <c r="C390" s="2" t="s">
        <v>392</v>
      </c>
      <c r="D390" s="2" t="s">
        <v>153</v>
      </c>
      <c r="E390" s="2" t="s">
        <v>80</v>
      </c>
      <c r="F390" s="4">
        <v>15000</v>
      </c>
      <c r="G390" s="5">
        <v>1</v>
      </c>
      <c r="H390" s="6">
        <v>0</v>
      </c>
      <c r="I390" s="7">
        <f t="shared" si="60"/>
        <v>15000</v>
      </c>
      <c r="J390" s="7">
        <f t="shared" si="61"/>
        <v>0</v>
      </c>
      <c r="K390" s="7">
        <f t="shared" si="62"/>
        <v>15000</v>
      </c>
      <c r="L390" s="4">
        <v>50000</v>
      </c>
      <c r="M390" s="7">
        <f t="shared" si="63"/>
        <v>65000</v>
      </c>
      <c r="N390" s="2" t="s">
        <v>33</v>
      </c>
      <c r="O390" t="s">
        <v>22</v>
      </c>
      <c r="P390" s="2" t="s">
        <v>2368</v>
      </c>
      <c r="Q390" s="2">
        <v>3</v>
      </c>
      <c r="R390" s="2" t="s">
        <v>23</v>
      </c>
      <c r="S390" s="2" t="str">
        <f t="shared" si="64"/>
        <v>Rendah</v>
      </c>
      <c r="T390" s="2" t="str">
        <f t="shared" si="65"/>
        <v>FALSE</v>
      </c>
      <c r="U390" s="2" t="str">
        <f t="shared" si="66"/>
        <v>FALSE</v>
      </c>
      <c r="V390" s="2" t="b">
        <f t="shared" si="67"/>
        <v>0</v>
      </c>
      <c r="W390" s="2" t="b">
        <f t="shared" si="68"/>
        <v>0</v>
      </c>
      <c r="X390" s="2" t="b">
        <f t="shared" si="69"/>
        <v>0</v>
      </c>
    </row>
    <row r="391" spans="1:24" ht="10.5" customHeight="1">
      <c r="A391" s="2" t="s">
        <v>675</v>
      </c>
      <c r="B391" s="3">
        <v>45740.113935185182</v>
      </c>
      <c r="C391" s="2" t="s">
        <v>485</v>
      </c>
      <c r="D391" s="2" t="s">
        <v>40</v>
      </c>
      <c r="E391" s="2" t="s">
        <v>53</v>
      </c>
      <c r="F391" s="4">
        <v>14000</v>
      </c>
      <c r="G391" s="5">
        <v>1.3</v>
      </c>
      <c r="H391" s="6">
        <v>0</v>
      </c>
      <c r="I391" s="7">
        <f t="shared" si="60"/>
        <v>18200</v>
      </c>
      <c r="J391" s="7">
        <f t="shared" si="61"/>
        <v>0</v>
      </c>
      <c r="K391" s="7">
        <f t="shared" si="62"/>
        <v>18200</v>
      </c>
      <c r="L391" s="4">
        <v>93000</v>
      </c>
      <c r="M391" s="7">
        <f t="shared" si="63"/>
        <v>111200</v>
      </c>
      <c r="N391" s="2" t="s">
        <v>33</v>
      </c>
      <c r="O391" t="s">
        <v>22</v>
      </c>
      <c r="P391" s="2" t="s">
        <v>2367</v>
      </c>
      <c r="Q391" s="2">
        <v>3</v>
      </c>
      <c r="R391" s="2" t="s">
        <v>34</v>
      </c>
      <c r="S391" s="2" t="str">
        <f t="shared" si="64"/>
        <v>Standar</v>
      </c>
      <c r="T391" s="2" t="str">
        <f t="shared" si="65"/>
        <v>FALSE</v>
      </c>
      <c r="U391" s="2" t="str">
        <f t="shared" si="66"/>
        <v>FALSE</v>
      </c>
      <c r="V391" s="2" t="b">
        <f t="shared" si="67"/>
        <v>0</v>
      </c>
      <c r="W391" s="2" t="b">
        <f t="shared" si="68"/>
        <v>1</v>
      </c>
      <c r="X391" s="2" t="b">
        <f t="shared" si="69"/>
        <v>0</v>
      </c>
    </row>
    <row r="392" spans="1:24" ht="10.5" customHeight="1">
      <c r="A392" s="2" t="s">
        <v>676</v>
      </c>
      <c r="B392" s="3">
        <v>45740.423854166656</v>
      </c>
      <c r="C392" s="2" t="s">
        <v>469</v>
      </c>
      <c r="D392" s="2" t="s">
        <v>98</v>
      </c>
      <c r="E392" s="2" t="s">
        <v>161</v>
      </c>
      <c r="F392" s="4">
        <v>115000</v>
      </c>
      <c r="G392" s="5">
        <v>0.3</v>
      </c>
      <c r="H392" s="6">
        <v>0</v>
      </c>
      <c r="I392" s="7">
        <f t="shared" si="60"/>
        <v>34500</v>
      </c>
      <c r="J392" s="7">
        <f t="shared" si="61"/>
        <v>0</v>
      </c>
      <c r="K392" s="7">
        <f t="shared" si="62"/>
        <v>34500</v>
      </c>
      <c r="L392" s="4">
        <v>97000</v>
      </c>
      <c r="M392" s="7">
        <f t="shared" si="63"/>
        <v>131500</v>
      </c>
      <c r="N392" s="2" t="s">
        <v>58</v>
      </c>
      <c r="O392" t="s">
        <v>115</v>
      </c>
      <c r="P392" s="2" t="s">
        <v>2368</v>
      </c>
      <c r="Q392" s="2">
        <v>2</v>
      </c>
      <c r="R392" s="2" t="s">
        <v>34</v>
      </c>
      <c r="S392" s="2" t="str">
        <f t="shared" si="64"/>
        <v>Standar</v>
      </c>
      <c r="T392" s="2" t="str">
        <f t="shared" si="65"/>
        <v>FALSE</v>
      </c>
      <c r="U392" s="2" t="str">
        <f t="shared" si="66"/>
        <v>FALSE</v>
      </c>
      <c r="V392" s="2" t="b">
        <f t="shared" si="67"/>
        <v>0</v>
      </c>
      <c r="W392" s="2" t="b">
        <f t="shared" si="68"/>
        <v>0</v>
      </c>
      <c r="X392" s="2" t="b">
        <f t="shared" si="69"/>
        <v>0</v>
      </c>
    </row>
    <row r="393" spans="1:24" ht="10.5" customHeight="1">
      <c r="A393" s="2" t="s">
        <v>677</v>
      </c>
      <c r="B393" s="3">
        <v>45740.50681712963</v>
      </c>
      <c r="C393" s="2" t="s">
        <v>678</v>
      </c>
      <c r="D393" s="2" t="s">
        <v>84</v>
      </c>
      <c r="E393" s="2" t="s">
        <v>143</v>
      </c>
      <c r="F393" s="4">
        <v>10000</v>
      </c>
      <c r="G393" s="5">
        <v>0.4</v>
      </c>
      <c r="H393" s="6">
        <v>0</v>
      </c>
      <c r="I393" s="7">
        <f t="shared" si="60"/>
        <v>4000</v>
      </c>
      <c r="J393" s="7">
        <f t="shared" si="61"/>
        <v>0</v>
      </c>
      <c r="K393" s="7">
        <f t="shared" si="62"/>
        <v>4000</v>
      </c>
      <c r="L393" s="4">
        <v>30000</v>
      </c>
      <c r="M393" s="7">
        <f t="shared" si="63"/>
        <v>34000</v>
      </c>
      <c r="N393" s="2" t="s">
        <v>21</v>
      </c>
      <c r="O393" t="s">
        <v>22</v>
      </c>
      <c r="P393" s="2" t="s">
        <v>2368</v>
      </c>
      <c r="Q393" s="2">
        <v>3</v>
      </c>
      <c r="R393" s="2" t="s">
        <v>23</v>
      </c>
      <c r="S393" s="2" t="str">
        <f t="shared" si="64"/>
        <v>Sangat Rendah</v>
      </c>
      <c r="T393" s="2" t="str">
        <f t="shared" si="65"/>
        <v>FALSE</v>
      </c>
      <c r="U393" s="2" t="str">
        <f t="shared" si="66"/>
        <v>TRUE</v>
      </c>
      <c r="V393" s="2" t="b">
        <f t="shared" si="67"/>
        <v>0</v>
      </c>
      <c r="W393" s="2" t="b">
        <f t="shared" si="68"/>
        <v>0</v>
      </c>
      <c r="X393" s="2" t="b">
        <f t="shared" si="69"/>
        <v>1</v>
      </c>
    </row>
    <row r="394" spans="1:24" ht="10.5" customHeight="1">
      <c r="A394" s="2" t="s">
        <v>679</v>
      </c>
      <c r="B394" s="3">
        <v>45741.088287037041</v>
      </c>
      <c r="C394" s="2" t="s">
        <v>680</v>
      </c>
      <c r="D394" s="2" t="s">
        <v>164</v>
      </c>
      <c r="E394" s="2" t="s">
        <v>32</v>
      </c>
      <c r="F394" s="4">
        <v>20000</v>
      </c>
      <c r="G394" s="5">
        <v>2.6</v>
      </c>
      <c r="H394" s="6">
        <v>5</v>
      </c>
      <c r="I394" s="7">
        <f t="shared" si="60"/>
        <v>52000</v>
      </c>
      <c r="J394" s="7">
        <f t="shared" si="61"/>
        <v>2600</v>
      </c>
      <c r="K394" s="7">
        <f t="shared" si="62"/>
        <v>49400</v>
      </c>
      <c r="L394" s="4">
        <v>49000</v>
      </c>
      <c r="M394" s="7">
        <f t="shared" si="63"/>
        <v>98400</v>
      </c>
      <c r="N394" s="2" t="s">
        <v>21</v>
      </c>
      <c r="O394" t="s">
        <v>69</v>
      </c>
      <c r="P394" s="2" t="s">
        <v>2366</v>
      </c>
      <c r="Q394" s="2">
        <v>3</v>
      </c>
      <c r="R394" s="2" t="s">
        <v>34</v>
      </c>
      <c r="S394" s="2" t="str">
        <f t="shared" si="64"/>
        <v>Rendah</v>
      </c>
      <c r="T394" s="2" t="str">
        <f t="shared" si="65"/>
        <v>FALSE</v>
      </c>
      <c r="U394" s="2" t="str">
        <f t="shared" si="66"/>
        <v>FALSE</v>
      </c>
      <c r="V394" s="2" t="b">
        <f t="shared" si="67"/>
        <v>0</v>
      </c>
      <c r="W394" s="2" t="b">
        <f t="shared" si="68"/>
        <v>0</v>
      </c>
      <c r="X394" s="2" t="b">
        <f t="shared" si="69"/>
        <v>0</v>
      </c>
    </row>
    <row r="395" spans="1:24" ht="10.5" customHeight="1">
      <c r="A395" s="2" t="s">
        <v>681</v>
      </c>
      <c r="B395" s="3">
        <v>45741.353182870371</v>
      </c>
      <c r="C395" s="2" t="s">
        <v>671</v>
      </c>
      <c r="D395" s="2" t="s">
        <v>252</v>
      </c>
      <c r="E395" s="2" t="s">
        <v>99</v>
      </c>
      <c r="F395" s="4">
        <v>10000</v>
      </c>
      <c r="G395" s="5">
        <v>1.4</v>
      </c>
      <c r="H395" s="6">
        <v>5</v>
      </c>
      <c r="I395" s="7">
        <f t="shared" si="60"/>
        <v>14000</v>
      </c>
      <c r="J395" s="7">
        <f t="shared" si="61"/>
        <v>700</v>
      </c>
      <c r="K395" s="7">
        <f t="shared" si="62"/>
        <v>13300</v>
      </c>
      <c r="L395" s="4">
        <v>18000</v>
      </c>
      <c r="M395" s="7">
        <f t="shared" si="63"/>
        <v>31300</v>
      </c>
      <c r="N395" s="2" t="s">
        <v>58</v>
      </c>
      <c r="O395" t="s">
        <v>22</v>
      </c>
      <c r="P395" s="2" t="s">
        <v>2365</v>
      </c>
      <c r="Q395" s="2">
        <v>4</v>
      </c>
      <c r="R395" s="2" t="s">
        <v>23</v>
      </c>
      <c r="S395" s="2" t="str">
        <f t="shared" si="64"/>
        <v>Sangat Rendah</v>
      </c>
      <c r="T395" s="2" t="str">
        <f t="shared" si="65"/>
        <v>FALSE</v>
      </c>
      <c r="U395" s="2" t="str">
        <f t="shared" si="66"/>
        <v>FALSE</v>
      </c>
      <c r="V395" s="2" t="b">
        <f t="shared" si="67"/>
        <v>0</v>
      </c>
      <c r="W395" s="2" t="b">
        <f t="shared" si="68"/>
        <v>0</v>
      </c>
      <c r="X395" s="2" t="b">
        <f t="shared" si="69"/>
        <v>1</v>
      </c>
    </row>
    <row r="396" spans="1:24" ht="10.5" customHeight="1">
      <c r="A396" s="2" t="s">
        <v>682</v>
      </c>
      <c r="B396" s="3">
        <v>45741.427233796298</v>
      </c>
      <c r="C396" s="2" t="s">
        <v>683</v>
      </c>
      <c r="D396" s="2" t="s">
        <v>111</v>
      </c>
      <c r="E396" s="2" t="s">
        <v>41</v>
      </c>
      <c r="F396" s="4">
        <v>40000</v>
      </c>
      <c r="G396" s="5">
        <v>1.2</v>
      </c>
      <c r="H396" s="6">
        <v>5</v>
      </c>
      <c r="I396" s="7">
        <f t="shared" si="60"/>
        <v>48000</v>
      </c>
      <c r="J396" s="7">
        <f t="shared" si="61"/>
        <v>2400</v>
      </c>
      <c r="K396" s="7">
        <f t="shared" si="62"/>
        <v>45600</v>
      </c>
      <c r="L396" s="4">
        <v>0</v>
      </c>
      <c r="M396" s="7">
        <f t="shared" si="63"/>
        <v>45600</v>
      </c>
      <c r="N396" s="2" t="s">
        <v>28</v>
      </c>
      <c r="O396" t="s">
        <v>69</v>
      </c>
      <c r="P396" s="2" t="s">
        <v>2365</v>
      </c>
      <c r="Q396" s="2">
        <v>1</v>
      </c>
      <c r="R396" s="2" t="s">
        <v>23</v>
      </c>
      <c r="S396" s="2" t="str">
        <f t="shared" si="64"/>
        <v>Sangat Rendah</v>
      </c>
      <c r="T396" s="2" t="str">
        <f t="shared" si="65"/>
        <v>FALSE</v>
      </c>
      <c r="U396" s="2" t="str">
        <f t="shared" si="66"/>
        <v>FALSE</v>
      </c>
      <c r="V396" s="2" t="b">
        <f t="shared" si="67"/>
        <v>0</v>
      </c>
      <c r="W396" s="2" t="b">
        <f t="shared" si="68"/>
        <v>0</v>
      </c>
      <c r="X396" s="2" t="b">
        <f t="shared" si="69"/>
        <v>1</v>
      </c>
    </row>
    <row r="397" spans="1:24" ht="10.5" customHeight="1">
      <c r="A397" s="2" t="s">
        <v>682</v>
      </c>
      <c r="B397" s="3">
        <v>45741.427233796298</v>
      </c>
      <c r="C397" s="2" t="s">
        <v>683</v>
      </c>
      <c r="D397" s="2" t="s">
        <v>111</v>
      </c>
      <c r="E397" s="2" t="s">
        <v>35</v>
      </c>
      <c r="F397" s="4">
        <v>13500</v>
      </c>
      <c r="G397" s="5">
        <v>0.5</v>
      </c>
      <c r="H397" s="6">
        <v>5</v>
      </c>
      <c r="I397" s="7">
        <f t="shared" si="60"/>
        <v>6750</v>
      </c>
      <c r="J397" s="7">
        <f t="shared" si="61"/>
        <v>337.5</v>
      </c>
      <c r="K397" s="7">
        <f t="shared" si="62"/>
        <v>6412.5</v>
      </c>
      <c r="L397" s="4">
        <v>0</v>
      </c>
      <c r="M397" s="7">
        <f t="shared" si="63"/>
        <v>6412.5</v>
      </c>
      <c r="N397" s="2" t="s">
        <v>28</v>
      </c>
      <c r="O397" t="s">
        <v>69</v>
      </c>
      <c r="P397" s="2" t="s">
        <v>2365</v>
      </c>
      <c r="Q397" s="2">
        <v>1</v>
      </c>
      <c r="R397" s="2" t="s">
        <v>23</v>
      </c>
      <c r="S397" s="2" t="str">
        <f t="shared" si="64"/>
        <v>Sangat Rendah</v>
      </c>
      <c r="T397" s="2" t="str">
        <f t="shared" si="65"/>
        <v>FALSE</v>
      </c>
      <c r="U397" s="2" t="str">
        <f t="shared" si="66"/>
        <v>FALSE</v>
      </c>
      <c r="V397" s="2" t="b">
        <f t="shared" si="67"/>
        <v>0</v>
      </c>
      <c r="W397" s="2" t="b">
        <f t="shared" si="68"/>
        <v>0</v>
      </c>
      <c r="X397" s="2" t="b">
        <f t="shared" si="69"/>
        <v>1</v>
      </c>
    </row>
    <row r="398" spans="1:24" ht="10.5" customHeight="1">
      <c r="A398" s="2" t="s">
        <v>684</v>
      </c>
      <c r="B398" s="3">
        <v>45741.466168981482</v>
      </c>
      <c r="C398" s="2" t="s">
        <v>685</v>
      </c>
      <c r="D398" s="2" t="s">
        <v>111</v>
      </c>
      <c r="E398" s="2" t="s">
        <v>95</v>
      </c>
      <c r="F398" s="4">
        <v>9500</v>
      </c>
      <c r="G398" s="5">
        <v>0.7</v>
      </c>
      <c r="H398" s="6">
        <v>5</v>
      </c>
      <c r="I398" s="7">
        <f t="shared" si="60"/>
        <v>6650</v>
      </c>
      <c r="J398" s="7">
        <f t="shared" si="61"/>
        <v>332.5</v>
      </c>
      <c r="K398" s="7">
        <f t="shared" si="62"/>
        <v>6317.5</v>
      </c>
      <c r="L398" s="4">
        <v>0</v>
      </c>
      <c r="M398" s="7">
        <f t="shared" si="63"/>
        <v>6317.5</v>
      </c>
      <c r="N398" s="2" t="s">
        <v>28</v>
      </c>
      <c r="O398" t="s">
        <v>22</v>
      </c>
      <c r="P398" s="2" t="s">
        <v>2368</v>
      </c>
      <c r="Q398" s="2">
        <v>5</v>
      </c>
      <c r="R398" s="2" t="s">
        <v>23</v>
      </c>
      <c r="S398" s="2" t="str">
        <f t="shared" si="64"/>
        <v>Sangat Rendah</v>
      </c>
      <c r="T398" s="2" t="str">
        <f t="shared" si="65"/>
        <v>FALSE</v>
      </c>
      <c r="U398" s="2" t="str">
        <f t="shared" si="66"/>
        <v>FALSE</v>
      </c>
      <c r="V398" s="2" t="b">
        <f t="shared" si="67"/>
        <v>0</v>
      </c>
      <c r="W398" s="2" t="b">
        <f t="shared" si="68"/>
        <v>0</v>
      </c>
      <c r="X398" s="2" t="b">
        <f t="shared" si="69"/>
        <v>1</v>
      </c>
    </row>
    <row r="399" spans="1:24" ht="10.5" customHeight="1">
      <c r="A399" s="2" t="s">
        <v>686</v>
      </c>
      <c r="B399" s="3">
        <v>45741.471273148149</v>
      </c>
      <c r="C399" s="2" t="s">
        <v>687</v>
      </c>
      <c r="D399" s="2" t="s">
        <v>133</v>
      </c>
      <c r="E399" s="2" t="s">
        <v>75</v>
      </c>
      <c r="F399" s="4">
        <v>45000</v>
      </c>
      <c r="G399" s="5">
        <v>1.1000000000000001</v>
      </c>
      <c r="H399" s="6">
        <v>5</v>
      </c>
      <c r="I399" s="7">
        <f t="shared" si="60"/>
        <v>49500.000000000007</v>
      </c>
      <c r="J399" s="7">
        <f t="shared" si="61"/>
        <v>2475.0000000000005</v>
      </c>
      <c r="K399" s="7">
        <f t="shared" si="62"/>
        <v>47025.000000000007</v>
      </c>
      <c r="L399" s="4">
        <v>50000</v>
      </c>
      <c r="M399" s="7">
        <f t="shared" si="63"/>
        <v>97025</v>
      </c>
      <c r="N399" s="2" t="s">
        <v>21</v>
      </c>
      <c r="O399" t="s">
        <v>22</v>
      </c>
      <c r="P399" s="2" t="s">
        <v>2370</v>
      </c>
      <c r="Q399" s="2">
        <v>4</v>
      </c>
      <c r="R399" s="2" t="s">
        <v>34</v>
      </c>
      <c r="S399" s="2" t="str">
        <f t="shared" si="64"/>
        <v>Rendah</v>
      </c>
      <c r="T399" s="2" t="str">
        <f t="shared" si="65"/>
        <v>FALSE</v>
      </c>
      <c r="U399" s="2" t="str">
        <f t="shared" si="66"/>
        <v>FALSE</v>
      </c>
      <c r="V399" s="2" t="b">
        <f t="shared" si="67"/>
        <v>0</v>
      </c>
      <c r="W399" s="2" t="b">
        <f t="shared" si="68"/>
        <v>0</v>
      </c>
      <c r="X399" s="2" t="b">
        <f t="shared" si="69"/>
        <v>0</v>
      </c>
    </row>
    <row r="400" spans="1:24" ht="10.5" customHeight="1">
      <c r="A400" s="2" t="s">
        <v>686</v>
      </c>
      <c r="B400" s="3">
        <v>45741.471273148149</v>
      </c>
      <c r="C400" s="2" t="s">
        <v>687</v>
      </c>
      <c r="D400" s="2" t="s">
        <v>133</v>
      </c>
      <c r="E400" s="2" t="s">
        <v>80</v>
      </c>
      <c r="F400" s="4">
        <v>15000</v>
      </c>
      <c r="G400" s="5">
        <v>1.3</v>
      </c>
      <c r="H400" s="6">
        <v>5</v>
      </c>
      <c r="I400" s="7">
        <f t="shared" si="60"/>
        <v>19500</v>
      </c>
      <c r="J400" s="7">
        <f t="shared" si="61"/>
        <v>975</v>
      </c>
      <c r="K400" s="7">
        <f t="shared" si="62"/>
        <v>18525</v>
      </c>
      <c r="L400" s="4">
        <v>0</v>
      </c>
      <c r="M400" s="7">
        <f t="shared" si="63"/>
        <v>18525</v>
      </c>
      <c r="N400" s="2" t="s">
        <v>21</v>
      </c>
      <c r="O400" t="s">
        <v>22</v>
      </c>
      <c r="P400" s="2" t="s">
        <v>2370</v>
      </c>
      <c r="Q400" s="2">
        <v>4</v>
      </c>
      <c r="R400" s="2" t="s">
        <v>34</v>
      </c>
      <c r="S400" s="2" t="str">
        <f t="shared" si="64"/>
        <v>Sangat Rendah</v>
      </c>
      <c r="T400" s="2" t="str">
        <f t="shared" si="65"/>
        <v>FALSE</v>
      </c>
      <c r="U400" s="2" t="str">
        <f t="shared" si="66"/>
        <v>FALSE</v>
      </c>
      <c r="V400" s="2" t="b">
        <f t="shared" si="67"/>
        <v>0</v>
      </c>
      <c r="W400" s="2" t="b">
        <f t="shared" si="68"/>
        <v>0</v>
      </c>
      <c r="X400" s="2" t="b">
        <f t="shared" si="69"/>
        <v>0</v>
      </c>
    </row>
    <row r="401" spans="1:24" ht="10.5" customHeight="1">
      <c r="A401" s="2" t="s">
        <v>688</v>
      </c>
      <c r="B401" s="3">
        <v>45741.472638888888</v>
      </c>
      <c r="C401" s="2" t="s">
        <v>689</v>
      </c>
      <c r="D401" s="2" t="s">
        <v>229</v>
      </c>
      <c r="E401" s="2" t="s">
        <v>53</v>
      </c>
      <c r="F401" s="4">
        <v>14000</v>
      </c>
      <c r="G401" s="5">
        <v>0.8</v>
      </c>
      <c r="H401" s="6">
        <v>5</v>
      </c>
      <c r="I401" s="7">
        <f t="shared" si="60"/>
        <v>11200</v>
      </c>
      <c r="J401" s="7">
        <f t="shared" si="61"/>
        <v>560</v>
      </c>
      <c r="K401" s="7">
        <f t="shared" si="62"/>
        <v>10640</v>
      </c>
      <c r="L401" s="4">
        <v>28000</v>
      </c>
      <c r="M401" s="7">
        <f t="shared" si="63"/>
        <v>38640</v>
      </c>
      <c r="N401" s="2" t="s">
        <v>33</v>
      </c>
      <c r="O401" t="s">
        <v>69</v>
      </c>
      <c r="P401" s="2" t="s">
        <v>2368</v>
      </c>
      <c r="Q401" s="2">
        <v>5</v>
      </c>
      <c r="R401" s="2" t="s">
        <v>34</v>
      </c>
      <c r="S401" s="2" t="str">
        <f t="shared" si="64"/>
        <v>Sangat Rendah</v>
      </c>
      <c r="T401" s="2" t="str">
        <f t="shared" si="65"/>
        <v>FALSE</v>
      </c>
      <c r="U401" s="2" t="str">
        <f t="shared" si="66"/>
        <v>FALSE</v>
      </c>
      <c r="V401" s="2" t="b">
        <f t="shared" si="67"/>
        <v>0</v>
      </c>
      <c r="W401" s="2" t="b">
        <f t="shared" si="68"/>
        <v>0</v>
      </c>
      <c r="X401" s="2" t="b">
        <f t="shared" si="69"/>
        <v>0</v>
      </c>
    </row>
    <row r="402" spans="1:24" ht="10.5" customHeight="1">
      <c r="A402" s="2" t="s">
        <v>690</v>
      </c>
      <c r="B402" s="3">
        <v>45741.477962962963</v>
      </c>
      <c r="C402" s="2" t="s">
        <v>492</v>
      </c>
      <c r="D402" s="2" t="s">
        <v>98</v>
      </c>
      <c r="E402" s="2" t="s">
        <v>41</v>
      </c>
      <c r="F402" s="4">
        <v>40000</v>
      </c>
      <c r="G402" s="5">
        <v>0.7</v>
      </c>
      <c r="H402" s="6">
        <v>5</v>
      </c>
      <c r="I402" s="7">
        <f t="shared" si="60"/>
        <v>28000</v>
      </c>
      <c r="J402" s="7">
        <f t="shared" si="61"/>
        <v>1400</v>
      </c>
      <c r="K402" s="7">
        <f t="shared" si="62"/>
        <v>26600</v>
      </c>
      <c r="L402" s="4">
        <v>97000</v>
      </c>
      <c r="M402" s="7">
        <f t="shared" si="63"/>
        <v>123600</v>
      </c>
      <c r="N402" s="2" t="s">
        <v>58</v>
      </c>
      <c r="O402" t="s">
        <v>22</v>
      </c>
      <c r="P402" s="2" t="s">
        <v>2365</v>
      </c>
      <c r="Q402" s="2">
        <v>4</v>
      </c>
      <c r="R402" s="2" t="s">
        <v>23</v>
      </c>
      <c r="S402" s="2" t="str">
        <f t="shared" si="64"/>
        <v>Standar</v>
      </c>
      <c r="T402" s="2" t="str">
        <f t="shared" si="65"/>
        <v>FALSE</v>
      </c>
      <c r="U402" s="2" t="str">
        <f t="shared" si="66"/>
        <v>FALSE</v>
      </c>
      <c r="V402" s="2" t="b">
        <f t="shared" si="67"/>
        <v>0</v>
      </c>
      <c r="W402" s="2" t="b">
        <f t="shared" si="68"/>
        <v>0</v>
      </c>
      <c r="X402" s="2" t="b">
        <f t="shared" si="69"/>
        <v>0</v>
      </c>
    </row>
    <row r="403" spans="1:24" ht="10.5" customHeight="1">
      <c r="A403" s="2" t="s">
        <v>691</v>
      </c>
      <c r="B403" s="3">
        <v>45741.49664351852</v>
      </c>
      <c r="C403" s="2" t="s">
        <v>583</v>
      </c>
      <c r="D403" s="2" t="s">
        <v>185</v>
      </c>
      <c r="E403" s="2" t="s">
        <v>32</v>
      </c>
      <c r="F403" s="4">
        <v>20000</v>
      </c>
      <c r="G403" s="5">
        <v>1.2</v>
      </c>
      <c r="H403" s="6">
        <v>5</v>
      </c>
      <c r="I403" s="7">
        <f t="shared" si="60"/>
        <v>24000</v>
      </c>
      <c r="J403" s="7">
        <f t="shared" si="61"/>
        <v>1200</v>
      </c>
      <c r="K403" s="7">
        <f t="shared" si="62"/>
        <v>22800</v>
      </c>
      <c r="L403" s="4">
        <v>87000</v>
      </c>
      <c r="M403" s="7">
        <f t="shared" si="63"/>
        <v>109800</v>
      </c>
      <c r="N403" s="2" t="s">
        <v>28</v>
      </c>
      <c r="O403" t="s">
        <v>22</v>
      </c>
      <c r="P403" s="2" t="s">
        <v>2368</v>
      </c>
      <c r="Q403" s="2">
        <v>2</v>
      </c>
      <c r="R403" s="2" t="s">
        <v>23</v>
      </c>
      <c r="S403" s="2" t="str">
        <f t="shared" si="64"/>
        <v>Standar</v>
      </c>
      <c r="T403" s="2" t="str">
        <f t="shared" si="65"/>
        <v>FALSE</v>
      </c>
      <c r="U403" s="2" t="str">
        <f t="shared" si="66"/>
        <v>FALSE</v>
      </c>
      <c r="V403" s="2" t="b">
        <f t="shared" si="67"/>
        <v>0</v>
      </c>
      <c r="W403" s="2" t="b">
        <f t="shared" si="68"/>
        <v>0</v>
      </c>
      <c r="X403" s="2" t="b">
        <f t="shared" si="69"/>
        <v>0</v>
      </c>
    </row>
    <row r="404" spans="1:24" ht="10.5" customHeight="1">
      <c r="A404" s="2" t="s">
        <v>692</v>
      </c>
      <c r="B404" s="3">
        <v>45741.507372685177</v>
      </c>
      <c r="C404" s="2" t="s">
        <v>693</v>
      </c>
      <c r="D404" s="2" t="s">
        <v>114</v>
      </c>
      <c r="E404" s="2" t="s">
        <v>41</v>
      </c>
      <c r="F404" s="4">
        <v>40000</v>
      </c>
      <c r="G404" s="5">
        <v>0.9</v>
      </c>
      <c r="H404" s="6">
        <v>5</v>
      </c>
      <c r="I404" s="7">
        <f t="shared" si="60"/>
        <v>36000</v>
      </c>
      <c r="J404" s="7">
        <f t="shared" si="61"/>
        <v>1800</v>
      </c>
      <c r="K404" s="7">
        <f t="shared" si="62"/>
        <v>34200</v>
      </c>
      <c r="L404" s="4">
        <v>78000</v>
      </c>
      <c r="M404" s="7">
        <f t="shared" si="63"/>
        <v>112200</v>
      </c>
      <c r="N404" s="2" t="s">
        <v>21</v>
      </c>
      <c r="O404" t="s">
        <v>22</v>
      </c>
      <c r="P404" s="2" t="s">
        <v>2368</v>
      </c>
      <c r="Q404" s="2">
        <v>2</v>
      </c>
      <c r="R404" s="2" t="s">
        <v>23</v>
      </c>
      <c r="S404" s="2" t="str">
        <f t="shared" si="64"/>
        <v>Standar</v>
      </c>
      <c r="T404" s="2" t="str">
        <f t="shared" si="65"/>
        <v>FALSE</v>
      </c>
      <c r="U404" s="2" t="str">
        <f t="shared" si="66"/>
        <v>FALSE</v>
      </c>
      <c r="V404" s="2" t="b">
        <f t="shared" si="67"/>
        <v>0</v>
      </c>
      <c r="W404" s="2" t="b">
        <f t="shared" si="68"/>
        <v>0</v>
      </c>
      <c r="X404" s="2" t="b">
        <f t="shared" si="69"/>
        <v>0</v>
      </c>
    </row>
    <row r="405" spans="1:24" ht="10.5" customHeight="1">
      <c r="A405" s="2" t="s">
        <v>694</v>
      </c>
      <c r="B405" s="3">
        <v>45741.542199074072</v>
      </c>
      <c r="C405" s="2" t="s">
        <v>695</v>
      </c>
      <c r="D405" s="2" t="s">
        <v>179</v>
      </c>
      <c r="E405" s="2" t="s">
        <v>35</v>
      </c>
      <c r="F405" s="4">
        <v>13500</v>
      </c>
      <c r="G405" s="5">
        <v>1.6</v>
      </c>
      <c r="H405" s="6">
        <v>5</v>
      </c>
      <c r="I405" s="7">
        <f t="shared" si="60"/>
        <v>21600</v>
      </c>
      <c r="J405" s="7">
        <f t="shared" si="61"/>
        <v>1080</v>
      </c>
      <c r="K405" s="7">
        <f t="shared" si="62"/>
        <v>20520</v>
      </c>
      <c r="L405" s="4">
        <v>57000</v>
      </c>
      <c r="M405" s="7">
        <f t="shared" si="63"/>
        <v>77520</v>
      </c>
      <c r="N405" s="2" t="s">
        <v>33</v>
      </c>
      <c r="O405" t="s">
        <v>22</v>
      </c>
      <c r="P405" s="2" t="s">
        <v>2365</v>
      </c>
      <c r="Q405" s="2">
        <v>4</v>
      </c>
      <c r="R405" s="2" t="s">
        <v>23</v>
      </c>
      <c r="S405" s="2" t="str">
        <f t="shared" si="64"/>
        <v>Rendah</v>
      </c>
      <c r="T405" s="2" t="str">
        <f t="shared" si="65"/>
        <v>FALSE</v>
      </c>
      <c r="U405" s="2" t="str">
        <f t="shared" si="66"/>
        <v>FALSE</v>
      </c>
      <c r="V405" s="2" t="b">
        <f t="shared" si="67"/>
        <v>0</v>
      </c>
      <c r="W405" s="2" t="b">
        <f t="shared" si="68"/>
        <v>0</v>
      </c>
      <c r="X405" s="2" t="b">
        <f t="shared" si="69"/>
        <v>0</v>
      </c>
    </row>
    <row r="406" spans="1:24" ht="10.5" customHeight="1">
      <c r="A406" s="2" t="s">
        <v>696</v>
      </c>
      <c r="B406" s="3">
        <v>45741.597013888888</v>
      </c>
      <c r="C406" s="2" t="s">
        <v>91</v>
      </c>
      <c r="D406" s="2" t="s">
        <v>61</v>
      </c>
      <c r="E406" s="2" t="s">
        <v>32</v>
      </c>
      <c r="F406" s="4">
        <v>20000</v>
      </c>
      <c r="G406" s="5">
        <v>0.5</v>
      </c>
      <c r="H406" s="6">
        <v>5</v>
      </c>
      <c r="I406" s="7">
        <f t="shared" si="60"/>
        <v>10000</v>
      </c>
      <c r="J406" s="7">
        <f t="shared" si="61"/>
        <v>500</v>
      </c>
      <c r="K406" s="7">
        <f t="shared" si="62"/>
        <v>9500</v>
      </c>
      <c r="L406" s="4">
        <v>59000</v>
      </c>
      <c r="M406" s="7">
        <f t="shared" si="63"/>
        <v>68500</v>
      </c>
      <c r="N406" s="2" t="s">
        <v>21</v>
      </c>
      <c r="O406" t="s">
        <v>22</v>
      </c>
      <c r="P406" s="2" t="s">
        <v>2370</v>
      </c>
      <c r="Q406" s="2">
        <v>5</v>
      </c>
      <c r="R406" s="2" t="s">
        <v>23</v>
      </c>
      <c r="S406" s="2" t="str">
        <f t="shared" si="64"/>
        <v>Rendah</v>
      </c>
      <c r="T406" s="2" t="str">
        <f t="shared" si="65"/>
        <v>FALSE</v>
      </c>
      <c r="U406" s="2" t="str">
        <f t="shared" si="66"/>
        <v>FALSE</v>
      </c>
      <c r="V406" s="2" t="b">
        <f t="shared" si="67"/>
        <v>0</v>
      </c>
      <c r="W406" s="2" t="b">
        <f t="shared" si="68"/>
        <v>0</v>
      </c>
      <c r="X406" s="2" t="b">
        <f t="shared" si="69"/>
        <v>0</v>
      </c>
    </row>
    <row r="407" spans="1:24" ht="10.5" customHeight="1">
      <c r="A407" s="2" t="s">
        <v>697</v>
      </c>
      <c r="B407" s="3">
        <v>45741.608703703707</v>
      </c>
      <c r="C407" s="2" t="s">
        <v>698</v>
      </c>
      <c r="D407" s="2" t="s">
        <v>108</v>
      </c>
      <c r="E407" s="2" t="s">
        <v>65</v>
      </c>
      <c r="F407" s="4">
        <v>46000</v>
      </c>
      <c r="G407" s="5">
        <v>0.5</v>
      </c>
      <c r="H407" s="6">
        <v>5</v>
      </c>
      <c r="I407" s="7">
        <f t="shared" si="60"/>
        <v>23000</v>
      </c>
      <c r="J407" s="7">
        <f t="shared" si="61"/>
        <v>1150</v>
      </c>
      <c r="K407" s="7">
        <f t="shared" si="62"/>
        <v>21850</v>
      </c>
      <c r="L407" s="4">
        <v>72000</v>
      </c>
      <c r="M407" s="7">
        <f t="shared" si="63"/>
        <v>93850</v>
      </c>
      <c r="N407" s="2" t="s">
        <v>58</v>
      </c>
      <c r="O407" t="s">
        <v>22</v>
      </c>
      <c r="P407" s="2" t="s">
        <v>2365</v>
      </c>
      <c r="Q407" s="2">
        <v>4</v>
      </c>
      <c r="R407" s="2" t="s">
        <v>23</v>
      </c>
      <c r="S407" s="2" t="str">
        <f t="shared" si="64"/>
        <v>Rendah</v>
      </c>
      <c r="T407" s="2" t="str">
        <f t="shared" si="65"/>
        <v>FALSE</v>
      </c>
      <c r="U407" s="2" t="str">
        <f t="shared" si="66"/>
        <v>FALSE</v>
      </c>
      <c r="V407" s="2" t="b">
        <f t="shared" si="67"/>
        <v>0</v>
      </c>
      <c r="W407" s="2" t="b">
        <f t="shared" si="68"/>
        <v>0</v>
      </c>
      <c r="X407" s="2" t="b">
        <f t="shared" si="69"/>
        <v>0</v>
      </c>
    </row>
    <row r="408" spans="1:24" ht="10.5" customHeight="1">
      <c r="A408" s="2" t="s">
        <v>699</v>
      </c>
      <c r="B408" s="3">
        <v>45741.624097222222</v>
      </c>
      <c r="C408" s="2" t="s">
        <v>91</v>
      </c>
      <c r="D408" s="2" t="s">
        <v>61</v>
      </c>
      <c r="E408" s="2" t="s">
        <v>80</v>
      </c>
      <c r="F408" s="4">
        <v>15000</v>
      </c>
      <c r="G408" s="5">
        <v>1.8</v>
      </c>
      <c r="H408" s="6">
        <v>5</v>
      </c>
      <c r="I408" s="7">
        <f t="shared" si="60"/>
        <v>27000</v>
      </c>
      <c r="J408" s="7">
        <f t="shared" si="61"/>
        <v>1350</v>
      </c>
      <c r="K408" s="7">
        <f t="shared" si="62"/>
        <v>25650</v>
      </c>
      <c r="L408" s="4">
        <v>59000</v>
      </c>
      <c r="M408" s="7">
        <f t="shared" si="63"/>
        <v>84650</v>
      </c>
      <c r="N408" s="2" t="s">
        <v>33</v>
      </c>
      <c r="O408" t="s">
        <v>22</v>
      </c>
      <c r="P408" s="2" t="s">
        <v>2366</v>
      </c>
      <c r="Q408" s="2">
        <v>3</v>
      </c>
      <c r="R408" s="2" t="s">
        <v>23</v>
      </c>
      <c r="S408" s="2" t="str">
        <f t="shared" si="64"/>
        <v>Rendah</v>
      </c>
      <c r="T408" s="2" t="str">
        <f t="shared" si="65"/>
        <v>FALSE</v>
      </c>
      <c r="U408" s="2" t="str">
        <f t="shared" si="66"/>
        <v>FALSE</v>
      </c>
      <c r="V408" s="2" t="b">
        <f t="shared" si="67"/>
        <v>0</v>
      </c>
      <c r="W408" s="2" t="b">
        <f t="shared" si="68"/>
        <v>0</v>
      </c>
      <c r="X408" s="2" t="b">
        <f t="shared" si="69"/>
        <v>0</v>
      </c>
    </row>
    <row r="409" spans="1:24" ht="10.5" customHeight="1">
      <c r="A409" s="2" t="s">
        <v>700</v>
      </c>
      <c r="B409" s="3">
        <v>45741.698854166672</v>
      </c>
      <c r="C409" s="2" t="s">
        <v>701</v>
      </c>
      <c r="D409" s="2" t="s">
        <v>167</v>
      </c>
      <c r="E409" s="2" t="s">
        <v>53</v>
      </c>
      <c r="F409" s="4">
        <v>14000</v>
      </c>
      <c r="G409" s="5">
        <v>1</v>
      </c>
      <c r="H409" s="6">
        <v>5</v>
      </c>
      <c r="I409" s="7">
        <f t="shared" si="60"/>
        <v>14000</v>
      </c>
      <c r="J409" s="7">
        <f t="shared" si="61"/>
        <v>700</v>
      </c>
      <c r="K409" s="7">
        <f t="shared" si="62"/>
        <v>13300</v>
      </c>
      <c r="L409" s="4">
        <v>56000</v>
      </c>
      <c r="M409" s="7">
        <f t="shared" si="63"/>
        <v>69300</v>
      </c>
      <c r="N409" s="2" t="s">
        <v>21</v>
      </c>
      <c r="O409" t="s">
        <v>22</v>
      </c>
      <c r="P409" s="2" t="s">
        <v>2365</v>
      </c>
      <c r="Q409" s="2">
        <v>5</v>
      </c>
      <c r="R409" s="2" t="s">
        <v>23</v>
      </c>
      <c r="S409" s="2" t="str">
        <f t="shared" si="64"/>
        <v>Rendah</v>
      </c>
      <c r="T409" s="2" t="str">
        <f t="shared" si="65"/>
        <v>FALSE</v>
      </c>
      <c r="U409" s="2" t="str">
        <f t="shared" si="66"/>
        <v>FALSE</v>
      </c>
      <c r="V409" s="2" t="b">
        <f t="shared" si="67"/>
        <v>0</v>
      </c>
      <c r="W409" s="2" t="b">
        <f t="shared" si="68"/>
        <v>0</v>
      </c>
      <c r="X409" s="2" t="b">
        <f t="shared" si="69"/>
        <v>0</v>
      </c>
    </row>
    <row r="410" spans="1:24" ht="10.5" customHeight="1">
      <c r="A410" s="2" t="s">
        <v>702</v>
      </c>
      <c r="B410" s="3">
        <v>45741.712418981479</v>
      </c>
      <c r="C410" s="2" t="s">
        <v>313</v>
      </c>
      <c r="D410" s="2" t="s">
        <v>94</v>
      </c>
      <c r="E410" s="2" t="s">
        <v>80</v>
      </c>
      <c r="F410" s="4">
        <v>15000</v>
      </c>
      <c r="G410" s="5">
        <v>1</v>
      </c>
      <c r="H410" s="6">
        <v>5</v>
      </c>
      <c r="I410" s="7">
        <f t="shared" si="60"/>
        <v>15000</v>
      </c>
      <c r="J410" s="7">
        <f t="shared" si="61"/>
        <v>750</v>
      </c>
      <c r="K410" s="7">
        <f t="shared" si="62"/>
        <v>14250</v>
      </c>
      <c r="L410" s="4">
        <v>85000</v>
      </c>
      <c r="M410" s="7">
        <f t="shared" si="63"/>
        <v>99250</v>
      </c>
      <c r="N410" s="2" t="s">
        <v>21</v>
      </c>
      <c r="O410" t="s">
        <v>69</v>
      </c>
      <c r="P410" s="2" t="s">
        <v>2366</v>
      </c>
      <c r="Q410" s="2">
        <v>3</v>
      </c>
      <c r="R410" s="2" t="s">
        <v>23</v>
      </c>
      <c r="S410" s="2" t="str">
        <f t="shared" si="64"/>
        <v>Rendah</v>
      </c>
      <c r="T410" s="2" t="str">
        <f t="shared" si="65"/>
        <v>FALSE</v>
      </c>
      <c r="U410" s="2" t="str">
        <f t="shared" si="66"/>
        <v>FALSE</v>
      </c>
      <c r="V410" s="2" t="b">
        <f t="shared" si="67"/>
        <v>0</v>
      </c>
      <c r="W410" s="2" t="b">
        <f t="shared" si="68"/>
        <v>0</v>
      </c>
      <c r="X410" s="2" t="b">
        <f t="shared" si="69"/>
        <v>0</v>
      </c>
    </row>
    <row r="411" spans="1:24" ht="10.5" customHeight="1">
      <c r="A411" s="2" t="s">
        <v>703</v>
      </c>
      <c r="B411" s="3">
        <v>45741.860763888893</v>
      </c>
      <c r="C411" s="2" t="s">
        <v>704</v>
      </c>
      <c r="D411" s="2" t="s">
        <v>252</v>
      </c>
      <c r="E411" s="2" t="s">
        <v>99</v>
      </c>
      <c r="F411" s="4">
        <v>10000</v>
      </c>
      <c r="G411" s="5">
        <v>0.9</v>
      </c>
      <c r="H411" s="6">
        <v>5</v>
      </c>
      <c r="I411" s="7">
        <f t="shared" si="60"/>
        <v>9000</v>
      </c>
      <c r="J411" s="7">
        <f t="shared" si="61"/>
        <v>450</v>
      </c>
      <c r="K411" s="7">
        <f t="shared" si="62"/>
        <v>8550</v>
      </c>
      <c r="L411" s="4">
        <v>18000</v>
      </c>
      <c r="M411" s="7">
        <f t="shared" si="63"/>
        <v>26550</v>
      </c>
      <c r="N411" s="2" t="s">
        <v>28</v>
      </c>
      <c r="O411" t="s">
        <v>22</v>
      </c>
      <c r="P411" s="2" t="s">
        <v>2370</v>
      </c>
      <c r="Q411" s="2">
        <v>4</v>
      </c>
      <c r="R411" s="2" t="s">
        <v>23</v>
      </c>
      <c r="S411" s="2" t="str">
        <f t="shared" si="64"/>
        <v>Sangat Rendah</v>
      </c>
      <c r="T411" s="2" t="str">
        <f t="shared" si="65"/>
        <v>FALSE</v>
      </c>
      <c r="U411" s="2" t="str">
        <f t="shared" si="66"/>
        <v>FALSE</v>
      </c>
      <c r="V411" s="2" t="b">
        <f t="shared" si="67"/>
        <v>0</v>
      </c>
      <c r="W411" s="2" t="b">
        <f t="shared" si="68"/>
        <v>0</v>
      </c>
      <c r="X411" s="2" t="b">
        <f t="shared" si="69"/>
        <v>1</v>
      </c>
    </row>
    <row r="412" spans="1:24" ht="10.5" customHeight="1">
      <c r="A412" s="2" t="s">
        <v>703</v>
      </c>
      <c r="B412" s="3">
        <v>45741.860763888893</v>
      </c>
      <c r="C412" s="2" t="s">
        <v>704</v>
      </c>
      <c r="D412" s="2" t="s">
        <v>252</v>
      </c>
      <c r="E412" s="2" t="s">
        <v>32</v>
      </c>
      <c r="F412" s="4">
        <v>20000</v>
      </c>
      <c r="G412" s="5">
        <v>0.8</v>
      </c>
      <c r="H412" s="6">
        <v>5</v>
      </c>
      <c r="I412" s="7">
        <f t="shared" si="60"/>
        <v>16000</v>
      </c>
      <c r="J412" s="7">
        <f t="shared" si="61"/>
        <v>800</v>
      </c>
      <c r="K412" s="7">
        <f t="shared" si="62"/>
        <v>15200</v>
      </c>
      <c r="L412" s="4">
        <v>0</v>
      </c>
      <c r="M412" s="7">
        <f t="shared" si="63"/>
        <v>15200</v>
      </c>
      <c r="N412" s="2" t="s">
        <v>28</v>
      </c>
      <c r="O412" t="s">
        <v>22</v>
      </c>
      <c r="P412" s="2" t="s">
        <v>2370</v>
      </c>
      <c r="Q412" s="2">
        <v>4</v>
      </c>
      <c r="R412" s="2" t="s">
        <v>23</v>
      </c>
      <c r="S412" s="2" t="str">
        <f t="shared" si="64"/>
        <v>Sangat Rendah</v>
      </c>
      <c r="T412" s="2" t="str">
        <f t="shared" si="65"/>
        <v>FALSE</v>
      </c>
      <c r="U412" s="2" t="str">
        <f t="shared" si="66"/>
        <v>FALSE</v>
      </c>
      <c r="V412" s="2" t="b">
        <f t="shared" si="67"/>
        <v>0</v>
      </c>
      <c r="W412" s="2" t="b">
        <f t="shared" si="68"/>
        <v>0</v>
      </c>
      <c r="X412" s="2" t="b">
        <f t="shared" si="69"/>
        <v>1</v>
      </c>
    </row>
    <row r="413" spans="1:24" ht="10.5" customHeight="1">
      <c r="A413" s="2" t="s">
        <v>705</v>
      </c>
      <c r="B413" s="3">
        <v>45741.905474537038</v>
      </c>
      <c r="C413" s="2" t="s">
        <v>706</v>
      </c>
      <c r="D413" s="2" t="s">
        <v>61</v>
      </c>
      <c r="E413" s="2" t="s">
        <v>45</v>
      </c>
      <c r="F413" s="4">
        <v>10500</v>
      </c>
      <c r="G413" s="5">
        <v>2.8</v>
      </c>
      <c r="H413" s="6">
        <v>5</v>
      </c>
      <c r="I413" s="7">
        <f t="shared" si="60"/>
        <v>29399.999999999996</v>
      </c>
      <c r="J413" s="7">
        <f t="shared" si="61"/>
        <v>1470</v>
      </c>
      <c r="K413" s="7">
        <f t="shared" si="62"/>
        <v>27929.999999999996</v>
      </c>
      <c r="L413" s="4">
        <v>59000</v>
      </c>
      <c r="M413" s="7">
        <f t="shared" si="63"/>
        <v>86930</v>
      </c>
      <c r="N413" s="2" t="s">
        <v>28</v>
      </c>
      <c r="O413" t="s">
        <v>22</v>
      </c>
      <c r="P413" s="2" t="s">
        <v>2368</v>
      </c>
      <c r="Q413" s="2">
        <v>4</v>
      </c>
      <c r="R413" s="2" t="s">
        <v>23</v>
      </c>
      <c r="S413" s="2" t="str">
        <f t="shared" si="64"/>
        <v>Rendah</v>
      </c>
      <c r="T413" s="2" t="str">
        <f t="shared" si="65"/>
        <v>FALSE</v>
      </c>
      <c r="U413" s="2" t="str">
        <f t="shared" si="66"/>
        <v>FALSE</v>
      </c>
      <c r="V413" s="2" t="b">
        <f t="shared" si="67"/>
        <v>0</v>
      </c>
      <c r="W413" s="2" t="b">
        <f t="shared" si="68"/>
        <v>0</v>
      </c>
      <c r="X413" s="2" t="b">
        <f t="shared" si="69"/>
        <v>0</v>
      </c>
    </row>
    <row r="414" spans="1:24" ht="10.5" customHeight="1">
      <c r="A414" s="2" t="s">
        <v>707</v>
      </c>
      <c r="B414" s="3">
        <v>45742.112199074072</v>
      </c>
      <c r="C414" s="2" t="s">
        <v>451</v>
      </c>
      <c r="D414" s="2" t="s">
        <v>84</v>
      </c>
      <c r="E414" s="2" t="s">
        <v>161</v>
      </c>
      <c r="F414" s="4">
        <v>115000</v>
      </c>
      <c r="G414" s="5">
        <v>0.5</v>
      </c>
      <c r="H414" s="6">
        <v>0</v>
      </c>
      <c r="I414" s="7">
        <f t="shared" si="60"/>
        <v>57500</v>
      </c>
      <c r="J414" s="7">
        <f t="shared" si="61"/>
        <v>0</v>
      </c>
      <c r="K414" s="7">
        <f t="shared" si="62"/>
        <v>57500</v>
      </c>
      <c r="L414" s="4">
        <v>30000</v>
      </c>
      <c r="M414" s="7">
        <f t="shared" si="63"/>
        <v>87500</v>
      </c>
      <c r="N414" s="2" t="s">
        <v>33</v>
      </c>
      <c r="O414" t="s">
        <v>22</v>
      </c>
      <c r="P414" s="2" t="s">
        <v>2368</v>
      </c>
      <c r="Q414" s="2">
        <v>4</v>
      </c>
      <c r="R414" s="2" t="s">
        <v>34</v>
      </c>
      <c r="S414" s="2" t="str">
        <f t="shared" si="64"/>
        <v>Rendah</v>
      </c>
      <c r="T414" s="2" t="str">
        <f t="shared" si="65"/>
        <v>FALSE</v>
      </c>
      <c r="U414" s="2" t="str">
        <f t="shared" si="66"/>
        <v>FALSE</v>
      </c>
      <c r="V414" s="2" t="b">
        <f t="shared" si="67"/>
        <v>0</v>
      </c>
      <c r="W414" s="2" t="b">
        <f t="shared" si="68"/>
        <v>0</v>
      </c>
      <c r="X414" s="2" t="b">
        <f t="shared" si="69"/>
        <v>0</v>
      </c>
    </row>
    <row r="415" spans="1:24" ht="10.5" customHeight="1">
      <c r="A415" s="2" t="s">
        <v>708</v>
      </c>
      <c r="B415" s="3">
        <v>45742.22855324074</v>
      </c>
      <c r="C415" s="2" t="s">
        <v>406</v>
      </c>
      <c r="D415" s="2" t="s">
        <v>123</v>
      </c>
      <c r="E415" s="2" t="s">
        <v>32</v>
      </c>
      <c r="F415" s="4">
        <v>20000</v>
      </c>
      <c r="G415" s="5">
        <v>1.3</v>
      </c>
      <c r="H415" s="6">
        <v>0</v>
      </c>
      <c r="I415" s="7">
        <f t="shared" si="60"/>
        <v>26000</v>
      </c>
      <c r="J415" s="7">
        <f t="shared" si="61"/>
        <v>0</v>
      </c>
      <c r="K415" s="7">
        <f t="shared" si="62"/>
        <v>26000</v>
      </c>
      <c r="L415" s="4">
        <v>59000</v>
      </c>
      <c r="M415" s="7">
        <f t="shared" si="63"/>
        <v>85000</v>
      </c>
      <c r="N415" s="2" t="s">
        <v>58</v>
      </c>
      <c r="O415" t="s">
        <v>115</v>
      </c>
      <c r="P415" s="2" t="s">
        <v>2370</v>
      </c>
      <c r="Q415" s="2">
        <v>5</v>
      </c>
      <c r="R415" s="2" t="s">
        <v>23</v>
      </c>
      <c r="S415" s="2" t="str">
        <f t="shared" si="64"/>
        <v>Rendah</v>
      </c>
      <c r="T415" s="2" t="str">
        <f t="shared" si="65"/>
        <v>FALSE</v>
      </c>
      <c r="U415" s="2" t="str">
        <f t="shared" si="66"/>
        <v>FALSE</v>
      </c>
      <c r="V415" s="2" t="b">
        <f t="shared" si="67"/>
        <v>0</v>
      </c>
      <c r="W415" s="2" t="b">
        <f t="shared" si="68"/>
        <v>0</v>
      </c>
      <c r="X415" s="2" t="b">
        <f t="shared" si="69"/>
        <v>0</v>
      </c>
    </row>
    <row r="416" spans="1:24" ht="10.5" customHeight="1">
      <c r="A416" s="2" t="s">
        <v>709</v>
      </c>
      <c r="B416" s="3">
        <v>45742.424212962957</v>
      </c>
      <c r="C416" s="2" t="s">
        <v>345</v>
      </c>
      <c r="D416" s="2" t="s">
        <v>108</v>
      </c>
      <c r="E416" s="2" t="s">
        <v>75</v>
      </c>
      <c r="F416" s="4">
        <v>45000</v>
      </c>
      <c r="G416" s="5">
        <v>1.6</v>
      </c>
      <c r="H416" s="6">
        <v>0</v>
      </c>
      <c r="I416" s="7">
        <f t="shared" si="60"/>
        <v>72000</v>
      </c>
      <c r="J416" s="7">
        <f t="shared" si="61"/>
        <v>0</v>
      </c>
      <c r="K416" s="7">
        <f t="shared" si="62"/>
        <v>72000</v>
      </c>
      <c r="L416" s="4">
        <v>72000</v>
      </c>
      <c r="M416" s="7">
        <f t="shared" si="63"/>
        <v>144000</v>
      </c>
      <c r="N416" s="2" t="s">
        <v>28</v>
      </c>
      <c r="O416" t="s">
        <v>22</v>
      </c>
      <c r="P416" s="2" t="s">
        <v>2370</v>
      </c>
      <c r="Q416" s="2">
        <v>2</v>
      </c>
      <c r="R416" s="2" t="s">
        <v>23</v>
      </c>
      <c r="S416" s="2" t="str">
        <f t="shared" si="64"/>
        <v>Standar</v>
      </c>
      <c r="T416" s="2" t="str">
        <f t="shared" si="65"/>
        <v>FALSE</v>
      </c>
      <c r="U416" s="2" t="str">
        <f t="shared" si="66"/>
        <v>FALSE</v>
      </c>
      <c r="V416" s="2" t="b">
        <f t="shared" si="67"/>
        <v>0</v>
      </c>
      <c r="W416" s="2" t="b">
        <f t="shared" si="68"/>
        <v>0</v>
      </c>
      <c r="X416" s="2" t="b">
        <f t="shared" si="69"/>
        <v>0</v>
      </c>
    </row>
    <row r="417" spans="1:24" ht="10.5" customHeight="1">
      <c r="A417" s="2" t="s">
        <v>710</v>
      </c>
      <c r="B417" s="3">
        <v>45742.444027777783</v>
      </c>
      <c r="C417" s="2" t="s">
        <v>259</v>
      </c>
      <c r="D417" s="2" t="s">
        <v>164</v>
      </c>
      <c r="E417" s="2" t="s">
        <v>32</v>
      </c>
      <c r="F417" s="4">
        <v>20000</v>
      </c>
      <c r="G417" s="5">
        <v>2.9</v>
      </c>
      <c r="H417" s="6">
        <v>0</v>
      </c>
      <c r="I417" s="7">
        <f t="shared" si="60"/>
        <v>58000</v>
      </c>
      <c r="J417" s="7">
        <f t="shared" si="61"/>
        <v>0</v>
      </c>
      <c r="K417" s="7">
        <f t="shared" si="62"/>
        <v>58000</v>
      </c>
      <c r="L417" s="4">
        <v>49000</v>
      </c>
      <c r="M417" s="7">
        <f t="shared" si="63"/>
        <v>107000</v>
      </c>
      <c r="N417" s="2" t="s">
        <v>28</v>
      </c>
      <c r="O417" t="s">
        <v>22</v>
      </c>
      <c r="P417" s="2" t="s">
        <v>2370</v>
      </c>
      <c r="Q417" s="2">
        <v>4</v>
      </c>
      <c r="R417" s="2" t="s">
        <v>34</v>
      </c>
      <c r="S417" s="2" t="str">
        <f t="shared" si="64"/>
        <v>Standar</v>
      </c>
      <c r="T417" s="2" t="str">
        <f t="shared" si="65"/>
        <v>FALSE</v>
      </c>
      <c r="U417" s="2" t="str">
        <f t="shared" si="66"/>
        <v>FALSE</v>
      </c>
      <c r="V417" s="2" t="b">
        <f t="shared" si="67"/>
        <v>0</v>
      </c>
      <c r="W417" s="2" t="b">
        <f t="shared" si="68"/>
        <v>0</v>
      </c>
      <c r="X417" s="2" t="b">
        <f t="shared" si="69"/>
        <v>0</v>
      </c>
    </row>
    <row r="418" spans="1:24" ht="10.5" customHeight="1">
      <c r="A418" s="2" t="s">
        <v>711</v>
      </c>
      <c r="B418" s="3">
        <v>45742.458414351851</v>
      </c>
      <c r="C418" s="2" t="s">
        <v>712</v>
      </c>
      <c r="D418" s="2" t="s">
        <v>52</v>
      </c>
      <c r="E418" s="2" t="s">
        <v>41</v>
      </c>
      <c r="F418" s="4">
        <v>40000</v>
      </c>
      <c r="G418" s="5">
        <v>1.1000000000000001</v>
      </c>
      <c r="H418" s="6">
        <v>0</v>
      </c>
      <c r="I418" s="7">
        <f t="shared" si="60"/>
        <v>44000</v>
      </c>
      <c r="J418" s="7">
        <f t="shared" si="61"/>
        <v>0</v>
      </c>
      <c r="K418" s="7">
        <f t="shared" si="62"/>
        <v>44000</v>
      </c>
      <c r="L418" s="4">
        <v>80000</v>
      </c>
      <c r="M418" s="7">
        <f t="shared" si="63"/>
        <v>124000</v>
      </c>
      <c r="N418" s="2" t="s">
        <v>33</v>
      </c>
      <c r="O418" t="s">
        <v>22</v>
      </c>
      <c r="P418" s="2" t="s">
        <v>2368</v>
      </c>
      <c r="Q418" s="2">
        <v>1</v>
      </c>
      <c r="R418" s="2" t="s">
        <v>23</v>
      </c>
      <c r="S418" s="2" t="str">
        <f t="shared" si="64"/>
        <v>Standar</v>
      </c>
      <c r="T418" s="2" t="str">
        <f t="shared" si="65"/>
        <v>FALSE</v>
      </c>
      <c r="U418" s="2" t="str">
        <f t="shared" si="66"/>
        <v>FALSE</v>
      </c>
      <c r="V418" s="2" t="b">
        <f t="shared" si="67"/>
        <v>0</v>
      </c>
      <c r="W418" s="2" t="b">
        <f t="shared" si="68"/>
        <v>0</v>
      </c>
      <c r="X418" s="2" t="b">
        <f t="shared" si="69"/>
        <v>0</v>
      </c>
    </row>
    <row r="419" spans="1:24" ht="10.5" customHeight="1">
      <c r="A419" s="2" t="s">
        <v>713</v>
      </c>
      <c r="B419" s="3">
        <v>45742.479016203702</v>
      </c>
      <c r="C419" s="2" t="s">
        <v>714</v>
      </c>
      <c r="D419" s="2" t="s">
        <v>48</v>
      </c>
      <c r="E419" s="2" t="s">
        <v>170</v>
      </c>
      <c r="F419" s="4">
        <v>12000</v>
      </c>
      <c r="G419" s="5">
        <v>1.8</v>
      </c>
      <c r="H419" s="6">
        <v>0</v>
      </c>
      <c r="I419" s="7">
        <f t="shared" si="60"/>
        <v>21600</v>
      </c>
      <c r="J419" s="7">
        <f t="shared" si="61"/>
        <v>0</v>
      </c>
      <c r="K419" s="7">
        <f t="shared" si="62"/>
        <v>21600</v>
      </c>
      <c r="L419" s="4">
        <v>18000</v>
      </c>
      <c r="M419" s="7">
        <f t="shared" si="63"/>
        <v>39600</v>
      </c>
      <c r="N419" s="2" t="s">
        <v>21</v>
      </c>
      <c r="O419" t="s">
        <v>69</v>
      </c>
      <c r="P419" s="2" t="s">
        <v>2367</v>
      </c>
      <c r="Q419" s="2">
        <v>3</v>
      </c>
      <c r="R419" s="2" t="s">
        <v>23</v>
      </c>
      <c r="S419" s="2" t="str">
        <f t="shared" si="64"/>
        <v>Sangat Rendah</v>
      </c>
      <c r="T419" s="2" t="str">
        <f t="shared" si="65"/>
        <v>FALSE</v>
      </c>
      <c r="U419" s="2" t="str">
        <f t="shared" si="66"/>
        <v>FALSE</v>
      </c>
      <c r="V419" s="2" t="b">
        <f t="shared" si="67"/>
        <v>0</v>
      </c>
      <c r="W419" s="2" t="b">
        <f t="shared" si="68"/>
        <v>1</v>
      </c>
      <c r="X419" s="2" t="b">
        <f t="shared" si="69"/>
        <v>1</v>
      </c>
    </row>
    <row r="420" spans="1:24" ht="10.5" customHeight="1">
      <c r="A420" s="2" t="s">
        <v>715</v>
      </c>
      <c r="B420" s="3">
        <v>45742.523159722223</v>
      </c>
      <c r="C420" s="2" t="s">
        <v>716</v>
      </c>
      <c r="D420" s="2" t="s">
        <v>48</v>
      </c>
      <c r="E420" s="2" t="s">
        <v>57</v>
      </c>
      <c r="F420" s="4">
        <v>17500</v>
      </c>
      <c r="G420" s="5">
        <v>1.8</v>
      </c>
      <c r="H420" s="6">
        <v>0</v>
      </c>
      <c r="I420" s="7">
        <f t="shared" si="60"/>
        <v>31500</v>
      </c>
      <c r="J420" s="7">
        <f t="shared" si="61"/>
        <v>0</v>
      </c>
      <c r="K420" s="7">
        <f t="shared" si="62"/>
        <v>31500</v>
      </c>
      <c r="L420" s="4">
        <v>18000</v>
      </c>
      <c r="M420" s="7">
        <f t="shared" si="63"/>
        <v>49500</v>
      </c>
      <c r="N420" s="2" t="s">
        <v>58</v>
      </c>
      <c r="O420" t="s">
        <v>22</v>
      </c>
      <c r="P420" s="2" t="s">
        <v>2367</v>
      </c>
      <c r="Q420" s="2">
        <v>4</v>
      </c>
      <c r="R420" s="2" t="s">
        <v>34</v>
      </c>
      <c r="S420" s="2" t="str">
        <f t="shared" si="64"/>
        <v>Sangat Rendah</v>
      </c>
      <c r="T420" s="2" t="str">
        <f t="shared" si="65"/>
        <v>FALSE</v>
      </c>
      <c r="U420" s="2" t="str">
        <f t="shared" si="66"/>
        <v>FALSE</v>
      </c>
      <c r="V420" s="2" t="b">
        <f t="shared" si="67"/>
        <v>0</v>
      </c>
      <c r="W420" s="2" t="b">
        <f t="shared" si="68"/>
        <v>1</v>
      </c>
      <c r="X420" s="2" t="b">
        <f t="shared" si="69"/>
        <v>0</v>
      </c>
    </row>
    <row r="421" spans="1:24" ht="10.5" customHeight="1">
      <c r="A421" s="2" t="s">
        <v>717</v>
      </c>
      <c r="B421" s="3">
        <v>45742.544305555559</v>
      </c>
      <c r="C421" s="2" t="s">
        <v>400</v>
      </c>
      <c r="D421" s="2" t="s">
        <v>140</v>
      </c>
      <c r="E421" s="2" t="s">
        <v>49</v>
      </c>
      <c r="F421" s="4">
        <v>26000</v>
      </c>
      <c r="G421" s="5">
        <v>1.7</v>
      </c>
      <c r="H421" s="6">
        <v>0</v>
      </c>
      <c r="I421" s="7">
        <f t="shared" si="60"/>
        <v>44200</v>
      </c>
      <c r="J421" s="7">
        <f t="shared" si="61"/>
        <v>0</v>
      </c>
      <c r="K421" s="7">
        <f t="shared" si="62"/>
        <v>44200</v>
      </c>
      <c r="L421" s="4">
        <v>55000</v>
      </c>
      <c r="M421" s="7">
        <f t="shared" si="63"/>
        <v>99200</v>
      </c>
      <c r="N421" s="2" t="s">
        <v>21</v>
      </c>
      <c r="O421" t="s">
        <v>22</v>
      </c>
      <c r="P421" s="2" t="s">
        <v>2368</v>
      </c>
      <c r="Q421" s="2">
        <v>5</v>
      </c>
      <c r="R421" s="2" t="s">
        <v>23</v>
      </c>
      <c r="S421" s="2" t="str">
        <f t="shared" si="64"/>
        <v>Rendah</v>
      </c>
      <c r="T421" s="2" t="str">
        <f t="shared" si="65"/>
        <v>FALSE</v>
      </c>
      <c r="U421" s="2" t="str">
        <f t="shared" si="66"/>
        <v>FALSE</v>
      </c>
      <c r="V421" s="2" t="b">
        <f t="shared" si="67"/>
        <v>0</v>
      </c>
      <c r="W421" s="2" t="b">
        <f t="shared" si="68"/>
        <v>0</v>
      </c>
      <c r="X421" s="2" t="b">
        <f t="shared" si="69"/>
        <v>0</v>
      </c>
    </row>
    <row r="422" spans="1:24" ht="10.5" customHeight="1">
      <c r="A422" s="2" t="s">
        <v>718</v>
      </c>
      <c r="B422" s="3">
        <v>45742.628807870373</v>
      </c>
      <c r="C422" s="2" t="s">
        <v>719</v>
      </c>
      <c r="D422" s="2" t="s">
        <v>68</v>
      </c>
      <c r="E422" s="2" t="s">
        <v>49</v>
      </c>
      <c r="F422" s="4">
        <v>26000</v>
      </c>
      <c r="G422" s="5">
        <v>2.2000000000000002</v>
      </c>
      <c r="H422" s="6">
        <v>0</v>
      </c>
      <c r="I422" s="7">
        <f t="shared" si="60"/>
        <v>57200.000000000007</v>
      </c>
      <c r="J422" s="7">
        <f t="shared" si="61"/>
        <v>0</v>
      </c>
      <c r="K422" s="7">
        <f t="shared" si="62"/>
        <v>57200.000000000007</v>
      </c>
      <c r="L422" s="4">
        <v>87000</v>
      </c>
      <c r="M422" s="7">
        <f t="shared" si="63"/>
        <v>144200</v>
      </c>
      <c r="N422" s="2" t="s">
        <v>58</v>
      </c>
      <c r="O422" t="s">
        <v>22</v>
      </c>
      <c r="P422" s="2" t="s">
        <v>2366</v>
      </c>
      <c r="Q422" s="2">
        <v>5</v>
      </c>
      <c r="R422" s="2" t="s">
        <v>23</v>
      </c>
      <c r="S422" s="2" t="str">
        <f t="shared" si="64"/>
        <v>Standar</v>
      </c>
      <c r="T422" s="2" t="str">
        <f t="shared" si="65"/>
        <v>FALSE</v>
      </c>
      <c r="U422" s="2" t="str">
        <f t="shared" si="66"/>
        <v>FALSE</v>
      </c>
      <c r="V422" s="2" t="b">
        <f t="shared" si="67"/>
        <v>0</v>
      </c>
      <c r="W422" s="2" t="b">
        <f t="shared" si="68"/>
        <v>0</v>
      </c>
      <c r="X422" s="2" t="b">
        <f t="shared" si="69"/>
        <v>0</v>
      </c>
    </row>
    <row r="423" spans="1:24" ht="10.5" customHeight="1">
      <c r="A423" s="2" t="s">
        <v>720</v>
      </c>
      <c r="B423" s="3">
        <v>45742.666481481479</v>
      </c>
      <c r="C423" s="2" t="s">
        <v>445</v>
      </c>
      <c r="D423" s="2" t="s">
        <v>31</v>
      </c>
      <c r="E423" s="2" t="s">
        <v>41</v>
      </c>
      <c r="F423" s="4">
        <v>40000</v>
      </c>
      <c r="G423" s="5">
        <v>0.5</v>
      </c>
      <c r="H423" s="6">
        <v>0</v>
      </c>
      <c r="I423" s="7">
        <f t="shared" si="60"/>
        <v>20000</v>
      </c>
      <c r="J423" s="7">
        <f t="shared" si="61"/>
        <v>0</v>
      </c>
      <c r="K423" s="7">
        <f t="shared" si="62"/>
        <v>20000</v>
      </c>
      <c r="L423" s="4">
        <v>76000</v>
      </c>
      <c r="M423" s="7">
        <f t="shared" si="63"/>
        <v>96000</v>
      </c>
      <c r="N423" s="2" t="s">
        <v>33</v>
      </c>
      <c r="O423" t="s">
        <v>22</v>
      </c>
      <c r="P423" s="2" t="s">
        <v>2370</v>
      </c>
      <c r="Q423" s="2">
        <v>1</v>
      </c>
      <c r="R423" s="2" t="s">
        <v>23</v>
      </c>
      <c r="S423" s="2" t="str">
        <f t="shared" si="64"/>
        <v>Rendah</v>
      </c>
      <c r="T423" s="2" t="str">
        <f t="shared" si="65"/>
        <v>FALSE</v>
      </c>
      <c r="U423" s="2" t="str">
        <f t="shared" si="66"/>
        <v>FALSE</v>
      </c>
      <c r="V423" s="2" t="b">
        <f t="shared" si="67"/>
        <v>0</v>
      </c>
      <c r="W423" s="2" t="b">
        <f t="shared" si="68"/>
        <v>0</v>
      </c>
      <c r="X423" s="2" t="b">
        <f t="shared" si="69"/>
        <v>0</v>
      </c>
    </row>
    <row r="424" spans="1:24" ht="10.5" customHeight="1">
      <c r="A424" s="2" t="s">
        <v>721</v>
      </c>
      <c r="B424" s="3">
        <v>45742.735462962963</v>
      </c>
      <c r="C424" s="2" t="s">
        <v>722</v>
      </c>
      <c r="D424" s="2" t="s">
        <v>160</v>
      </c>
      <c r="E424" s="2" t="s">
        <v>35</v>
      </c>
      <c r="F424" s="4">
        <v>13500</v>
      </c>
      <c r="G424" s="5">
        <v>0.9</v>
      </c>
      <c r="H424" s="6">
        <v>0</v>
      </c>
      <c r="I424" s="7">
        <f t="shared" si="60"/>
        <v>12150</v>
      </c>
      <c r="J424" s="7">
        <f t="shared" si="61"/>
        <v>0</v>
      </c>
      <c r="K424" s="7">
        <f t="shared" si="62"/>
        <v>12150</v>
      </c>
      <c r="L424" s="4">
        <v>46000</v>
      </c>
      <c r="M424" s="7">
        <f t="shared" si="63"/>
        <v>58150</v>
      </c>
      <c r="N424" s="2" t="s">
        <v>33</v>
      </c>
      <c r="O424" t="s">
        <v>22</v>
      </c>
      <c r="P424" s="2" t="s">
        <v>2368</v>
      </c>
      <c r="Q424" s="2">
        <v>1</v>
      </c>
      <c r="R424" s="2" t="s">
        <v>23</v>
      </c>
      <c r="S424" s="2" t="str">
        <f t="shared" si="64"/>
        <v>Rendah</v>
      </c>
      <c r="T424" s="2" t="str">
        <f t="shared" si="65"/>
        <v>FALSE</v>
      </c>
      <c r="U424" s="2" t="str">
        <f t="shared" si="66"/>
        <v>FALSE</v>
      </c>
      <c r="V424" s="2" t="b">
        <f t="shared" si="67"/>
        <v>0</v>
      </c>
      <c r="W424" s="2" t="b">
        <f t="shared" si="68"/>
        <v>0</v>
      </c>
      <c r="X424" s="2" t="b">
        <f t="shared" si="69"/>
        <v>0</v>
      </c>
    </row>
    <row r="425" spans="1:24" ht="10.5" customHeight="1">
      <c r="A425" s="2" t="s">
        <v>723</v>
      </c>
      <c r="B425" s="3">
        <v>45742.874895833331</v>
      </c>
      <c r="C425" s="2" t="s">
        <v>71</v>
      </c>
      <c r="D425" s="2" t="s">
        <v>56</v>
      </c>
      <c r="E425" s="2" t="s">
        <v>65</v>
      </c>
      <c r="F425" s="4">
        <v>46000</v>
      </c>
      <c r="G425" s="5">
        <v>1.2</v>
      </c>
      <c r="H425" s="6">
        <v>0</v>
      </c>
      <c r="I425" s="7">
        <f t="shared" si="60"/>
        <v>55200</v>
      </c>
      <c r="J425" s="7">
        <f t="shared" si="61"/>
        <v>0</v>
      </c>
      <c r="K425" s="7">
        <f t="shared" si="62"/>
        <v>55200</v>
      </c>
      <c r="L425" s="4">
        <v>26000</v>
      </c>
      <c r="M425" s="7">
        <f t="shared" si="63"/>
        <v>81200</v>
      </c>
      <c r="N425" s="2" t="s">
        <v>33</v>
      </c>
      <c r="O425" t="s">
        <v>22</v>
      </c>
      <c r="P425" s="2" t="s">
        <v>2367</v>
      </c>
      <c r="Q425" s="2">
        <v>4</v>
      </c>
      <c r="R425" s="2" t="s">
        <v>23</v>
      </c>
      <c r="S425" s="2" t="str">
        <f t="shared" si="64"/>
        <v>Rendah</v>
      </c>
      <c r="T425" s="2" t="str">
        <f t="shared" si="65"/>
        <v>FALSE</v>
      </c>
      <c r="U425" s="2" t="str">
        <f t="shared" si="66"/>
        <v>FALSE</v>
      </c>
      <c r="V425" s="2" t="b">
        <f t="shared" si="67"/>
        <v>0</v>
      </c>
      <c r="W425" s="2" t="b">
        <f t="shared" si="68"/>
        <v>1</v>
      </c>
      <c r="X425" s="2" t="b">
        <f t="shared" si="69"/>
        <v>0</v>
      </c>
    </row>
    <row r="426" spans="1:24" ht="10.5" customHeight="1">
      <c r="A426" s="2" t="s">
        <v>724</v>
      </c>
      <c r="B426" s="3">
        <v>45742.923692129632</v>
      </c>
      <c r="C426" s="2" t="s">
        <v>634</v>
      </c>
      <c r="D426" s="2" t="s">
        <v>235</v>
      </c>
      <c r="E426" s="2" t="s">
        <v>41</v>
      </c>
      <c r="F426" s="4">
        <v>40000</v>
      </c>
      <c r="G426" s="5">
        <v>1</v>
      </c>
      <c r="H426" s="6">
        <v>0</v>
      </c>
      <c r="I426" s="7">
        <f t="shared" si="60"/>
        <v>40000</v>
      </c>
      <c r="J426" s="7">
        <f t="shared" si="61"/>
        <v>0</v>
      </c>
      <c r="K426" s="7">
        <f t="shared" si="62"/>
        <v>40000</v>
      </c>
      <c r="L426" s="4">
        <v>80000</v>
      </c>
      <c r="M426" s="7">
        <f t="shared" si="63"/>
        <v>120000</v>
      </c>
      <c r="N426" s="2" t="s">
        <v>33</v>
      </c>
      <c r="O426" t="s">
        <v>115</v>
      </c>
      <c r="P426" s="2" t="s">
        <v>2370</v>
      </c>
      <c r="Q426" s="2">
        <v>4</v>
      </c>
      <c r="R426" s="2" t="s">
        <v>23</v>
      </c>
      <c r="S426" s="2" t="str">
        <f t="shared" si="64"/>
        <v>Standar</v>
      </c>
      <c r="T426" s="2" t="str">
        <f t="shared" si="65"/>
        <v>FALSE</v>
      </c>
      <c r="U426" s="2" t="str">
        <f t="shared" si="66"/>
        <v>FALSE</v>
      </c>
      <c r="V426" s="2" t="b">
        <f t="shared" si="67"/>
        <v>0</v>
      </c>
      <c r="W426" s="2" t="b">
        <f t="shared" si="68"/>
        <v>0</v>
      </c>
      <c r="X426" s="2" t="b">
        <f t="shared" si="69"/>
        <v>0</v>
      </c>
    </row>
    <row r="427" spans="1:24" ht="10.5" customHeight="1">
      <c r="A427" s="2" t="s">
        <v>725</v>
      </c>
      <c r="B427" s="3">
        <v>45743.146157407413</v>
      </c>
      <c r="C427" s="2" t="s">
        <v>220</v>
      </c>
      <c r="D427" s="2" t="s">
        <v>185</v>
      </c>
      <c r="E427" s="2" t="s">
        <v>53</v>
      </c>
      <c r="F427" s="4">
        <v>14000</v>
      </c>
      <c r="G427" s="5">
        <v>1.1000000000000001</v>
      </c>
      <c r="H427" s="6">
        <v>0</v>
      </c>
      <c r="I427" s="7">
        <f t="shared" si="60"/>
        <v>15400.000000000002</v>
      </c>
      <c r="J427" s="7">
        <f t="shared" si="61"/>
        <v>0</v>
      </c>
      <c r="K427" s="7">
        <f t="shared" si="62"/>
        <v>15400.000000000002</v>
      </c>
      <c r="L427" s="4">
        <v>87000</v>
      </c>
      <c r="M427" s="7">
        <f t="shared" si="63"/>
        <v>102400</v>
      </c>
      <c r="N427" s="2" t="s">
        <v>28</v>
      </c>
      <c r="O427" t="s">
        <v>22</v>
      </c>
      <c r="P427" s="2" t="s">
        <v>2367</v>
      </c>
      <c r="Q427" s="2">
        <v>5</v>
      </c>
      <c r="R427" s="2" t="s">
        <v>23</v>
      </c>
      <c r="S427" s="2" t="str">
        <f t="shared" si="64"/>
        <v>Standar</v>
      </c>
      <c r="T427" s="2" t="str">
        <f t="shared" si="65"/>
        <v>FALSE</v>
      </c>
      <c r="U427" s="2" t="str">
        <f t="shared" si="66"/>
        <v>FALSE</v>
      </c>
      <c r="V427" s="2" t="b">
        <f t="shared" si="67"/>
        <v>0</v>
      </c>
      <c r="W427" s="2" t="b">
        <f t="shared" si="68"/>
        <v>1</v>
      </c>
      <c r="X427" s="2" t="b">
        <f t="shared" si="69"/>
        <v>0</v>
      </c>
    </row>
    <row r="428" spans="1:24" ht="10.5" customHeight="1">
      <c r="A428" s="2" t="s">
        <v>726</v>
      </c>
      <c r="B428" s="3">
        <v>45743.368981481479</v>
      </c>
      <c r="C428" s="2" t="s">
        <v>244</v>
      </c>
      <c r="D428" s="2" t="s">
        <v>56</v>
      </c>
      <c r="E428" s="2" t="s">
        <v>75</v>
      </c>
      <c r="F428" s="4">
        <v>45000</v>
      </c>
      <c r="G428" s="5">
        <v>1.2</v>
      </c>
      <c r="H428" s="6">
        <v>0</v>
      </c>
      <c r="I428" s="7">
        <f t="shared" si="60"/>
        <v>54000</v>
      </c>
      <c r="J428" s="7">
        <f t="shared" si="61"/>
        <v>0</v>
      </c>
      <c r="K428" s="7">
        <f t="shared" si="62"/>
        <v>54000</v>
      </c>
      <c r="L428" s="4">
        <v>26000</v>
      </c>
      <c r="M428" s="7">
        <f t="shared" si="63"/>
        <v>80000</v>
      </c>
      <c r="N428" s="2" t="s">
        <v>58</v>
      </c>
      <c r="O428" t="s">
        <v>22</v>
      </c>
      <c r="P428" s="2" t="s">
        <v>2370</v>
      </c>
      <c r="Q428" s="2">
        <v>5</v>
      </c>
      <c r="R428" s="2" t="s">
        <v>23</v>
      </c>
      <c r="S428" s="2" t="str">
        <f t="shared" si="64"/>
        <v>Rendah</v>
      </c>
      <c r="T428" s="2" t="str">
        <f t="shared" si="65"/>
        <v>FALSE</v>
      </c>
      <c r="U428" s="2" t="str">
        <f t="shared" si="66"/>
        <v>FALSE</v>
      </c>
      <c r="V428" s="2" t="b">
        <f t="shared" si="67"/>
        <v>0</v>
      </c>
      <c r="W428" s="2" t="b">
        <f t="shared" si="68"/>
        <v>0</v>
      </c>
      <c r="X428" s="2" t="b">
        <f t="shared" si="69"/>
        <v>0</v>
      </c>
    </row>
    <row r="429" spans="1:24" ht="10.5" customHeight="1">
      <c r="A429" s="2" t="s">
        <v>727</v>
      </c>
      <c r="B429" s="3">
        <v>45743.400370370371</v>
      </c>
      <c r="C429" s="2" t="s">
        <v>560</v>
      </c>
      <c r="D429" s="2" t="s">
        <v>74</v>
      </c>
      <c r="E429" s="2" t="s">
        <v>45</v>
      </c>
      <c r="F429" s="4">
        <v>10500</v>
      </c>
      <c r="G429" s="5">
        <v>3.2</v>
      </c>
      <c r="H429" s="6">
        <v>0</v>
      </c>
      <c r="I429" s="7">
        <f t="shared" si="60"/>
        <v>33600</v>
      </c>
      <c r="J429" s="7">
        <f t="shared" si="61"/>
        <v>0</v>
      </c>
      <c r="K429" s="7">
        <f t="shared" si="62"/>
        <v>33600</v>
      </c>
      <c r="L429" s="4">
        <v>74000</v>
      </c>
      <c r="M429" s="7">
        <f t="shared" si="63"/>
        <v>107600</v>
      </c>
      <c r="N429" s="2" t="s">
        <v>33</v>
      </c>
      <c r="O429" t="s">
        <v>115</v>
      </c>
      <c r="P429" s="2" t="s">
        <v>2367</v>
      </c>
      <c r="Q429" s="2">
        <v>5</v>
      </c>
      <c r="R429" s="2" t="s">
        <v>23</v>
      </c>
      <c r="S429" s="2" t="str">
        <f t="shared" si="64"/>
        <v>Standar</v>
      </c>
      <c r="T429" s="2" t="str">
        <f t="shared" si="65"/>
        <v>FALSE</v>
      </c>
      <c r="U429" s="2" t="str">
        <f t="shared" si="66"/>
        <v>FALSE</v>
      </c>
      <c r="V429" s="2" t="b">
        <f t="shared" si="67"/>
        <v>0</v>
      </c>
      <c r="W429" s="2" t="b">
        <f t="shared" si="68"/>
        <v>1</v>
      </c>
      <c r="X429" s="2" t="b">
        <f t="shared" si="69"/>
        <v>0</v>
      </c>
    </row>
    <row r="430" spans="1:24" ht="10.5" customHeight="1">
      <c r="A430" s="2" t="s">
        <v>728</v>
      </c>
      <c r="B430" s="3">
        <v>45743.406481481477</v>
      </c>
      <c r="C430" s="2" t="s">
        <v>729</v>
      </c>
      <c r="D430" s="2" t="s">
        <v>167</v>
      </c>
      <c r="E430" s="2" t="s">
        <v>41</v>
      </c>
      <c r="F430" s="4">
        <v>40000</v>
      </c>
      <c r="G430" s="5">
        <v>1.4</v>
      </c>
      <c r="H430" s="6">
        <v>0</v>
      </c>
      <c r="I430" s="7">
        <f t="shared" si="60"/>
        <v>56000</v>
      </c>
      <c r="J430" s="7">
        <f t="shared" si="61"/>
        <v>0</v>
      </c>
      <c r="K430" s="7">
        <f t="shared" si="62"/>
        <v>56000</v>
      </c>
      <c r="L430" s="4">
        <v>56000</v>
      </c>
      <c r="M430" s="7">
        <f t="shared" si="63"/>
        <v>112000</v>
      </c>
      <c r="N430" s="2" t="s">
        <v>28</v>
      </c>
      <c r="O430" t="s">
        <v>69</v>
      </c>
      <c r="P430" s="2" t="s">
        <v>2366</v>
      </c>
      <c r="Q430" s="2">
        <v>5</v>
      </c>
      <c r="R430" s="2" t="s">
        <v>23</v>
      </c>
      <c r="S430" s="2" t="str">
        <f t="shared" si="64"/>
        <v>Standar</v>
      </c>
      <c r="T430" s="2" t="str">
        <f t="shared" si="65"/>
        <v>FALSE</v>
      </c>
      <c r="U430" s="2" t="str">
        <f t="shared" si="66"/>
        <v>FALSE</v>
      </c>
      <c r="V430" s="2" t="b">
        <f t="shared" si="67"/>
        <v>0</v>
      </c>
      <c r="W430" s="2" t="b">
        <f t="shared" si="68"/>
        <v>0</v>
      </c>
      <c r="X430" s="2" t="b">
        <f t="shared" si="69"/>
        <v>0</v>
      </c>
    </row>
    <row r="431" spans="1:24" ht="10.5" customHeight="1">
      <c r="A431" s="2" t="s">
        <v>730</v>
      </c>
      <c r="B431" s="3">
        <v>45743.433657407397</v>
      </c>
      <c r="C431" s="2" t="s">
        <v>731</v>
      </c>
      <c r="D431" s="2" t="s">
        <v>179</v>
      </c>
      <c r="E431" s="2" t="s">
        <v>102</v>
      </c>
      <c r="F431" s="4">
        <v>55000</v>
      </c>
      <c r="G431" s="5">
        <v>0.3</v>
      </c>
      <c r="H431" s="6">
        <v>0</v>
      </c>
      <c r="I431" s="7">
        <f t="shared" si="60"/>
        <v>16500</v>
      </c>
      <c r="J431" s="7">
        <f t="shared" si="61"/>
        <v>0</v>
      </c>
      <c r="K431" s="7">
        <f t="shared" si="62"/>
        <v>16500</v>
      </c>
      <c r="L431" s="4">
        <v>57000</v>
      </c>
      <c r="M431" s="7">
        <f t="shared" si="63"/>
        <v>73500</v>
      </c>
      <c r="N431" s="2" t="s">
        <v>21</v>
      </c>
      <c r="O431" t="s">
        <v>69</v>
      </c>
      <c r="P431" s="2" t="s">
        <v>2367</v>
      </c>
      <c r="Q431" s="2">
        <v>4</v>
      </c>
      <c r="R431" s="2" t="s">
        <v>23</v>
      </c>
      <c r="S431" s="2" t="str">
        <f t="shared" si="64"/>
        <v>Rendah</v>
      </c>
      <c r="T431" s="2" t="str">
        <f t="shared" si="65"/>
        <v>FALSE</v>
      </c>
      <c r="U431" s="2" t="str">
        <f t="shared" si="66"/>
        <v>FALSE</v>
      </c>
      <c r="V431" s="2" t="b">
        <f t="shared" si="67"/>
        <v>0</v>
      </c>
      <c r="W431" s="2" t="b">
        <f t="shared" si="68"/>
        <v>1</v>
      </c>
      <c r="X431" s="2" t="b">
        <f t="shared" si="69"/>
        <v>0</v>
      </c>
    </row>
    <row r="432" spans="1:24" ht="10.5" customHeight="1">
      <c r="A432" s="2" t="s">
        <v>732</v>
      </c>
      <c r="B432" s="3">
        <v>45743.455613425933</v>
      </c>
      <c r="C432" s="2" t="s">
        <v>313</v>
      </c>
      <c r="D432" s="2" t="s">
        <v>94</v>
      </c>
      <c r="E432" s="2" t="s">
        <v>45</v>
      </c>
      <c r="F432" s="4">
        <v>10500</v>
      </c>
      <c r="G432" s="5">
        <v>1</v>
      </c>
      <c r="H432" s="6">
        <v>0</v>
      </c>
      <c r="I432" s="7">
        <f t="shared" si="60"/>
        <v>10500</v>
      </c>
      <c r="J432" s="7">
        <f t="shared" si="61"/>
        <v>0</v>
      </c>
      <c r="K432" s="7">
        <f t="shared" si="62"/>
        <v>10500</v>
      </c>
      <c r="L432" s="4">
        <v>85000</v>
      </c>
      <c r="M432" s="7">
        <f t="shared" si="63"/>
        <v>95500</v>
      </c>
      <c r="N432" s="2" t="s">
        <v>28</v>
      </c>
      <c r="O432" t="s">
        <v>22</v>
      </c>
      <c r="P432" s="2" t="s">
        <v>2365</v>
      </c>
      <c r="Q432" s="2">
        <v>4</v>
      </c>
      <c r="R432" s="2" t="s">
        <v>23</v>
      </c>
      <c r="S432" s="2" t="str">
        <f t="shared" si="64"/>
        <v>Rendah</v>
      </c>
      <c r="T432" s="2" t="str">
        <f t="shared" si="65"/>
        <v>FALSE</v>
      </c>
      <c r="U432" s="2" t="str">
        <f t="shared" si="66"/>
        <v>FALSE</v>
      </c>
      <c r="V432" s="2" t="b">
        <f t="shared" si="67"/>
        <v>0</v>
      </c>
      <c r="W432" s="2" t="b">
        <f t="shared" si="68"/>
        <v>0</v>
      </c>
      <c r="X432" s="2" t="b">
        <f t="shared" si="69"/>
        <v>0</v>
      </c>
    </row>
    <row r="433" spans="1:24" ht="10.5" customHeight="1">
      <c r="A433" s="2" t="s">
        <v>732</v>
      </c>
      <c r="B433" s="3">
        <v>45743.455613425933</v>
      </c>
      <c r="C433" s="2" t="s">
        <v>313</v>
      </c>
      <c r="D433" s="2" t="s">
        <v>94</v>
      </c>
      <c r="E433" s="2" t="s">
        <v>35</v>
      </c>
      <c r="F433" s="4">
        <v>13500</v>
      </c>
      <c r="G433" s="5">
        <v>1.8</v>
      </c>
      <c r="H433" s="6">
        <v>0</v>
      </c>
      <c r="I433" s="7">
        <f t="shared" si="60"/>
        <v>24300</v>
      </c>
      <c r="J433" s="7">
        <f t="shared" si="61"/>
        <v>0</v>
      </c>
      <c r="K433" s="7">
        <f t="shared" si="62"/>
        <v>24300</v>
      </c>
      <c r="L433" s="4">
        <v>0</v>
      </c>
      <c r="M433" s="7">
        <f t="shared" si="63"/>
        <v>24300</v>
      </c>
      <c r="N433" s="2" t="s">
        <v>28</v>
      </c>
      <c r="O433" t="s">
        <v>22</v>
      </c>
      <c r="P433" s="2" t="s">
        <v>2365</v>
      </c>
      <c r="Q433" s="2">
        <v>4</v>
      </c>
      <c r="R433" s="2" t="s">
        <v>23</v>
      </c>
      <c r="S433" s="2" t="str">
        <f t="shared" si="64"/>
        <v>Sangat Rendah</v>
      </c>
      <c r="T433" s="2" t="str">
        <f t="shared" si="65"/>
        <v>FALSE</v>
      </c>
      <c r="U433" s="2" t="str">
        <f t="shared" si="66"/>
        <v>FALSE</v>
      </c>
      <c r="V433" s="2" t="b">
        <f t="shared" si="67"/>
        <v>0</v>
      </c>
      <c r="W433" s="2" t="b">
        <f t="shared" si="68"/>
        <v>0</v>
      </c>
      <c r="X433" s="2" t="b">
        <f t="shared" si="69"/>
        <v>1</v>
      </c>
    </row>
    <row r="434" spans="1:24" ht="10.5" customHeight="1">
      <c r="A434" s="2" t="s">
        <v>733</v>
      </c>
      <c r="B434" s="3">
        <v>45743.515613425923</v>
      </c>
      <c r="C434" s="2" t="s">
        <v>734</v>
      </c>
      <c r="D434" s="2" t="s">
        <v>365</v>
      </c>
      <c r="E434" s="2" t="s">
        <v>35</v>
      </c>
      <c r="F434" s="4">
        <v>13500</v>
      </c>
      <c r="G434" s="5">
        <v>3.2</v>
      </c>
      <c r="H434" s="6">
        <v>0</v>
      </c>
      <c r="I434" s="7">
        <f t="shared" si="60"/>
        <v>43200</v>
      </c>
      <c r="J434" s="7">
        <f t="shared" si="61"/>
        <v>0</v>
      </c>
      <c r="K434" s="7">
        <f t="shared" si="62"/>
        <v>43200</v>
      </c>
      <c r="L434" s="4">
        <v>21000</v>
      </c>
      <c r="M434" s="7">
        <f t="shared" si="63"/>
        <v>64200</v>
      </c>
      <c r="N434" s="2" t="s">
        <v>33</v>
      </c>
      <c r="O434" t="s">
        <v>22</v>
      </c>
      <c r="P434" s="2" t="s">
        <v>2366</v>
      </c>
      <c r="Q434" s="2">
        <v>1</v>
      </c>
      <c r="R434" s="2" t="s">
        <v>23</v>
      </c>
      <c r="S434" s="2" t="str">
        <f t="shared" si="64"/>
        <v>Rendah</v>
      </c>
      <c r="T434" s="2" t="str">
        <f t="shared" si="65"/>
        <v>FALSE</v>
      </c>
      <c r="U434" s="2" t="str">
        <f t="shared" si="66"/>
        <v>FALSE</v>
      </c>
      <c r="V434" s="2" t="b">
        <f t="shared" si="67"/>
        <v>0</v>
      </c>
      <c r="W434" s="2" t="b">
        <f t="shared" si="68"/>
        <v>0</v>
      </c>
      <c r="X434" s="2" t="b">
        <f t="shared" si="69"/>
        <v>0</v>
      </c>
    </row>
    <row r="435" spans="1:24" ht="10.5" customHeight="1">
      <c r="A435" s="2" t="s">
        <v>735</v>
      </c>
      <c r="B435" s="3">
        <v>45743.540266203701</v>
      </c>
      <c r="C435" s="2" t="s">
        <v>539</v>
      </c>
      <c r="D435" s="2" t="s">
        <v>98</v>
      </c>
      <c r="E435" s="2" t="s">
        <v>95</v>
      </c>
      <c r="F435" s="4">
        <v>9500</v>
      </c>
      <c r="G435" s="5">
        <v>0.8</v>
      </c>
      <c r="H435" s="6">
        <v>0</v>
      </c>
      <c r="I435" s="7">
        <f t="shared" si="60"/>
        <v>7600</v>
      </c>
      <c r="J435" s="7">
        <f t="shared" si="61"/>
        <v>0</v>
      </c>
      <c r="K435" s="7">
        <f t="shared" si="62"/>
        <v>7600</v>
      </c>
      <c r="L435" s="4">
        <v>97000</v>
      </c>
      <c r="M435" s="7">
        <f t="shared" si="63"/>
        <v>104600</v>
      </c>
      <c r="N435" s="2" t="s">
        <v>21</v>
      </c>
      <c r="O435" t="s">
        <v>22</v>
      </c>
      <c r="P435" s="2" t="s">
        <v>2368</v>
      </c>
      <c r="Q435" s="2">
        <v>5</v>
      </c>
      <c r="R435" s="2" t="s">
        <v>23</v>
      </c>
      <c r="S435" s="2" t="str">
        <f t="shared" si="64"/>
        <v>Standar</v>
      </c>
      <c r="T435" s="2" t="str">
        <f t="shared" si="65"/>
        <v>FALSE</v>
      </c>
      <c r="U435" s="2" t="str">
        <f t="shared" si="66"/>
        <v>FALSE</v>
      </c>
      <c r="V435" s="2" t="b">
        <f t="shared" si="67"/>
        <v>0</v>
      </c>
      <c r="W435" s="2" t="b">
        <f t="shared" si="68"/>
        <v>0</v>
      </c>
      <c r="X435" s="2" t="b">
        <f t="shared" si="69"/>
        <v>0</v>
      </c>
    </row>
    <row r="436" spans="1:24" ht="10.5" customHeight="1">
      <c r="A436" s="2" t="s">
        <v>736</v>
      </c>
      <c r="B436" s="3">
        <v>45743.56454861111</v>
      </c>
      <c r="C436" s="2" t="s">
        <v>51</v>
      </c>
      <c r="D436" s="2" t="s">
        <v>52</v>
      </c>
      <c r="E436" s="2" t="s">
        <v>161</v>
      </c>
      <c r="F436" s="4">
        <v>115000</v>
      </c>
      <c r="G436" s="5">
        <v>0.3</v>
      </c>
      <c r="H436" s="6">
        <v>0</v>
      </c>
      <c r="I436" s="7">
        <f t="shared" si="60"/>
        <v>34500</v>
      </c>
      <c r="J436" s="7">
        <f t="shared" si="61"/>
        <v>0</v>
      </c>
      <c r="K436" s="7">
        <f t="shared" si="62"/>
        <v>34500</v>
      </c>
      <c r="L436" s="4">
        <v>80000</v>
      </c>
      <c r="M436" s="7">
        <f t="shared" si="63"/>
        <v>114500</v>
      </c>
      <c r="N436" s="2" t="s">
        <v>58</v>
      </c>
      <c r="O436" t="s">
        <v>22</v>
      </c>
      <c r="P436" s="2" t="s">
        <v>2368</v>
      </c>
      <c r="Q436" s="2">
        <v>4</v>
      </c>
      <c r="R436" s="2" t="s">
        <v>23</v>
      </c>
      <c r="S436" s="2" t="str">
        <f t="shared" si="64"/>
        <v>Standar</v>
      </c>
      <c r="T436" s="2" t="str">
        <f t="shared" si="65"/>
        <v>FALSE</v>
      </c>
      <c r="U436" s="2" t="str">
        <f t="shared" si="66"/>
        <v>FALSE</v>
      </c>
      <c r="V436" s="2" t="b">
        <f t="shared" si="67"/>
        <v>0</v>
      </c>
      <c r="W436" s="2" t="b">
        <f t="shared" si="68"/>
        <v>0</v>
      </c>
      <c r="X436" s="2" t="b">
        <f t="shared" si="69"/>
        <v>0</v>
      </c>
    </row>
    <row r="437" spans="1:24" ht="10.5" customHeight="1">
      <c r="A437" s="2" t="s">
        <v>737</v>
      </c>
      <c r="B437" s="3">
        <v>45743.654490740737</v>
      </c>
      <c r="C437" s="2" t="s">
        <v>738</v>
      </c>
      <c r="D437" s="2" t="s">
        <v>150</v>
      </c>
      <c r="E437" s="2" t="s">
        <v>65</v>
      </c>
      <c r="F437" s="4">
        <v>46000</v>
      </c>
      <c r="G437" s="5">
        <v>1.2</v>
      </c>
      <c r="H437" s="6">
        <v>0</v>
      </c>
      <c r="I437" s="7">
        <f t="shared" si="60"/>
        <v>55200</v>
      </c>
      <c r="J437" s="7">
        <f t="shared" si="61"/>
        <v>0</v>
      </c>
      <c r="K437" s="7">
        <f t="shared" si="62"/>
        <v>55200</v>
      </c>
      <c r="L437" s="4">
        <v>68000</v>
      </c>
      <c r="M437" s="7">
        <f t="shared" si="63"/>
        <v>123200</v>
      </c>
      <c r="N437" s="2" t="s">
        <v>58</v>
      </c>
      <c r="O437" t="s">
        <v>22</v>
      </c>
      <c r="P437" s="2" t="s">
        <v>2368</v>
      </c>
      <c r="Q437" s="2">
        <v>1</v>
      </c>
      <c r="R437" s="2" t="s">
        <v>23</v>
      </c>
      <c r="S437" s="2" t="str">
        <f t="shared" si="64"/>
        <v>Standar</v>
      </c>
      <c r="T437" s="2" t="str">
        <f t="shared" si="65"/>
        <v>FALSE</v>
      </c>
      <c r="U437" s="2" t="str">
        <f t="shared" si="66"/>
        <v>FALSE</v>
      </c>
      <c r="V437" s="2" t="b">
        <f t="shared" si="67"/>
        <v>0</v>
      </c>
      <c r="W437" s="2" t="b">
        <f t="shared" si="68"/>
        <v>0</v>
      </c>
      <c r="X437" s="2" t="b">
        <f t="shared" si="69"/>
        <v>0</v>
      </c>
    </row>
    <row r="438" spans="1:24" ht="10.5" customHeight="1">
      <c r="A438" s="2" t="s">
        <v>739</v>
      </c>
      <c r="B438" s="3">
        <v>45743.659016203703</v>
      </c>
      <c r="C438" s="2" t="s">
        <v>125</v>
      </c>
      <c r="D438" s="2" t="s">
        <v>31</v>
      </c>
      <c r="E438" s="2" t="s">
        <v>75</v>
      </c>
      <c r="F438" s="4">
        <v>45000</v>
      </c>
      <c r="G438" s="5">
        <v>1.6</v>
      </c>
      <c r="H438" s="6">
        <v>0</v>
      </c>
      <c r="I438" s="7">
        <f t="shared" si="60"/>
        <v>72000</v>
      </c>
      <c r="J438" s="7">
        <f t="shared" si="61"/>
        <v>0</v>
      </c>
      <c r="K438" s="7">
        <f t="shared" si="62"/>
        <v>72000</v>
      </c>
      <c r="L438" s="4">
        <v>76000</v>
      </c>
      <c r="M438" s="7">
        <f t="shared" si="63"/>
        <v>148000</v>
      </c>
      <c r="N438" s="2" t="s">
        <v>58</v>
      </c>
      <c r="O438" t="s">
        <v>69</v>
      </c>
      <c r="P438" s="2" t="s">
        <v>2367</v>
      </c>
      <c r="Q438" s="2">
        <v>4</v>
      </c>
      <c r="R438" s="2" t="s">
        <v>23</v>
      </c>
      <c r="S438" s="2" t="str">
        <f t="shared" si="64"/>
        <v>Standar</v>
      </c>
      <c r="T438" s="2" t="str">
        <f t="shared" si="65"/>
        <v>FALSE</v>
      </c>
      <c r="U438" s="2" t="str">
        <f t="shared" si="66"/>
        <v>FALSE</v>
      </c>
      <c r="V438" s="2" t="b">
        <f t="shared" si="67"/>
        <v>0</v>
      </c>
      <c r="W438" s="2" t="b">
        <f t="shared" si="68"/>
        <v>1</v>
      </c>
      <c r="X438" s="2" t="b">
        <f t="shared" si="69"/>
        <v>0</v>
      </c>
    </row>
    <row r="439" spans="1:24" ht="10.5" customHeight="1">
      <c r="A439" s="2" t="s">
        <v>740</v>
      </c>
      <c r="B439" s="3">
        <v>45743.671886574077</v>
      </c>
      <c r="C439" s="2" t="s">
        <v>741</v>
      </c>
      <c r="D439" s="2" t="s">
        <v>74</v>
      </c>
      <c r="E439" s="2" t="s">
        <v>80</v>
      </c>
      <c r="F439" s="4">
        <v>15000</v>
      </c>
      <c r="G439" s="5">
        <v>2.9</v>
      </c>
      <c r="H439" s="6">
        <v>0</v>
      </c>
      <c r="I439" s="7">
        <f t="shared" si="60"/>
        <v>43500</v>
      </c>
      <c r="J439" s="7">
        <f t="shared" si="61"/>
        <v>0</v>
      </c>
      <c r="K439" s="7">
        <f t="shared" si="62"/>
        <v>43500</v>
      </c>
      <c r="L439" s="4">
        <v>74000</v>
      </c>
      <c r="M439" s="7">
        <f t="shared" si="63"/>
        <v>117500</v>
      </c>
      <c r="N439" s="2" t="s">
        <v>58</v>
      </c>
      <c r="O439" t="s">
        <v>22</v>
      </c>
      <c r="P439" s="2" t="s">
        <v>2368</v>
      </c>
      <c r="Q439" s="2">
        <v>4</v>
      </c>
      <c r="R439" s="2" t="s">
        <v>23</v>
      </c>
      <c r="S439" s="2" t="str">
        <f t="shared" si="64"/>
        <v>Standar</v>
      </c>
      <c r="T439" s="2" t="str">
        <f t="shared" si="65"/>
        <v>FALSE</v>
      </c>
      <c r="U439" s="2" t="str">
        <f t="shared" si="66"/>
        <v>FALSE</v>
      </c>
      <c r="V439" s="2" t="b">
        <f t="shared" si="67"/>
        <v>0</v>
      </c>
      <c r="W439" s="2" t="b">
        <f t="shared" si="68"/>
        <v>0</v>
      </c>
      <c r="X439" s="2" t="b">
        <f t="shared" si="69"/>
        <v>0</v>
      </c>
    </row>
    <row r="440" spans="1:24" ht="10.5" customHeight="1">
      <c r="A440" s="2" t="s">
        <v>742</v>
      </c>
      <c r="B440" s="3">
        <v>45743.782962962963</v>
      </c>
      <c r="C440" s="2" t="s">
        <v>449</v>
      </c>
      <c r="D440" s="2" t="s">
        <v>56</v>
      </c>
      <c r="E440" s="2" t="s">
        <v>65</v>
      </c>
      <c r="F440" s="4">
        <v>46000</v>
      </c>
      <c r="G440" s="5">
        <v>1.4</v>
      </c>
      <c r="H440" s="6">
        <v>0</v>
      </c>
      <c r="I440" s="7">
        <f t="shared" si="60"/>
        <v>64399.999999999993</v>
      </c>
      <c r="J440" s="7">
        <f t="shared" si="61"/>
        <v>0</v>
      </c>
      <c r="K440" s="7">
        <f t="shared" si="62"/>
        <v>64399.999999999993</v>
      </c>
      <c r="L440" s="4">
        <v>26000</v>
      </c>
      <c r="M440" s="7">
        <f t="shared" si="63"/>
        <v>90400</v>
      </c>
      <c r="N440" s="2" t="s">
        <v>28</v>
      </c>
      <c r="O440" t="s">
        <v>22</v>
      </c>
      <c r="P440" s="2" t="s">
        <v>2370</v>
      </c>
      <c r="Q440" s="2">
        <v>1</v>
      </c>
      <c r="R440" s="2" t="s">
        <v>23</v>
      </c>
      <c r="S440" s="2" t="str">
        <f t="shared" si="64"/>
        <v>Rendah</v>
      </c>
      <c r="T440" s="2" t="str">
        <f t="shared" si="65"/>
        <v>FALSE</v>
      </c>
      <c r="U440" s="2" t="str">
        <f t="shared" si="66"/>
        <v>FALSE</v>
      </c>
      <c r="V440" s="2" t="b">
        <f t="shared" si="67"/>
        <v>0</v>
      </c>
      <c r="W440" s="2" t="b">
        <f t="shared" si="68"/>
        <v>0</v>
      </c>
      <c r="X440" s="2" t="b">
        <f t="shared" si="69"/>
        <v>0</v>
      </c>
    </row>
    <row r="441" spans="1:24" ht="10.5" customHeight="1">
      <c r="A441" s="2" t="s">
        <v>743</v>
      </c>
      <c r="B441" s="3">
        <v>45743.973553240743</v>
      </c>
      <c r="C441" s="2" t="s">
        <v>744</v>
      </c>
      <c r="D441" s="2" t="s">
        <v>229</v>
      </c>
      <c r="E441" s="2" t="s">
        <v>190</v>
      </c>
      <c r="F441" s="4">
        <v>15500</v>
      </c>
      <c r="G441" s="5">
        <v>0.2</v>
      </c>
      <c r="H441" s="6">
        <v>0</v>
      </c>
      <c r="I441" s="7">
        <f t="shared" si="60"/>
        <v>3100</v>
      </c>
      <c r="J441" s="7">
        <f t="shared" si="61"/>
        <v>0</v>
      </c>
      <c r="K441" s="7">
        <f t="shared" si="62"/>
        <v>3100</v>
      </c>
      <c r="L441" s="4">
        <v>28000</v>
      </c>
      <c r="M441" s="7">
        <f t="shared" si="63"/>
        <v>31100</v>
      </c>
      <c r="N441" s="2" t="s">
        <v>58</v>
      </c>
      <c r="O441" t="s">
        <v>22</v>
      </c>
      <c r="P441" s="2" t="s">
        <v>2368</v>
      </c>
      <c r="Q441" s="2">
        <v>3</v>
      </c>
      <c r="R441" s="2" t="s">
        <v>34</v>
      </c>
      <c r="S441" s="2" t="str">
        <f t="shared" si="64"/>
        <v>Sangat Rendah</v>
      </c>
      <c r="T441" s="2" t="str">
        <f t="shared" si="65"/>
        <v>FALSE</v>
      </c>
      <c r="U441" s="2" t="str">
        <f t="shared" si="66"/>
        <v>FALSE</v>
      </c>
      <c r="V441" s="2" t="b">
        <f t="shared" si="67"/>
        <v>0</v>
      </c>
      <c r="W441" s="2" t="b">
        <f t="shared" si="68"/>
        <v>0</v>
      </c>
      <c r="X441" s="2" t="b">
        <f t="shared" si="69"/>
        <v>0</v>
      </c>
    </row>
    <row r="442" spans="1:24" ht="10.5" customHeight="1">
      <c r="A442" s="2" t="s">
        <v>743</v>
      </c>
      <c r="B442" s="3">
        <v>45743.973553240743</v>
      </c>
      <c r="C442" s="2" t="s">
        <v>744</v>
      </c>
      <c r="D442" s="2" t="s">
        <v>229</v>
      </c>
      <c r="E442" s="2" t="s">
        <v>99</v>
      </c>
      <c r="F442" s="4">
        <v>10000</v>
      </c>
      <c r="G442" s="5">
        <v>0.4</v>
      </c>
      <c r="H442" s="6">
        <v>0</v>
      </c>
      <c r="I442" s="7">
        <f t="shared" si="60"/>
        <v>4000</v>
      </c>
      <c r="J442" s="7">
        <f t="shared" si="61"/>
        <v>0</v>
      </c>
      <c r="K442" s="7">
        <f t="shared" si="62"/>
        <v>4000</v>
      </c>
      <c r="L442" s="4">
        <v>0</v>
      </c>
      <c r="M442" s="7">
        <f t="shared" si="63"/>
        <v>4000</v>
      </c>
      <c r="N442" s="2" t="s">
        <v>58</v>
      </c>
      <c r="O442" t="s">
        <v>22</v>
      </c>
      <c r="P442" s="2" t="s">
        <v>2368</v>
      </c>
      <c r="Q442" s="2">
        <v>3</v>
      </c>
      <c r="R442" s="2" t="s">
        <v>34</v>
      </c>
      <c r="S442" s="2" t="str">
        <f t="shared" si="64"/>
        <v>Sangat Rendah</v>
      </c>
      <c r="T442" s="2" t="str">
        <f t="shared" si="65"/>
        <v>FALSE</v>
      </c>
      <c r="U442" s="2" t="str">
        <f t="shared" si="66"/>
        <v>FALSE</v>
      </c>
      <c r="V442" s="2" t="b">
        <f t="shared" si="67"/>
        <v>0</v>
      </c>
      <c r="W442" s="2" t="b">
        <f t="shared" si="68"/>
        <v>0</v>
      </c>
      <c r="X442" s="2" t="b">
        <f t="shared" si="69"/>
        <v>0</v>
      </c>
    </row>
    <row r="443" spans="1:24" ht="10.5" customHeight="1">
      <c r="A443" s="2" t="s">
        <v>745</v>
      </c>
      <c r="B443" s="3">
        <v>45744.076967592591</v>
      </c>
      <c r="C443" s="2" t="s">
        <v>429</v>
      </c>
      <c r="D443" s="2" t="s">
        <v>111</v>
      </c>
      <c r="E443" s="2" t="s">
        <v>143</v>
      </c>
      <c r="F443" s="4">
        <v>10000</v>
      </c>
      <c r="G443" s="5">
        <v>0.5</v>
      </c>
      <c r="H443" s="6">
        <v>0</v>
      </c>
      <c r="I443" s="7">
        <f t="shared" si="60"/>
        <v>5000</v>
      </c>
      <c r="J443" s="7">
        <f t="shared" si="61"/>
        <v>0</v>
      </c>
      <c r="K443" s="7">
        <f t="shared" si="62"/>
        <v>5000</v>
      </c>
      <c r="L443" s="4">
        <v>0</v>
      </c>
      <c r="M443" s="7">
        <f t="shared" si="63"/>
        <v>5000</v>
      </c>
      <c r="N443" s="2" t="s">
        <v>33</v>
      </c>
      <c r="O443" t="s">
        <v>22</v>
      </c>
      <c r="P443" s="2" t="s">
        <v>2370</v>
      </c>
      <c r="Q443" s="2">
        <v>4</v>
      </c>
      <c r="R443" s="2" t="s">
        <v>34</v>
      </c>
      <c r="S443" s="2" t="str">
        <f t="shared" si="64"/>
        <v>Sangat Rendah</v>
      </c>
      <c r="T443" s="2" t="str">
        <f t="shared" si="65"/>
        <v>FALSE</v>
      </c>
      <c r="U443" s="2" t="str">
        <f t="shared" si="66"/>
        <v>TRUE</v>
      </c>
      <c r="V443" s="2" t="b">
        <f t="shared" si="67"/>
        <v>0</v>
      </c>
      <c r="W443" s="2" t="b">
        <f t="shared" si="68"/>
        <v>0</v>
      </c>
      <c r="X443" s="2" t="b">
        <f t="shared" si="69"/>
        <v>0</v>
      </c>
    </row>
    <row r="444" spans="1:24" ht="10.5" customHeight="1">
      <c r="A444" s="2" t="s">
        <v>746</v>
      </c>
      <c r="B444" s="3">
        <v>45744.144363425927</v>
      </c>
      <c r="C444" s="2" t="s">
        <v>560</v>
      </c>
      <c r="D444" s="2" t="s">
        <v>74</v>
      </c>
      <c r="E444" s="2" t="s">
        <v>95</v>
      </c>
      <c r="F444" s="4">
        <v>9500</v>
      </c>
      <c r="G444" s="5">
        <v>2.2999999999999998</v>
      </c>
      <c r="H444" s="6">
        <v>0</v>
      </c>
      <c r="I444" s="7">
        <f t="shared" si="60"/>
        <v>21850</v>
      </c>
      <c r="J444" s="7">
        <f t="shared" si="61"/>
        <v>0</v>
      </c>
      <c r="K444" s="7">
        <f t="shared" si="62"/>
        <v>21850</v>
      </c>
      <c r="L444" s="4">
        <v>74000</v>
      </c>
      <c r="M444" s="7">
        <f t="shared" si="63"/>
        <v>95850</v>
      </c>
      <c r="N444" s="2" t="s">
        <v>28</v>
      </c>
      <c r="O444" t="s">
        <v>22</v>
      </c>
      <c r="P444" s="2" t="s">
        <v>2370</v>
      </c>
      <c r="Q444" s="2">
        <v>2</v>
      </c>
      <c r="R444" s="2" t="s">
        <v>23</v>
      </c>
      <c r="S444" s="2" t="str">
        <f t="shared" si="64"/>
        <v>Rendah</v>
      </c>
      <c r="T444" s="2" t="str">
        <f t="shared" si="65"/>
        <v>FALSE</v>
      </c>
      <c r="U444" s="2" t="str">
        <f t="shared" si="66"/>
        <v>FALSE</v>
      </c>
      <c r="V444" s="2" t="b">
        <f t="shared" si="67"/>
        <v>0</v>
      </c>
      <c r="W444" s="2" t="b">
        <f t="shared" si="68"/>
        <v>0</v>
      </c>
      <c r="X444" s="2" t="b">
        <f t="shared" si="69"/>
        <v>0</v>
      </c>
    </row>
    <row r="445" spans="1:24" ht="10.5" customHeight="1">
      <c r="A445" s="2" t="s">
        <v>747</v>
      </c>
      <c r="B445" s="3">
        <v>45744.381377314807</v>
      </c>
      <c r="C445" s="2" t="s">
        <v>748</v>
      </c>
      <c r="D445" s="2" t="s">
        <v>229</v>
      </c>
      <c r="E445" s="2" t="s">
        <v>161</v>
      </c>
      <c r="F445" s="4">
        <v>115000</v>
      </c>
      <c r="G445" s="5">
        <v>0.7</v>
      </c>
      <c r="H445" s="6">
        <v>0</v>
      </c>
      <c r="I445" s="7">
        <f t="shared" si="60"/>
        <v>80500</v>
      </c>
      <c r="J445" s="7">
        <f t="shared" si="61"/>
        <v>0</v>
      </c>
      <c r="K445" s="7">
        <f t="shared" si="62"/>
        <v>80500</v>
      </c>
      <c r="L445" s="4">
        <v>28000</v>
      </c>
      <c r="M445" s="7">
        <f t="shared" si="63"/>
        <v>108500</v>
      </c>
      <c r="N445" s="2" t="s">
        <v>58</v>
      </c>
      <c r="O445" t="s">
        <v>115</v>
      </c>
      <c r="P445" s="2" t="s">
        <v>2366</v>
      </c>
      <c r="Q445" s="2">
        <v>5</v>
      </c>
      <c r="R445" s="2" t="s">
        <v>23</v>
      </c>
      <c r="S445" s="2" t="str">
        <f t="shared" si="64"/>
        <v>Standar</v>
      </c>
      <c r="T445" s="2" t="str">
        <f t="shared" si="65"/>
        <v>FALSE</v>
      </c>
      <c r="U445" s="2" t="str">
        <f t="shared" si="66"/>
        <v>FALSE</v>
      </c>
      <c r="V445" s="2" t="b">
        <f t="shared" si="67"/>
        <v>0</v>
      </c>
      <c r="W445" s="2" t="b">
        <f t="shared" si="68"/>
        <v>0</v>
      </c>
      <c r="X445" s="2" t="b">
        <f t="shared" si="69"/>
        <v>0</v>
      </c>
    </row>
    <row r="446" spans="1:24" ht="10.5" customHeight="1">
      <c r="A446" s="2" t="s">
        <v>749</v>
      </c>
      <c r="B446" s="3">
        <v>45744.412511574083</v>
      </c>
      <c r="C446" s="2" t="s">
        <v>689</v>
      </c>
      <c r="D446" s="2" t="s">
        <v>229</v>
      </c>
      <c r="E446" s="2" t="s">
        <v>27</v>
      </c>
      <c r="F446" s="4">
        <v>15000</v>
      </c>
      <c r="G446" s="5">
        <v>1.3</v>
      </c>
      <c r="H446" s="6">
        <v>0</v>
      </c>
      <c r="I446" s="7">
        <f t="shared" si="60"/>
        <v>19500</v>
      </c>
      <c r="J446" s="7">
        <f t="shared" si="61"/>
        <v>0</v>
      </c>
      <c r="K446" s="7">
        <f t="shared" si="62"/>
        <v>19500</v>
      </c>
      <c r="L446" s="4">
        <v>28000</v>
      </c>
      <c r="M446" s="7">
        <f t="shared" si="63"/>
        <v>47500</v>
      </c>
      <c r="N446" s="2" t="s">
        <v>21</v>
      </c>
      <c r="O446" t="s">
        <v>22</v>
      </c>
      <c r="P446" s="2" t="s">
        <v>2365</v>
      </c>
      <c r="Q446" s="2">
        <v>1</v>
      </c>
      <c r="R446" s="2" t="s">
        <v>34</v>
      </c>
      <c r="S446" s="2" t="str">
        <f t="shared" si="64"/>
        <v>Sangat Rendah</v>
      </c>
      <c r="T446" s="2" t="str">
        <f t="shared" si="65"/>
        <v>FALSE</v>
      </c>
      <c r="U446" s="2" t="str">
        <f t="shared" si="66"/>
        <v>FALSE</v>
      </c>
      <c r="V446" s="2" t="b">
        <f t="shared" si="67"/>
        <v>0</v>
      </c>
      <c r="W446" s="2" t="b">
        <f t="shared" si="68"/>
        <v>0</v>
      </c>
      <c r="X446" s="2" t="b">
        <f t="shared" si="69"/>
        <v>0</v>
      </c>
    </row>
    <row r="447" spans="1:24" ht="10.5" customHeight="1">
      <c r="A447" s="2" t="s">
        <v>750</v>
      </c>
      <c r="B447" s="3">
        <v>45744.421111111107</v>
      </c>
      <c r="C447" s="2" t="s">
        <v>30</v>
      </c>
      <c r="D447" s="2" t="s">
        <v>31</v>
      </c>
      <c r="E447" s="2" t="s">
        <v>80</v>
      </c>
      <c r="F447" s="4">
        <v>15000</v>
      </c>
      <c r="G447" s="5">
        <v>2</v>
      </c>
      <c r="H447" s="6">
        <v>0</v>
      </c>
      <c r="I447" s="7">
        <f t="shared" si="60"/>
        <v>30000</v>
      </c>
      <c r="J447" s="7">
        <f t="shared" si="61"/>
        <v>0</v>
      </c>
      <c r="K447" s="7">
        <f t="shared" si="62"/>
        <v>30000</v>
      </c>
      <c r="L447" s="4">
        <v>76000</v>
      </c>
      <c r="M447" s="7">
        <f t="shared" si="63"/>
        <v>106000</v>
      </c>
      <c r="N447" s="2" t="s">
        <v>28</v>
      </c>
      <c r="O447" t="s">
        <v>22</v>
      </c>
      <c r="P447" s="2" t="s">
        <v>2366</v>
      </c>
      <c r="Q447" s="2">
        <v>5</v>
      </c>
      <c r="R447" s="2" t="s">
        <v>34</v>
      </c>
      <c r="S447" s="2" t="str">
        <f t="shared" si="64"/>
        <v>Standar</v>
      </c>
      <c r="T447" s="2" t="str">
        <f t="shared" si="65"/>
        <v>FALSE</v>
      </c>
      <c r="U447" s="2" t="str">
        <f t="shared" si="66"/>
        <v>FALSE</v>
      </c>
      <c r="V447" s="2" t="b">
        <f t="shared" si="67"/>
        <v>0</v>
      </c>
      <c r="W447" s="2" t="b">
        <f t="shared" si="68"/>
        <v>0</v>
      </c>
      <c r="X447" s="2" t="b">
        <f t="shared" si="69"/>
        <v>0</v>
      </c>
    </row>
    <row r="448" spans="1:24" ht="10.5" customHeight="1">
      <c r="A448" s="2" t="s">
        <v>751</v>
      </c>
      <c r="B448" s="3">
        <v>45744.463020833333</v>
      </c>
      <c r="C448" s="2" t="s">
        <v>478</v>
      </c>
      <c r="D448" s="2" t="s">
        <v>44</v>
      </c>
      <c r="E448" s="2" t="s">
        <v>45</v>
      </c>
      <c r="F448" s="4">
        <v>10500</v>
      </c>
      <c r="G448" s="5">
        <v>0.5</v>
      </c>
      <c r="H448" s="6">
        <v>0</v>
      </c>
      <c r="I448" s="7">
        <f t="shared" si="60"/>
        <v>5250</v>
      </c>
      <c r="J448" s="7">
        <f t="shared" si="61"/>
        <v>0</v>
      </c>
      <c r="K448" s="7">
        <f t="shared" si="62"/>
        <v>5250</v>
      </c>
      <c r="L448" s="4">
        <v>43000</v>
      </c>
      <c r="M448" s="7">
        <f t="shared" si="63"/>
        <v>48250</v>
      </c>
      <c r="N448" s="2" t="s">
        <v>58</v>
      </c>
      <c r="O448" t="s">
        <v>22</v>
      </c>
      <c r="P448" s="2" t="s">
        <v>2367</v>
      </c>
      <c r="Q448" s="2">
        <v>3</v>
      </c>
      <c r="R448" s="2" t="s">
        <v>23</v>
      </c>
      <c r="S448" s="2" t="str">
        <f t="shared" si="64"/>
        <v>Sangat Rendah</v>
      </c>
      <c r="T448" s="2" t="str">
        <f t="shared" si="65"/>
        <v>FALSE</v>
      </c>
      <c r="U448" s="2" t="str">
        <f t="shared" si="66"/>
        <v>FALSE</v>
      </c>
      <c r="V448" s="2" t="b">
        <f t="shared" si="67"/>
        <v>0</v>
      </c>
      <c r="W448" s="2" t="b">
        <f t="shared" si="68"/>
        <v>1</v>
      </c>
      <c r="X448" s="2" t="b">
        <f t="shared" si="69"/>
        <v>1</v>
      </c>
    </row>
    <row r="449" spans="1:24" ht="10.5" customHeight="1">
      <c r="A449" s="2" t="s">
        <v>752</v>
      </c>
      <c r="B449" s="3">
        <v>45744.465289351851</v>
      </c>
      <c r="C449" s="2" t="s">
        <v>753</v>
      </c>
      <c r="D449" s="2" t="s">
        <v>68</v>
      </c>
      <c r="E449" s="2" t="s">
        <v>80</v>
      </c>
      <c r="F449" s="4">
        <v>15000</v>
      </c>
      <c r="G449" s="5">
        <v>1</v>
      </c>
      <c r="H449" s="6">
        <v>0</v>
      </c>
      <c r="I449" s="7">
        <f t="shared" si="60"/>
        <v>15000</v>
      </c>
      <c r="J449" s="7">
        <f t="shared" si="61"/>
        <v>0</v>
      </c>
      <c r="K449" s="7">
        <f t="shared" si="62"/>
        <v>15000</v>
      </c>
      <c r="L449" s="4">
        <v>87000</v>
      </c>
      <c r="M449" s="7">
        <f t="shared" si="63"/>
        <v>102000</v>
      </c>
      <c r="N449" s="2" t="s">
        <v>21</v>
      </c>
      <c r="O449" t="s">
        <v>22</v>
      </c>
      <c r="P449" s="2" t="s">
        <v>2370</v>
      </c>
      <c r="Q449" s="2">
        <v>1</v>
      </c>
      <c r="R449" s="2" t="s">
        <v>23</v>
      </c>
      <c r="S449" s="2" t="str">
        <f t="shared" si="64"/>
        <v>Standar</v>
      </c>
      <c r="T449" s="2" t="str">
        <f t="shared" si="65"/>
        <v>FALSE</v>
      </c>
      <c r="U449" s="2" t="str">
        <f t="shared" si="66"/>
        <v>FALSE</v>
      </c>
      <c r="V449" s="2" t="b">
        <f t="shared" si="67"/>
        <v>0</v>
      </c>
      <c r="W449" s="2" t="b">
        <f t="shared" si="68"/>
        <v>0</v>
      </c>
      <c r="X449" s="2" t="b">
        <f t="shared" si="69"/>
        <v>0</v>
      </c>
    </row>
    <row r="450" spans="1:24" ht="10.5" customHeight="1">
      <c r="A450" s="2" t="s">
        <v>754</v>
      </c>
      <c r="B450" s="3">
        <v>45744.650266203702</v>
      </c>
      <c r="C450" s="2" t="s">
        <v>603</v>
      </c>
      <c r="D450" s="2" t="s">
        <v>365</v>
      </c>
      <c r="E450" s="2" t="s">
        <v>20</v>
      </c>
      <c r="F450" s="4">
        <v>10000</v>
      </c>
      <c r="G450" s="5">
        <v>2.9</v>
      </c>
      <c r="H450" s="6">
        <v>0</v>
      </c>
      <c r="I450" s="7">
        <f t="shared" si="60"/>
        <v>29000</v>
      </c>
      <c r="J450" s="7">
        <f t="shared" si="61"/>
        <v>0</v>
      </c>
      <c r="K450" s="7">
        <f t="shared" si="62"/>
        <v>29000</v>
      </c>
      <c r="L450" s="4">
        <v>21000</v>
      </c>
      <c r="M450" s="7">
        <f t="shared" si="63"/>
        <v>50000</v>
      </c>
      <c r="N450" s="2" t="s">
        <v>58</v>
      </c>
      <c r="O450" t="s">
        <v>22</v>
      </c>
      <c r="P450" s="2" t="s">
        <v>2368</v>
      </c>
      <c r="Q450" s="2">
        <v>5</v>
      </c>
      <c r="R450" s="2" t="s">
        <v>23</v>
      </c>
      <c r="S450" s="2" t="str">
        <f t="shared" si="64"/>
        <v>Sangat Rendah</v>
      </c>
      <c r="T450" s="2" t="str">
        <f t="shared" si="65"/>
        <v>FALSE</v>
      </c>
      <c r="U450" s="2" t="str">
        <f t="shared" si="66"/>
        <v>FALSE</v>
      </c>
      <c r="V450" s="2" t="b">
        <f t="shared" si="67"/>
        <v>0</v>
      </c>
      <c r="W450" s="2" t="b">
        <f t="shared" si="68"/>
        <v>0</v>
      </c>
      <c r="X450" s="2" t="b">
        <f t="shared" si="69"/>
        <v>1</v>
      </c>
    </row>
    <row r="451" spans="1:24" ht="10.5" customHeight="1">
      <c r="A451" s="2" t="s">
        <v>755</v>
      </c>
      <c r="B451" s="3">
        <v>45744.657685185193</v>
      </c>
      <c r="C451" s="2" t="s">
        <v>358</v>
      </c>
      <c r="D451" s="2" t="s">
        <v>105</v>
      </c>
      <c r="E451" s="2" t="s">
        <v>53</v>
      </c>
      <c r="F451" s="4">
        <v>14000</v>
      </c>
      <c r="G451" s="5">
        <v>0.6</v>
      </c>
      <c r="H451" s="6">
        <v>0</v>
      </c>
      <c r="I451" s="7">
        <f t="shared" si="60"/>
        <v>8400</v>
      </c>
      <c r="J451" s="7">
        <f t="shared" si="61"/>
        <v>0</v>
      </c>
      <c r="K451" s="7">
        <f t="shared" si="62"/>
        <v>8400</v>
      </c>
      <c r="L451" s="4">
        <v>18000</v>
      </c>
      <c r="M451" s="7">
        <f t="shared" si="63"/>
        <v>26400</v>
      </c>
      <c r="N451" s="2" t="s">
        <v>33</v>
      </c>
      <c r="O451" t="s">
        <v>115</v>
      </c>
      <c r="P451" s="2" t="s">
        <v>2368</v>
      </c>
      <c r="Q451" s="2">
        <v>4</v>
      </c>
      <c r="R451" s="2" t="s">
        <v>34</v>
      </c>
      <c r="S451" s="2" t="str">
        <f t="shared" si="64"/>
        <v>Sangat Rendah</v>
      </c>
      <c r="T451" s="2" t="str">
        <f t="shared" si="65"/>
        <v>FALSE</v>
      </c>
      <c r="U451" s="2" t="str">
        <f t="shared" si="66"/>
        <v>FALSE</v>
      </c>
      <c r="V451" s="2" t="b">
        <f t="shared" si="67"/>
        <v>0</v>
      </c>
      <c r="W451" s="2" t="b">
        <f t="shared" si="68"/>
        <v>0</v>
      </c>
      <c r="X451" s="2" t="b">
        <f t="shared" si="69"/>
        <v>0</v>
      </c>
    </row>
    <row r="452" spans="1:24" ht="10.5" customHeight="1">
      <c r="A452" s="2" t="s">
        <v>756</v>
      </c>
      <c r="B452" s="3">
        <v>45744.719513888893</v>
      </c>
      <c r="C452" s="2" t="s">
        <v>616</v>
      </c>
      <c r="D452" s="2" t="s">
        <v>286</v>
      </c>
      <c r="E452" s="2" t="s">
        <v>27</v>
      </c>
      <c r="F452" s="4">
        <v>15000</v>
      </c>
      <c r="G452" s="5">
        <v>0.7</v>
      </c>
      <c r="H452" s="6">
        <v>0</v>
      </c>
      <c r="I452" s="7">
        <f t="shared" ref="I452:I515" si="70">F452*G452</f>
        <v>10500</v>
      </c>
      <c r="J452" s="7">
        <f t="shared" ref="J452:J515" si="71">I452*(H452/100)</f>
        <v>0</v>
      </c>
      <c r="K452" s="7">
        <f t="shared" ref="K452:K515" si="72">I452-J452</f>
        <v>10500</v>
      </c>
      <c r="L452" s="4">
        <v>79000</v>
      </c>
      <c r="M452" s="7">
        <f t="shared" ref="M452:M515" si="73">K452+L452</f>
        <v>89500</v>
      </c>
      <c r="N452" s="2" t="s">
        <v>33</v>
      </c>
      <c r="O452" t="s">
        <v>69</v>
      </c>
      <c r="P452" s="2" t="s">
        <v>2370</v>
      </c>
      <c r="Q452" s="2">
        <v>5</v>
      </c>
      <c r="R452" s="2" t="s">
        <v>23</v>
      </c>
      <c r="S452" s="2" t="str">
        <f t="shared" ref="S452:S515" si="74">IF(M452&lt;=50000,"Sangat Rendah",IF(M452&lt;=100000,"Rendah",IF(M452&lt;=150000,"Standar",IF(M452&lt;=200000,"Tinggi","Sangat Tinggi"))))</f>
        <v>Rendah</v>
      </c>
      <c r="T452" s="2" t="str">
        <f t="shared" ref="T452:T515" si="75">IF(AND(S452="Rendah",D452="Yogyakarta"),"TRUE","FALSE")</f>
        <v>FALSE</v>
      </c>
      <c r="U452" s="2" t="str">
        <f t="shared" ref="U452:U515" si="76">IF(OR(S452="Tinggi",E452="Bayam"),"TRUE","FALSE")</f>
        <v>FALSE</v>
      </c>
      <c r="V452" s="2" t="b">
        <f t="shared" ref="V452:V515" si="77">IF(AND(S452="Standar",N452="Transef Bank"),TRUE,FALSE)</f>
        <v>0</v>
      </c>
      <c r="W452" s="2" t="b">
        <f t="shared" ref="W452:W515" si="78">IF(OR(S452="Sangat Tinggi",P452="FoodMart"),TRUE,FALSE)</f>
        <v>0</v>
      </c>
      <c r="X452" s="2" t="b">
        <f t="shared" ref="X452:X515" si="79">IF(AND(S452="Sangat Rendah",R452="Perempuan"),TRUE,FALSE)</f>
        <v>0</v>
      </c>
    </row>
    <row r="453" spans="1:24" ht="10.5" customHeight="1">
      <c r="A453" s="2" t="s">
        <v>757</v>
      </c>
      <c r="B453" s="3">
        <v>45744.721412037034</v>
      </c>
      <c r="C453" s="2" t="s">
        <v>83</v>
      </c>
      <c r="D453" s="2" t="s">
        <v>84</v>
      </c>
      <c r="E453" s="2" t="s">
        <v>35</v>
      </c>
      <c r="F453" s="4">
        <v>13500</v>
      </c>
      <c r="G453" s="5">
        <v>2.1</v>
      </c>
      <c r="H453" s="6">
        <v>0</v>
      </c>
      <c r="I453" s="7">
        <f t="shared" si="70"/>
        <v>28350</v>
      </c>
      <c r="J453" s="7">
        <f t="shared" si="71"/>
        <v>0</v>
      </c>
      <c r="K453" s="7">
        <f t="shared" si="72"/>
        <v>28350</v>
      </c>
      <c r="L453" s="4">
        <v>30000</v>
      </c>
      <c r="M453" s="7">
        <f t="shared" si="73"/>
        <v>58350</v>
      </c>
      <c r="N453" s="2" t="s">
        <v>33</v>
      </c>
      <c r="O453" t="s">
        <v>69</v>
      </c>
      <c r="P453" s="2" t="s">
        <v>2365</v>
      </c>
      <c r="Q453" s="2">
        <v>2</v>
      </c>
      <c r="R453" s="2" t="s">
        <v>23</v>
      </c>
      <c r="S453" s="2" t="str">
        <f t="shared" si="74"/>
        <v>Rendah</v>
      </c>
      <c r="T453" s="2" t="str">
        <f t="shared" si="75"/>
        <v>FALSE</v>
      </c>
      <c r="U453" s="2" t="str">
        <f t="shared" si="76"/>
        <v>FALSE</v>
      </c>
      <c r="V453" s="2" t="b">
        <f t="shared" si="77"/>
        <v>0</v>
      </c>
      <c r="W453" s="2" t="b">
        <f t="shared" si="78"/>
        <v>0</v>
      </c>
      <c r="X453" s="2" t="b">
        <f t="shared" si="79"/>
        <v>0</v>
      </c>
    </row>
    <row r="454" spans="1:24" ht="10.5" customHeight="1">
      <c r="A454" s="2" t="s">
        <v>758</v>
      </c>
      <c r="B454" s="3">
        <v>45744.791828703703</v>
      </c>
      <c r="C454" s="2" t="s">
        <v>400</v>
      </c>
      <c r="D454" s="2" t="s">
        <v>140</v>
      </c>
      <c r="E454" s="2" t="s">
        <v>99</v>
      </c>
      <c r="F454" s="4">
        <v>10000</v>
      </c>
      <c r="G454" s="5">
        <v>0.6</v>
      </c>
      <c r="H454" s="6">
        <v>0</v>
      </c>
      <c r="I454" s="7">
        <f t="shared" si="70"/>
        <v>6000</v>
      </c>
      <c r="J454" s="7">
        <f t="shared" si="71"/>
        <v>0</v>
      </c>
      <c r="K454" s="7">
        <f t="shared" si="72"/>
        <v>6000</v>
      </c>
      <c r="L454" s="4">
        <v>55000</v>
      </c>
      <c r="M454" s="7">
        <f t="shared" si="73"/>
        <v>61000</v>
      </c>
      <c r="N454" s="2" t="s">
        <v>33</v>
      </c>
      <c r="O454" t="s">
        <v>22</v>
      </c>
      <c r="P454" s="2" t="s">
        <v>2367</v>
      </c>
      <c r="Q454" s="2">
        <v>2</v>
      </c>
      <c r="R454" s="2" t="s">
        <v>23</v>
      </c>
      <c r="S454" s="2" t="str">
        <f t="shared" si="74"/>
        <v>Rendah</v>
      </c>
      <c r="T454" s="2" t="str">
        <f t="shared" si="75"/>
        <v>FALSE</v>
      </c>
      <c r="U454" s="2" t="str">
        <f t="shared" si="76"/>
        <v>FALSE</v>
      </c>
      <c r="V454" s="2" t="b">
        <f t="shared" si="77"/>
        <v>0</v>
      </c>
      <c r="W454" s="2" t="b">
        <f t="shared" si="78"/>
        <v>1</v>
      </c>
      <c r="X454" s="2" t="b">
        <f t="shared" si="79"/>
        <v>0</v>
      </c>
    </row>
    <row r="455" spans="1:24" ht="10.5" customHeight="1">
      <c r="A455" s="2" t="s">
        <v>759</v>
      </c>
      <c r="B455" s="3">
        <v>45744.853912037041</v>
      </c>
      <c r="C455" s="2" t="s">
        <v>345</v>
      </c>
      <c r="D455" s="2" t="s">
        <v>108</v>
      </c>
      <c r="E455" s="2" t="s">
        <v>170</v>
      </c>
      <c r="F455" s="4">
        <v>12000</v>
      </c>
      <c r="G455" s="5">
        <v>1.6</v>
      </c>
      <c r="H455" s="6">
        <v>0</v>
      </c>
      <c r="I455" s="7">
        <f t="shared" si="70"/>
        <v>19200</v>
      </c>
      <c r="J455" s="7">
        <f t="shared" si="71"/>
        <v>0</v>
      </c>
      <c r="K455" s="7">
        <f t="shared" si="72"/>
        <v>19200</v>
      </c>
      <c r="L455" s="4">
        <v>72000</v>
      </c>
      <c r="M455" s="7">
        <f t="shared" si="73"/>
        <v>91200</v>
      </c>
      <c r="N455" s="2" t="s">
        <v>21</v>
      </c>
      <c r="O455" t="s">
        <v>69</v>
      </c>
      <c r="P455" s="2" t="s">
        <v>2370</v>
      </c>
      <c r="Q455" s="2">
        <v>5</v>
      </c>
      <c r="R455" s="2" t="s">
        <v>23</v>
      </c>
      <c r="S455" s="2" t="str">
        <f t="shared" si="74"/>
        <v>Rendah</v>
      </c>
      <c r="T455" s="2" t="str">
        <f t="shared" si="75"/>
        <v>FALSE</v>
      </c>
      <c r="U455" s="2" t="str">
        <f t="shared" si="76"/>
        <v>FALSE</v>
      </c>
      <c r="V455" s="2" t="b">
        <f t="shared" si="77"/>
        <v>0</v>
      </c>
      <c r="W455" s="2" t="b">
        <f t="shared" si="78"/>
        <v>0</v>
      </c>
      <c r="X455" s="2" t="b">
        <f t="shared" si="79"/>
        <v>0</v>
      </c>
    </row>
    <row r="456" spans="1:24" ht="10.5" customHeight="1">
      <c r="A456" s="2" t="s">
        <v>760</v>
      </c>
      <c r="B456" s="3">
        <v>45744.887858796297</v>
      </c>
      <c r="C456" s="2" t="s">
        <v>555</v>
      </c>
      <c r="D456" s="2" t="s">
        <v>153</v>
      </c>
      <c r="E456" s="2" t="s">
        <v>99</v>
      </c>
      <c r="F456" s="4">
        <v>10000</v>
      </c>
      <c r="G456" s="5">
        <v>0.9</v>
      </c>
      <c r="H456" s="6">
        <v>0</v>
      </c>
      <c r="I456" s="7">
        <f t="shared" si="70"/>
        <v>9000</v>
      </c>
      <c r="J456" s="7">
        <f t="shared" si="71"/>
        <v>0</v>
      </c>
      <c r="K456" s="7">
        <f t="shared" si="72"/>
        <v>9000</v>
      </c>
      <c r="L456" s="4">
        <v>50000</v>
      </c>
      <c r="M456" s="7">
        <f t="shared" si="73"/>
        <v>59000</v>
      </c>
      <c r="N456" s="2" t="s">
        <v>21</v>
      </c>
      <c r="O456" t="s">
        <v>22</v>
      </c>
      <c r="P456" s="2" t="s">
        <v>2365</v>
      </c>
      <c r="Q456" s="2">
        <v>5</v>
      </c>
      <c r="R456" s="2" t="s">
        <v>23</v>
      </c>
      <c r="S456" s="2" t="str">
        <f t="shared" si="74"/>
        <v>Rendah</v>
      </c>
      <c r="T456" s="2" t="str">
        <f t="shared" si="75"/>
        <v>FALSE</v>
      </c>
      <c r="U456" s="2" t="str">
        <f t="shared" si="76"/>
        <v>FALSE</v>
      </c>
      <c r="V456" s="2" t="b">
        <f t="shared" si="77"/>
        <v>0</v>
      </c>
      <c r="W456" s="2" t="b">
        <f t="shared" si="78"/>
        <v>0</v>
      </c>
      <c r="X456" s="2" t="b">
        <f t="shared" si="79"/>
        <v>0</v>
      </c>
    </row>
    <row r="457" spans="1:24" ht="10.5" customHeight="1">
      <c r="A457" s="2" t="s">
        <v>761</v>
      </c>
      <c r="B457" s="3">
        <v>45745.287638888891</v>
      </c>
      <c r="C457" s="2" t="s">
        <v>762</v>
      </c>
      <c r="D457" s="2" t="s">
        <v>105</v>
      </c>
      <c r="E457" s="2" t="s">
        <v>190</v>
      </c>
      <c r="F457" s="4">
        <v>15500</v>
      </c>
      <c r="G457" s="5">
        <v>0.3</v>
      </c>
      <c r="H457" s="6">
        <v>0</v>
      </c>
      <c r="I457" s="7">
        <f t="shared" si="70"/>
        <v>4650</v>
      </c>
      <c r="J457" s="7">
        <f t="shared" si="71"/>
        <v>0</v>
      </c>
      <c r="K457" s="7">
        <f t="shared" si="72"/>
        <v>4650</v>
      </c>
      <c r="L457" s="4">
        <v>18000</v>
      </c>
      <c r="M457" s="7">
        <f t="shared" si="73"/>
        <v>22650</v>
      </c>
      <c r="N457" s="2" t="s">
        <v>28</v>
      </c>
      <c r="O457" t="s">
        <v>22</v>
      </c>
      <c r="P457" s="2" t="s">
        <v>2365</v>
      </c>
      <c r="Q457" s="2">
        <v>1</v>
      </c>
      <c r="R457" s="2" t="s">
        <v>23</v>
      </c>
      <c r="S457" s="2" t="str">
        <f t="shared" si="74"/>
        <v>Sangat Rendah</v>
      </c>
      <c r="T457" s="2" t="str">
        <f t="shared" si="75"/>
        <v>FALSE</v>
      </c>
      <c r="U457" s="2" t="str">
        <f t="shared" si="76"/>
        <v>FALSE</v>
      </c>
      <c r="V457" s="2" t="b">
        <f t="shared" si="77"/>
        <v>0</v>
      </c>
      <c r="W457" s="2" t="b">
        <f t="shared" si="78"/>
        <v>0</v>
      </c>
      <c r="X457" s="2" t="b">
        <f t="shared" si="79"/>
        <v>1</v>
      </c>
    </row>
    <row r="458" spans="1:24" ht="10.5" customHeight="1">
      <c r="A458" s="2" t="s">
        <v>763</v>
      </c>
      <c r="B458" s="3">
        <v>45745.301412037043</v>
      </c>
      <c r="C458" s="2" t="s">
        <v>764</v>
      </c>
      <c r="D458" s="2" t="s">
        <v>252</v>
      </c>
      <c r="E458" s="2" t="s">
        <v>190</v>
      </c>
      <c r="F458" s="4">
        <v>15500</v>
      </c>
      <c r="G458" s="5">
        <v>0.4</v>
      </c>
      <c r="H458" s="6">
        <v>0</v>
      </c>
      <c r="I458" s="7">
        <f t="shared" si="70"/>
        <v>6200</v>
      </c>
      <c r="J458" s="7">
        <f t="shared" si="71"/>
        <v>0</v>
      </c>
      <c r="K458" s="7">
        <f t="shared" si="72"/>
        <v>6200</v>
      </c>
      <c r="L458" s="4">
        <v>18000</v>
      </c>
      <c r="M458" s="7">
        <f t="shared" si="73"/>
        <v>24200</v>
      </c>
      <c r="N458" s="2" t="s">
        <v>21</v>
      </c>
      <c r="O458" t="s">
        <v>22</v>
      </c>
      <c r="P458" s="2" t="s">
        <v>2368</v>
      </c>
      <c r="Q458" s="2">
        <v>3</v>
      </c>
      <c r="R458" s="2" t="s">
        <v>23</v>
      </c>
      <c r="S458" s="2" t="str">
        <f t="shared" si="74"/>
        <v>Sangat Rendah</v>
      </c>
      <c r="T458" s="2" t="str">
        <f t="shared" si="75"/>
        <v>FALSE</v>
      </c>
      <c r="U458" s="2" t="str">
        <f t="shared" si="76"/>
        <v>FALSE</v>
      </c>
      <c r="V458" s="2" t="b">
        <f t="shared" si="77"/>
        <v>0</v>
      </c>
      <c r="W458" s="2" t="b">
        <f t="shared" si="78"/>
        <v>0</v>
      </c>
      <c r="X458" s="2" t="b">
        <f t="shared" si="79"/>
        <v>1</v>
      </c>
    </row>
    <row r="459" spans="1:24" ht="10.5" customHeight="1">
      <c r="A459" s="2" t="s">
        <v>765</v>
      </c>
      <c r="B459" s="3">
        <v>45745.374618055554</v>
      </c>
      <c r="C459" s="2" t="s">
        <v>766</v>
      </c>
      <c r="D459" s="2" t="s">
        <v>94</v>
      </c>
      <c r="E459" s="2" t="s">
        <v>27</v>
      </c>
      <c r="F459" s="4">
        <v>15000</v>
      </c>
      <c r="G459" s="5">
        <v>0.6</v>
      </c>
      <c r="H459" s="6">
        <v>0</v>
      </c>
      <c r="I459" s="7">
        <f t="shared" si="70"/>
        <v>9000</v>
      </c>
      <c r="J459" s="7">
        <f t="shared" si="71"/>
        <v>0</v>
      </c>
      <c r="K459" s="7">
        <f t="shared" si="72"/>
        <v>9000</v>
      </c>
      <c r="L459" s="4">
        <v>85000</v>
      </c>
      <c r="M459" s="7">
        <f t="shared" si="73"/>
        <v>94000</v>
      </c>
      <c r="N459" s="2" t="s">
        <v>58</v>
      </c>
      <c r="O459" t="s">
        <v>22</v>
      </c>
      <c r="P459" s="2" t="s">
        <v>2366</v>
      </c>
      <c r="Q459" s="2">
        <v>2</v>
      </c>
      <c r="R459" s="2" t="s">
        <v>23</v>
      </c>
      <c r="S459" s="2" t="str">
        <f t="shared" si="74"/>
        <v>Rendah</v>
      </c>
      <c r="T459" s="2" t="str">
        <f t="shared" si="75"/>
        <v>FALSE</v>
      </c>
      <c r="U459" s="2" t="str">
        <f t="shared" si="76"/>
        <v>FALSE</v>
      </c>
      <c r="V459" s="2" t="b">
        <f t="shared" si="77"/>
        <v>0</v>
      </c>
      <c r="W459" s="2" t="b">
        <f t="shared" si="78"/>
        <v>0</v>
      </c>
      <c r="X459" s="2" t="b">
        <f t="shared" si="79"/>
        <v>0</v>
      </c>
    </row>
    <row r="460" spans="1:24" ht="10.5" customHeight="1">
      <c r="A460" s="2" t="s">
        <v>767</v>
      </c>
      <c r="B460" s="3">
        <v>45745.41915509259</v>
      </c>
      <c r="C460" s="2" t="s">
        <v>267</v>
      </c>
      <c r="D460" s="2" t="s">
        <v>111</v>
      </c>
      <c r="E460" s="2" t="s">
        <v>45</v>
      </c>
      <c r="F460" s="4">
        <v>10500</v>
      </c>
      <c r="G460" s="5">
        <v>3.4</v>
      </c>
      <c r="H460" s="6">
        <v>0</v>
      </c>
      <c r="I460" s="7">
        <f t="shared" si="70"/>
        <v>35700</v>
      </c>
      <c r="J460" s="7">
        <f t="shared" si="71"/>
        <v>0</v>
      </c>
      <c r="K460" s="7">
        <f t="shared" si="72"/>
        <v>35700</v>
      </c>
      <c r="L460" s="4">
        <v>0</v>
      </c>
      <c r="M460" s="7">
        <f t="shared" si="73"/>
        <v>35700</v>
      </c>
      <c r="N460" s="2" t="s">
        <v>33</v>
      </c>
      <c r="O460" t="s">
        <v>22</v>
      </c>
      <c r="P460" s="2" t="s">
        <v>2370</v>
      </c>
      <c r="Q460" s="2">
        <v>2</v>
      </c>
      <c r="R460" s="2" t="s">
        <v>23</v>
      </c>
      <c r="S460" s="2" t="str">
        <f t="shared" si="74"/>
        <v>Sangat Rendah</v>
      </c>
      <c r="T460" s="2" t="str">
        <f t="shared" si="75"/>
        <v>FALSE</v>
      </c>
      <c r="U460" s="2" t="str">
        <f t="shared" si="76"/>
        <v>FALSE</v>
      </c>
      <c r="V460" s="2" t="b">
        <f t="shared" si="77"/>
        <v>0</v>
      </c>
      <c r="W460" s="2" t="b">
        <f t="shared" si="78"/>
        <v>0</v>
      </c>
      <c r="X460" s="2" t="b">
        <f t="shared" si="79"/>
        <v>1</v>
      </c>
    </row>
    <row r="461" spans="1:24" ht="10.5" customHeight="1">
      <c r="A461" s="2" t="s">
        <v>768</v>
      </c>
      <c r="B461" s="3">
        <v>45745.443379629629</v>
      </c>
      <c r="C461" s="2" t="s">
        <v>729</v>
      </c>
      <c r="D461" s="2" t="s">
        <v>167</v>
      </c>
      <c r="E461" s="2" t="s">
        <v>57</v>
      </c>
      <c r="F461" s="4">
        <v>17500</v>
      </c>
      <c r="G461" s="5">
        <v>2.9</v>
      </c>
      <c r="H461" s="6">
        <v>0</v>
      </c>
      <c r="I461" s="7">
        <f t="shared" si="70"/>
        <v>50750</v>
      </c>
      <c r="J461" s="7">
        <f t="shared" si="71"/>
        <v>0</v>
      </c>
      <c r="K461" s="7">
        <f t="shared" si="72"/>
        <v>50750</v>
      </c>
      <c r="L461" s="4">
        <v>56000</v>
      </c>
      <c r="M461" s="7">
        <f t="shared" si="73"/>
        <v>106750</v>
      </c>
      <c r="N461" s="2" t="s">
        <v>58</v>
      </c>
      <c r="O461" t="s">
        <v>22</v>
      </c>
      <c r="P461" s="2" t="s">
        <v>2368</v>
      </c>
      <c r="Q461" s="2">
        <v>4</v>
      </c>
      <c r="R461" s="2" t="s">
        <v>23</v>
      </c>
      <c r="S461" s="2" t="str">
        <f t="shared" si="74"/>
        <v>Standar</v>
      </c>
      <c r="T461" s="2" t="str">
        <f t="shared" si="75"/>
        <v>FALSE</v>
      </c>
      <c r="U461" s="2" t="str">
        <f t="shared" si="76"/>
        <v>FALSE</v>
      </c>
      <c r="V461" s="2" t="b">
        <f t="shared" si="77"/>
        <v>0</v>
      </c>
      <c r="W461" s="2" t="b">
        <f t="shared" si="78"/>
        <v>0</v>
      </c>
      <c r="X461" s="2" t="b">
        <f t="shared" si="79"/>
        <v>0</v>
      </c>
    </row>
    <row r="462" spans="1:24" ht="10.5" customHeight="1">
      <c r="A462" s="2" t="s">
        <v>769</v>
      </c>
      <c r="B462" s="3">
        <v>45745.444710648153</v>
      </c>
      <c r="C462" s="2" t="s">
        <v>770</v>
      </c>
      <c r="D462" s="2" t="s">
        <v>105</v>
      </c>
      <c r="E462" s="2" t="s">
        <v>20</v>
      </c>
      <c r="F462" s="4">
        <v>10000</v>
      </c>
      <c r="G462" s="5">
        <v>2.4</v>
      </c>
      <c r="H462" s="6">
        <v>0</v>
      </c>
      <c r="I462" s="7">
        <f t="shared" si="70"/>
        <v>24000</v>
      </c>
      <c r="J462" s="7">
        <f t="shared" si="71"/>
        <v>0</v>
      </c>
      <c r="K462" s="7">
        <f t="shared" si="72"/>
        <v>24000</v>
      </c>
      <c r="L462" s="4">
        <v>18000</v>
      </c>
      <c r="M462" s="7">
        <f t="shared" si="73"/>
        <v>42000</v>
      </c>
      <c r="N462" s="2" t="s">
        <v>58</v>
      </c>
      <c r="O462" t="s">
        <v>22</v>
      </c>
      <c r="P462" s="2" t="s">
        <v>2370</v>
      </c>
      <c r="Q462" s="2">
        <v>2</v>
      </c>
      <c r="R462" s="2" t="s">
        <v>23</v>
      </c>
      <c r="S462" s="2" t="str">
        <f t="shared" si="74"/>
        <v>Sangat Rendah</v>
      </c>
      <c r="T462" s="2" t="str">
        <f t="shared" si="75"/>
        <v>FALSE</v>
      </c>
      <c r="U462" s="2" t="str">
        <f t="shared" si="76"/>
        <v>FALSE</v>
      </c>
      <c r="V462" s="2" t="b">
        <f t="shared" si="77"/>
        <v>0</v>
      </c>
      <c r="W462" s="2" t="b">
        <f t="shared" si="78"/>
        <v>0</v>
      </c>
      <c r="X462" s="2" t="b">
        <f t="shared" si="79"/>
        <v>1</v>
      </c>
    </row>
    <row r="463" spans="1:24" ht="10.5" customHeight="1">
      <c r="A463" s="2" t="s">
        <v>771</v>
      </c>
      <c r="B463" s="3">
        <v>45745.486493055563</v>
      </c>
      <c r="C463" s="2" t="s">
        <v>772</v>
      </c>
      <c r="D463" s="2" t="s">
        <v>167</v>
      </c>
      <c r="E463" s="2" t="s">
        <v>32</v>
      </c>
      <c r="F463" s="4">
        <v>20000</v>
      </c>
      <c r="G463" s="5">
        <v>3</v>
      </c>
      <c r="H463" s="6">
        <v>0</v>
      </c>
      <c r="I463" s="7">
        <f t="shared" si="70"/>
        <v>60000</v>
      </c>
      <c r="J463" s="7">
        <f t="shared" si="71"/>
        <v>0</v>
      </c>
      <c r="K463" s="7">
        <f t="shared" si="72"/>
        <v>60000</v>
      </c>
      <c r="L463" s="4">
        <v>56000</v>
      </c>
      <c r="M463" s="7">
        <f t="shared" si="73"/>
        <v>116000</v>
      </c>
      <c r="N463" s="2" t="s">
        <v>33</v>
      </c>
      <c r="O463" t="s">
        <v>22</v>
      </c>
      <c r="P463" s="2" t="s">
        <v>2365</v>
      </c>
      <c r="Q463" s="2">
        <v>1</v>
      </c>
      <c r="R463" s="2" t="s">
        <v>23</v>
      </c>
      <c r="S463" s="2" t="str">
        <f t="shared" si="74"/>
        <v>Standar</v>
      </c>
      <c r="T463" s="2" t="str">
        <f t="shared" si="75"/>
        <v>FALSE</v>
      </c>
      <c r="U463" s="2" t="str">
        <f t="shared" si="76"/>
        <v>FALSE</v>
      </c>
      <c r="V463" s="2" t="b">
        <f t="shared" si="77"/>
        <v>0</v>
      </c>
      <c r="W463" s="2" t="b">
        <f t="shared" si="78"/>
        <v>0</v>
      </c>
      <c r="X463" s="2" t="b">
        <f t="shared" si="79"/>
        <v>0</v>
      </c>
    </row>
    <row r="464" spans="1:24" ht="10.5" customHeight="1">
      <c r="A464" s="2" t="s">
        <v>773</v>
      </c>
      <c r="B464" s="3">
        <v>45745.502060185187</v>
      </c>
      <c r="C464" s="2" t="s">
        <v>774</v>
      </c>
      <c r="D464" s="2" t="s">
        <v>108</v>
      </c>
      <c r="E464" s="2" t="s">
        <v>57</v>
      </c>
      <c r="F464" s="4">
        <v>17500</v>
      </c>
      <c r="G464" s="5">
        <v>1.3</v>
      </c>
      <c r="H464" s="6">
        <v>0</v>
      </c>
      <c r="I464" s="7">
        <f t="shared" si="70"/>
        <v>22750</v>
      </c>
      <c r="J464" s="7">
        <f t="shared" si="71"/>
        <v>0</v>
      </c>
      <c r="K464" s="7">
        <f t="shared" si="72"/>
        <v>22750</v>
      </c>
      <c r="L464" s="4">
        <v>72000</v>
      </c>
      <c r="M464" s="7">
        <f t="shared" si="73"/>
        <v>94750</v>
      </c>
      <c r="N464" s="2" t="s">
        <v>33</v>
      </c>
      <c r="O464" t="s">
        <v>69</v>
      </c>
      <c r="P464" s="2" t="s">
        <v>2370</v>
      </c>
      <c r="Q464" s="2">
        <v>1</v>
      </c>
      <c r="R464" s="2" t="s">
        <v>23</v>
      </c>
      <c r="S464" s="2" t="str">
        <f t="shared" si="74"/>
        <v>Rendah</v>
      </c>
      <c r="T464" s="2" t="str">
        <f t="shared" si="75"/>
        <v>FALSE</v>
      </c>
      <c r="U464" s="2" t="str">
        <f t="shared" si="76"/>
        <v>FALSE</v>
      </c>
      <c r="V464" s="2" t="b">
        <f t="shared" si="77"/>
        <v>0</v>
      </c>
      <c r="W464" s="2" t="b">
        <f t="shared" si="78"/>
        <v>0</v>
      </c>
      <c r="X464" s="2" t="b">
        <f t="shared" si="79"/>
        <v>0</v>
      </c>
    </row>
    <row r="465" spans="1:24" ht="10.5" customHeight="1">
      <c r="A465" s="2" t="s">
        <v>775</v>
      </c>
      <c r="B465" s="3">
        <v>45745.549953703703</v>
      </c>
      <c r="C465" s="2" t="s">
        <v>776</v>
      </c>
      <c r="D465" s="2" t="s">
        <v>98</v>
      </c>
      <c r="E465" s="2" t="s">
        <v>41</v>
      </c>
      <c r="F465" s="4">
        <v>40000</v>
      </c>
      <c r="G465" s="5">
        <v>0.4</v>
      </c>
      <c r="H465" s="6">
        <v>0</v>
      </c>
      <c r="I465" s="7">
        <f t="shared" si="70"/>
        <v>16000</v>
      </c>
      <c r="J465" s="7">
        <f t="shared" si="71"/>
        <v>0</v>
      </c>
      <c r="K465" s="7">
        <f t="shared" si="72"/>
        <v>16000</v>
      </c>
      <c r="L465" s="4">
        <v>97000</v>
      </c>
      <c r="M465" s="7">
        <f t="shared" si="73"/>
        <v>113000</v>
      </c>
      <c r="N465" s="2" t="s">
        <v>21</v>
      </c>
      <c r="O465" t="s">
        <v>22</v>
      </c>
      <c r="P465" s="2" t="s">
        <v>2368</v>
      </c>
      <c r="Q465" s="2">
        <v>5</v>
      </c>
      <c r="R465" s="2" t="s">
        <v>23</v>
      </c>
      <c r="S465" s="2" t="str">
        <f t="shared" si="74"/>
        <v>Standar</v>
      </c>
      <c r="T465" s="2" t="str">
        <f t="shared" si="75"/>
        <v>FALSE</v>
      </c>
      <c r="U465" s="2" t="str">
        <f t="shared" si="76"/>
        <v>FALSE</v>
      </c>
      <c r="V465" s="2" t="b">
        <f t="shared" si="77"/>
        <v>0</v>
      </c>
      <c r="W465" s="2" t="b">
        <f t="shared" si="78"/>
        <v>0</v>
      </c>
      <c r="X465" s="2" t="b">
        <f t="shared" si="79"/>
        <v>0</v>
      </c>
    </row>
    <row r="466" spans="1:24" ht="10.5" customHeight="1">
      <c r="A466" s="2" t="s">
        <v>777</v>
      </c>
      <c r="B466" s="3">
        <v>45745.710416666669</v>
      </c>
      <c r="C466" s="2" t="s">
        <v>402</v>
      </c>
      <c r="D466" s="2" t="s">
        <v>64</v>
      </c>
      <c r="E466" s="2" t="s">
        <v>170</v>
      </c>
      <c r="F466" s="4">
        <v>12000</v>
      </c>
      <c r="G466" s="5">
        <v>1.2</v>
      </c>
      <c r="H466" s="6">
        <v>0</v>
      </c>
      <c r="I466" s="7">
        <f t="shared" si="70"/>
        <v>14400</v>
      </c>
      <c r="J466" s="7">
        <f t="shared" si="71"/>
        <v>0</v>
      </c>
      <c r="K466" s="7">
        <f t="shared" si="72"/>
        <v>14400</v>
      </c>
      <c r="L466" s="4">
        <v>89000</v>
      </c>
      <c r="M466" s="7">
        <f t="shared" si="73"/>
        <v>103400</v>
      </c>
      <c r="N466" s="2" t="s">
        <v>58</v>
      </c>
      <c r="O466" t="s">
        <v>115</v>
      </c>
      <c r="P466" s="2" t="s">
        <v>2365</v>
      </c>
      <c r="Q466" s="2">
        <v>2</v>
      </c>
      <c r="R466" s="2" t="s">
        <v>23</v>
      </c>
      <c r="S466" s="2" t="str">
        <f t="shared" si="74"/>
        <v>Standar</v>
      </c>
      <c r="T466" s="2" t="str">
        <f t="shared" si="75"/>
        <v>FALSE</v>
      </c>
      <c r="U466" s="2" t="str">
        <f t="shared" si="76"/>
        <v>FALSE</v>
      </c>
      <c r="V466" s="2" t="b">
        <f t="shared" si="77"/>
        <v>0</v>
      </c>
      <c r="W466" s="2" t="b">
        <f t="shared" si="78"/>
        <v>0</v>
      </c>
      <c r="X466" s="2" t="b">
        <f t="shared" si="79"/>
        <v>0</v>
      </c>
    </row>
    <row r="467" spans="1:24" ht="10.5" customHeight="1">
      <c r="A467" s="2" t="s">
        <v>778</v>
      </c>
      <c r="B467" s="3">
        <v>45745.795694444438</v>
      </c>
      <c r="C467" s="2" t="s">
        <v>308</v>
      </c>
      <c r="D467" s="2" t="s">
        <v>235</v>
      </c>
      <c r="E467" s="2" t="s">
        <v>190</v>
      </c>
      <c r="F467" s="4">
        <v>15500</v>
      </c>
      <c r="G467" s="5">
        <v>0.5</v>
      </c>
      <c r="H467" s="6">
        <v>0</v>
      </c>
      <c r="I467" s="7">
        <f t="shared" si="70"/>
        <v>7750</v>
      </c>
      <c r="J467" s="7">
        <f t="shared" si="71"/>
        <v>0</v>
      </c>
      <c r="K467" s="7">
        <f t="shared" si="72"/>
        <v>7750</v>
      </c>
      <c r="L467" s="4">
        <v>80000</v>
      </c>
      <c r="M467" s="7">
        <f t="shared" si="73"/>
        <v>87750</v>
      </c>
      <c r="N467" s="2" t="s">
        <v>21</v>
      </c>
      <c r="O467" t="s">
        <v>69</v>
      </c>
      <c r="P467" s="2" t="s">
        <v>2370</v>
      </c>
      <c r="Q467" s="2">
        <v>5</v>
      </c>
      <c r="R467" s="2" t="s">
        <v>34</v>
      </c>
      <c r="S467" s="2" t="str">
        <f t="shared" si="74"/>
        <v>Rendah</v>
      </c>
      <c r="T467" s="2" t="str">
        <f t="shared" si="75"/>
        <v>FALSE</v>
      </c>
      <c r="U467" s="2" t="str">
        <f t="shared" si="76"/>
        <v>FALSE</v>
      </c>
      <c r="V467" s="2" t="b">
        <f t="shared" si="77"/>
        <v>0</v>
      </c>
      <c r="W467" s="2" t="b">
        <f t="shared" si="78"/>
        <v>0</v>
      </c>
      <c r="X467" s="2" t="b">
        <f t="shared" si="79"/>
        <v>0</v>
      </c>
    </row>
    <row r="468" spans="1:24" ht="10.5" customHeight="1">
      <c r="A468" s="2" t="s">
        <v>779</v>
      </c>
      <c r="B468" s="3">
        <v>45746.116273148153</v>
      </c>
      <c r="C468" s="2" t="s">
        <v>107</v>
      </c>
      <c r="D468" s="2" t="s">
        <v>108</v>
      </c>
      <c r="E468" s="2" t="s">
        <v>32</v>
      </c>
      <c r="F468" s="4">
        <v>20000</v>
      </c>
      <c r="G468" s="5">
        <v>2.8</v>
      </c>
      <c r="H468" s="6">
        <v>0</v>
      </c>
      <c r="I468" s="7">
        <f t="shared" si="70"/>
        <v>56000</v>
      </c>
      <c r="J468" s="7">
        <f t="shared" si="71"/>
        <v>0</v>
      </c>
      <c r="K468" s="7">
        <f t="shared" si="72"/>
        <v>56000</v>
      </c>
      <c r="L468" s="4">
        <v>72000</v>
      </c>
      <c r="M468" s="7">
        <f t="shared" si="73"/>
        <v>128000</v>
      </c>
      <c r="N468" s="2" t="s">
        <v>28</v>
      </c>
      <c r="O468" t="s">
        <v>22</v>
      </c>
      <c r="P468" s="2" t="s">
        <v>2366</v>
      </c>
      <c r="Q468" s="2">
        <v>3</v>
      </c>
      <c r="R468" s="2" t="s">
        <v>23</v>
      </c>
      <c r="S468" s="2" t="str">
        <f t="shared" si="74"/>
        <v>Standar</v>
      </c>
      <c r="T468" s="2" t="str">
        <f t="shared" si="75"/>
        <v>FALSE</v>
      </c>
      <c r="U468" s="2" t="str">
        <f t="shared" si="76"/>
        <v>FALSE</v>
      </c>
      <c r="V468" s="2" t="b">
        <f t="shared" si="77"/>
        <v>0</v>
      </c>
      <c r="W468" s="2" t="b">
        <f t="shared" si="78"/>
        <v>0</v>
      </c>
      <c r="X468" s="2" t="b">
        <f t="shared" si="79"/>
        <v>0</v>
      </c>
    </row>
    <row r="469" spans="1:24" ht="10.5" customHeight="1">
      <c r="A469" s="2" t="s">
        <v>780</v>
      </c>
      <c r="B469" s="3">
        <v>45746.149525462963</v>
      </c>
      <c r="C469" s="2" t="s">
        <v>110</v>
      </c>
      <c r="D469" s="2" t="s">
        <v>111</v>
      </c>
      <c r="E469" s="2" t="s">
        <v>99</v>
      </c>
      <c r="F469" s="4">
        <v>10000</v>
      </c>
      <c r="G469" s="5">
        <v>1.3</v>
      </c>
      <c r="H469" s="6">
        <v>0</v>
      </c>
      <c r="I469" s="7">
        <f t="shared" si="70"/>
        <v>13000</v>
      </c>
      <c r="J469" s="7">
        <f t="shared" si="71"/>
        <v>0</v>
      </c>
      <c r="K469" s="7">
        <f t="shared" si="72"/>
        <v>13000</v>
      </c>
      <c r="L469" s="4">
        <v>0</v>
      </c>
      <c r="M469" s="7">
        <f t="shared" si="73"/>
        <v>13000</v>
      </c>
      <c r="N469" s="2" t="s">
        <v>33</v>
      </c>
      <c r="O469" t="s">
        <v>22</v>
      </c>
      <c r="P469" s="2" t="s">
        <v>2370</v>
      </c>
      <c r="Q469" s="2">
        <v>4</v>
      </c>
      <c r="R469" s="2" t="s">
        <v>23</v>
      </c>
      <c r="S469" s="2" t="str">
        <f t="shared" si="74"/>
        <v>Sangat Rendah</v>
      </c>
      <c r="T469" s="2" t="str">
        <f t="shared" si="75"/>
        <v>FALSE</v>
      </c>
      <c r="U469" s="2" t="str">
        <f t="shared" si="76"/>
        <v>FALSE</v>
      </c>
      <c r="V469" s="2" t="b">
        <f t="shared" si="77"/>
        <v>0</v>
      </c>
      <c r="W469" s="2" t="b">
        <f t="shared" si="78"/>
        <v>0</v>
      </c>
      <c r="X469" s="2" t="b">
        <f t="shared" si="79"/>
        <v>1</v>
      </c>
    </row>
    <row r="470" spans="1:24" ht="10.5" customHeight="1">
      <c r="A470" s="2" t="s">
        <v>781</v>
      </c>
      <c r="B470" s="3">
        <v>45746.39234953704</v>
      </c>
      <c r="C470" s="2" t="s">
        <v>218</v>
      </c>
      <c r="D470" s="2" t="s">
        <v>64</v>
      </c>
      <c r="E470" s="2" t="s">
        <v>80</v>
      </c>
      <c r="F470" s="4">
        <v>15000</v>
      </c>
      <c r="G470" s="5">
        <v>1</v>
      </c>
      <c r="H470" s="6">
        <v>0</v>
      </c>
      <c r="I470" s="7">
        <f t="shared" si="70"/>
        <v>15000</v>
      </c>
      <c r="J470" s="7">
        <f t="shared" si="71"/>
        <v>0</v>
      </c>
      <c r="K470" s="7">
        <f t="shared" si="72"/>
        <v>15000</v>
      </c>
      <c r="L470" s="4">
        <v>89000</v>
      </c>
      <c r="M470" s="7">
        <f t="shared" si="73"/>
        <v>104000</v>
      </c>
      <c r="N470" s="2" t="s">
        <v>33</v>
      </c>
      <c r="O470" t="s">
        <v>22</v>
      </c>
      <c r="P470" s="2" t="s">
        <v>2370</v>
      </c>
      <c r="Q470" s="2">
        <v>2</v>
      </c>
      <c r="R470" s="2" t="s">
        <v>23</v>
      </c>
      <c r="S470" s="2" t="str">
        <f t="shared" si="74"/>
        <v>Standar</v>
      </c>
      <c r="T470" s="2" t="str">
        <f t="shared" si="75"/>
        <v>FALSE</v>
      </c>
      <c r="U470" s="2" t="str">
        <f t="shared" si="76"/>
        <v>FALSE</v>
      </c>
      <c r="V470" s="2" t="b">
        <f t="shared" si="77"/>
        <v>0</v>
      </c>
      <c r="W470" s="2" t="b">
        <f t="shared" si="78"/>
        <v>0</v>
      </c>
      <c r="X470" s="2" t="b">
        <f t="shared" si="79"/>
        <v>0</v>
      </c>
    </row>
    <row r="471" spans="1:24" ht="10.5" customHeight="1">
      <c r="A471" s="2" t="s">
        <v>782</v>
      </c>
      <c r="B471" s="3">
        <v>45746.445821759262</v>
      </c>
      <c r="C471" s="2" t="s">
        <v>351</v>
      </c>
      <c r="D471" s="2" t="s">
        <v>64</v>
      </c>
      <c r="E471" s="2" t="s">
        <v>57</v>
      </c>
      <c r="F471" s="4">
        <v>17500</v>
      </c>
      <c r="G471" s="5">
        <v>2.7</v>
      </c>
      <c r="H471" s="6">
        <v>0</v>
      </c>
      <c r="I471" s="7">
        <f t="shared" si="70"/>
        <v>47250</v>
      </c>
      <c r="J471" s="7">
        <f t="shared" si="71"/>
        <v>0</v>
      </c>
      <c r="K471" s="7">
        <f t="shared" si="72"/>
        <v>47250</v>
      </c>
      <c r="L471" s="4">
        <v>89000</v>
      </c>
      <c r="M471" s="7">
        <f t="shared" si="73"/>
        <v>136250</v>
      </c>
      <c r="N471" s="2" t="s">
        <v>21</v>
      </c>
      <c r="O471" t="s">
        <v>22</v>
      </c>
      <c r="P471" s="2" t="s">
        <v>2367</v>
      </c>
      <c r="Q471" s="2">
        <v>2</v>
      </c>
      <c r="R471" s="2" t="s">
        <v>34</v>
      </c>
      <c r="S471" s="2" t="str">
        <f t="shared" si="74"/>
        <v>Standar</v>
      </c>
      <c r="T471" s="2" t="str">
        <f t="shared" si="75"/>
        <v>FALSE</v>
      </c>
      <c r="U471" s="2" t="str">
        <f t="shared" si="76"/>
        <v>FALSE</v>
      </c>
      <c r="V471" s="2" t="b">
        <f t="shared" si="77"/>
        <v>0</v>
      </c>
      <c r="W471" s="2" t="b">
        <f t="shared" si="78"/>
        <v>1</v>
      </c>
      <c r="X471" s="2" t="b">
        <f t="shared" si="79"/>
        <v>0</v>
      </c>
    </row>
    <row r="472" spans="1:24" ht="10.5" customHeight="1">
      <c r="A472" s="2" t="s">
        <v>783</v>
      </c>
      <c r="B472" s="3">
        <v>45746.447152777779</v>
      </c>
      <c r="C472" s="2" t="s">
        <v>784</v>
      </c>
      <c r="D472" s="2" t="s">
        <v>56</v>
      </c>
      <c r="E472" s="2" t="s">
        <v>27</v>
      </c>
      <c r="F472" s="4">
        <v>15000</v>
      </c>
      <c r="G472" s="5">
        <v>0.6</v>
      </c>
      <c r="H472" s="6">
        <v>0</v>
      </c>
      <c r="I472" s="7">
        <f t="shared" si="70"/>
        <v>9000</v>
      </c>
      <c r="J472" s="7">
        <f t="shared" si="71"/>
        <v>0</v>
      </c>
      <c r="K472" s="7">
        <f t="shared" si="72"/>
        <v>9000</v>
      </c>
      <c r="L472" s="4">
        <v>26000</v>
      </c>
      <c r="M472" s="7">
        <f t="shared" si="73"/>
        <v>35000</v>
      </c>
      <c r="N472" s="2" t="s">
        <v>28</v>
      </c>
      <c r="O472" t="s">
        <v>22</v>
      </c>
      <c r="P472" s="2" t="s">
        <v>2370</v>
      </c>
      <c r="Q472" s="2">
        <v>4</v>
      </c>
      <c r="R472" s="2" t="s">
        <v>34</v>
      </c>
      <c r="S472" s="2" t="str">
        <f t="shared" si="74"/>
        <v>Sangat Rendah</v>
      </c>
      <c r="T472" s="2" t="str">
        <f t="shared" si="75"/>
        <v>FALSE</v>
      </c>
      <c r="U472" s="2" t="str">
        <f t="shared" si="76"/>
        <v>FALSE</v>
      </c>
      <c r="V472" s="2" t="b">
        <f t="shared" si="77"/>
        <v>0</v>
      </c>
      <c r="W472" s="2" t="b">
        <f t="shared" si="78"/>
        <v>0</v>
      </c>
      <c r="X472" s="2" t="b">
        <f t="shared" si="79"/>
        <v>0</v>
      </c>
    </row>
    <row r="473" spans="1:24" ht="10.5" customHeight="1">
      <c r="A473" s="2" t="s">
        <v>785</v>
      </c>
      <c r="B473" s="3">
        <v>45746.461145833331</v>
      </c>
      <c r="C473" s="2" t="s">
        <v>786</v>
      </c>
      <c r="D473" s="2" t="s">
        <v>111</v>
      </c>
      <c r="E473" s="2" t="s">
        <v>161</v>
      </c>
      <c r="F473" s="4">
        <v>115000</v>
      </c>
      <c r="G473" s="5">
        <v>1.3</v>
      </c>
      <c r="H473" s="6">
        <v>0</v>
      </c>
      <c r="I473" s="7">
        <f t="shared" si="70"/>
        <v>149500</v>
      </c>
      <c r="J473" s="7">
        <f t="shared" si="71"/>
        <v>0</v>
      </c>
      <c r="K473" s="7">
        <f t="shared" si="72"/>
        <v>149500</v>
      </c>
      <c r="L473" s="4">
        <v>0</v>
      </c>
      <c r="M473" s="7">
        <f t="shared" si="73"/>
        <v>149500</v>
      </c>
      <c r="N473" s="2" t="s">
        <v>21</v>
      </c>
      <c r="O473" t="s">
        <v>22</v>
      </c>
      <c r="P473" s="2" t="s">
        <v>2368</v>
      </c>
      <c r="Q473" s="2">
        <v>4</v>
      </c>
      <c r="R473" s="2" t="s">
        <v>23</v>
      </c>
      <c r="S473" s="2" t="str">
        <f t="shared" si="74"/>
        <v>Standar</v>
      </c>
      <c r="T473" s="2" t="str">
        <f t="shared" si="75"/>
        <v>FALSE</v>
      </c>
      <c r="U473" s="2" t="str">
        <f t="shared" si="76"/>
        <v>FALSE</v>
      </c>
      <c r="V473" s="2" t="b">
        <f t="shared" si="77"/>
        <v>0</v>
      </c>
      <c r="W473" s="2" t="b">
        <f t="shared" si="78"/>
        <v>0</v>
      </c>
      <c r="X473" s="2" t="b">
        <f t="shared" si="79"/>
        <v>0</v>
      </c>
    </row>
    <row r="474" spans="1:24" ht="10.5" customHeight="1">
      <c r="A474" s="2" t="s">
        <v>787</v>
      </c>
      <c r="B474" s="3">
        <v>45746.468043981477</v>
      </c>
      <c r="C474" s="2" t="s">
        <v>402</v>
      </c>
      <c r="D474" s="2" t="s">
        <v>64</v>
      </c>
      <c r="E474" s="2" t="s">
        <v>170</v>
      </c>
      <c r="F474" s="4">
        <v>12000</v>
      </c>
      <c r="G474" s="5">
        <v>1.1000000000000001</v>
      </c>
      <c r="H474" s="6">
        <v>0</v>
      </c>
      <c r="I474" s="7">
        <f t="shared" si="70"/>
        <v>13200.000000000002</v>
      </c>
      <c r="J474" s="7">
        <f t="shared" si="71"/>
        <v>0</v>
      </c>
      <c r="K474" s="7">
        <f t="shared" si="72"/>
        <v>13200.000000000002</v>
      </c>
      <c r="L474" s="4">
        <v>89000</v>
      </c>
      <c r="M474" s="7">
        <f t="shared" si="73"/>
        <v>102200</v>
      </c>
      <c r="N474" s="2" t="s">
        <v>58</v>
      </c>
      <c r="O474" t="s">
        <v>22</v>
      </c>
      <c r="P474" s="2" t="s">
        <v>2370</v>
      </c>
      <c r="Q474" s="2">
        <v>5</v>
      </c>
      <c r="R474" s="2" t="s">
        <v>23</v>
      </c>
      <c r="S474" s="2" t="str">
        <f t="shared" si="74"/>
        <v>Standar</v>
      </c>
      <c r="T474" s="2" t="str">
        <f t="shared" si="75"/>
        <v>FALSE</v>
      </c>
      <c r="U474" s="2" t="str">
        <f t="shared" si="76"/>
        <v>FALSE</v>
      </c>
      <c r="V474" s="2" t="b">
        <f t="shared" si="77"/>
        <v>0</v>
      </c>
      <c r="W474" s="2" t="b">
        <f t="shared" si="78"/>
        <v>0</v>
      </c>
      <c r="X474" s="2" t="b">
        <f t="shared" si="79"/>
        <v>0</v>
      </c>
    </row>
    <row r="475" spans="1:24" ht="10.5" customHeight="1">
      <c r="A475" s="2" t="s">
        <v>788</v>
      </c>
      <c r="B475" s="3">
        <v>45746.495810185188</v>
      </c>
      <c r="C475" s="2" t="s">
        <v>436</v>
      </c>
      <c r="D475" s="2" t="s">
        <v>286</v>
      </c>
      <c r="E475" s="2" t="s">
        <v>65</v>
      </c>
      <c r="F475" s="4">
        <v>46000</v>
      </c>
      <c r="G475" s="5">
        <v>1.1000000000000001</v>
      </c>
      <c r="H475" s="6">
        <v>0</v>
      </c>
      <c r="I475" s="7">
        <f t="shared" si="70"/>
        <v>50600.000000000007</v>
      </c>
      <c r="J475" s="7">
        <f t="shared" si="71"/>
        <v>0</v>
      </c>
      <c r="K475" s="7">
        <f t="shared" si="72"/>
        <v>50600.000000000007</v>
      </c>
      <c r="L475" s="4">
        <v>79000</v>
      </c>
      <c r="M475" s="7">
        <f t="shared" si="73"/>
        <v>129600</v>
      </c>
      <c r="N475" s="2" t="s">
        <v>58</v>
      </c>
      <c r="O475" t="s">
        <v>22</v>
      </c>
      <c r="P475" s="2" t="s">
        <v>2368</v>
      </c>
      <c r="Q475" s="2">
        <v>1</v>
      </c>
      <c r="R475" s="2" t="s">
        <v>34</v>
      </c>
      <c r="S475" s="2" t="str">
        <f t="shared" si="74"/>
        <v>Standar</v>
      </c>
      <c r="T475" s="2" t="str">
        <f t="shared" si="75"/>
        <v>FALSE</v>
      </c>
      <c r="U475" s="2" t="str">
        <f t="shared" si="76"/>
        <v>FALSE</v>
      </c>
      <c r="V475" s="2" t="b">
        <f t="shared" si="77"/>
        <v>0</v>
      </c>
      <c r="W475" s="2" t="b">
        <f t="shared" si="78"/>
        <v>0</v>
      </c>
      <c r="X475" s="2" t="b">
        <f t="shared" si="79"/>
        <v>0</v>
      </c>
    </row>
    <row r="476" spans="1:24" ht="10.5" customHeight="1">
      <c r="A476" s="2" t="s">
        <v>789</v>
      </c>
      <c r="B476" s="3">
        <v>45746.519375000003</v>
      </c>
      <c r="C476" s="2" t="s">
        <v>547</v>
      </c>
      <c r="D476" s="2" t="s">
        <v>164</v>
      </c>
      <c r="E476" s="2" t="s">
        <v>190</v>
      </c>
      <c r="F476" s="4">
        <v>15500</v>
      </c>
      <c r="G476" s="5">
        <v>0.8</v>
      </c>
      <c r="H476" s="6">
        <v>0</v>
      </c>
      <c r="I476" s="7">
        <f t="shared" si="70"/>
        <v>12400</v>
      </c>
      <c r="J476" s="7">
        <f t="shared" si="71"/>
        <v>0</v>
      </c>
      <c r="K476" s="7">
        <f t="shared" si="72"/>
        <v>12400</v>
      </c>
      <c r="L476" s="4">
        <v>49000</v>
      </c>
      <c r="M476" s="7">
        <f t="shared" si="73"/>
        <v>61400</v>
      </c>
      <c r="N476" s="2" t="s">
        <v>21</v>
      </c>
      <c r="O476" t="s">
        <v>22</v>
      </c>
      <c r="P476" s="2" t="s">
        <v>2366</v>
      </c>
      <c r="Q476" s="2">
        <v>4</v>
      </c>
      <c r="R476" s="2" t="s">
        <v>23</v>
      </c>
      <c r="S476" s="2" t="str">
        <f t="shared" si="74"/>
        <v>Rendah</v>
      </c>
      <c r="T476" s="2" t="str">
        <f t="shared" si="75"/>
        <v>FALSE</v>
      </c>
      <c r="U476" s="2" t="str">
        <f t="shared" si="76"/>
        <v>FALSE</v>
      </c>
      <c r="V476" s="2" t="b">
        <f t="shared" si="77"/>
        <v>0</v>
      </c>
      <c r="W476" s="2" t="b">
        <f t="shared" si="78"/>
        <v>0</v>
      </c>
      <c r="X476" s="2" t="b">
        <f t="shared" si="79"/>
        <v>0</v>
      </c>
    </row>
    <row r="477" spans="1:24" ht="10.5" customHeight="1">
      <c r="A477" s="2" t="s">
        <v>790</v>
      </c>
      <c r="B477" s="3">
        <v>45746.541203703702</v>
      </c>
      <c r="C477" s="2" t="s">
        <v>18</v>
      </c>
      <c r="D477" s="2" t="s">
        <v>19</v>
      </c>
      <c r="E477" s="2" t="s">
        <v>49</v>
      </c>
      <c r="F477" s="4">
        <v>26000</v>
      </c>
      <c r="G477" s="5">
        <v>1.4</v>
      </c>
      <c r="H477" s="6">
        <v>0</v>
      </c>
      <c r="I477" s="7">
        <f t="shared" si="70"/>
        <v>36400</v>
      </c>
      <c r="J477" s="7">
        <f t="shared" si="71"/>
        <v>0</v>
      </c>
      <c r="K477" s="7">
        <f t="shared" si="72"/>
        <v>36400</v>
      </c>
      <c r="L477" s="4">
        <v>15000</v>
      </c>
      <c r="M477" s="7">
        <f t="shared" si="73"/>
        <v>51400</v>
      </c>
      <c r="N477" s="2" t="s">
        <v>33</v>
      </c>
      <c r="O477" t="s">
        <v>22</v>
      </c>
      <c r="P477" s="2" t="s">
        <v>2367</v>
      </c>
      <c r="Q477" s="2">
        <v>4</v>
      </c>
      <c r="R477" s="2" t="s">
        <v>23</v>
      </c>
      <c r="S477" s="2" t="str">
        <f t="shared" si="74"/>
        <v>Rendah</v>
      </c>
      <c r="T477" s="2" t="str">
        <f t="shared" si="75"/>
        <v>FALSE</v>
      </c>
      <c r="U477" s="2" t="str">
        <f t="shared" si="76"/>
        <v>FALSE</v>
      </c>
      <c r="V477" s="2" t="b">
        <f t="shared" si="77"/>
        <v>0</v>
      </c>
      <c r="W477" s="2" t="b">
        <f t="shared" si="78"/>
        <v>1</v>
      </c>
      <c r="X477" s="2" t="b">
        <f t="shared" si="79"/>
        <v>0</v>
      </c>
    </row>
    <row r="478" spans="1:24" ht="10.5" customHeight="1">
      <c r="A478" s="2" t="s">
        <v>790</v>
      </c>
      <c r="B478" s="3">
        <v>45746.541203703702</v>
      </c>
      <c r="C478" s="2" t="s">
        <v>18</v>
      </c>
      <c r="D478" s="2" t="s">
        <v>19</v>
      </c>
      <c r="E478" s="2" t="s">
        <v>75</v>
      </c>
      <c r="F478" s="4">
        <v>45000</v>
      </c>
      <c r="G478" s="5">
        <v>1.1000000000000001</v>
      </c>
      <c r="H478" s="6">
        <v>0</v>
      </c>
      <c r="I478" s="7">
        <f t="shared" si="70"/>
        <v>49500.000000000007</v>
      </c>
      <c r="J478" s="7">
        <f t="shared" si="71"/>
        <v>0</v>
      </c>
      <c r="K478" s="7">
        <f t="shared" si="72"/>
        <v>49500.000000000007</v>
      </c>
      <c r="L478" s="4">
        <v>0</v>
      </c>
      <c r="M478" s="7">
        <f t="shared" si="73"/>
        <v>49500.000000000007</v>
      </c>
      <c r="N478" s="2" t="s">
        <v>33</v>
      </c>
      <c r="O478" t="s">
        <v>22</v>
      </c>
      <c r="P478" s="2" t="s">
        <v>2367</v>
      </c>
      <c r="Q478" s="2">
        <v>4</v>
      </c>
      <c r="R478" s="2" t="s">
        <v>23</v>
      </c>
      <c r="S478" s="2" t="str">
        <f t="shared" si="74"/>
        <v>Sangat Rendah</v>
      </c>
      <c r="T478" s="2" t="str">
        <f t="shared" si="75"/>
        <v>FALSE</v>
      </c>
      <c r="U478" s="2" t="str">
        <f t="shared" si="76"/>
        <v>FALSE</v>
      </c>
      <c r="V478" s="2" t="b">
        <f t="shared" si="77"/>
        <v>0</v>
      </c>
      <c r="W478" s="2" t="b">
        <f t="shared" si="78"/>
        <v>1</v>
      </c>
      <c r="X478" s="2" t="b">
        <f t="shared" si="79"/>
        <v>1</v>
      </c>
    </row>
    <row r="479" spans="1:24" ht="10.5" customHeight="1">
      <c r="A479" s="2" t="s">
        <v>791</v>
      </c>
      <c r="B479" s="3">
        <v>45746.551712962973</v>
      </c>
      <c r="C479" s="2" t="s">
        <v>792</v>
      </c>
      <c r="D479" s="2" t="s">
        <v>118</v>
      </c>
      <c r="E479" s="2" t="s">
        <v>35</v>
      </c>
      <c r="F479" s="4">
        <v>13500</v>
      </c>
      <c r="G479" s="5">
        <v>3.6</v>
      </c>
      <c r="H479" s="6">
        <v>0</v>
      </c>
      <c r="I479" s="7">
        <f t="shared" si="70"/>
        <v>48600</v>
      </c>
      <c r="J479" s="7">
        <f t="shared" si="71"/>
        <v>0</v>
      </c>
      <c r="K479" s="7">
        <f t="shared" si="72"/>
        <v>48600</v>
      </c>
      <c r="L479" s="4">
        <v>84000</v>
      </c>
      <c r="M479" s="7">
        <f t="shared" si="73"/>
        <v>132600</v>
      </c>
      <c r="N479" s="2" t="s">
        <v>21</v>
      </c>
      <c r="O479" t="s">
        <v>22</v>
      </c>
      <c r="P479" s="2" t="s">
        <v>2370</v>
      </c>
      <c r="Q479" s="2">
        <v>4</v>
      </c>
      <c r="R479" s="2" t="s">
        <v>23</v>
      </c>
      <c r="S479" s="2" t="str">
        <f t="shared" si="74"/>
        <v>Standar</v>
      </c>
      <c r="T479" s="2" t="str">
        <f t="shared" si="75"/>
        <v>FALSE</v>
      </c>
      <c r="U479" s="2" t="str">
        <f t="shared" si="76"/>
        <v>FALSE</v>
      </c>
      <c r="V479" s="2" t="b">
        <f t="shared" si="77"/>
        <v>0</v>
      </c>
      <c r="W479" s="2" t="b">
        <f t="shared" si="78"/>
        <v>0</v>
      </c>
      <c r="X479" s="2" t="b">
        <f t="shared" si="79"/>
        <v>0</v>
      </c>
    </row>
    <row r="480" spans="1:24" ht="10.5" customHeight="1">
      <c r="A480" s="2" t="s">
        <v>793</v>
      </c>
      <c r="B480" s="3">
        <v>45746.574560185189</v>
      </c>
      <c r="C480" s="2" t="s">
        <v>794</v>
      </c>
      <c r="D480" s="2" t="s">
        <v>44</v>
      </c>
      <c r="E480" s="2" t="s">
        <v>45</v>
      </c>
      <c r="F480" s="4">
        <v>10500</v>
      </c>
      <c r="G480" s="5">
        <v>2.2999999999999998</v>
      </c>
      <c r="H480" s="6">
        <v>0</v>
      </c>
      <c r="I480" s="7">
        <f t="shared" si="70"/>
        <v>24149.999999999996</v>
      </c>
      <c r="J480" s="7">
        <f t="shared" si="71"/>
        <v>0</v>
      </c>
      <c r="K480" s="7">
        <f t="shared" si="72"/>
        <v>24149.999999999996</v>
      </c>
      <c r="L480" s="4">
        <v>43000</v>
      </c>
      <c r="M480" s="7">
        <f t="shared" si="73"/>
        <v>67150</v>
      </c>
      <c r="N480" s="2" t="s">
        <v>28</v>
      </c>
      <c r="O480" t="s">
        <v>115</v>
      </c>
      <c r="P480" s="2" t="s">
        <v>2368</v>
      </c>
      <c r="Q480" s="2">
        <v>5</v>
      </c>
      <c r="R480" s="2" t="s">
        <v>23</v>
      </c>
      <c r="S480" s="2" t="str">
        <f t="shared" si="74"/>
        <v>Rendah</v>
      </c>
      <c r="T480" s="2" t="str">
        <f t="shared" si="75"/>
        <v>FALSE</v>
      </c>
      <c r="U480" s="2" t="str">
        <f t="shared" si="76"/>
        <v>FALSE</v>
      </c>
      <c r="V480" s="2" t="b">
        <f t="shared" si="77"/>
        <v>0</v>
      </c>
      <c r="W480" s="2" t="b">
        <f t="shared" si="78"/>
        <v>0</v>
      </c>
      <c r="X480" s="2" t="b">
        <f t="shared" si="79"/>
        <v>0</v>
      </c>
    </row>
    <row r="481" spans="1:24" ht="10.5" customHeight="1">
      <c r="A481" s="2" t="s">
        <v>795</v>
      </c>
      <c r="B481" s="3">
        <v>45746.635567129633</v>
      </c>
      <c r="C481" s="2" t="s">
        <v>285</v>
      </c>
      <c r="D481" s="2" t="s">
        <v>286</v>
      </c>
      <c r="E481" s="2" t="s">
        <v>32</v>
      </c>
      <c r="F481" s="4">
        <v>20000</v>
      </c>
      <c r="G481" s="5">
        <v>1.8</v>
      </c>
      <c r="H481" s="6">
        <v>0</v>
      </c>
      <c r="I481" s="7">
        <f t="shared" si="70"/>
        <v>36000</v>
      </c>
      <c r="J481" s="7">
        <f t="shared" si="71"/>
        <v>0</v>
      </c>
      <c r="K481" s="7">
        <f t="shared" si="72"/>
        <v>36000</v>
      </c>
      <c r="L481" s="4">
        <v>79000</v>
      </c>
      <c r="M481" s="7">
        <f t="shared" si="73"/>
        <v>115000</v>
      </c>
      <c r="N481" s="2" t="s">
        <v>28</v>
      </c>
      <c r="O481" t="s">
        <v>22</v>
      </c>
      <c r="P481" s="2" t="s">
        <v>2366</v>
      </c>
      <c r="Q481" s="2">
        <v>5</v>
      </c>
      <c r="R481" s="2" t="s">
        <v>23</v>
      </c>
      <c r="S481" s="2" t="str">
        <f t="shared" si="74"/>
        <v>Standar</v>
      </c>
      <c r="T481" s="2" t="str">
        <f t="shared" si="75"/>
        <v>FALSE</v>
      </c>
      <c r="U481" s="2" t="str">
        <f t="shared" si="76"/>
        <v>FALSE</v>
      </c>
      <c r="V481" s="2" t="b">
        <f t="shared" si="77"/>
        <v>0</v>
      </c>
      <c r="W481" s="2" t="b">
        <f t="shared" si="78"/>
        <v>0</v>
      </c>
      <c r="X481" s="2" t="b">
        <f t="shared" si="79"/>
        <v>0</v>
      </c>
    </row>
    <row r="482" spans="1:24" ht="10.5" customHeight="1">
      <c r="A482" s="2" t="s">
        <v>796</v>
      </c>
      <c r="B482" s="3">
        <v>45746.639965277784</v>
      </c>
      <c r="C482" s="2" t="s">
        <v>639</v>
      </c>
      <c r="D482" s="2" t="s">
        <v>167</v>
      </c>
      <c r="E482" s="2" t="s">
        <v>20</v>
      </c>
      <c r="F482" s="4">
        <v>10000</v>
      </c>
      <c r="G482" s="5">
        <v>2.4</v>
      </c>
      <c r="H482" s="6">
        <v>0</v>
      </c>
      <c r="I482" s="7">
        <f t="shared" si="70"/>
        <v>24000</v>
      </c>
      <c r="J482" s="7">
        <f t="shared" si="71"/>
        <v>0</v>
      </c>
      <c r="K482" s="7">
        <f t="shared" si="72"/>
        <v>24000</v>
      </c>
      <c r="L482" s="4">
        <v>56000</v>
      </c>
      <c r="M482" s="7">
        <f t="shared" si="73"/>
        <v>80000</v>
      </c>
      <c r="N482" s="2" t="s">
        <v>58</v>
      </c>
      <c r="O482" t="s">
        <v>22</v>
      </c>
      <c r="P482" s="2" t="s">
        <v>2367</v>
      </c>
      <c r="Q482" s="2">
        <v>5</v>
      </c>
      <c r="R482" s="2" t="s">
        <v>23</v>
      </c>
      <c r="S482" s="2" t="str">
        <f t="shared" si="74"/>
        <v>Rendah</v>
      </c>
      <c r="T482" s="2" t="str">
        <f t="shared" si="75"/>
        <v>FALSE</v>
      </c>
      <c r="U482" s="2" t="str">
        <f t="shared" si="76"/>
        <v>FALSE</v>
      </c>
      <c r="V482" s="2" t="b">
        <f t="shared" si="77"/>
        <v>0</v>
      </c>
      <c r="W482" s="2" t="b">
        <f t="shared" si="78"/>
        <v>1</v>
      </c>
      <c r="X482" s="2" t="b">
        <f t="shared" si="79"/>
        <v>0</v>
      </c>
    </row>
    <row r="483" spans="1:24" ht="10.5" customHeight="1">
      <c r="A483" s="2" t="s">
        <v>797</v>
      </c>
      <c r="B483" s="3">
        <v>45746.643067129633</v>
      </c>
      <c r="C483" s="2" t="s">
        <v>798</v>
      </c>
      <c r="D483" s="2" t="s">
        <v>56</v>
      </c>
      <c r="E483" s="2" t="s">
        <v>182</v>
      </c>
      <c r="F483" s="4">
        <v>11000</v>
      </c>
      <c r="G483" s="5">
        <v>0.7</v>
      </c>
      <c r="H483" s="6">
        <v>0</v>
      </c>
      <c r="I483" s="7">
        <f t="shared" si="70"/>
        <v>7699.9999999999991</v>
      </c>
      <c r="J483" s="7">
        <f t="shared" si="71"/>
        <v>0</v>
      </c>
      <c r="K483" s="7">
        <f t="shared" si="72"/>
        <v>7699.9999999999991</v>
      </c>
      <c r="L483" s="4">
        <v>26000</v>
      </c>
      <c r="M483" s="7">
        <f t="shared" si="73"/>
        <v>33700</v>
      </c>
      <c r="N483" s="2" t="s">
        <v>28</v>
      </c>
      <c r="O483" t="s">
        <v>22</v>
      </c>
      <c r="P483" s="2" t="s">
        <v>2368</v>
      </c>
      <c r="Q483" s="2">
        <v>1</v>
      </c>
      <c r="R483" s="2" t="s">
        <v>23</v>
      </c>
      <c r="S483" s="2" t="str">
        <f t="shared" si="74"/>
        <v>Sangat Rendah</v>
      </c>
      <c r="T483" s="2" t="str">
        <f t="shared" si="75"/>
        <v>FALSE</v>
      </c>
      <c r="U483" s="2" t="str">
        <f t="shared" si="76"/>
        <v>FALSE</v>
      </c>
      <c r="V483" s="2" t="b">
        <f t="shared" si="77"/>
        <v>0</v>
      </c>
      <c r="W483" s="2" t="b">
        <f t="shared" si="78"/>
        <v>0</v>
      </c>
      <c r="X483" s="2" t="b">
        <f t="shared" si="79"/>
        <v>1</v>
      </c>
    </row>
    <row r="484" spans="1:24" ht="10.5" customHeight="1">
      <c r="A484" s="2" t="s">
        <v>799</v>
      </c>
      <c r="B484" s="3">
        <v>45746.739733796298</v>
      </c>
      <c r="C484" s="2" t="s">
        <v>369</v>
      </c>
      <c r="D484" s="2" t="s">
        <v>26</v>
      </c>
      <c r="E484" s="2" t="s">
        <v>41</v>
      </c>
      <c r="F484" s="4">
        <v>40000</v>
      </c>
      <c r="G484" s="5">
        <v>0.6</v>
      </c>
      <c r="H484" s="6">
        <v>0</v>
      </c>
      <c r="I484" s="7">
        <f t="shared" si="70"/>
        <v>24000</v>
      </c>
      <c r="J484" s="7">
        <f t="shared" si="71"/>
        <v>0</v>
      </c>
      <c r="K484" s="7">
        <f t="shared" si="72"/>
        <v>24000</v>
      </c>
      <c r="L484" s="4">
        <v>17000</v>
      </c>
      <c r="M484" s="7">
        <f t="shared" si="73"/>
        <v>41000</v>
      </c>
      <c r="N484" s="2" t="s">
        <v>58</v>
      </c>
      <c r="O484" t="s">
        <v>22</v>
      </c>
      <c r="P484" s="2" t="s">
        <v>2368</v>
      </c>
      <c r="Q484" s="2">
        <v>5</v>
      </c>
      <c r="R484" s="2" t="s">
        <v>23</v>
      </c>
      <c r="S484" s="2" t="str">
        <f t="shared" si="74"/>
        <v>Sangat Rendah</v>
      </c>
      <c r="T484" s="2" t="str">
        <f t="shared" si="75"/>
        <v>FALSE</v>
      </c>
      <c r="U484" s="2" t="str">
        <f t="shared" si="76"/>
        <v>FALSE</v>
      </c>
      <c r="V484" s="2" t="b">
        <f t="shared" si="77"/>
        <v>0</v>
      </c>
      <c r="W484" s="2" t="b">
        <f t="shared" si="78"/>
        <v>0</v>
      </c>
      <c r="X484" s="2" t="b">
        <f t="shared" si="79"/>
        <v>1</v>
      </c>
    </row>
    <row r="485" spans="1:24" ht="10.5" customHeight="1">
      <c r="A485" s="2" t="s">
        <v>800</v>
      </c>
      <c r="B485" s="3">
        <v>45746.772951388892</v>
      </c>
      <c r="C485" s="2" t="s">
        <v>273</v>
      </c>
      <c r="D485" s="2" t="s">
        <v>84</v>
      </c>
      <c r="E485" s="2" t="s">
        <v>143</v>
      </c>
      <c r="F485" s="4">
        <v>10000</v>
      </c>
      <c r="G485" s="5">
        <v>0.5</v>
      </c>
      <c r="H485" s="6">
        <v>0</v>
      </c>
      <c r="I485" s="7">
        <f t="shared" si="70"/>
        <v>5000</v>
      </c>
      <c r="J485" s="7">
        <f t="shared" si="71"/>
        <v>0</v>
      </c>
      <c r="K485" s="7">
        <f t="shared" si="72"/>
        <v>5000</v>
      </c>
      <c r="L485" s="4">
        <v>30000</v>
      </c>
      <c r="M485" s="7">
        <f t="shared" si="73"/>
        <v>35000</v>
      </c>
      <c r="N485" s="2" t="s">
        <v>28</v>
      </c>
      <c r="O485" t="s">
        <v>22</v>
      </c>
      <c r="P485" s="2" t="s">
        <v>2366</v>
      </c>
      <c r="Q485" s="2">
        <v>3</v>
      </c>
      <c r="R485" s="2" t="s">
        <v>23</v>
      </c>
      <c r="S485" s="2" t="str">
        <f t="shared" si="74"/>
        <v>Sangat Rendah</v>
      </c>
      <c r="T485" s="2" t="str">
        <f t="shared" si="75"/>
        <v>FALSE</v>
      </c>
      <c r="U485" s="2" t="str">
        <f t="shared" si="76"/>
        <v>TRUE</v>
      </c>
      <c r="V485" s="2" t="b">
        <f t="shared" si="77"/>
        <v>0</v>
      </c>
      <c r="W485" s="2" t="b">
        <f t="shared" si="78"/>
        <v>0</v>
      </c>
      <c r="X485" s="2" t="b">
        <f t="shared" si="79"/>
        <v>1</v>
      </c>
    </row>
    <row r="486" spans="1:24" ht="10.5" customHeight="1">
      <c r="A486" s="2" t="s">
        <v>801</v>
      </c>
      <c r="B486" s="3">
        <v>45746.856979166667</v>
      </c>
      <c r="C486" s="2" t="s">
        <v>802</v>
      </c>
      <c r="D486" s="2" t="s">
        <v>31</v>
      </c>
      <c r="E486" s="2" t="s">
        <v>20</v>
      </c>
      <c r="F486" s="4">
        <v>10000</v>
      </c>
      <c r="G486" s="5">
        <v>1.8</v>
      </c>
      <c r="H486" s="6">
        <v>0</v>
      </c>
      <c r="I486" s="7">
        <f t="shared" si="70"/>
        <v>18000</v>
      </c>
      <c r="J486" s="7">
        <f t="shared" si="71"/>
        <v>0</v>
      </c>
      <c r="K486" s="7">
        <f t="shared" si="72"/>
        <v>18000</v>
      </c>
      <c r="L486" s="4">
        <v>76000</v>
      </c>
      <c r="M486" s="7">
        <f t="shared" si="73"/>
        <v>94000</v>
      </c>
      <c r="N486" s="2" t="s">
        <v>21</v>
      </c>
      <c r="O486" t="s">
        <v>22</v>
      </c>
      <c r="P486" s="2" t="s">
        <v>2366</v>
      </c>
      <c r="Q486" s="2">
        <v>3</v>
      </c>
      <c r="R486" s="2" t="s">
        <v>23</v>
      </c>
      <c r="S486" s="2" t="str">
        <f t="shared" si="74"/>
        <v>Rendah</v>
      </c>
      <c r="T486" s="2" t="str">
        <f t="shared" si="75"/>
        <v>FALSE</v>
      </c>
      <c r="U486" s="2" t="str">
        <f t="shared" si="76"/>
        <v>FALSE</v>
      </c>
      <c r="V486" s="2" t="b">
        <f t="shared" si="77"/>
        <v>0</v>
      </c>
      <c r="W486" s="2" t="b">
        <f t="shared" si="78"/>
        <v>0</v>
      </c>
      <c r="X486" s="2" t="b">
        <f t="shared" si="79"/>
        <v>0</v>
      </c>
    </row>
    <row r="487" spans="1:24" ht="10.5" customHeight="1">
      <c r="A487" s="2" t="s">
        <v>803</v>
      </c>
      <c r="B487" s="3">
        <v>45746.967118055552</v>
      </c>
      <c r="C487" s="2" t="s">
        <v>301</v>
      </c>
      <c r="D487" s="2" t="s">
        <v>108</v>
      </c>
      <c r="E487" s="2" t="s">
        <v>35</v>
      </c>
      <c r="F487" s="4">
        <v>13500</v>
      </c>
      <c r="G487" s="5">
        <v>1.6</v>
      </c>
      <c r="H487" s="6">
        <v>0</v>
      </c>
      <c r="I487" s="7">
        <f t="shared" si="70"/>
        <v>21600</v>
      </c>
      <c r="J487" s="7">
        <f t="shared" si="71"/>
        <v>0</v>
      </c>
      <c r="K487" s="7">
        <f t="shared" si="72"/>
        <v>21600</v>
      </c>
      <c r="L487" s="4">
        <v>72000</v>
      </c>
      <c r="M487" s="7">
        <f t="shared" si="73"/>
        <v>93600</v>
      </c>
      <c r="N487" s="2" t="s">
        <v>21</v>
      </c>
      <c r="O487" t="s">
        <v>22</v>
      </c>
      <c r="P487" s="2" t="s">
        <v>2365</v>
      </c>
      <c r="Q487" s="2">
        <v>5</v>
      </c>
      <c r="R487" s="2" t="s">
        <v>23</v>
      </c>
      <c r="S487" s="2" t="str">
        <f t="shared" si="74"/>
        <v>Rendah</v>
      </c>
      <c r="T487" s="2" t="str">
        <f t="shared" si="75"/>
        <v>FALSE</v>
      </c>
      <c r="U487" s="2" t="str">
        <f t="shared" si="76"/>
        <v>FALSE</v>
      </c>
      <c r="V487" s="2" t="b">
        <f t="shared" si="77"/>
        <v>0</v>
      </c>
      <c r="W487" s="2" t="b">
        <f t="shared" si="78"/>
        <v>0</v>
      </c>
      <c r="X487" s="2" t="b">
        <f t="shared" si="79"/>
        <v>0</v>
      </c>
    </row>
    <row r="488" spans="1:24" ht="10.5" customHeight="1">
      <c r="A488" s="2" t="s">
        <v>804</v>
      </c>
      <c r="B488" s="3">
        <v>45747.090138888889</v>
      </c>
      <c r="C488" s="2" t="s">
        <v>198</v>
      </c>
      <c r="D488" s="2" t="s">
        <v>87</v>
      </c>
      <c r="E488" s="2" t="s">
        <v>49</v>
      </c>
      <c r="F488" s="4">
        <v>26000</v>
      </c>
      <c r="G488" s="5">
        <v>1</v>
      </c>
      <c r="H488" s="6">
        <v>0</v>
      </c>
      <c r="I488" s="7">
        <f t="shared" si="70"/>
        <v>26000</v>
      </c>
      <c r="J488" s="7">
        <f t="shared" si="71"/>
        <v>0</v>
      </c>
      <c r="K488" s="7">
        <f t="shared" si="72"/>
        <v>26000</v>
      </c>
      <c r="L488" s="4">
        <v>49000</v>
      </c>
      <c r="M488" s="7">
        <f t="shared" si="73"/>
        <v>75000</v>
      </c>
      <c r="N488" s="2" t="s">
        <v>28</v>
      </c>
      <c r="O488" t="s">
        <v>22</v>
      </c>
      <c r="P488" s="2" t="s">
        <v>2367</v>
      </c>
      <c r="Q488" s="2">
        <v>1</v>
      </c>
      <c r="R488" s="2" t="s">
        <v>23</v>
      </c>
      <c r="S488" s="2" t="str">
        <f t="shared" si="74"/>
        <v>Rendah</v>
      </c>
      <c r="T488" s="2" t="str">
        <f t="shared" si="75"/>
        <v>FALSE</v>
      </c>
      <c r="U488" s="2" t="str">
        <f t="shared" si="76"/>
        <v>FALSE</v>
      </c>
      <c r="V488" s="2" t="b">
        <f t="shared" si="77"/>
        <v>0</v>
      </c>
      <c r="W488" s="2" t="b">
        <f t="shared" si="78"/>
        <v>1</v>
      </c>
      <c r="X488" s="2" t="b">
        <f t="shared" si="79"/>
        <v>0</v>
      </c>
    </row>
    <row r="489" spans="1:24" ht="10.5" customHeight="1">
      <c r="A489" s="2" t="s">
        <v>805</v>
      </c>
      <c r="B489" s="3">
        <v>45747.26284722222</v>
      </c>
      <c r="C489" s="2" t="s">
        <v>152</v>
      </c>
      <c r="D489" s="2" t="s">
        <v>153</v>
      </c>
      <c r="E489" s="2" t="s">
        <v>41</v>
      </c>
      <c r="F489" s="4">
        <v>40000</v>
      </c>
      <c r="G489" s="5">
        <v>0.7</v>
      </c>
      <c r="H489" s="6">
        <v>0</v>
      </c>
      <c r="I489" s="7">
        <f t="shared" si="70"/>
        <v>28000</v>
      </c>
      <c r="J489" s="7">
        <f t="shared" si="71"/>
        <v>0</v>
      </c>
      <c r="K489" s="7">
        <f t="shared" si="72"/>
        <v>28000</v>
      </c>
      <c r="L489" s="4">
        <v>50000</v>
      </c>
      <c r="M489" s="7">
        <f t="shared" si="73"/>
        <v>78000</v>
      </c>
      <c r="N489" s="2" t="s">
        <v>28</v>
      </c>
      <c r="O489" t="s">
        <v>22</v>
      </c>
      <c r="P489" s="2" t="s">
        <v>2368</v>
      </c>
      <c r="Q489" s="2">
        <v>2</v>
      </c>
      <c r="R489" s="2" t="s">
        <v>23</v>
      </c>
      <c r="S489" s="2" t="str">
        <f t="shared" si="74"/>
        <v>Rendah</v>
      </c>
      <c r="T489" s="2" t="str">
        <f t="shared" si="75"/>
        <v>FALSE</v>
      </c>
      <c r="U489" s="2" t="str">
        <f t="shared" si="76"/>
        <v>FALSE</v>
      </c>
      <c r="V489" s="2" t="b">
        <f t="shared" si="77"/>
        <v>0</v>
      </c>
      <c r="W489" s="2" t="b">
        <f t="shared" si="78"/>
        <v>0</v>
      </c>
      <c r="X489" s="2" t="b">
        <f t="shared" si="79"/>
        <v>0</v>
      </c>
    </row>
    <row r="490" spans="1:24" ht="10.5" customHeight="1">
      <c r="A490" s="2" t="s">
        <v>806</v>
      </c>
      <c r="B490" s="3">
        <v>45747.320925925917</v>
      </c>
      <c r="C490" s="2" t="s">
        <v>547</v>
      </c>
      <c r="D490" s="2" t="s">
        <v>164</v>
      </c>
      <c r="E490" s="2" t="s">
        <v>80</v>
      </c>
      <c r="F490" s="4">
        <v>15000</v>
      </c>
      <c r="G490" s="5">
        <v>1</v>
      </c>
      <c r="H490" s="6">
        <v>0</v>
      </c>
      <c r="I490" s="7">
        <f t="shared" si="70"/>
        <v>15000</v>
      </c>
      <c r="J490" s="7">
        <f t="shared" si="71"/>
        <v>0</v>
      </c>
      <c r="K490" s="7">
        <f t="shared" si="72"/>
        <v>15000</v>
      </c>
      <c r="L490" s="4">
        <v>49000</v>
      </c>
      <c r="M490" s="7">
        <f t="shared" si="73"/>
        <v>64000</v>
      </c>
      <c r="N490" s="2" t="s">
        <v>28</v>
      </c>
      <c r="O490" t="s">
        <v>22</v>
      </c>
      <c r="P490" s="2" t="s">
        <v>2367</v>
      </c>
      <c r="Q490" s="2">
        <v>2</v>
      </c>
      <c r="R490" s="2" t="s">
        <v>23</v>
      </c>
      <c r="S490" s="2" t="str">
        <f t="shared" si="74"/>
        <v>Rendah</v>
      </c>
      <c r="T490" s="2" t="str">
        <f t="shared" si="75"/>
        <v>FALSE</v>
      </c>
      <c r="U490" s="2" t="str">
        <f t="shared" si="76"/>
        <v>FALSE</v>
      </c>
      <c r="V490" s="2" t="b">
        <f t="shared" si="77"/>
        <v>0</v>
      </c>
      <c r="W490" s="2" t="b">
        <f t="shared" si="78"/>
        <v>1</v>
      </c>
      <c r="X490" s="2" t="b">
        <f t="shared" si="79"/>
        <v>0</v>
      </c>
    </row>
    <row r="491" spans="1:24" ht="10.5" customHeight="1">
      <c r="A491" s="2" t="s">
        <v>807</v>
      </c>
      <c r="B491" s="3">
        <v>45747.352546296293</v>
      </c>
      <c r="C491" s="2" t="s">
        <v>373</v>
      </c>
      <c r="D491" s="2" t="s">
        <v>114</v>
      </c>
      <c r="E491" s="2" t="s">
        <v>27</v>
      </c>
      <c r="F491" s="4">
        <v>15000</v>
      </c>
      <c r="G491" s="5">
        <v>0.9</v>
      </c>
      <c r="H491" s="6">
        <v>0</v>
      </c>
      <c r="I491" s="7">
        <f t="shared" si="70"/>
        <v>13500</v>
      </c>
      <c r="J491" s="7">
        <f t="shared" si="71"/>
        <v>0</v>
      </c>
      <c r="K491" s="7">
        <f t="shared" si="72"/>
        <v>13500</v>
      </c>
      <c r="L491" s="4">
        <v>78000</v>
      </c>
      <c r="M491" s="7">
        <f t="shared" si="73"/>
        <v>91500</v>
      </c>
      <c r="N491" s="2" t="s">
        <v>58</v>
      </c>
      <c r="O491" t="s">
        <v>22</v>
      </c>
      <c r="P491" s="2" t="s">
        <v>2366</v>
      </c>
      <c r="Q491" s="2">
        <v>2</v>
      </c>
      <c r="R491" s="2" t="s">
        <v>23</v>
      </c>
      <c r="S491" s="2" t="str">
        <f t="shared" si="74"/>
        <v>Rendah</v>
      </c>
      <c r="T491" s="2" t="str">
        <f t="shared" si="75"/>
        <v>TRUE</v>
      </c>
      <c r="U491" s="2" t="str">
        <f t="shared" si="76"/>
        <v>FALSE</v>
      </c>
      <c r="V491" s="2" t="b">
        <f t="shared" si="77"/>
        <v>0</v>
      </c>
      <c r="W491" s="2" t="b">
        <f t="shared" si="78"/>
        <v>0</v>
      </c>
      <c r="X491" s="2" t="b">
        <f t="shared" si="79"/>
        <v>0</v>
      </c>
    </row>
    <row r="492" spans="1:24" ht="10.5" customHeight="1">
      <c r="A492" s="2" t="s">
        <v>808</v>
      </c>
      <c r="B492" s="3">
        <v>45747.487615740742</v>
      </c>
      <c r="C492" s="2" t="s">
        <v>809</v>
      </c>
      <c r="D492" s="2" t="s">
        <v>118</v>
      </c>
      <c r="E492" s="2" t="s">
        <v>170</v>
      </c>
      <c r="F492" s="4">
        <v>12000</v>
      </c>
      <c r="G492" s="5">
        <v>1.1000000000000001</v>
      </c>
      <c r="H492" s="6">
        <v>0</v>
      </c>
      <c r="I492" s="7">
        <f t="shared" si="70"/>
        <v>13200.000000000002</v>
      </c>
      <c r="J492" s="7">
        <f t="shared" si="71"/>
        <v>0</v>
      </c>
      <c r="K492" s="7">
        <f t="shared" si="72"/>
        <v>13200.000000000002</v>
      </c>
      <c r="L492" s="4">
        <v>84000</v>
      </c>
      <c r="M492" s="7">
        <f t="shared" si="73"/>
        <v>97200</v>
      </c>
      <c r="N492" s="2" t="s">
        <v>21</v>
      </c>
      <c r="O492" t="s">
        <v>22</v>
      </c>
      <c r="P492" s="2" t="s">
        <v>2367</v>
      </c>
      <c r="Q492" s="2">
        <v>5</v>
      </c>
      <c r="R492" s="2" t="s">
        <v>23</v>
      </c>
      <c r="S492" s="2" t="str">
        <f t="shared" si="74"/>
        <v>Rendah</v>
      </c>
      <c r="T492" s="2" t="str">
        <f t="shared" si="75"/>
        <v>FALSE</v>
      </c>
      <c r="U492" s="2" t="str">
        <f t="shared" si="76"/>
        <v>FALSE</v>
      </c>
      <c r="V492" s="2" t="b">
        <f t="shared" si="77"/>
        <v>0</v>
      </c>
      <c r="W492" s="2" t="b">
        <f t="shared" si="78"/>
        <v>1</v>
      </c>
      <c r="X492" s="2" t="b">
        <f t="shared" si="79"/>
        <v>0</v>
      </c>
    </row>
    <row r="493" spans="1:24" ht="10.5" customHeight="1">
      <c r="A493" s="2" t="s">
        <v>810</v>
      </c>
      <c r="B493" s="3">
        <v>45747.546215277784</v>
      </c>
      <c r="C493" s="2" t="s">
        <v>811</v>
      </c>
      <c r="D493" s="2" t="s">
        <v>123</v>
      </c>
      <c r="E493" s="2" t="s">
        <v>102</v>
      </c>
      <c r="F493" s="4">
        <v>55000</v>
      </c>
      <c r="G493" s="5">
        <v>0.4</v>
      </c>
      <c r="H493" s="6">
        <v>0</v>
      </c>
      <c r="I493" s="7">
        <f t="shared" si="70"/>
        <v>22000</v>
      </c>
      <c r="J493" s="7">
        <f t="shared" si="71"/>
        <v>0</v>
      </c>
      <c r="K493" s="7">
        <f t="shared" si="72"/>
        <v>22000</v>
      </c>
      <c r="L493" s="4">
        <v>59000</v>
      </c>
      <c r="M493" s="7">
        <f t="shared" si="73"/>
        <v>81000</v>
      </c>
      <c r="N493" s="2" t="s">
        <v>58</v>
      </c>
      <c r="O493" t="s">
        <v>22</v>
      </c>
      <c r="P493" s="2" t="s">
        <v>2365</v>
      </c>
      <c r="Q493" s="2">
        <v>1</v>
      </c>
      <c r="R493" s="2" t="s">
        <v>23</v>
      </c>
      <c r="S493" s="2" t="str">
        <f t="shared" si="74"/>
        <v>Rendah</v>
      </c>
      <c r="T493" s="2" t="str">
        <f t="shared" si="75"/>
        <v>FALSE</v>
      </c>
      <c r="U493" s="2" t="str">
        <f t="shared" si="76"/>
        <v>FALSE</v>
      </c>
      <c r="V493" s="2" t="b">
        <f t="shared" si="77"/>
        <v>0</v>
      </c>
      <c r="W493" s="2" t="b">
        <f t="shared" si="78"/>
        <v>0</v>
      </c>
      <c r="X493" s="2" t="b">
        <f t="shared" si="79"/>
        <v>0</v>
      </c>
    </row>
    <row r="494" spans="1:24" ht="10.5" customHeight="1">
      <c r="A494" s="2" t="s">
        <v>812</v>
      </c>
      <c r="B494" s="3">
        <v>45747.564074074071</v>
      </c>
      <c r="C494" s="2" t="s">
        <v>117</v>
      </c>
      <c r="D494" s="2" t="s">
        <v>118</v>
      </c>
      <c r="E494" s="2" t="s">
        <v>53</v>
      </c>
      <c r="F494" s="4">
        <v>14000</v>
      </c>
      <c r="G494" s="5">
        <v>0.8</v>
      </c>
      <c r="H494" s="6">
        <v>0</v>
      </c>
      <c r="I494" s="7">
        <f t="shared" si="70"/>
        <v>11200</v>
      </c>
      <c r="J494" s="7">
        <f t="shared" si="71"/>
        <v>0</v>
      </c>
      <c r="K494" s="7">
        <f t="shared" si="72"/>
        <v>11200</v>
      </c>
      <c r="L494" s="4">
        <v>84000</v>
      </c>
      <c r="M494" s="7">
        <f t="shared" si="73"/>
        <v>95200</v>
      </c>
      <c r="N494" s="2" t="s">
        <v>28</v>
      </c>
      <c r="O494" t="s">
        <v>22</v>
      </c>
      <c r="P494" s="2" t="s">
        <v>2368</v>
      </c>
      <c r="Q494" s="2">
        <v>4</v>
      </c>
      <c r="R494" s="2" t="s">
        <v>23</v>
      </c>
      <c r="S494" s="2" t="str">
        <f t="shared" si="74"/>
        <v>Rendah</v>
      </c>
      <c r="T494" s="2" t="str">
        <f t="shared" si="75"/>
        <v>FALSE</v>
      </c>
      <c r="U494" s="2" t="str">
        <f t="shared" si="76"/>
        <v>FALSE</v>
      </c>
      <c r="V494" s="2" t="b">
        <f t="shared" si="77"/>
        <v>0</v>
      </c>
      <c r="W494" s="2" t="b">
        <f t="shared" si="78"/>
        <v>0</v>
      </c>
      <c r="X494" s="2" t="b">
        <f t="shared" si="79"/>
        <v>0</v>
      </c>
    </row>
    <row r="495" spans="1:24" ht="10.5" customHeight="1">
      <c r="A495" s="2" t="s">
        <v>813</v>
      </c>
      <c r="B495" s="3">
        <v>45747.590289351851</v>
      </c>
      <c r="C495" s="2" t="s">
        <v>313</v>
      </c>
      <c r="D495" s="2" t="s">
        <v>94</v>
      </c>
      <c r="E495" s="2" t="s">
        <v>27</v>
      </c>
      <c r="F495" s="4">
        <v>15000</v>
      </c>
      <c r="G495" s="5">
        <v>0.3</v>
      </c>
      <c r="H495" s="6">
        <v>0</v>
      </c>
      <c r="I495" s="7">
        <f t="shared" si="70"/>
        <v>4500</v>
      </c>
      <c r="J495" s="7">
        <f t="shared" si="71"/>
        <v>0</v>
      </c>
      <c r="K495" s="7">
        <f t="shared" si="72"/>
        <v>4500</v>
      </c>
      <c r="L495" s="4">
        <v>85000</v>
      </c>
      <c r="M495" s="7">
        <f t="shared" si="73"/>
        <v>89500</v>
      </c>
      <c r="N495" s="2" t="s">
        <v>33</v>
      </c>
      <c r="O495" t="s">
        <v>22</v>
      </c>
      <c r="P495" s="2" t="s">
        <v>2370</v>
      </c>
      <c r="Q495" s="2">
        <v>1</v>
      </c>
      <c r="R495" s="2" t="s">
        <v>23</v>
      </c>
      <c r="S495" s="2" t="str">
        <f t="shared" si="74"/>
        <v>Rendah</v>
      </c>
      <c r="T495" s="2" t="str">
        <f t="shared" si="75"/>
        <v>FALSE</v>
      </c>
      <c r="U495" s="2" t="str">
        <f t="shared" si="76"/>
        <v>FALSE</v>
      </c>
      <c r="V495" s="2" t="b">
        <f t="shared" si="77"/>
        <v>0</v>
      </c>
      <c r="W495" s="2" t="b">
        <f t="shared" si="78"/>
        <v>0</v>
      </c>
      <c r="X495" s="2" t="b">
        <f t="shared" si="79"/>
        <v>0</v>
      </c>
    </row>
    <row r="496" spans="1:24" ht="10.5" customHeight="1">
      <c r="A496" s="2" t="s">
        <v>813</v>
      </c>
      <c r="B496" s="3">
        <v>45747.590289351851</v>
      </c>
      <c r="C496" s="2" t="s">
        <v>313</v>
      </c>
      <c r="D496" s="2" t="s">
        <v>94</v>
      </c>
      <c r="E496" s="2" t="s">
        <v>20</v>
      </c>
      <c r="F496" s="4">
        <v>10000</v>
      </c>
      <c r="G496" s="5">
        <v>1.1000000000000001</v>
      </c>
      <c r="H496" s="6">
        <v>0</v>
      </c>
      <c r="I496" s="7">
        <f t="shared" si="70"/>
        <v>11000</v>
      </c>
      <c r="J496" s="7">
        <f t="shared" si="71"/>
        <v>0</v>
      </c>
      <c r="K496" s="7">
        <f t="shared" si="72"/>
        <v>11000</v>
      </c>
      <c r="L496" s="4">
        <v>0</v>
      </c>
      <c r="M496" s="7">
        <f t="shared" si="73"/>
        <v>11000</v>
      </c>
      <c r="N496" s="2" t="s">
        <v>33</v>
      </c>
      <c r="O496" t="s">
        <v>22</v>
      </c>
      <c r="P496" s="2" t="s">
        <v>2370</v>
      </c>
      <c r="Q496" s="2">
        <v>1</v>
      </c>
      <c r="R496" s="2" t="s">
        <v>23</v>
      </c>
      <c r="S496" s="2" t="str">
        <f t="shared" si="74"/>
        <v>Sangat Rendah</v>
      </c>
      <c r="T496" s="2" t="str">
        <f t="shared" si="75"/>
        <v>FALSE</v>
      </c>
      <c r="U496" s="2" t="str">
        <f t="shared" si="76"/>
        <v>FALSE</v>
      </c>
      <c r="V496" s="2" t="b">
        <f t="shared" si="77"/>
        <v>0</v>
      </c>
      <c r="W496" s="2" t="b">
        <f t="shared" si="78"/>
        <v>0</v>
      </c>
      <c r="X496" s="2" t="b">
        <f t="shared" si="79"/>
        <v>1</v>
      </c>
    </row>
    <row r="497" spans="1:24" ht="10.5" customHeight="1">
      <c r="A497" s="2" t="s">
        <v>814</v>
      </c>
      <c r="B497" s="3">
        <v>45747.616111111107</v>
      </c>
      <c r="C497" s="2" t="s">
        <v>537</v>
      </c>
      <c r="D497" s="2" t="s">
        <v>111</v>
      </c>
      <c r="E497" s="2" t="s">
        <v>20</v>
      </c>
      <c r="F497" s="4">
        <v>10000</v>
      </c>
      <c r="G497" s="5">
        <v>1.8</v>
      </c>
      <c r="H497" s="6">
        <v>0</v>
      </c>
      <c r="I497" s="7">
        <f t="shared" si="70"/>
        <v>18000</v>
      </c>
      <c r="J497" s="7">
        <f t="shared" si="71"/>
        <v>0</v>
      </c>
      <c r="K497" s="7">
        <f t="shared" si="72"/>
        <v>18000</v>
      </c>
      <c r="L497" s="4">
        <v>0</v>
      </c>
      <c r="M497" s="7">
        <f t="shared" si="73"/>
        <v>18000</v>
      </c>
      <c r="N497" s="2" t="s">
        <v>33</v>
      </c>
      <c r="O497" t="s">
        <v>22</v>
      </c>
      <c r="P497" s="2" t="s">
        <v>2370</v>
      </c>
      <c r="Q497" s="2">
        <v>1</v>
      </c>
      <c r="R497" s="2" t="s">
        <v>34</v>
      </c>
      <c r="S497" s="2" t="str">
        <f t="shared" si="74"/>
        <v>Sangat Rendah</v>
      </c>
      <c r="T497" s="2" t="str">
        <f t="shared" si="75"/>
        <v>FALSE</v>
      </c>
      <c r="U497" s="2" t="str">
        <f t="shared" si="76"/>
        <v>FALSE</v>
      </c>
      <c r="V497" s="2" t="b">
        <f t="shared" si="77"/>
        <v>0</v>
      </c>
      <c r="W497" s="2" t="b">
        <f t="shared" si="78"/>
        <v>0</v>
      </c>
      <c r="X497" s="2" t="b">
        <f t="shared" si="79"/>
        <v>0</v>
      </c>
    </row>
    <row r="498" spans="1:24" ht="10.5" customHeight="1">
      <c r="A498" s="2" t="s">
        <v>815</v>
      </c>
      <c r="B498" s="3">
        <v>45747.643645833326</v>
      </c>
      <c r="C498" s="2" t="s">
        <v>371</v>
      </c>
      <c r="D498" s="2" t="s">
        <v>94</v>
      </c>
      <c r="E498" s="2" t="s">
        <v>32</v>
      </c>
      <c r="F498" s="4">
        <v>20000</v>
      </c>
      <c r="G498" s="5">
        <v>2</v>
      </c>
      <c r="H498" s="6">
        <v>0</v>
      </c>
      <c r="I498" s="7">
        <f t="shared" si="70"/>
        <v>40000</v>
      </c>
      <c r="J498" s="7">
        <f t="shared" si="71"/>
        <v>0</v>
      </c>
      <c r="K498" s="7">
        <f t="shared" si="72"/>
        <v>40000</v>
      </c>
      <c r="L498" s="4">
        <v>85000</v>
      </c>
      <c r="M498" s="7">
        <f t="shared" si="73"/>
        <v>125000</v>
      </c>
      <c r="N498" s="2" t="s">
        <v>58</v>
      </c>
      <c r="O498" t="s">
        <v>69</v>
      </c>
      <c r="P498" s="2" t="s">
        <v>2367</v>
      </c>
      <c r="Q498" s="2">
        <v>5</v>
      </c>
      <c r="R498" s="2" t="s">
        <v>23</v>
      </c>
      <c r="S498" s="2" t="str">
        <f t="shared" si="74"/>
        <v>Standar</v>
      </c>
      <c r="T498" s="2" t="str">
        <f t="shared" si="75"/>
        <v>FALSE</v>
      </c>
      <c r="U498" s="2" t="str">
        <f t="shared" si="76"/>
        <v>FALSE</v>
      </c>
      <c r="V498" s="2" t="b">
        <f t="shared" si="77"/>
        <v>0</v>
      </c>
      <c r="W498" s="2" t="b">
        <f t="shared" si="78"/>
        <v>1</v>
      </c>
      <c r="X498" s="2" t="b">
        <f t="shared" si="79"/>
        <v>0</v>
      </c>
    </row>
    <row r="499" spans="1:24" ht="10.5" customHeight="1">
      <c r="A499" s="2" t="s">
        <v>816</v>
      </c>
      <c r="B499" s="3">
        <v>45747.651597222219</v>
      </c>
      <c r="C499" s="2" t="s">
        <v>817</v>
      </c>
      <c r="D499" s="2" t="s">
        <v>19</v>
      </c>
      <c r="E499" s="2" t="s">
        <v>170</v>
      </c>
      <c r="F499" s="4">
        <v>12000</v>
      </c>
      <c r="G499" s="5">
        <v>1</v>
      </c>
      <c r="H499" s="6">
        <v>0</v>
      </c>
      <c r="I499" s="7">
        <f t="shared" si="70"/>
        <v>12000</v>
      </c>
      <c r="J499" s="7">
        <f t="shared" si="71"/>
        <v>0</v>
      </c>
      <c r="K499" s="7">
        <f t="shared" si="72"/>
        <v>12000</v>
      </c>
      <c r="L499" s="4">
        <v>15000</v>
      </c>
      <c r="M499" s="7">
        <f t="shared" si="73"/>
        <v>27000</v>
      </c>
      <c r="N499" s="2" t="s">
        <v>58</v>
      </c>
      <c r="O499" t="s">
        <v>22</v>
      </c>
      <c r="P499" s="2" t="s">
        <v>2368</v>
      </c>
      <c r="Q499" s="2">
        <v>1</v>
      </c>
      <c r="R499" s="2" t="s">
        <v>23</v>
      </c>
      <c r="S499" s="2" t="str">
        <f t="shared" si="74"/>
        <v>Sangat Rendah</v>
      </c>
      <c r="T499" s="2" t="str">
        <f t="shared" si="75"/>
        <v>FALSE</v>
      </c>
      <c r="U499" s="2" t="str">
        <f t="shared" si="76"/>
        <v>FALSE</v>
      </c>
      <c r="V499" s="2" t="b">
        <f t="shared" si="77"/>
        <v>0</v>
      </c>
      <c r="W499" s="2" t="b">
        <f t="shared" si="78"/>
        <v>0</v>
      </c>
      <c r="X499" s="2" t="b">
        <f t="shared" si="79"/>
        <v>1</v>
      </c>
    </row>
    <row r="500" spans="1:24" ht="10.5" customHeight="1">
      <c r="A500" s="2" t="s">
        <v>818</v>
      </c>
      <c r="B500" s="3">
        <v>45747.712361111109</v>
      </c>
      <c r="C500" s="2" t="s">
        <v>73</v>
      </c>
      <c r="D500" s="2" t="s">
        <v>74</v>
      </c>
      <c r="E500" s="2" t="s">
        <v>75</v>
      </c>
      <c r="F500" s="4">
        <v>45000</v>
      </c>
      <c r="G500" s="5">
        <v>0.9</v>
      </c>
      <c r="H500" s="6">
        <v>0</v>
      </c>
      <c r="I500" s="7">
        <f t="shared" si="70"/>
        <v>40500</v>
      </c>
      <c r="J500" s="7">
        <f t="shared" si="71"/>
        <v>0</v>
      </c>
      <c r="K500" s="7">
        <f t="shared" si="72"/>
        <v>40500</v>
      </c>
      <c r="L500" s="4">
        <v>74000</v>
      </c>
      <c r="M500" s="7">
        <f t="shared" si="73"/>
        <v>114500</v>
      </c>
      <c r="N500" s="2" t="s">
        <v>21</v>
      </c>
      <c r="O500" t="s">
        <v>69</v>
      </c>
      <c r="P500" s="2" t="s">
        <v>2368</v>
      </c>
      <c r="Q500" s="2">
        <v>5</v>
      </c>
      <c r="R500" s="2" t="s">
        <v>23</v>
      </c>
      <c r="S500" s="2" t="str">
        <f t="shared" si="74"/>
        <v>Standar</v>
      </c>
      <c r="T500" s="2" t="str">
        <f t="shared" si="75"/>
        <v>FALSE</v>
      </c>
      <c r="U500" s="2" t="str">
        <f t="shared" si="76"/>
        <v>FALSE</v>
      </c>
      <c r="V500" s="2" t="b">
        <f t="shared" si="77"/>
        <v>0</v>
      </c>
      <c r="W500" s="2" t="b">
        <f t="shared" si="78"/>
        <v>0</v>
      </c>
      <c r="X500" s="2" t="b">
        <f t="shared" si="79"/>
        <v>0</v>
      </c>
    </row>
    <row r="501" spans="1:24" ht="10.5" customHeight="1">
      <c r="A501" s="2" t="s">
        <v>818</v>
      </c>
      <c r="B501" s="3">
        <v>45747.712361111109</v>
      </c>
      <c r="C501" s="2" t="s">
        <v>73</v>
      </c>
      <c r="D501" s="2" t="s">
        <v>74</v>
      </c>
      <c r="E501" s="2" t="s">
        <v>102</v>
      </c>
      <c r="F501" s="4">
        <v>55000</v>
      </c>
      <c r="G501" s="5">
        <v>0.6</v>
      </c>
      <c r="H501" s="6">
        <v>0</v>
      </c>
      <c r="I501" s="7">
        <f t="shared" si="70"/>
        <v>33000</v>
      </c>
      <c r="J501" s="7">
        <f t="shared" si="71"/>
        <v>0</v>
      </c>
      <c r="K501" s="7">
        <f t="shared" si="72"/>
        <v>33000</v>
      </c>
      <c r="L501" s="4">
        <v>0</v>
      </c>
      <c r="M501" s="7">
        <f t="shared" si="73"/>
        <v>33000</v>
      </c>
      <c r="N501" s="2" t="s">
        <v>21</v>
      </c>
      <c r="O501" t="s">
        <v>69</v>
      </c>
      <c r="P501" s="2" t="s">
        <v>2368</v>
      </c>
      <c r="Q501" s="2">
        <v>5</v>
      </c>
      <c r="R501" s="2" t="s">
        <v>23</v>
      </c>
      <c r="S501" s="2" t="str">
        <f t="shared" si="74"/>
        <v>Sangat Rendah</v>
      </c>
      <c r="T501" s="2" t="str">
        <f t="shared" si="75"/>
        <v>FALSE</v>
      </c>
      <c r="U501" s="2" t="str">
        <f t="shared" si="76"/>
        <v>FALSE</v>
      </c>
      <c r="V501" s="2" t="b">
        <f t="shared" si="77"/>
        <v>0</v>
      </c>
      <c r="W501" s="2" t="b">
        <f t="shared" si="78"/>
        <v>0</v>
      </c>
      <c r="X501" s="2" t="b">
        <f t="shared" si="79"/>
        <v>1</v>
      </c>
    </row>
    <row r="502" spans="1:24" ht="10.5" customHeight="1">
      <c r="A502" s="2" t="s">
        <v>819</v>
      </c>
      <c r="B502" s="3">
        <v>45747.751643518517</v>
      </c>
      <c r="C502" s="2" t="s">
        <v>784</v>
      </c>
      <c r="D502" s="2" t="s">
        <v>56</v>
      </c>
      <c r="E502" s="2" t="s">
        <v>65</v>
      </c>
      <c r="F502" s="4">
        <v>46000</v>
      </c>
      <c r="G502" s="5">
        <v>1</v>
      </c>
      <c r="H502" s="6">
        <v>0</v>
      </c>
      <c r="I502" s="7">
        <f t="shared" si="70"/>
        <v>46000</v>
      </c>
      <c r="J502" s="7">
        <f t="shared" si="71"/>
        <v>0</v>
      </c>
      <c r="K502" s="7">
        <f t="shared" si="72"/>
        <v>46000</v>
      </c>
      <c r="L502" s="4">
        <v>26000</v>
      </c>
      <c r="M502" s="7">
        <f t="shared" si="73"/>
        <v>72000</v>
      </c>
      <c r="N502" s="2" t="s">
        <v>21</v>
      </c>
      <c r="O502" t="s">
        <v>69</v>
      </c>
      <c r="P502" s="2" t="s">
        <v>2365</v>
      </c>
      <c r="Q502" s="2">
        <v>4</v>
      </c>
      <c r="R502" s="2" t="s">
        <v>34</v>
      </c>
      <c r="S502" s="2" t="str">
        <f t="shared" si="74"/>
        <v>Rendah</v>
      </c>
      <c r="T502" s="2" t="str">
        <f t="shared" si="75"/>
        <v>FALSE</v>
      </c>
      <c r="U502" s="2" t="str">
        <f t="shared" si="76"/>
        <v>FALSE</v>
      </c>
      <c r="V502" s="2" t="b">
        <f t="shared" si="77"/>
        <v>0</v>
      </c>
      <c r="W502" s="2" t="b">
        <f t="shared" si="78"/>
        <v>0</v>
      </c>
      <c r="X502" s="2" t="b">
        <f t="shared" si="79"/>
        <v>0</v>
      </c>
    </row>
    <row r="503" spans="1:24" ht="10.5" customHeight="1">
      <c r="A503" s="2" t="s">
        <v>820</v>
      </c>
      <c r="B503" s="3">
        <v>45747.979050925933</v>
      </c>
      <c r="C503" s="2" t="s">
        <v>731</v>
      </c>
      <c r="D503" s="2" t="s">
        <v>179</v>
      </c>
      <c r="E503" s="2" t="s">
        <v>95</v>
      </c>
      <c r="F503" s="4">
        <v>9500</v>
      </c>
      <c r="G503" s="5">
        <v>1.9</v>
      </c>
      <c r="H503" s="6">
        <v>0</v>
      </c>
      <c r="I503" s="7">
        <f t="shared" si="70"/>
        <v>18050</v>
      </c>
      <c r="J503" s="7">
        <f t="shared" si="71"/>
        <v>0</v>
      </c>
      <c r="K503" s="7">
        <f t="shared" si="72"/>
        <v>18050</v>
      </c>
      <c r="L503" s="4">
        <v>57000</v>
      </c>
      <c r="M503" s="7">
        <f t="shared" si="73"/>
        <v>75050</v>
      </c>
      <c r="N503" s="2" t="s">
        <v>58</v>
      </c>
      <c r="O503" t="s">
        <v>22</v>
      </c>
      <c r="P503" s="2" t="s">
        <v>2370</v>
      </c>
      <c r="Q503" s="2">
        <v>1</v>
      </c>
      <c r="R503" s="2" t="s">
        <v>23</v>
      </c>
      <c r="S503" s="2" t="str">
        <f t="shared" si="74"/>
        <v>Rendah</v>
      </c>
      <c r="T503" s="2" t="str">
        <f t="shared" si="75"/>
        <v>FALSE</v>
      </c>
      <c r="U503" s="2" t="str">
        <f t="shared" si="76"/>
        <v>FALSE</v>
      </c>
      <c r="V503" s="2" t="b">
        <f t="shared" si="77"/>
        <v>0</v>
      </c>
      <c r="W503" s="2" t="b">
        <f t="shared" si="78"/>
        <v>0</v>
      </c>
      <c r="X503" s="2" t="b">
        <f t="shared" si="79"/>
        <v>0</v>
      </c>
    </row>
    <row r="504" spans="1:24" ht="10.5" customHeight="1">
      <c r="A504" s="2" t="s">
        <v>821</v>
      </c>
      <c r="B504" s="3">
        <v>45747.988703703697</v>
      </c>
      <c r="C504" s="2" t="s">
        <v>822</v>
      </c>
      <c r="D504" s="2" t="s">
        <v>123</v>
      </c>
      <c r="E504" s="2" t="s">
        <v>143</v>
      </c>
      <c r="F504" s="4">
        <v>10000</v>
      </c>
      <c r="G504" s="5">
        <v>1.1000000000000001</v>
      </c>
      <c r="H504" s="6">
        <v>0</v>
      </c>
      <c r="I504" s="7">
        <f t="shared" si="70"/>
        <v>11000</v>
      </c>
      <c r="J504" s="7">
        <f t="shared" si="71"/>
        <v>0</v>
      </c>
      <c r="K504" s="7">
        <f t="shared" si="72"/>
        <v>11000</v>
      </c>
      <c r="L504" s="4">
        <v>59000</v>
      </c>
      <c r="M504" s="7">
        <f t="shared" si="73"/>
        <v>70000</v>
      </c>
      <c r="N504" s="2" t="s">
        <v>58</v>
      </c>
      <c r="O504" t="s">
        <v>22</v>
      </c>
      <c r="P504" s="2" t="s">
        <v>2365</v>
      </c>
      <c r="Q504" s="2">
        <v>4</v>
      </c>
      <c r="R504" s="2" t="s">
        <v>23</v>
      </c>
      <c r="S504" s="2" t="str">
        <f t="shared" si="74"/>
        <v>Rendah</v>
      </c>
      <c r="T504" s="2" t="str">
        <f t="shared" si="75"/>
        <v>FALSE</v>
      </c>
      <c r="U504" s="2" t="str">
        <f t="shared" si="76"/>
        <v>TRUE</v>
      </c>
      <c r="V504" s="2" t="b">
        <f t="shared" si="77"/>
        <v>0</v>
      </c>
      <c r="W504" s="2" t="b">
        <f t="shared" si="78"/>
        <v>0</v>
      </c>
      <c r="X504" s="2" t="b">
        <f t="shared" si="79"/>
        <v>0</v>
      </c>
    </row>
    <row r="505" spans="1:24" ht="10.5" customHeight="1">
      <c r="A505" s="2" t="s">
        <v>823</v>
      </c>
      <c r="B505" s="3">
        <v>45749.149687500001</v>
      </c>
      <c r="C505" s="2" t="s">
        <v>824</v>
      </c>
      <c r="D505" s="2" t="s">
        <v>167</v>
      </c>
      <c r="E505" s="2" t="s">
        <v>53</v>
      </c>
      <c r="F505" s="4">
        <v>14000</v>
      </c>
      <c r="G505" s="5">
        <v>1.5</v>
      </c>
      <c r="H505" s="6">
        <v>0</v>
      </c>
      <c r="I505" s="7">
        <f t="shared" si="70"/>
        <v>21000</v>
      </c>
      <c r="J505" s="7">
        <f t="shared" si="71"/>
        <v>0</v>
      </c>
      <c r="K505" s="7">
        <f t="shared" si="72"/>
        <v>21000</v>
      </c>
      <c r="L505" s="4">
        <v>56000</v>
      </c>
      <c r="M505" s="7">
        <f t="shared" si="73"/>
        <v>77000</v>
      </c>
      <c r="N505" s="2" t="s">
        <v>33</v>
      </c>
      <c r="O505" t="s">
        <v>22</v>
      </c>
      <c r="P505" s="2" t="s">
        <v>2366</v>
      </c>
      <c r="Q505" s="2">
        <v>5</v>
      </c>
      <c r="R505" s="2" t="s">
        <v>34</v>
      </c>
      <c r="S505" s="2" t="str">
        <f t="shared" si="74"/>
        <v>Rendah</v>
      </c>
      <c r="T505" s="2" t="str">
        <f t="shared" si="75"/>
        <v>FALSE</v>
      </c>
      <c r="U505" s="2" t="str">
        <f t="shared" si="76"/>
        <v>FALSE</v>
      </c>
      <c r="V505" s="2" t="b">
        <f t="shared" si="77"/>
        <v>0</v>
      </c>
      <c r="W505" s="2" t="b">
        <f t="shared" si="78"/>
        <v>0</v>
      </c>
      <c r="X505" s="2" t="b">
        <f t="shared" si="79"/>
        <v>0</v>
      </c>
    </row>
    <row r="506" spans="1:24" ht="10.5" customHeight="1">
      <c r="A506" s="2" t="s">
        <v>825</v>
      </c>
      <c r="B506" s="3">
        <v>45749.400393518517</v>
      </c>
      <c r="C506" s="2" t="s">
        <v>826</v>
      </c>
      <c r="D506" s="2" t="s">
        <v>31</v>
      </c>
      <c r="E506" s="2" t="s">
        <v>161</v>
      </c>
      <c r="F506" s="4">
        <v>115000</v>
      </c>
      <c r="G506" s="5">
        <v>0.6</v>
      </c>
      <c r="H506" s="6">
        <v>0</v>
      </c>
      <c r="I506" s="7">
        <f t="shared" si="70"/>
        <v>69000</v>
      </c>
      <c r="J506" s="7">
        <f t="shared" si="71"/>
        <v>0</v>
      </c>
      <c r="K506" s="7">
        <f t="shared" si="72"/>
        <v>69000</v>
      </c>
      <c r="L506" s="4">
        <v>76000</v>
      </c>
      <c r="M506" s="7">
        <f t="shared" si="73"/>
        <v>145000</v>
      </c>
      <c r="N506" s="2" t="s">
        <v>21</v>
      </c>
      <c r="O506" t="s">
        <v>69</v>
      </c>
      <c r="P506" s="2" t="s">
        <v>2367</v>
      </c>
      <c r="Q506" s="2">
        <v>2</v>
      </c>
      <c r="R506" s="2" t="s">
        <v>34</v>
      </c>
      <c r="S506" s="2" t="str">
        <f t="shared" si="74"/>
        <v>Standar</v>
      </c>
      <c r="T506" s="2" t="str">
        <f t="shared" si="75"/>
        <v>FALSE</v>
      </c>
      <c r="U506" s="2" t="str">
        <f t="shared" si="76"/>
        <v>FALSE</v>
      </c>
      <c r="V506" s="2" t="b">
        <f t="shared" si="77"/>
        <v>0</v>
      </c>
      <c r="W506" s="2" t="b">
        <f t="shared" si="78"/>
        <v>1</v>
      </c>
      <c r="X506" s="2" t="b">
        <f t="shared" si="79"/>
        <v>0</v>
      </c>
    </row>
    <row r="507" spans="1:24" ht="10.5" customHeight="1">
      <c r="A507" s="2" t="s">
        <v>827</v>
      </c>
      <c r="B507" s="3">
        <v>45750.515543981477</v>
      </c>
      <c r="C507" s="2" t="s">
        <v>687</v>
      </c>
      <c r="D507" s="2" t="s">
        <v>133</v>
      </c>
      <c r="E507" s="2" t="s">
        <v>27</v>
      </c>
      <c r="F507" s="4">
        <v>15000</v>
      </c>
      <c r="G507" s="5">
        <v>0.6</v>
      </c>
      <c r="H507" s="6">
        <v>0</v>
      </c>
      <c r="I507" s="7">
        <f t="shared" si="70"/>
        <v>9000</v>
      </c>
      <c r="J507" s="7">
        <f t="shared" si="71"/>
        <v>0</v>
      </c>
      <c r="K507" s="7">
        <f t="shared" si="72"/>
        <v>9000</v>
      </c>
      <c r="L507" s="4">
        <v>50000</v>
      </c>
      <c r="M507" s="7">
        <f t="shared" si="73"/>
        <v>59000</v>
      </c>
      <c r="N507" s="2" t="s">
        <v>21</v>
      </c>
      <c r="O507" t="s">
        <v>22</v>
      </c>
      <c r="P507" s="2" t="s">
        <v>2365</v>
      </c>
      <c r="Q507" s="2">
        <v>2</v>
      </c>
      <c r="R507" s="2" t="s">
        <v>34</v>
      </c>
      <c r="S507" s="2" t="str">
        <f t="shared" si="74"/>
        <v>Rendah</v>
      </c>
      <c r="T507" s="2" t="str">
        <f t="shared" si="75"/>
        <v>FALSE</v>
      </c>
      <c r="U507" s="2" t="str">
        <f t="shared" si="76"/>
        <v>FALSE</v>
      </c>
      <c r="V507" s="2" t="b">
        <f t="shared" si="77"/>
        <v>0</v>
      </c>
      <c r="W507" s="2" t="b">
        <f t="shared" si="78"/>
        <v>0</v>
      </c>
      <c r="X507" s="2" t="b">
        <f t="shared" si="79"/>
        <v>0</v>
      </c>
    </row>
    <row r="508" spans="1:24" ht="10.5" customHeight="1">
      <c r="A508" s="2" t="s">
        <v>828</v>
      </c>
      <c r="B508" s="3">
        <v>45750.754074074073</v>
      </c>
      <c r="C508" s="2" t="s">
        <v>277</v>
      </c>
      <c r="D508" s="2" t="s">
        <v>252</v>
      </c>
      <c r="E508" s="2" t="s">
        <v>41</v>
      </c>
      <c r="F508" s="4">
        <v>40000</v>
      </c>
      <c r="G508" s="5">
        <v>0.3</v>
      </c>
      <c r="H508" s="6">
        <v>0</v>
      </c>
      <c r="I508" s="7">
        <f t="shared" si="70"/>
        <v>12000</v>
      </c>
      <c r="J508" s="7">
        <f t="shared" si="71"/>
        <v>0</v>
      </c>
      <c r="K508" s="7">
        <f t="shared" si="72"/>
        <v>12000</v>
      </c>
      <c r="L508" s="4">
        <v>18000</v>
      </c>
      <c r="M508" s="7">
        <f t="shared" si="73"/>
        <v>30000</v>
      </c>
      <c r="N508" s="2" t="s">
        <v>58</v>
      </c>
      <c r="O508" t="s">
        <v>69</v>
      </c>
      <c r="P508" s="2" t="s">
        <v>2370</v>
      </c>
      <c r="Q508" s="2">
        <v>3</v>
      </c>
      <c r="R508" s="2" t="s">
        <v>23</v>
      </c>
      <c r="S508" s="2" t="str">
        <f t="shared" si="74"/>
        <v>Sangat Rendah</v>
      </c>
      <c r="T508" s="2" t="str">
        <f t="shared" si="75"/>
        <v>FALSE</v>
      </c>
      <c r="U508" s="2" t="str">
        <f t="shared" si="76"/>
        <v>FALSE</v>
      </c>
      <c r="V508" s="2" t="b">
        <f t="shared" si="77"/>
        <v>0</v>
      </c>
      <c r="W508" s="2" t="b">
        <f t="shared" si="78"/>
        <v>0</v>
      </c>
      <c r="X508" s="2" t="b">
        <f t="shared" si="79"/>
        <v>1</v>
      </c>
    </row>
    <row r="509" spans="1:24" ht="10.5" customHeight="1">
      <c r="A509" s="2" t="s">
        <v>829</v>
      </c>
      <c r="B509" s="3">
        <v>45750.855891203697</v>
      </c>
      <c r="C509" s="2" t="s">
        <v>566</v>
      </c>
      <c r="D509" s="2" t="s">
        <v>52</v>
      </c>
      <c r="E509" s="2" t="s">
        <v>143</v>
      </c>
      <c r="F509" s="4">
        <v>10000</v>
      </c>
      <c r="G509" s="5">
        <v>1.1000000000000001</v>
      </c>
      <c r="H509" s="6">
        <v>0</v>
      </c>
      <c r="I509" s="7">
        <f t="shared" si="70"/>
        <v>11000</v>
      </c>
      <c r="J509" s="7">
        <f t="shared" si="71"/>
        <v>0</v>
      </c>
      <c r="K509" s="7">
        <f t="shared" si="72"/>
        <v>11000</v>
      </c>
      <c r="L509" s="4">
        <v>80000</v>
      </c>
      <c r="M509" s="7">
        <f t="shared" si="73"/>
        <v>91000</v>
      </c>
      <c r="N509" s="2" t="s">
        <v>33</v>
      </c>
      <c r="O509" t="s">
        <v>22</v>
      </c>
      <c r="P509" s="2" t="s">
        <v>2367</v>
      </c>
      <c r="Q509" s="2">
        <v>5</v>
      </c>
      <c r="R509" s="2" t="s">
        <v>34</v>
      </c>
      <c r="S509" s="2" t="str">
        <f t="shared" si="74"/>
        <v>Rendah</v>
      </c>
      <c r="T509" s="2" t="str">
        <f t="shared" si="75"/>
        <v>FALSE</v>
      </c>
      <c r="U509" s="2" t="str">
        <f t="shared" si="76"/>
        <v>TRUE</v>
      </c>
      <c r="V509" s="2" t="b">
        <f t="shared" si="77"/>
        <v>0</v>
      </c>
      <c r="W509" s="2" t="b">
        <f t="shared" si="78"/>
        <v>1</v>
      </c>
      <c r="X509" s="2" t="b">
        <f t="shared" si="79"/>
        <v>0</v>
      </c>
    </row>
    <row r="510" spans="1:24" ht="10.5" customHeight="1">
      <c r="A510" s="2" t="s">
        <v>830</v>
      </c>
      <c r="B510" s="3">
        <v>45751.523148148153</v>
      </c>
      <c r="C510" s="2" t="s">
        <v>543</v>
      </c>
      <c r="D510" s="2" t="s">
        <v>98</v>
      </c>
      <c r="E510" s="2" t="s">
        <v>80</v>
      </c>
      <c r="F510" s="4">
        <v>15000</v>
      </c>
      <c r="G510" s="5">
        <v>1.3</v>
      </c>
      <c r="H510" s="6">
        <v>5</v>
      </c>
      <c r="I510" s="7">
        <f t="shared" si="70"/>
        <v>19500</v>
      </c>
      <c r="J510" s="7">
        <f t="shared" si="71"/>
        <v>975</v>
      </c>
      <c r="K510" s="7">
        <f t="shared" si="72"/>
        <v>18525</v>
      </c>
      <c r="L510" s="4">
        <v>97000</v>
      </c>
      <c r="M510" s="7">
        <f t="shared" si="73"/>
        <v>115525</v>
      </c>
      <c r="N510" s="2" t="s">
        <v>21</v>
      </c>
      <c r="O510" t="s">
        <v>115</v>
      </c>
      <c r="P510" s="2" t="s">
        <v>2370</v>
      </c>
      <c r="Q510" s="2">
        <v>3</v>
      </c>
      <c r="R510" s="2" t="s">
        <v>23</v>
      </c>
      <c r="S510" s="2" t="str">
        <f t="shared" si="74"/>
        <v>Standar</v>
      </c>
      <c r="T510" s="2" t="str">
        <f t="shared" si="75"/>
        <v>FALSE</v>
      </c>
      <c r="U510" s="2" t="str">
        <f t="shared" si="76"/>
        <v>FALSE</v>
      </c>
      <c r="V510" s="2" t="b">
        <f t="shared" si="77"/>
        <v>0</v>
      </c>
      <c r="W510" s="2" t="b">
        <f t="shared" si="78"/>
        <v>0</v>
      </c>
      <c r="X510" s="2" t="b">
        <f t="shared" si="79"/>
        <v>0</v>
      </c>
    </row>
    <row r="511" spans="1:24" ht="10.5" customHeight="1">
      <c r="A511" s="2" t="s">
        <v>831</v>
      </c>
      <c r="B511" s="3">
        <v>45751.856932870367</v>
      </c>
      <c r="C511" s="2" t="s">
        <v>132</v>
      </c>
      <c r="D511" s="2" t="s">
        <v>133</v>
      </c>
      <c r="E511" s="2" t="s">
        <v>75</v>
      </c>
      <c r="F511" s="4">
        <v>45000</v>
      </c>
      <c r="G511" s="5">
        <v>0.3</v>
      </c>
      <c r="H511" s="6">
        <v>5</v>
      </c>
      <c r="I511" s="7">
        <f t="shared" si="70"/>
        <v>13500</v>
      </c>
      <c r="J511" s="7">
        <f t="shared" si="71"/>
        <v>675</v>
      </c>
      <c r="K511" s="7">
        <f t="shared" si="72"/>
        <v>12825</v>
      </c>
      <c r="L511" s="4">
        <v>50000</v>
      </c>
      <c r="M511" s="7">
        <f t="shared" si="73"/>
        <v>62825</v>
      </c>
      <c r="N511" s="2" t="s">
        <v>33</v>
      </c>
      <c r="O511" t="s">
        <v>69</v>
      </c>
      <c r="P511" s="2" t="s">
        <v>2368</v>
      </c>
      <c r="Q511" s="2">
        <v>5</v>
      </c>
      <c r="R511" s="2" t="s">
        <v>23</v>
      </c>
      <c r="S511" s="2" t="str">
        <f t="shared" si="74"/>
        <v>Rendah</v>
      </c>
      <c r="T511" s="2" t="str">
        <f t="shared" si="75"/>
        <v>FALSE</v>
      </c>
      <c r="U511" s="2" t="str">
        <f t="shared" si="76"/>
        <v>FALSE</v>
      </c>
      <c r="V511" s="2" t="b">
        <f t="shared" si="77"/>
        <v>0</v>
      </c>
      <c r="W511" s="2" t="b">
        <f t="shared" si="78"/>
        <v>0</v>
      </c>
      <c r="X511" s="2" t="b">
        <f t="shared" si="79"/>
        <v>0</v>
      </c>
    </row>
    <row r="512" spans="1:24" ht="10.5" customHeight="1">
      <c r="A512" s="2" t="s">
        <v>832</v>
      </c>
      <c r="B512" s="3">
        <v>45751.939930555563</v>
      </c>
      <c r="C512" s="2" t="s">
        <v>137</v>
      </c>
      <c r="D512" s="2" t="s">
        <v>68</v>
      </c>
      <c r="E512" s="2" t="s">
        <v>95</v>
      </c>
      <c r="F512" s="4">
        <v>9500</v>
      </c>
      <c r="G512" s="5">
        <v>1.4</v>
      </c>
      <c r="H512" s="6">
        <v>5</v>
      </c>
      <c r="I512" s="7">
        <f t="shared" si="70"/>
        <v>13300</v>
      </c>
      <c r="J512" s="7">
        <f t="shared" si="71"/>
        <v>665</v>
      </c>
      <c r="K512" s="7">
        <f t="shared" si="72"/>
        <v>12635</v>
      </c>
      <c r="L512" s="4">
        <v>87000</v>
      </c>
      <c r="M512" s="7">
        <f t="shared" si="73"/>
        <v>99635</v>
      </c>
      <c r="N512" s="2" t="s">
        <v>28</v>
      </c>
      <c r="O512" t="s">
        <v>22</v>
      </c>
      <c r="P512" s="2" t="s">
        <v>2366</v>
      </c>
      <c r="Q512" s="2">
        <v>3</v>
      </c>
      <c r="R512" s="2" t="s">
        <v>23</v>
      </c>
      <c r="S512" s="2" t="str">
        <f t="shared" si="74"/>
        <v>Rendah</v>
      </c>
      <c r="T512" s="2" t="str">
        <f t="shared" si="75"/>
        <v>FALSE</v>
      </c>
      <c r="U512" s="2" t="str">
        <f t="shared" si="76"/>
        <v>FALSE</v>
      </c>
      <c r="V512" s="2" t="b">
        <f t="shared" si="77"/>
        <v>0</v>
      </c>
      <c r="W512" s="2" t="b">
        <f t="shared" si="78"/>
        <v>0</v>
      </c>
      <c r="X512" s="2" t="b">
        <f t="shared" si="79"/>
        <v>0</v>
      </c>
    </row>
    <row r="513" spans="1:24" ht="10.5" customHeight="1">
      <c r="A513" s="2" t="s">
        <v>833</v>
      </c>
      <c r="B513" s="3">
        <v>45752.25545138889</v>
      </c>
      <c r="C513" s="2" t="s">
        <v>834</v>
      </c>
      <c r="D513" s="2" t="s">
        <v>111</v>
      </c>
      <c r="E513" s="2" t="s">
        <v>35</v>
      </c>
      <c r="F513" s="4">
        <v>13500</v>
      </c>
      <c r="G513" s="5">
        <v>1</v>
      </c>
      <c r="H513" s="6">
        <v>0</v>
      </c>
      <c r="I513" s="7">
        <f t="shared" si="70"/>
        <v>13500</v>
      </c>
      <c r="J513" s="7">
        <f t="shared" si="71"/>
        <v>0</v>
      </c>
      <c r="K513" s="7">
        <f t="shared" si="72"/>
        <v>13500</v>
      </c>
      <c r="L513" s="4">
        <v>0</v>
      </c>
      <c r="M513" s="7">
        <f t="shared" si="73"/>
        <v>13500</v>
      </c>
      <c r="N513" s="2" t="s">
        <v>58</v>
      </c>
      <c r="O513" t="s">
        <v>22</v>
      </c>
      <c r="P513" s="2" t="s">
        <v>2367</v>
      </c>
      <c r="Q513" s="2">
        <v>1</v>
      </c>
      <c r="R513" s="2" t="s">
        <v>23</v>
      </c>
      <c r="S513" s="2" t="str">
        <f t="shared" si="74"/>
        <v>Sangat Rendah</v>
      </c>
      <c r="T513" s="2" t="str">
        <f t="shared" si="75"/>
        <v>FALSE</v>
      </c>
      <c r="U513" s="2" t="str">
        <f t="shared" si="76"/>
        <v>FALSE</v>
      </c>
      <c r="V513" s="2" t="b">
        <f t="shared" si="77"/>
        <v>0</v>
      </c>
      <c r="W513" s="2" t="b">
        <f t="shared" si="78"/>
        <v>1</v>
      </c>
      <c r="X513" s="2" t="b">
        <f t="shared" si="79"/>
        <v>1</v>
      </c>
    </row>
    <row r="514" spans="1:24" ht="10.5" customHeight="1">
      <c r="A514" s="2" t="s">
        <v>835</v>
      </c>
      <c r="B514" s="3">
        <v>45752.623935185176</v>
      </c>
      <c r="C514" s="2" t="s">
        <v>836</v>
      </c>
      <c r="D514" s="2" t="s">
        <v>98</v>
      </c>
      <c r="E514" s="2" t="s">
        <v>20</v>
      </c>
      <c r="F514" s="4">
        <v>10000</v>
      </c>
      <c r="G514" s="5">
        <v>1.9</v>
      </c>
      <c r="H514" s="6">
        <v>0</v>
      </c>
      <c r="I514" s="7">
        <f t="shared" si="70"/>
        <v>19000</v>
      </c>
      <c r="J514" s="7">
        <f t="shared" si="71"/>
        <v>0</v>
      </c>
      <c r="K514" s="7">
        <f t="shared" si="72"/>
        <v>19000</v>
      </c>
      <c r="L514" s="4">
        <v>97000</v>
      </c>
      <c r="M514" s="7">
        <f t="shared" si="73"/>
        <v>116000</v>
      </c>
      <c r="N514" s="2" t="s">
        <v>33</v>
      </c>
      <c r="O514" t="s">
        <v>22</v>
      </c>
      <c r="P514" s="2" t="s">
        <v>2366</v>
      </c>
      <c r="Q514" s="2">
        <v>2</v>
      </c>
      <c r="R514" s="2" t="s">
        <v>23</v>
      </c>
      <c r="S514" s="2" t="str">
        <f t="shared" si="74"/>
        <v>Standar</v>
      </c>
      <c r="T514" s="2" t="str">
        <f t="shared" si="75"/>
        <v>FALSE</v>
      </c>
      <c r="U514" s="2" t="str">
        <f t="shared" si="76"/>
        <v>FALSE</v>
      </c>
      <c r="V514" s="2" t="b">
        <f t="shared" si="77"/>
        <v>0</v>
      </c>
      <c r="W514" s="2" t="b">
        <f t="shared" si="78"/>
        <v>0</v>
      </c>
      <c r="X514" s="2" t="b">
        <f t="shared" si="79"/>
        <v>0</v>
      </c>
    </row>
    <row r="515" spans="1:24" ht="10.5" customHeight="1">
      <c r="A515" s="2" t="s">
        <v>837</v>
      </c>
      <c r="B515" s="3">
        <v>45752.825509259259</v>
      </c>
      <c r="C515" s="2" t="s">
        <v>371</v>
      </c>
      <c r="D515" s="2" t="s">
        <v>94</v>
      </c>
      <c r="E515" s="2" t="s">
        <v>41</v>
      </c>
      <c r="F515" s="4">
        <v>40000</v>
      </c>
      <c r="G515" s="5">
        <v>0.8</v>
      </c>
      <c r="H515" s="6">
        <v>0</v>
      </c>
      <c r="I515" s="7">
        <f t="shared" si="70"/>
        <v>32000</v>
      </c>
      <c r="J515" s="7">
        <f t="shared" si="71"/>
        <v>0</v>
      </c>
      <c r="K515" s="7">
        <f t="shared" si="72"/>
        <v>32000</v>
      </c>
      <c r="L515" s="4">
        <v>85000</v>
      </c>
      <c r="M515" s="7">
        <f t="shared" si="73"/>
        <v>117000</v>
      </c>
      <c r="N515" s="2" t="s">
        <v>58</v>
      </c>
      <c r="O515" t="s">
        <v>22</v>
      </c>
      <c r="P515" s="2" t="s">
        <v>2365</v>
      </c>
      <c r="Q515" s="2">
        <v>2</v>
      </c>
      <c r="R515" s="2" t="s">
        <v>23</v>
      </c>
      <c r="S515" s="2" t="str">
        <f t="shared" si="74"/>
        <v>Standar</v>
      </c>
      <c r="T515" s="2" t="str">
        <f t="shared" si="75"/>
        <v>FALSE</v>
      </c>
      <c r="U515" s="2" t="str">
        <f t="shared" si="76"/>
        <v>FALSE</v>
      </c>
      <c r="V515" s="2" t="b">
        <f t="shared" si="77"/>
        <v>0</v>
      </c>
      <c r="W515" s="2" t="b">
        <f t="shared" si="78"/>
        <v>0</v>
      </c>
      <c r="X515" s="2" t="b">
        <f t="shared" si="79"/>
        <v>0</v>
      </c>
    </row>
    <row r="516" spans="1:24" ht="10.5" customHeight="1">
      <c r="A516" s="2" t="s">
        <v>838</v>
      </c>
      <c r="B516" s="3">
        <v>45753.570833333331</v>
      </c>
      <c r="C516" s="2" t="s">
        <v>500</v>
      </c>
      <c r="D516" s="2" t="s">
        <v>87</v>
      </c>
      <c r="E516" s="2" t="s">
        <v>75</v>
      </c>
      <c r="F516" s="4">
        <v>45000</v>
      </c>
      <c r="G516" s="5">
        <v>0.4</v>
      </c>
      <c r="H516" s="6">
        <v>0</v>
      </c>
      <c r="I516" s="7">
        <f t="shared" ref="I516:I579" si="80">F516*G516</f>
        <v>18000</v>
      </c>
      <c r="J516" s="7">
        <f t="shared" ref="J516:J579" si="81">I516*(H516/100)</f>
        <v>0</v>
      </c>
      <c r="K516" s="7">
        <f t="shared" ref="K516:K579" si="82">I516-J516</f>
        <v>18000</v>
      </c>
      <c r="L516" s="4">
        <v>49000</v>
      </c>
      <c r="M516" s="7">
        <f t="shared" ref="M516:M579" si="83">K516+L516</f>
        <v>67000</v>
      </c>
      <c r="N516" s="2" t="s">
        <v>21</v>
      </c>
      <c r="O516" t="s">
        <v>69</v>
      </c>
      <c r="P516" s="2" t="s">
        <v>2366</v>
      </c>
      <c r="Q516" s="2">
        <v>4</v>
      </c>
      <c r="R516" s="2" t="s">
        <v>23</v>
      </c>
      <c r="S516" s="2" t="str">
        <f t="shared" ref="S516:S579" si="84">IF(M516&lt;=50000,"Sangat Rendah",IF(M516&lt;=100000,"Rendah",IF(M516&lt;=150000,"Standar",IF(M516&lt;=200000,"Tinggi","Sangat Tinggi"))))</f>
        <v>Rendah</v>
      </c>
      <c r="T516" s="2" t="str">
        <f t="shared" ref="T516:T579" si="85">IF(AND(S516="Rendah",D516="Yogyakarta"),"TRUE","FALSE")</f>
        <v>FALSE</v>
      </c>
      <c r="U516" s="2" t="str">
        <f t="shared" ref="U516:U579" si="86">IF(OR(S516="Tinggi",E516="Bayam"),"TRUE","FALSE")</f>
        <v>FALSE</v>
      </c>
      <c r="V516" s="2" t="b">
        <f t="shared" ref="V516:V579" si="87">IF(AND(S516="Standar",N516="Transef Bank"),TRUE,FALSE)</f>
        <v>0</v>
      </c>
      <c r="W516" s="2" t="b">
        <f t="shared" ref="W516:W579" si="88">IF(OR(S516="Sangat Tinggi",P516="FoodMart"),TRUE,FALSE)</f>
        <v>0</v>
      </c>
      <c r="X516" s="2" t="b">
        <f t="shared" ref="X516:X579" si="89">IF(AND(S516="Sangat Rendah",R516="Perempuan"),TRUE,FALSE)</f>
        <v>0</v>
      </c>
    </row>
    <row r="517" spans="1:24" ht="10.5" customHeight="1">
      <c r="A517" s="2" t="s">
        <v>839</v>
      </c>
      <c r="B517" s="3">
        <v>45753.698784722219</v>
      </c>
      <c r="C517" s="2" t="s">
        <v>205</v>
      </c>
      <c r="D517" s="2" t="s">
        <v>123</v>
      </c>
      <c r="E517" s="2" t="s">
        <v>27</v>
      </c>
      <c r="F517" s="4">
        <v>15000</v>
      </c>
      <c r="G517" s="5">
        <v>0.9</v>
      </c>
      <c r="H517" s="6">
        <v>0</v>
      </c>
      <c r="I517" s="7">
        <f t="shared" si="80"/>
        <v>13500</v>
      </c>
      <c r="J517" s="7">
        <f t="shared" si="81"/>
        <v>0</v>
      </c>
      <c r="K517" s="7">
        <f t="shared" si="82"/>
        <v>13500</v>
      </c>
      <c r="L517" s="4">
        <v>59000</v>
      </c>
      <c r="M517" s="7">
        <f t="shared" si="83"/>
        <v>72500</v>
      </c>
      <c r="N517" s="2" t="s">
        <v>58</v>
      </c>
      <c r="O517" t="s">
        <v>22</v>
      </c>
      <c r="P517" s="2" t="s">
        <v>2367</v>
      </c>
      <c r="Q517" s="2">
        <v>1</v>
      </c>
      <c r="R517" s="2" t="s">
        <v>23</v>
      </c>
      <c r="S517" s="2" t="str">
        <f t="shared" si="84"/>
        <v>Rendah</v>
      </c>
      <c r="T517" s="2" t="str">
        <f t="shared" si="85"/>
        <v>FALSE</v>
      </c>
      <c r="U517" s="2" t="str">
        <f t="shared" si="86"/>
        <v>FALSE</v>
      </c>
      <c r="V517" s="2" t="b">
        <f t="shared" si="87"/>
        <v>0</v>
      </c>
      <c r="W517" s="2" t="b">
        <f t="shared" si="88"/>
        <v>1</v>
      </c>
      <c r="X517" s="2" t="b">
        <f t="shared" si="89"/>
        <v>0</v>
      </c>
    </row>
    <row r="518" spans="1:24" ht="10.5" customHeight="1">
      <c r="A518" s="2" t="s">
        <v>840</v>
      </c>
      <c r="B518" s="3">
        <v>45754.482106481482</v>
      </c>
      <c r="C518" s="2" t="s">
        <v>841</v>
      </c>
      <c r="D518" s="2" t="s">
        <v>61</v>
      </c>
      <c r="E518" s="2" t="s">
        <v>143</v>
      </c>
      <c r="F518" s="4">
        <v>10000</v>
      </c>
      <c r="G518" s="5">
        <v>1.2</v>
      </c>
      <c r="H518" s="6">
        <v>0</v>
      </c>
      <c r="I518" s="7">
        <f t="shared" si="80"/>
        <v>12000</v>
      </c>
      <c r="J518" s="7">
        <f t="shared" si="81"/>
        <v>0</v>
      </c>
      <c r="K518" s="7">
        <f t="shared" si="82"/>
        <v>12000</v>
      </c>
      <c r="L518" s="4">
        <v>59000</v>
      </c>
      <c r="M518" s="7">
        <f t="shared" si="83"/>
        <v>71000</v>
      </c>
      <c r="N518" s="2" t="s">
        <v>58</v>
      </c>
      <c r="O518" t="s">
        <v>22</v>
      </c>
      <c r="P518" s="2" t="s">
        <v>2367</v>
      </c>
      <c r="Q518" s="2">
        <v>5</v>
      </c>
      <c r="R518" s="2" t="s">
        <v>34</v>
      </c>
      <c r="S518" s="2" t="str">
        <f t="shared" si="84"/>
        <v>Rendah</v>
      </c>
      <c r="T518" s="2" t="str">
        <f t="shared" si="85"/>
        <v>FALSE</v>
      </c>
      <c r="U518" s="2" t="str">
        <f t="shared" si="86"/>
        <v>TRUE</v>
      </c>
      <c r="V518" s="2" t="b">
        <f t="shared" si="87"/>
        <v>0</v>
      </c>
      <c r="W518" s="2" t="b">
        <f t="shared" si="88"/>
        <v>1</v>
      </c>
      <c r="X518" s="2" t="b">
        <f t="shared" si="89"/>
        <v>0</v>
      </c>
    </row>
    <row r="519" spans="1:24" ht="10.5" customHeight="1">
      <c r="A519" s="2" t="s">
        <v>842</v>
      </c>
      <c r="B519" s="3">
        <v>45754.780925925923</v>
      </c>
      <c r="C519" s="2" t="s">
        <v>843</v>
      </c>
      <c r="D519" s="2" t="s">
        <v>140</v>
      </c>
      <c r="E519" s="2" t="s">
        <v>41</v>
      </c>
      <c r="F519" s="4">
        <v>40000</v>
      </c>
      <c r="G519" s="5">
        <v>0.8</v>
      </c>
      <c r="H519" s="6">
        <v>0</v>
      </c>
      <c r="I519" s="7">
        <f t="shared" si="80"/>
        <v>32000</v>
      </c>
      <c r="J519" s="7">
        <f t="shared" si="81"/>
        <v>0</v>
      </c>
      <c r="K519" s="7">
        <f t="shared" si="82"/>
        <v>32000</v>
      </c>
      <c r="L519" s="4">
        <v>55000</v>
      </c>
      <c r="M519" s="7">
        <f t="shared" si="83"/>
        <v>87000</v>
      </c>
      <c r="N519" s="2" t="s">
        <v>21</v>
      </c>
      <c r="O519" t="s">
        <v>22</v>
      </c>
      <c r="P519" s="2" t="s">
        <v>2367</v>
      </c>
      <c r="Q519" s="2">
        <v>5</v>
      </c>
      <c r="R519" s="2" t="s">
        <v>23</v>
      </c>
      <c r="S519" s="2" t="str">
        <f t="shared" si="84"/>
        <v>Rendah</v>
      </c>
      <c r="T519" s="2" t="str">
        <f t="shared" si="85"/>
        <v>FALSE</v>
      </c>
      <c r="U519" s="2" t="str">
        <f t="shared" si="86"/>
        <v>FALSE</v>
      </c>
      <c r="V519" s="2" t="b">
        <f t="shared" si="87"/>
        <v>0</v>
      </c>
      <c r="W519" s="2" t="b">
        <f t="shared" si="88"/>
        <v>1</v>
      </c>
      <c r="X519" s="2" t="b">
        <f t="shared" si="89"/>
        <v>0</v>
      </c>
    </row>
    <row r="520" spans="1:24" ht="10.5" customHeight="1">
      <c r="A520" s="2" t="s">
        <v>844</v>
      </c>
      <c r="B520" s="3">
        <v>45756.436562499999</v>
      </c>
      <c r="C520" s="2" t="s">
        <v>135</v>
      </c>
      <c r="D520" s="2" t="s">
        <v>84</v>
      </c>
      <c r="E520" s="2" t="s">
        <v>27</v>
      </c>
      <c r="F520" s="4">
        <v>15000</v>
      </c>
      <c r="G520" s="5">
        <v>1.4</v>
      </c>
      <c r="H520" s="6">
        <v>0</v>
      </c>
      <c r="I520" s="7">
        <f t="shared" si="80"/>
        <v>21000</v>
      </c>
      <c r="J520" s="7">
        <f t="shared" si="81"/>
        <v>0</v>
      </c>
      <c r="K520" s="7">
        <f t="shared" si="82"/>
        <v>21000</v>
      </c>
      <c r="L520" s="4">
        <v>30000</v>
      </c>
      <c r="M520" s="7">
        <f t="shared" si="83"/>
        <v>51000</v>
      </c>
      <c r="N520" s="2" t="s">
        <v>28</v>
      </c>
      <c r="O520" t="s">
        <v>22</v>
      </c>
      <c r="P520" s="2" t="s">
        <v>2366</v>
      </c>
      <c r="Q520" s="2">
        <v>3</v>
      </c>
      <c r="R520" s="2" t="s">
        <v>34</v>
      </c>
      <c r="S520" s="2" t="str">
        <f t="shared" si="84"/>
        <v>Rendah</v>
      </c>
      <c r="T520" s="2" t="str">
        <f t="shared" si="85"/>
        <v>FALSE</v>
      </c>
      <c r="U520" s="2" t="str">
        <f t="shared" si="86"/>
        <v>FALSE</v>
      </c>
      <c r="V520" s="2" t="b">
        <f t="shared" si="87"/>
        <v>0</v>
      </c>
      <c r="W520" s="2" t="b">
        <f t="shared" si="88"/>
        <v>0</v>
      </c>
      <c r="X520" s="2" t="b">
        <f t="shared" si="89"/>
        <v>0</v>
      </c>
    </row>
    <row r="521" spans="1:24" ht="10.5" customHeight="1">
      <c r="A521" s="2" t="s">
        <v>845</v>
      </c>
      <c r="B521" s="3">
        <v>45757.226331018523</v>
      </c>
      <c r="C521" s="2" t="s">
        <v>846</v>
      </c>
      <c r="D521" s="2" t="s">
        <v>235</v>
      </c>
      <c r="E521" s="2" t="s">
        <v>57</v>
      </c>
      <c r="F521" s="4">
        <v>17500</v>
      </c>
      <c r="G521" s="5">
        <v>2.2999999999999998</v>
      </c>
      <c r="H521" s="6">
        <v>0</v>
      </c>
      <c r="I521" s="7">
        <f t="shared" si="80"/>
        <v>40250</v>
      </c>
      <c r="J521" s="7">
        <f t="shared" si="81"/>
        <v>0</v>
      </c>
      <c r="K521" s="7">
        <f t="shared" si="82"/>
        <v>40250</v>
      </c>
      <c r="L521" s="4">
        <v>80000</v>
      </c>
      <c r="M521" s="7">
        <f t="shared" si="83"/>
        <v>120250</v>
      </c>
      <c r="N521" s="2" t="s">
        <v>21</v>
      </c>
      <c r="O521" t="s">
        <v>69</v>
      </c>
      <c r="P521" s="2" t="s">
        <v>2367</v>
      </c>
      <c r="Q521" s="2">
        <v>2</v>
      </c>
      <c r="R521" s="2" t="s">
        <v>23</v>
      </c>
      <c r="S521" s="2" t="str">
        <f t="shared" si="84"/>
        <v>Standar</v>
      </c>
      <c r="T521" s="2" t="str">
        <f t="shared" si="85"/>
        <v>FALSE</v>
      </c>
      <c r="U521" s="2" t="str">
        <f t="shared" si="86"/>
        <v>FALSE</v>
      </c>
      <c r="V521" s="2" t="b">
        <f t="shared" si="87"/>
        <v>0</v>
      </c>
      <c r="W521" s="2" t="b">
        <f t="shared" si="88"/>
        <v>1</v>
      </c>
      <c r="X521" s="2" t="b">
        <f t="shared" si="89"/>
        <v>0</v>
      </c>
    </row>
    <row r="522" spans="1:24" ht="10.5" customHeight="1">
      <c r="A522" s="2" t="s">
        <v>847</v>
      </c>
      <c r="B522" s="3">
        <v>45758.667800925927</v>
      </c>
      <c r="C522" s="2" t="s">
        <v>43</v>
      </c>
      <c r="D522" s="2" t="s">
        <v>44</v>
      </c>
      <c r="E522" s="2" t="s">
        <v>95</v>
      </c>
      <c r="F522" s="4">
        <v>9500</v>
      </c>
      <c r="G522" s="5">
        <v>1.8</v>
      </c>
      <c r="H522" s="6">
        <v>0</v>
      </c>
      <c r="I522" s="7">
        <f t="shared" si="80"/>
        <v>17100</v>
      </c>
      <c r="J522" s="7">
        <f t="shared" si="81"/>
        <v>0</v>
      </c>
      <c r="K522" s="7">
        <f t="shared" si="82"/>
        <v>17100</v>
      </c>
      <c r="L522" s="4">
        <v>43000</v>
      </c>
      <c r="M522" s="7">
        <f t="shared" si="83"/>
        <v>60100</v>
      </c>
      <c r="N522" s="2" t="s">
        <v>58</v>
      </c>
      <c r="O522" t="s">
        <v>22</v>
      </c>
      <c r="P522" s="2" t="s">
        <v>2368</v>
      </c>
      <c r="Q522" s="2">
        <v>4</v>
      </c>
      <c r="R522" s="2" t="s">
        <v>23</v>
      </c>
      <c r="S522" s="2" t="str">
        <f t="shared" si="84"/>
        <v>Rendah</v>
      </c>
      <c r="T522" s="2" t="str">
        <f t="shared" si="85"/>
        <v>FALSE</v>
      </c>
      <c r="U522" s="2" t="str">
        <f t="shared" si="86"/>
        <v>FALSE</v>
      </c>
      <c r="V522" s="2" t="b">
        <f t="shared" si="87"/>
        <v>0</v>
      </c>
      <c r="W522" s="2" t="b">
        <f t="shared" si="88"/>
        <v>0</v>
      </c>
      <c r="X522" s="2" t="b">
        <f t="shared" si="89"/>
        <v>0</v>
      </c>
    </row>
    <row r="523" spans="1:24" ht="10.5" customHeight="1">
      <c r="A523" s="2" t="s">
        <v>848</v>
      </c>
      <c r="B523" s="3">
        <v>45758.820023148153</v>
      </c>
      <c r="C523" s="2" t="s">
        <v>659</v>
      </c>
      <c r="D523" s="2" t="s">
        <v>140</v>
      </c>
      <c r="E523" s="2" t="s">
        <v>57</v>
      </c>
      <c r="F523" s="4">
        <v>17500</v>
      </c>
      <c r="G523" s="5">
        <v>1.2</v>
      </c>
      <c r="H523" s="6">
        <v>0</v>
      </c>
      <c r="I523" s="7">
        <f t="shared" si="80"/>
        <v>21000</v>
      </c>
      <c r="J523" s="7">
        <f t="shared" si="81"/>
        <v>0</v>
      </c>
      <c r="K523" s="7">
        <f t="shared" si="82"/>
        <v>21000</v>
      </c>
      <c r="L523" s="4">
        <v>55000</v>
      </c>
      <c r="M523" s="7">
        <f t="shared" si="83"/>
        <v>76000</v>
      </c>
      <c r="N523" s="2" t="s">
        <v>33</v>
      </c>
      <c r="O523" t="s">
        <v>22</v>
      </c>
      <c r="P523" s="2" t="s">
        <v>2368</v>
      </c>
      <c r="Q523" s="2">
        <v>5</v>
      </c>
      <c r="R523" s="2" t="s">
        <v>23</v>
      </c>
      <c r="S523" s="2" t="str">
        <f t="shared" si="84"/>
        <v>Rendah</v>
      </c>
      <c r="T523" s="2" t="str">
        <f t="shared" si="85"/>
        <v>FALSE</v>
      </c>
      <c r="U523" s="2" t="str">
        <f t="shared" si="86"/>
        <v>FALSE</v>
      </c>
      <c r="V523" s="2" t="b">
        <f t="shared" si="87"/>
        <v>0</v>
      </c>
      <c r="W523" s="2" t="b">
        <f t="shared" si="88"/>
        <v>0</v>
      </c>
      <c r="X523" s="2" t="b">
        <f t="shared" si="89"/>
        <v>0</v>
      </c>
    </row>
    <row r="524" spans="1:24" ht="10.5" customHeight="1">
      <c r="A524" s="2" t="s">
        <v>849</v>
      </c>
      <c r="B524" s="3">
        <v>45759.32267361111</v>
      </c>
      <c r="C524" s="2" t="s">
        <v>850</v>
      </c>
      <c r="D524" s="2" t="s">
        <v>40</v>
      </c>
      <c r="E524" s="2" t="s">
        <v>27</v>
      </c>
      <c r="F524" s="4">
        <v>15000</v>
      </c>
      <c r="G524" s="5">
        <v>1</v>
      </c>
      <c r="H524" s="6">
        <v>0</v>
      </c>
      <c r="I524" s="7">
        <f t="shared" si="80"/>
        <v>15000</v>
      </c>
      <c r="J524" s="7">
        <f t="shared" si="81"/>
        <v>0</v>
      </c>
      <c r="K524" s="7">
        <f t="shared" si="82"/>
        <v>15000</v>
      </c>
      <c r="L524" s="4">
        <v>93000</v>
      </c>
      <c r="M524" s="7">
        <f t="shared" si="83"/>
        <v>108000</v>
      </c>
      <c r="N524" s="2" t="s">
        <v>58</v>
      </c>
      <c r="O524" t="s">
        <v>22</v>
      </c>
      <c r="P524" s="2" t="s">
        <v>2366</v>
      </c>
      <c r="Q524" s="2">
        <v>1</v>
      </c>
      <c r="R524" s="2" t="s">
        <v>34</v>
      </c>
      <c r="S524" s="2" t="str">
        <f t="shared" si="84"/>
        <v>Standar</v>
      </c>
      <c r="T524" s="2" t="str">
        <f t="shared" si="85"/>
        <v>FALSE</v>
      </c>
      <c r="U524" s="2" t="str">
        <f t="shared" si="86"/>
        <v>FALSE</v>
      </c>
      <c r="V524" s="2" t="b">
        <f t="shared" si="87"/>
        <v>0</v>
      </c>
      <c r="W524" s="2" t="b">
        <f t="shared" si="88"/>
        <v>0</v>
      </c>
      <c r="X524" s="2" t="b">
        <f t="shared" si="89"/>
        <v>0</v>
      </c>
    </row>
    <row r="525" spans="1:24" ht="10.5" customHeight="1">
      <c r="A525" s="2" t="s">
        <v>849</v>
      </c>
      <c r="B525" s="3">
        <v>45759.32267361111</v>
      </c>
      <c r="C525" s="2" t="s">
        <v>850</v>
      </c>
      <c r="D525" s="2" t="s">
        <v>40</v>
      </c>
      <c r="E525" s="2" t="s">
        <v>170</v>
      </c>
      <c r="F525" s="4">
        <v>12000</v>
      </c>
      <c r="G525" s="5">
        <v>0.8</v>
      </c>
      <c r="H525" s="6">
        <v>0</v>
      </c>
      <c r="I525" s="7">
        <f t="shared" si="80"/>
        <v>9600</v>
      </c>
      <c r="J525" s="7">
        <f t="shared" si="81"/>
        <v>0</v>
      </c>
      <c r="K525" s="7">
        <f t="shared" si="82"/>
        <v>9600</v>
      </c>
      <c r="L525" s="4">
        <v>0</v>
      </c>
      <c r="M525" s="7">
        <f t="shared" si="83"/>
        <v>9600</v>
      </c>
      <c r="N525" s="2" t="s">
        <v>58</v>
      </c>
      <c r="O525" t="s">
        <v>22</v>
      </c>
      <c r="P525" s="2" t="s">
        <v>2366</v>
      </c>
      <c r="Q525" s="2">
        <v>1</v>
      </c>
      <c r="R525" s="2" t="s">
        <v>34</v>
      </c>
      <c r="S525" s="2" t="str">
        <f t="shared" si="84"/>
        <v>Sangat Rendah</v>
      </c>
      <c r="T525" s="2" t="str">
        <f t="shared" si="85"/>
        <v>FALSE</v>
      </c>
      <c r="U525" s="2" t="str">
        <f t="shared" si="86"/>
        <v>FALSE</v>
      </c>
      <c r="V525" s="2" t="b">
        <f t="shared" si="87"/>
        <v>0</v>
      </c>
      <c r="W525" s="2" t="b">
        <f t="shared" si="88"/>
        <v>0</v>
      </c>
      <c r="X525" s="2" t="b">
        <f t="shared" si="89"/>
        <v>0</v>
      </c>
    </row>
    <row r="526" spans="1:24" ht="10.5" customHeight="1">
      <c r="A526" s="2" t="s">
        <v>851</v>
      </c>
      <c r="B526" s="3">
        <v>45759.407013888893</v>
      </c>
      <c r="C526" s="2" t="s">
        <v>373</v>
      </c>
      <c r="D526" s="2" t="s">
        <v>114</v>
      </c>
      <c r="E526" s="2" t="s">
        <v>27</v>
      </c>
      <c r="F526" s="4">
        <v>15000</v>
      </c>
      <c r="G526" s="5">
        <v>0.4</v>
      </c>
      <c r="H526" s="6">
        <v>0</v>
      </c>
      <c r="I526" s="7">
        <f t="shared" si="80"/>
        <v>6000</v>
      </c>
      <c r="J526" s="7">
        <f t="shared" si="81"/>
        <v>0</v>
      </c>
      <c r="K526" s="7">
        <f t="shared" si="82"/>
        <v>6000</v>
      </c>
      <c r="L526" s="4">
        <v>78000</v>
      </c>
      <c r="M526" s="7">
        <f t="shared" si="83"/>
        <v>84000</v>
      </c>
      <c r="N526" s="2" t="s">
        <v>33</v>
      </c>
      <c r="O526" t="s">
        <v>22</v>
      </c>
      <c r="P526" s="2" t="s">
        <v>2367</v>
      </c>
      <c r="Q526" s="2">
        <v>4</v>
      </c>
      <c r="R526" s="2" t="s">
        <v>23</v>
      </c>
      <c r="S526" s="2" t="str">
        <f t="shared" si="84"/>
        <v>Rendah</v>
      </c>
      <c r="T526" s="2" t="str">
        <f t="shared" si="85"/>
        <v>TRUE</v>
      </c>
      <c r="U526" s="2" t="str">
        <f t="shared" si="86"/>
        <v>FALSE</v>
      </c>
      <c r="V526" s="2" t="b">
        <f t="shared" si="87"/>
        <v>0</v>
      </c>
      <c r="W526" s="2" t="b">
        <f t="shared" si="88"/>
        <v>1</v>
      </c>
      <c r="X526" s="2" t="b">
        <f t="shared" si="89"/>
        <v>0</v>
      </c>
    </row>
    <row r="527" spans="1:24" ht="10.5" customHeight="1">
      <c r="A527" s="2" t="s">
        <v>852</v>
      </c>
      <c r="B527" s="3">
        <v>45759.78402777778</v>
      </c>
      <c r="C527" s="2" t="s">
        <v>295</v>
      </c>
      <c r="D527" s="2" t="s">
        <v>133</v>
      </c>
      <c r="E527" s="2" t="s">
        <v>49</v>
      </c>
      <c r="F527" s="4">
        <v>26000</v>
      </c>
      <c r="G527" s="5">
        <v>0.6</v>
      </c>
      <c r="H527" s="6">
        <v>0</v>
      </c>
      <c r="I527" s="7">
        <f t="shared" si="80"/>
        <v>15600</v>
      </c>
      <c r="J527" s="7">
        <f t="shared" si="81"/>
        <v>0</v>
      </c>
      <c r="K527" s="7">
        <f t="shared" si="82"/>
        <v>15600</v>
      </c>
      <c r="L527" s="4">
        <v>50000</v>
      </c>
      <c r="M527" s="7">
        <f t="shared" si="83"/>
        <v>65600</v>
      </c>
      <c r="N527" s="2" t="s">
        <v>33</v>
      </c>
      <c r="O527" t="s">
        <v>22</v>
      </c>
      <c r="P527" s="2" t="s">
        <v>2367</v>
      </c>
      <c r="Q527" s="2">
        <v>2</v>
      </c>
      <c r="R527" s="2" t="s">
        <v>23</v>
      </c>
      <c r="S527" s="2" t="str">
        <f t="shared" si="84"/>
        <v>Rendah</v>
      </c>
      <c r="T527" s="2" t="str">
        <f t="shared" si="85"/>
        <v>FALSE</v>
      </c>
      <c r="U527" s="2" t="str">
        <f t="shared" si="86"/>
        <v>FALSE</v>
      </c>
      <c r="V527" s="2" t="b">
        <f t="shared" si="87"/>
        <v>0</v>
      </c>
      <c r="W527" s="2" t="b">
        <f t="shared" si="88"/>
        <v>1</v>
      </c>
      <c r="X527" s="2" t="b">
        <f t="shared" si="89"/>
        <v>0</v>
      </c>
    </row>
    <row r="528" spans="1:24" ht="10.5" customHeight="1">
      <c r="A528" s="2" t="s">
        <v>853</v>
      </c>
      <c r="B528" s="3">
        <v>45760.392187500001</v>
      </c>
      <c r="C528" s="2" t="s">
        <v>301</v>
      </c>
      <c r="D528" s="2" t="s">
        <v>108</v>
      </c>
      <c r="E528" s="2" t="s">
        <v>75</v>
      </c>
      <c r="F528" s="4">
        <v>45000</v>
      </c>
      <c r="G528" s="5">
        <v>0.6</v>
      </c>
      <c r="H528" s="6">
        <v>0</v>
      </c>
      <c r="I528" s="7">
        <f t="shared" si="80"/>
        <v>27000</v>
      </c>
      <c r="J528" s="7">
        <f t="shared" si="81"/>
        <v>0</v>
      </c>
      <c r="K528" s="7">
        <f t="shared" si="82"/>
        <v>27000</v>
      </c>
      <c r="L528" s="4">
        <v>72000</v>
      </c>
      <c r="M528" s="7">
        <f t="shared" si="83"/>
        <v>99000</v>
      </c>
      <c r="N528" s="2" t="s">
        <v>21</v>
      </c>
      <c r="O528" t="s">
        <v>22</v>
      </c>
      <c r="P528" s="2" t="s">
        <v>2367</v>
      </c>
      <c r="Q528" s="2">
        <v>2</v>
      </c>
      <c r="R528" s="2" t="s">
        <v>23</v>
      </c>
      <c r="S528" s="2" t="str">
        <f t="shared" si="84"/>
        <v>Rendah</v>
      </c>
      <c r="T528" s="2" t="str">
        <f t="shared" si="85"/>
        <v>FALSE</v>
      </c>
      <c r="U528" s="2" t="str">
        <f t="shared" si="86"/>
        <v>FALSE</v>
      </c>
      <c r="V528" s="2" t="b">
        <f t="shared" si="87"/>
        <v>0</v>
      </c>
      <c r="W528" s="2" t="b">
        <f t="shared" si="88"/>
        <v>1</v>
      </c>
      <c r="X528" s="2" t="b">
        <f t="shared" si="89"/>
        <v>0</v>
      </c>
    </row>
    <row r="529" spans="1:24" ht="10.5" customHeight="1">
      <c r="A529" s="2" t="s">
        <v>854</v>
      </c>
      <c r="B529" s="3">
        <v>45760.777685185189</v>
      </c>
      <c r="C529" s="2" t="s">
        <v>289</v>
      </c>
      <c r="D529" s="2" t="s">
        <v>153</v>
      </c>
      <c r="E529" s="2" t="s">
        <v>170</v>
      </c>
      <c r="F529" s="4">
        <v>12000</v>
      </c>
      <c r="G529" s="5">
        <v>0.9</v>
      </c>
      <c r="H529" s="6">
        <v>0</v>
      </c>
      <c r="I529" s="7">
        <f t="shared" si="80"/>
        <v>10800</v>
      </c>
      <c r="J529" s="7">
        <f t="shared" si="81"/>
        <v>0</v>
      </c>
      <c r="K529" s="7">
        <f t="shared" si="82"/>
        <v>10800</v>
      </c>
      <c r="L529" s="4">
        <v>50000</v>
      </c>
      <c r="M529" s="7">
        <f t="shared" si="83"/>
        <v>60800</v>
      </c>
      <c r="N529" s="2" t="s">
        <v>28</v>
      </c>
      <c r="O529" t="s">
        <v>22</v>
      </c>
      <c r="P529" s="2" t="s">
        <v>2370</v>
      </c>
      <c r="Q529" s="2">
        <v>5</v>
      </c>
      <c r="R529" s="2" t="s">
        <v>23</v>
      </c>
      <c r="S529" s="2" t="str">
        <f t="shared" si="84"/>
        <v>Rendah</v>
      </c>
      <c r="T529" s="2" t="str">
        <f t="shared" si="85"/>
        <v>FALSE</v>
      </c>
      <c r="U529" s="2" t="str">
        <f t="shared" si="86"/>
        <v>FALSE</v>
      </c>
      <c r="V529" s="2" t="b">
        <f t="shared" si="87"/>
        <v>0</v>
      </c>
      <c r="W529" s="2" t="b">
        <f t="shared" si="88"/>
        <v>0</v>
      </c>
      <c r="X529" s="2" t="b">
        <f t="shared" si="89"/>
        <v>0</v>
      </c>
    </row>
    <row r="530" spans="1:24" ht="10.5" customHeight="1">
      <c r="A530" s="2" t="s">
        <v>855</v>
      </c>
      <c r="B530" s="3">
        <v>45760.954282407409</v>
      </c>
      <c r="C530" s="2" t="s">
        <v>402</v>
      </c>
      <c r="D530" s="2" t="s">
        <v>64</v>
      </c>
      <c r="E530" s="2" t="s">
        <v>45</v>
      </c>
      <c r="F530" s="4">
        <v>10500</v>
      </c>
      <c r="G530" s="5">
        <v>1.8</v>
      </c>
      <c r="H530" s="6">
        <v>0</v>
      </c>
      <c r="I530" s="7">
        <f t="shared" si="80"/>
        <v>18900</v>
      </c>
      <c r="J530" s="7">
        <f t="shared" si="81"/>
        <v>0</v>
      </c>
      <c r="K530" s="7">
        <f t="shared" si="82"/>
        <v>18900</v>
      </c>
      <c r="L530" s="4">
        <v>89000</v>
      </c>
      <c r="M530" s="7">
        <f t="shared" si="83"/>
        <v>107900</v>
      </c>
      <c r="N530" s="2" t="s">
        <v>21</v>
      </c>
      <c r="O530" t="s">
        <v>22</v>
      </c>
      <c r="P530" s="2" t="s">
        <v>2366</v>
      </c>
      <c r="Q530" s="2">
        <v>2</v>
      </c>
      <c r="R530" s="2" t="s">
        <v>23</v>
      </c>
      <c r="S530" s="2" t="str">
        <f t="shared" si="84"/>
        <v>Standar</v>
      </c>
      <c r="T530" s="2" t="str">
        <f t="shared" si="85"/>
        <v>FALSE</v>
      </c>
      <c r="U530" s="2" t="str">
        <f t="shared" si="86"/>
        <v>FALSE</v>
      </c>
      <c r="V530" s="2" t="b">
        <f t="shared" si="87"/>
        <v>0</v>
      </c>
      <c r="W530" s="2" t="b">
        <f t="shared" si="88"/>
        <v>0</v>
      </c>
      <c r="X530" s="2" t="b">
        <f t="shared" si="89"/>
        <v>0</v>
      </c>
    </row>
    <row r="531" spans="1:24" ht="10.5" customHeight="1">
      <c r="A531" s="2" t="s">
        <v>856</v>
      </c>
      <c r="B531" s="3">
        <v>45761.381840277783</v>
      </c>
      <c r="C531" s="2" t="s">
        <v>857</v>
      </c>
      <c r="D531" s="2" t="s">
        <v>19</v>
      </c>
      <c r="E531" s="2" t="s">
        <v>75</v>
      </c>
      <c r="F531" s="4">
        <v>45000</v>
      </c>
      <c r="G531" s="5">
        <v>0.7</v>
      </c>
      <c r="H531" s="6">
        <v>0</v>
      </c>
      <c r="I531" s="7">
        <f t="shared" si="80"/>
        <v>31499.999999999996</v>
      </c>
      <c r="J531" s="7">
        <f t="shared" si="81"/>
        <v>0</v>
      </c>
      <c r="K531" s="7">
        <f t="shared" si="82"/>
        <v>31499.999999999996</v>
      </c>
      <c r="L531" s="4">
        <v>15000</v>
      </c>
      <c r="M531" s="7">
        <f t="shared" si="83"/>
        <v>46500</v>
      </c>
      <c r="N531" s="2" t="s">
        <v>58</v>
      </c>
      <c r="O531" t="s">
        <v>22</v>
      </c>
      <c r="P531" s="2" t="s">
        <v>2365</v>
      </c>
      <c r="Q531" s="2">
        <v>5</v>
      </c>
      <c r="R531" s="2" t="s">
        <v>34</v>
      </c>
      <c r="S531" s="2" t="str">
        <f t="shared" si="84"/>
        <v>Sangat Rendah</v>
      </c>
      <c r="T531" s="2" t="str">
        <f t="shared" si="85"/>
        <v>FALSE</v>
      </c>
      <c r="U531" s="2" t="str">
        <f t="shared" si="86"/>
        <v>FALSE</v>
      </c>
      <c r="V531" s="2" t="b">
        <f t="shared" si="87"/>
        <v>0</v>
      </c>
      <c r="W531" s="2" t="b">
        <f t="shared" si="88"/>
        <v>0</v>
      </c>
      <c r="X531" s="2" t="b">
        <f t="shared" si="89"/>
        <v>0</v>
      </c>
    </row>
    <row r="532" spans="1:24" ht="10.5" customHeight="1">
      <c r="A532" s="2" t="s">
        <v>858</v>
      </c>
      <c r="B532" s="3">
        <v>45761.506712962961</v>
      </c>
      <c r="C532" s="2" t="s">
        <v>494</v>
      </c>
      <c r="D532" s="2" t="s">
        <v>185</v>
      </c>
      <c r="E532" s="2" t="s">
        <v>35</v>
      </c>
      <c r="F532" s="4">
        <v>13500</v>
      </c>
      <c r="G532" s="5">
        <v>1.6</v>
      </c>
      <c r="H532" s="6">
        <v>0</v>
      </c>
      <c r="I532" s="7">
        <f t="shared" si="80"/>
        <v>21600</v>
      </c>
      <c r="J532" s="7">
        <f t="shared" si="81"/>
        <v>0</v>
      </c>
      <c r="K532" s="7">
        <f t="shared" si="82"/>
        <v>21600</v>
      </c>
      <c r="L532" s="4">
        <v>87000</v>
      </c>
      <c r="M532" s="7">
        <f t="shared" si="83"/>
        <v>108600</v>
      </c>
      <c r="N532" s="2" t="s">
        <v>21</v>
      </c>
      <c r="O532" t="s">
        <v>22</v>
      </c>
      <c r="P532" s="2" t="s">
        <v>2367</v>
      </c>
      <c r="Q532" s="2">
        <v>3</v>
      </c>
      <c r="R532" s="2" t="s">
        <v>23</v>
      </c>
      <c r="S532" s="2" t="str">
        <f t="shared" si="84"/>
        <v>Standar</v>
      </c>
      <c r="T532" s="2" t="str">
        <f t="shared" si="85"/>
        <v>FALSE</v>
      </c>
      <c r="U532" s="2" t="str">
        <f t="shared" si="86"/>
        <v>FALSE</v>
      </c>
      <c r="V532" s="2" t="b">
        <f t="shared" si="87"/>
        <v>0</v>
      </c>
      <c r="W532" s="2" t="b">
        <f t="shared" si="88"/>
        <v>1</v>
      </c>
      <c r="X532" s="2" t="b">
        <f t="shared" si="89"/>
        <v>0</v>
      </c>
    </row>
    <row r="533" spans="1:24" ht="10.5" customHeight="1">
      <c r="A533" s="2" t="s">
        <v>859</v>
      </c>
      <c r="B533" s="3">
        <v>45761.630046296297</v>
      </c>
      <c r="C533" s="2" t="s">
        <v>712</v>
      </c>
      <c r="D533" s="2" t="s">
        <v>52</v>
      </c>
      <c r="E533" s="2" t="s">
        <v>170</v>
      </c>
      <c r="F533" s="4">
        <v>12000</v>
      </c>
      <c r="G533" s="5">
        <v>0.7</v>
      </c>
      <c r="H533" s="6">
        <v>0</v>
      </c>
      <c r="I533" s="7">
        <f t="shared" si="80"/>
        <v>8400</v>
      </c>
      <c r="J533" s="7">
        <f t="shared" si="81"/>
        <v>0</v>
      </c>
      <c r="K533" s="7">
        <f t="shared" si="82"/>
        <v>8400</v>
      </c>
      <c r="L533" s="4">
        <v>80000</v>
      </c>
      <c r="M533" s="7">
        <f t="shared" si="83"/>
        <v>88400</v>
      </c>
      <c r="N533" s="2" t="s">
        <v>28</v>
      </c>
      <c r="O533" t="s">
        <v>22</v>
      </c>
      <c r="P533" s="2" t="s">
        <v>2365</v>
      </c>
      <c r="Q533" s="2">
        <v>4</v>
      </c>
      <c r="R533" s="2" t="s">
        <v>23</v>
      </c>
      <c r="S533" s="2" t="str">
        <f t="shared" si="84"/>
        <v>Rendah</v>
      </c>
      <c r="T533" s="2" t="str">
        <f t="shared" si="85"/>
        <v>FALSE</v>
      </c>
      <c r="U533" s="2" t="str">
        <f t="shared" si="86"/>
        <v>FALSE</v>
      </c>
      <c r="V533" s="2" t="b">
        <f t="shared" si="87"/>
        <v>0</v>
      </c>
      <c r="W533" s="2" t="b">
        <f t="shared" si="88"/>
        <v>0</v>
      </c>
      <c r="X533" s="2" t="b">
        <f t="shared" si="89"/>
        <v>0</v>
      </c>
    </row>
    <row r="534" spans="1:24" ht="10.5" customHeight="1">
      <c r="A534" s="2" t="s">
        <v>860</v>
      </c>
      <c r="B534" s="3">
        <v>45761.780092592591</v>
      </c>
      <c r="C534" s="2" t="s">
        <v>836</v>
      </c>
      <c r="D534" s="2" t="s">
        <v>98</v>
      </c>
      <c r="E534" s="2" t="s">
        <v>35</v>
      </c>
      <c r="F534" s="4">
        <v>13500</v>
      </c>
      <c r="G534" s="5">
        <v>1.3</v>
      </c>
      <c r="H534" s="6">
        <v>0</v>
      </c>
      <c r="I534" s="7">
        <f t="shared" si="80"/>
        <v>17550</v>
      </c>
      <c r="J534" s="7">
        <f t="shared" si="81"/>
        <v>0</v>
      </c>
      <c r="K534" s="7">
        <f t="shared" si="82"/>
        <v>17550</v>
      </c>
      <c r="L534" s="4">
        <v>97000</v>
      </c>
      <c r="M534" s="7">
        <f t="shared" si="83"/>
        <v>114550</v>
      </c>
      <c r="N534" s="2" t="s">
        <v>58</v>
      </c>
      <c r="O534" t="s">
        <v>22</v>
      </c>
      <c r="P534" s="2" t="s">
        <v>2368</v>
      </c>
      <c r="Q534" s="2">
        <v>3</v>
      </c>
      <c r="R534" s="2" t="s">
        <v>23</v>
      </c>
      <c r="S534" s="2" t="str">
        <f t="shared" si="84"/>
        <v>Standar</v>
      </c>
      <c r="T534" s="2" t="str">
        <f t="shared" si="85"/>
        <v>FALSE</v>
      </c>
      <c r="U534" s="2" t="str">
        <f t="shared" si="86"/>
        <v>FALSE</v>
      </c>
      <c r="V534" s="2" t="b">
        <f t="shared" si="87"/>
        <v>0</v>
      </c>
      <c r="W534" s="2" t="b">
        <f t="shared" si="88"/>
        <v>0</v>
      </c>
      <c r="X534" s="2" t="b">
        <f t="shared" si="89"/>
        <v>0</v>
      </c>
    </row>
    <row r="535" spans="1:24" ht="10.5" customHeight="1">
      <c r="A535" s="2" t="s">
        <v>861</v>
      </c>
      <c r="B535" s="3">
        <v>45761.862835648149</v>
      </c>
      <c r="C535" s="2" t="s">
        <v>522</v>
      </c>
      <c r="D535" s="2" t="s">
        <v>252</v>
      </c>
      <c r="E535" s="2" t="s">
        <v>182</v>
      </c>
      <c r="F535" s="4">
        <v>11000</v>
      </c>
      <c r="G535" s="5">
        <v>2</v>
      </c>
      <c r="H535" s="6">
        <v>0</v>
      </c>
      <c r="I535" s="7">
        <f t="shared" si="80"/>
        <v>22000</v>
      </c>
      <c r="J535" s="7">
        <f t="shared" si="81"/>
        <v>0</v>
      </c>
      <c r="K535" s="7">
        <f t="shared" si="82"/>
        <v>22000</v>
      </c>
      <c r="L535" s="4">
        <v>18000</v>
      </c>
      <c r="M535" s="7">
        <f t="shared" si="83"/>
        <v>40000</v>
      </c>
      <c r="N535" s="2" t="s">
        <v>21</v>
      </c>
      <c r="O535" t="s">
        <v>69</v>
      </c>
      <c r="P535" s="2" t="s">
        <v>2370</v>
      </c>
      <c r="Q535" s="2">
        <v>4</v>
      </c>
      <c r="R535" s="2" t="s">
        <v>23</v>
      </c>
      <c r="S535" s="2" t="str">
        <f t="shared" si="84"/>
        <v>Sangat Rendah</v>
      </c>
      <c r="T535" s="2" t="str">
        <f t="shared" si="85"/>
        <v>FALSE</v>
      </c>
      <c r="U535" s="2" t="str">
        <f t="shared" si="86"/>
        <v>FALSE</v>
      </c>
      <c r="V535" s="2" t="b">
        <f t="shared" si="87"/>
        <v>0</v>
      </c>
      <c r="W535" s="2" t="b">
        <f t="shared" si="88"/>
        <v>0</v>
      </c>
      <c r="X535" s="2" t="b">
        <f t="shared" si="89"/>
        <v>1</v>
      </c>
    </row>
    <row r="536" spans="1:24" ht="10.5" customHeight="1">
      <c r="A536" s="2" t="s">
        <v>862</v>
      </c>
      <c r="B536" s="3">
        <v>45762.611435185187</v>
      </c>
      <c r="C536" s="2" t="s">
        <v>738</v>
      </c>
      <c r="D536" s="2" t="s">
        <v>150</v>
      </c>
      <c r="E536" s="2" t="s">
        <v>65</v>
      </c>
      <c r="F536" s="4">
        <v>46000</v>
      </c>
      <c r="G536" s="5">
        <v>0.4</v>
      </c>
      <c r="H536" s="6">
        <v>0</v>
      </c>
      <c r="I536" s="7">
        <f t="shared" si="80"/>
        <v>18400</v>
      </c>
      <c r="J536" s="7">
        <f t="shared" si="81"/>
        <v>0</v>
      </c>
      <c r="K536" s="7">
        <f t="shared" si="82"/>
        <v>18400</v>
      </c>
      <c r="L536" s="4">
        <v>68000</v>
      </c>
      <c r="M536" s="7">
        <f t="shared" si="83"/>
        <v>86400</v>
      </c>
      <c r="N536" s="2" t="s">
        <v>58</v>
      </c>
      <c r="O536" t="s">
        <v>115</v>
      </c>
      <c r="P536" s="2" t="s">
        <v>2370</v>
      </c>
      <c r="Q536" s="2">
        <v>5</v>
      </c>
      <c r="R536" s="2" t="s">
        <v>23</v>
      </c>
      <c r="S536" s="2" t="str">
        <f t="shared" si="84"/>
        <v>Rendah</v>
      </c>
      <c r="T536" s="2" t="str">
        <f t="shared" si="85"/>
        <v>FALSE</v>
      </c>
      <c r="U536" s="2" t="str">
        <f t="shared" si="86"/>
        <v>FALSE</v>
      </c>
      <c r="V536" s="2" t="b">
        <f t="shared" si="87"/>
        <v>0</v>
      </c>
      <c r="W536" s="2" t="b">
        <f t="shared" si="88"/>
        <v>0</v>
      </c>
      <c r="X536" s="2" t="b">
        <f t="shared" si="89"/>
        <v>0</v>
      </c>
    </row>
    <row r="537" spans="1:24" ht="10.5" customHeight="1">
      <c r="A537" s="2" t="s">
        <v>863</v>
      </c>
      <c r="B537" s="3">
        <v>45763.167569444442</v>
      </c>
      <c r="C537" s="2" t="s">
        <v>433</v>
      </c>
      <c r="D537" s="2" t="s">
        <v>48</v>
      </c>
      <c r="E537" s="2" t="s">
        <v>41</v>
      </c>
      <c r="F537" s="4">
        <v>40000</v>
      </c>
      <c r="G537" s="5">
        <v>1.1000000000000001</v>
      </c>
      <c r="H537" s="6">
        <v>0</v>
      </c>
      <c r="I537" s="7">
        <f t="shared" si="80"/>
        <v>44000</v>
      </c>
      <c r="J537" s="7">
        <f t="shared" si="81"/>
        <v>0</v>
      </c>
      <c r="K537" s="7">
        <f t="shared" si="82"/>
        <v>44000</v>
      </c>
      <c r="L537" s="4">
        <v>18000</v>
      </c>
      <c r="M537" s="7">
        <f t="shared" si="83"/>
        <v>62000</v>
      </c>
      <c r="N537" s="2" t="s">
        <v>21</v>
      </c>
      <c r="O537" t="s">
        <v>22</v>
      </c>
      <c r="P537" s="2" t="s">
        <v>2366</v>
      </c>
      <c r="Q537" s="2">
        <v>1</v>
      </c>
      <c r="R537" s="2" t="s">
        <v>23</v>
      </c>
      <c r="S537" s="2" t="str">
        <f t="shared" si="84"/>
        <v>Rendah</v>
      </c>
      <c r="T537" s="2" t="str">
        <f t="shared" si="85"/>
        <v>FALSE</v>
      </c>
      <c r="U537" s="2" t="str">
        <f t="shared" si="86"/>
        <v>FALSE</v>
      </c>
      <c r="V537" s="2" t="b">
        <f t="shared" si="87"/>
        <v>0</v>
      </c>
      <c r="W537" s="2" t="b">
        <f t="shared" si="88"/>
        <v>0</v>
      </c>
      <c r="X537" s="2" t="b">
        <f t="shared" si="89"/>
        <v>0</v>
      </c>
    </row>
    <row r="538" spans="1:24" ht="10.5" customHeight="1">
      <c r="A538" s="2" t="s">
        <v>864</v>
      </c>
      <c r="B538" s="3">
        <v>45764.271423611113</v>
      </c>
      <c r="C538" s="2" t="s">
        <v>865</v>
      </c>
      <c r="D538" s="2" t="s">
        <v>160</v>
      </c>
      <c r="E538" s="2" t="s">
        <v>45</v>
      </c>
      <c r="F538" s="4">
        <v>10500</v>
      </c>
      <c r="G538" s="5">
        <v>1.7</v>
      </c>
      <c r="H538" s="6">
        <v>0</v>
      </c>
      <c r="I538" s="7">
        <f t="shared" si="80"/>
        <v>17850</v>
      </c>
      <c r="J538" s="7">
        <f t="shared" si="81"/>
        <v>0</v>
      </c>
      <c r="K538" s="7">
        <f t="shared" si="82"/>
        <v>17850</v>
      </c>
      <c r="L538" s="4">
        <v>46000</v>
      </c>
      <c r="M538" s="7">
        <f t="shared" si="83"/>
        <v>63850</v>
      </c>
      <c r="N538" s="2" t="s">
        <v>21</v>
      </c>
      <c r="O538" t="s">
        <v>22</v>
      </c>
      <c r="P538" s="2" t="s">
        <v>2370</v>
      </c>
      <c r="Q538" s="2">
        <v>2</v>
      </c>
      <c r="R538" s="2" t="s">
        <v>23</v>
      </c>
      <c r="S538" s="2" t="str">
        <f t="shared" si="84"/>
        <v>Rendah</v>
      </c>
      <c r="T538" s="2" t="str">
        <f t="shared" si="85"/>
        <v>FALSE</v>
      </c>
      <c r="U538" s="2" t="str">
        <f t="shared" si="86"/>
        <v>FALSE</v>
      </c>
      <c r="V538" s="2" t="b">
        <f t="shared" si="87"/>
        <v>0</v>
      </c>
      <c r="W538" s="2" t="b">
        <f t="shared" si="88"/>
        <v>0</v>
      </c>
      <c r="X538" s="2" t="b">
        <f t="shared" si="89"/>
        <v>0</v>
      </c>
    </row>
    <row r="539" spans="1:24" ht="10.5" customHeight="1">
      <c r="A539" s="2" t="s">
        <v>866</v>
      </c>
      <c r="B539" s="3">
        <v>45764.322164351863</v>
      </c>
      <c r="C539" s="2" t="s">
        <v>867</v>
      </c>
      <c r="D539" s="2" t="s">
        <v>98</v>
      </c>
      <c r="E539" s="2" t="s">
        <v>143</v>
      </c>
      <c r="F539" s="4">
        <v>10000</v>
      </c>
      <c r="G539" s="5">
        <v>0.3</v>
      </c>
      <c r="H539" s="6">
        <v>0</v>
      </c>
      <c r="I539" s="7">
        <f t="shared" si="80"/>
        <v>3000</v>
      </c>
      <c r="J539" s="7">
        <f t="shared" si="81"/>
        <v>0</v>
      </c>
      <c r="K539" s="7">
        <f t="shared" si="82"/>
        <v>3000</v>
      </c>
      <c r="L539" s="4">
        <v>97000</v>
      </c>
      <c r="M539" s="7">
        <f t="shared" si="83"/>
        <v>100000</v>
      </c>
      <c r="N539" s="2" t="s">
        <v>58</v>
      </c>
      <c r="O539" t="s">
        <v>69</v>
      </c>
      <c r="P539" s="2" t="s">
        <v>2365</v>
      </c>
      <c r="Q539" s="2">
        <v>2</v>
      </c>
      <c r="R539" s="2" t="s">
        <v>23</v>
      </c>
      <c r="S539" s="2" t="str">
        <f t="shared" si="84"/>
        <v>Rendah</v>
      </c>
      <c r="T539" s="2" t="str">
        <f t="shared" si="85"/>
        <v>FALSE</v>
      </c>
      <c r="U539" s="2" t="str">
        <f t="shared" si="86"/>
        <v>TRUE</v>
      </c>
      <c r="V539" s="2" t="b">
        <f t="shared" si="87"/>
        <v>0</v>
      </c>
      <c r="W539" s="2" t="b">
        <f t="shared" si="88"/>
        <v>0</v>
      </c>
      <c r="X539" s="2" t="b">
        <f t="shared" si="89"/>
        <v>0</v>
      </c>
    </row>
    <row r="540" spans="1:24" ht="10.5" customHeight="1">
      <c r="A540" s="2" t="s">
        <v>868</v>
      </c>
      <c r="B540" s="3">
        <v>45765.360706018517</v>
      </c>
      <c r="C540" s="2" t="s">
        <v>192</v>
      </c>
      <c r="D540" s="2" t="s">
        <v>98</v>
      </c>
      <c r="E540" s="2" t="s">
        <v>35</v>
      </c>
      <c r="F540" s="4">
        <v>13500</v>
      </c>
      <c r="G540" s="5">
        <v>1.1000000000000001</v>
      </c>
      <c r="H540" s="6">
        <v>0</v>
      </c>
      <c r="I540" s="7">
        <f t="shared" si="80"/>
        <v>14850.000000000002</v>
      </c>
      <c r="J540" s="7">
        <f t="shared" si="81"/>
        <v>0</v>
      </c>
      <c r="K540" s="7">
        <f t="shared" si="82"/>
        <v>14850.000000000002</v>
      </c>
      <c r="L540" s="4">
        <v>97000</v>
      </c>
      <c r="M540" s="7">
        <f t="shared" si="83"/>
        <v>111850</v>
      </c>
      <c r="N540" s="2" t="s">
        <v>33</v>
      </c>
      <c r="O540" t="s">
        <v>22</v>
      </c>
      <c r="P540" s="2" t="s">
        <v>2366</v>
      </c>
      <c r="Q540" s="2">
        <v>3</v>
      </c>
      <c r="R540" s="2" t="s">
        <v>23</v>
      </c>
      <c r="S540" s="2" t="str">
        <f t="shared" si="84"/>
        <v>Standar</v>
      </c>
      <c r="T540" s="2" t="str">
        <f t="shared" si="85"/>
        <v>FALSE</v>
      </c>
      <c r="U540" s="2" t="str">
        <f t="shared" si="86"/>
        <v>FALSE</v>
      </c>
      <c r="V540" s="2" t="b">
        <f t="shared" si="87"/>
        <v>0</v>
      </c>
      <c r="W540" s="2" t="b">
        <f t="shared" si="88"/>
        <v>0</v>
      </c>
      <c r="X540" s="2" t="b">
        <f t="shared" si="89"/>
        <v>0</v>
      </c>
    </row>
    <row r="541" spans="1:24" ht="10.5" customHeight="1">
      <c r="A541" s="2" t="s">
        <v>869</v>
      </c>
      <c r="B541" s="3">
        <v>45767.854375000003</v>
      </c>
      <c r="C541" s="2" t="s">
        <v>137</v>
      </c>
      <c r="D541" s="2" t="s">
        <v>68</v>
      </c>
      <c r="E541" s="2" t="s">
        <v>45</v>
      </c>
      <c r="F541" s="4">
        <v>10500</v>
      </c>
      <c r="G541" s="5">
        <v>1.8</v>
      </c>
      <c r="H541" s="6">
        <v>0</v>
      </c>
      <c r="I541" s="7">
        <f t="shared" si="80"/>
        <v>18900</v>
      </c>
      <c r="J541" s="7">
        <f t="shared" si="81"/>
        <v>0</v>
      </c>
      <c r="K541" s="7">
        <f t="shared" si="82"/>
        <v>18900</v>
      </c>
      <c r="L541" s="4">
        <v>87000</v>
      </c>
      <c r="M541" s="7">
        <f t="shared" si="83"/>
        <v>105900</v>
      </c>
      <c r="N541" s="2" t="s">
        <v>21</v>
      </c>
      <c r="O541" t="s">
        <v>22</v>
      </c>
      <c r="P541" s="2" t="s">
        <v>2366</v>
      </c>
      <c r="Q541" s="2">
        <v>4</v>
      </c>
      <c r="R541" s="2" t="s">
        <v>23</v>
      </c>
      <c r="S541" s="2" t="str">
        <f t="shared" si="84"/>
        <v>Standar</v>
      </c>
      <c r="T541" s="2" t="str">
        <f t="shared" si="85"/>
        <v>FALSE</v>
      </c>
      <c r="U541" s="2" t="str">
        <f t="shared" si="86"/>
        <v>FALSE</v>
      </c>
      <c r="V541" s="2" t="b">
        <f t="shared" si="87"/>
        <v>0</v>
      </c>
      <c r="W541" s="2" t="b">
        <f t="shared" si="88"/>
        <v>0</v>
      </c>
      <c r="X541" s="2" t="b">
        <f t="shared" si="89"/>
        <v>0</v>
      </c>
    </row>
    <row r="542" spans="1:24" ht="10.5" customHeight="1">
      <c r="A542" s="2" t="s">
        <v>870</v>
      </c>
      <c r="B542" s="3">
        <v>45769.489189814813</v>
      </c>
      <c r="C542" s="2" t="s">
        <v>361</v>
      </c>
      <c r="D542" s="2" t="s">
        <v>26</v>
      </c>
      <c r="E542" s="2" t="s">
        <v>20</v>
      </c>
      <c r="F542" s="4">
        <v>10000</v>
      </c>
      <c r="G542" s="5">
        <v>1.6</v>
      </c>
      <c r="H542" s="6">
        <v>0</v>
      </c>
      <c r="I542" s="7">
        <f t="shared" si="80"/>
        <v>16000</v>
      </c>
      <c r="J542" s="7">
        <f t="shared" si="81"/>
        <v>0</v>
      </c>
      <c r="K542" s="7">
        <f t="shared" si="82"/>
        <v>16000</v>
      </c>
      <c r="L542" s="4">
        <v>17000</v>
      </c>
      <c r="M542" s="7">
        <f t="shared" si="83"/>
        <v>33000</v>
      </c>
      <c r="N542" s="2" t="s">
        <v>21</v>
      </c>
      <c r="O542" t="s">
        <v>22</v>
      </c>
      <c r="P542" s="2" t="s">
        <v>2368</v>
      </c>
      <c r="Q542" s="2">
        <v>2</v>
      </c>
      <c r="R542" s="2" t="s">
        <v>23</v>
      </c>
      <c r="S542" s="2" t="str">
        <f t="shared" si="84"/>
        <v>Sangat Rendah</v>
      </c>
      <c r="T542" s="2" t="str">
        <f t="shared" si="85"/>
        <v>FALSE</v>
      </c>
      <c r="U542" s="2" t="str">
        <f t="shared" si="86"/>
        <v>FALSE</v>
      </c>
      <c r="V542" s="2" t="b">
        <f t="shared" si="87"/>
        <v>0</v>
      </c>
      <c r="W542" s="2" t="b">
        <f t="shared" si="88"/>
        <v>0</v>
      </c>
      <c r="X542" s="2" t="b">
        <f t="shared" si="89"/>
        <v>1</v>
      </c>
    </row>
    <row r="543" spans="1:24" ht="10.5" customHeight="1">
      <c r="A543" s="2" t="s">
        <v>871</v>
      </c>
      <c r="B543" s="3">
        <v>45771.55097222222</v>
      </c>
      <c r="C543" s="2" t="s">
        <v>265</v>
      </c>
      <c r="D543" s="2" t="s">
        <v>87</v>
      </c>
      <c r="E543" s="2" t="s">
        <v>41</v>
      </c>
      <c r="F543" s="4">
        <v>40000</v>
      </c>
      <c r="G543" s="5">
        <v>0.5</v>
      </c>
      <c r="H543" s="6">
        <v>0</v>
      </c>
      <c r="I543" s="7">
        <f t="shared" si="80"/>
        <v>20000</v>
      </c>
      <c r="J543" s="7">
        <f t="shared" si="81"/>
        <v>0</v>
      </c>
      <c r="K543" s="7">
        <f t="shared" si="82"/>
        <v>20000</v>
      </c>
      <c r="L543" s="4">
        <v>49000</v>
      </c>
      <c r="M543" s="7">
        <f t="shared" si="83"/>
        <v>69000</v>
      </c>
      <c r="N543" s="2" t="s">
        <v>33</v>
      </c>
      <c r="O543" t="s">
        <v>22</v>
      </c>
      <c r="P543" s="2" t="s">
        <v>2366</v>
      </c>
      <c r="Q543" s="2">
        <v>3</v>
      </c>
      <c r="R543" s="2" t="s">
        <v>23</v>
      </c>
      <c r="S543" s="2" t="str">
        <f t="shared" si="84"/>
        <v>Rendah</v>
      </c>
      <c r="T543" s="2" t="str">
        <f t="shared" si="85"/>
        <v>FALSE</v>
      </c>
      <c r="U543" s="2" t="str">
        <f t="shared" si="86"/>
        <v>FALSE</v>
      </c>
      <c r="V543" s="2" t="b">
        <f t="shared" si="87"/>
        <v>0</v>
      </c>
      <c r="W543" s="2" t="b">
        <f t="shared" si="88"/>
        <v>0</v>
      </c>
      <c r="X543" s="2" t="b">
        <f t="shared" si="89"/>
        <v>0</v>
      </c>
    </row>
    <row r="544" spans="1:24" ht="10.5" customHeight="1">
      <c r="A544" s="2" t="s">
        <v>871</v>
      </c>
      <c r="B544" s="3">
        <v>45771.55097222222</v>
      </c>
      <c r="C544" s="2" t="s">
        <v>265</v>
      </c>
      <c r="D544" s="2" t="s">
        <v>87</v>
      </c>
      <c r="E544" s="2" t="s">
        <v>27</v>
      </c>
      <c r="F544" s="4">
        <v>15000</v>
      </c>
      <c r="G544" s="5">
        <v>0.5</v>
      </c>
      <c r="H544" s="6">
        <v>0</v>
      </c>
      <c r="I544" s="7">
        <f t="shared" si="80"/>
        <v>7500</v>
      </c>
      <c r="J544" s="7">
        <f t="shared" si="81"/>
        <v>0</v>
      </c>
      <c r="K544" s="7">
        <f t="shared" si="82"/>
        <v>7500</v>
      </c>
      <c r="L544" s="4">
        <v>0</v>
      </c>
      <c r="M544" s="7">
        <f t="shared" si="83"/>
        <v>7500</v>
      </c>
      <c r="N544" s="2" t="s">
        <v>33</v>
      </c>
      <c r="O544" t="s">
        <v>22</v>
      </c>
      <c r="P544" s="2" t="s">
        <v>2366</v>
      </c>
      <c r="Q544" s="2">
        <v>3</v>
      </c>
      <c r="R544" s="2" t="s">
        <v>23</v>
      </c>
      <c r="S544" s="2" t="str">
        <f t="shared" si="84"/>
        <v>Sangat Rendah</v>
      </c>
      <c r="T544" s="2" t="str">
        <f t="shared" si="85"/>
        <v>FALSE</v>
      </c>
      <c r="U544" s="2" t="str">
        <f t="shared" si="86"/>
        <v>FALSE</v>
      </c>
      <c r="V544" s="2" t="b">
        <f t="shared" si="87"/>
        <v>0</v>
      </c>
      <c r="W544" s="2" t="b">
        <f t="shared" si="88"/>
        <v>0</v>
      </c>
      <c r="X544" s="2" t="b">
        <f t="shared" si="89"/>
        <v>1</v>
      </c>
    </row>
    <row r="545" spans="1:24" ht="10.5" customHeight="1">
      <c r="A545" s="2" t="s">
        <v>872</v>
      </c>
      <c r="B545" s="3">
        <v>45772.004120370373</v>
      </c>
      <c r="C545" s="2" t="s">
        <v>873</v>
      </c>
      <c r="D545" s="2" t="s">
        <v>40</v>
      </c>
      <c r="E545" s="2" t="s">
        <v>53</v>
      </c>
      <c r="F545" s="4">
        <v>14000</v>
      </c>
      <c r="G545" s="5">
        <v>0.9</v>
      </c>
      <c r="H545" s="6">
        <v>5</v>
      </c>
      <c r="I545" s="7">
        <f t="shared" si="80"/>
        <v>12600</v>
      </c>
      <c r="J545" s="7">
        <f t="shared" si="81"/>
        <v>630</v>
      </c>
      <c r="K545" s="7">
        <f t="shared" si="82"/>
        <v>11970</v>
      </c>
      <c r="L545" s="4">
        <v>93000</v>
      </c>
      <c r="M545" s="7">
        <f t="shared" si="83"/>
        <v>104970</v>
      </c>
      <c r="N545" s="2" t="s">
        <v>58</v>
      </c>
      <c r="O545" t="s">
        <v>22</v>
      </c>
      <c r="P545" s="2" t="s">
        <v>2366</v>
      </c>
      <c r="Q545" s="2">
        <v>1</v>
      </c>
      <c r="R545" s="2" t="s">
        <v>34</v>
      </c>
      <c r="S545" s="2" t="str">
        <f t="shared" si="84"/>
        <v>Standar</v>
      </c>
      <c r="T545" s="2" t="str">
        <f t="shared" si="85"/>
        <v>FALSE</v>
      </c>
      <c r="U545" s="2" t="str">
        <f t="shared" si="86"/>
        <v>FALSE</v>
      </c>
      <c r="V545" s="2" t="b">
        <f t="shared" si="87"/>
        <v>0</v>
      </c>
      <c r="W545" s="2" t="b">
        <f t="shared" si="88"/>
        <v>0</v>
      </c>
      <c r="X545" s="2" t="b">
        <f t="shared" si="89"/>
        <v>0</v>
      </c>
    </row>
    <row r="546" spans="1:24" ht="10.5" customHeight="1">
      <c r="A546" s="2" t="s">
        <v>872</v>
      </c>
      <c r="B546" s="3">
        <v>45772.004120370373</v>
      </c>
      <c r="C546" s="2" t="s">
        <v>873</v>
      </c>
      <c r="D546" s="2" t="s">
        <v>40</v>
      </c>
      <c r="E546" s="2" t="s">
        <v>99</v>
      </c>
      <c r="F546" s="4">
        <v>10000</v>
      </c>
      <c r="G546" s="5">
        <v>1.1000000000000001</v>
      </c>
      <c r="H546" s="6">
        <v>5</v>
      </c>
      <c r="I546" s="7">
        <f t="shared" si="80"/>
        <v>11000</v>
      </c>
      <c r="J546" s="7">
        <f t="shared" si="81"/>
        <v>550</v>
      </c>
      <c r="K546" s="7">
        <f t="shared" si="82"/>
        <v>10450</v>
      </c>
      <c r="L546" s="4">
        <v>0</v>
      </c>
      <c r="M546" s="7">
        <f t="shared" si="83"/>
        <v>10450</v>
      </c>
      <c r="N546" s="2" t="s">
        <v>58</v>
      </c>
      <c r="O546" t="s">
        <v>22</v>
      </c>
      <c r="P546" s="2" t="s">
        <v>2366</v>
      </c>
      <c r="Q546" s="2">
        <v>1</v>
      </c>
      <c r="R546" s="2" t="s">
        <v>34</v>
      </c>
      <c r="S546" s="2" t="str">
        <f t="shared" si="84"/>
        <v>Sangat Rendah</v>
      </c>
      <c r="T546" s="2" t="str">
        <f t="shared" si="85"/>
        <v>FALSE</v>
      </c>
      <c r="U546" s="2" t="str">
        <f t="shared" si="86"/>
        <v>FALSE</v>
      </c>
      <c r="V546" s="2" t="b">
        <f t="shared" si="87"/>
        <v>0</v>
      </c>
      <c r="W546" s="2" t="b">
        <f t="shared" si="88"/>
        <v>0</v>
      </c>
      <c r="X546" s="2" t="b">
        <f t="shared" si="89"/>
        <v>0</v>
      </c>
    </row>
    <row r="547" spans="1:24" ht="10.5" customHeight="1">
      <c r="A547" s="2" t="s">
        <v>874</v>
      </c>
      <c r="B547" s="3">
        <v>45772.013657407413</v>
      </c>
      <c r="C547" s="2" t="s">
        <v>251</v>
      </c>
      <c r="D547" s="2" t="s">
        <v>252</v>
      </c>
      <c r="E547" s="2" t="s">
        <v>75</v>
      </c>
      <c r="F547" s="4">
        <v>45000</v>
      </c>
      <c r="G547" s="5">
        <v>2.2000000000000002</v>
      </c>
      <c r="H547" s="6">
        <v>5</v>
      </c>
      <c r="I547" s="7">
        <f t="shared" si="80"/>
        <v>99000.000000000015</v>
      </c>
      <c r="J547" s="7">
        <f t="shared" si="81"/>
        <v>4950.0000000000009</v>
      </c>
      <c r="K547" s="7">
        <f t="shared" si="82"/>
        <v>94050.000000000015</v>
      </c>
      <c r="L547" s="4">
        <v>18000</v>
      </c>
      <c r="M547" s="7">
        <f t="shared" si="83"/>
        <v>112050.00000000001</v>
      </c>
      <c r="N547" s="2" t="s">
        <v>58</v>
      </c>
      <c r="O547" t="s">
        <v>22</v>
      </c>
      <c r="P547" s="2" t="s">
        <v>2366</v>
      </c>
      <c r="Q547" s="2">
        <v>2</v>
      </c>
      <c r="R547" s="2" t="s">
        <v>23</v>
      </c>
      <c r="S547" s="2" t="str">
        <f t="shared" si="84"/>
        <v>Standar</v>
      </c>
      <c r="T547" s="2" t="str">
        <f t="shared" si="85"/>
        <v>FALSE</v>
      </c>
      <c r="U547" s="2" t="str">
        <f t="shared" si="86"/>
        <v>FALSE</v>
      </c>
      <c r="V547" s="2" t="b">
        <f t="shared" si="87"/>
        <v>0</v>
      </c>
      <c r="W547" s="2" t="b">
        <f t="shared" si="88"/>
        <v>0</v>
      </c>
      <c r="X547" s="2" t="b">
        <f t="shared" si="89"/>
        <v>0</v>
      </c>
    </row>
    <row r="548" spans="1:24" ht="10.5" customHeight="1">
      <c r="A548" s="2" t="s">
        <v>875</v>
      </c>
      <c r="B548" s="3">
        <v>45772.093761574077</v>
      </c>
      <c r="C548" s="2" t="s">
        <v>390</v>
      </c>
      <c r="D548" s="2" t="s">
        <v>26</v>
      </c>
      <c r="E548" s="2" t="s">
        <v>182</v>
      </c>
      <c r="F548" s="4">
        <v>11000</v>
      </c>
      <c r="G548" s="5">
        <v>1.8</v>
      </c>
      <c r="H548" s="6">
        <v>5</v>
      </c>
      <c r="I548" s="7">
        <f t="shared" si="80"/>
        <v>19800</v>
      </c>
      <c r="J548" s="7">
        <f t="shared" si="81"/>
        <v>990</v>
      </c>
      <c r="K548" s="7">
        <f t="shared" si="82"/>
        <v>18810</v>
      </c>
      <c r="L548" s="4">
        <v>17000</v>
      </c>
      <c r="M548" s="7">
        <f t="shared" si="83"/>
        <v>35810</v>
      </c>
      <c r="N548" s="2" t="s">
        <v>21</v>
      </c>
      <c r="O548" t="s">
        <v>22</v>
      </c>
      <c r="P548" s="2" t="s">
        <v>2365</v>
      </c>
      <c r="Q548" s="2">
        <v>5</v>
      </c>
      <c r="R548" s="2" t="s">
        <v>23</v>
      </c>
      <c r="S548" s="2" t="str">
        <f t="shared" si="84"/>
        <v>Sangat Rendah</v>
      </c>
      <c r="T548" s="2" t="str">
        <f t="shared" si="85"/>
        <v>FALSE</v>
      </c>
      <c r="U548" s="2" t="str">
        <f t="shared" si="86"/>
        <v>FALSE</v>
      </c>
      <c r="V548" s="2" t="b">
        <f t="shared" si="87"/>
        <v>0</v>
      </c>
      <c r="W548" s="2" t="b">
        <f t="shared" si="88"/>
        <v>0</v>
      </c>
      <c r="X548" s="2" t="b">
        <f t="shared" si="89"/>
        <v>1</v>
      </c>
    </row>
    <row r="549" spans="1:24" ht="10.5" customHeight="1">
      <c r="A549" s="2" t="s">
        <v>876</v>
      </c>
      <c r="B549" s="3">
        <v>45772.099502314813</v>
      </c>
      <c r="C549" s="2" t="s">
        <v>478</v>
      </c>
      <c r="D549" s="2" t="s">
        <v>44</v>
      </c>
      <c r="E549" s="2" t="s">
        <v>41</v>
      </c>
      <c r="F549" s="4">
        <v>40000</v>
      </c>
      <c r="G549" s="5">
        <v>1.4</v>
      </c>
      <c r="H549" s="6">
        <v>5</v>
      </c>
      <c r="I549" s="7">
        <f t="shared" si="80"/>
        <v>56000</v>
      </c>
      <c r="J549" s="7">
        <f t="shared" si="81"/>
        <v>2800</v>
      </c>
      <c r="K549" s="7">
        <f t="shared" si="82"/>
        <v>53200</v>
      </c>
      <c r="L549" s="4">
        <v>43000</v>
      </c>
      <c r="M549" s="7">
        <f t="shared" si="83"/>
        <v>96200</v>
      </c>
      <c r="N549" s="2" t="s">
        <v>28</v>
      </c>
      <c r="O549" t="s">
        <v>115</v>
      </c>
      <c r="P549" s="2" t="s">
        <v>2370</v>
      </c>
      <c r="Q549" s="2">
        <v>2</v>
      </c>
      <c r="R549" s="2" t="s">
        <v>23</v>
      </c>
      <c r="S549" s="2" t="str">
        <f t="shared" si="84"/>
        <v>Rendah</v>
      </c>
      <c r="T549" s="2" t="str">
        <f t="shared" si="85"/>
        <v>FALSE</v>
      </c>
      <c r="U549" s="2" t="str">
        <f t="shared" si="86"/>
        <v>FALSE</v>
      </c>
      <c r="V549" s="2" t="b">
        <f t="shared" si="87"/>
        <v>0</v>
      </c>
      <c r="W549" s="2" t="b">
        <f t="shared" si="88"/>
        <v>0</v>
      </c>
      <c r="X549" s="2" t="b">
        <f t="shared" si="89"/>
        <v>0</v>
      </c>
    </row>
    <row r="550" spans="1:24" ht="10.5" customHeight="1">
      <c r="A550" s="2" t="s">
        <v>877</v>
      </c>
      <c r="B550" s="3">
        <v>45772.19332175926</v>
      </c>
      <c r="C550" s="2" t="s">
        <v>120</v>
      </c>
      <c r="D550" s="2" t="s">
        <v>94</v>
      </c>
      <c r="E550" s="2" t="s">
        <v>161</v>
      </c>
      <c r="F550" s="4">
        <v>115000</v>
      </c>
      <c r="G550" s="5">
        <v>0.9</v>
      </c>
      <c r="H550" s="6">
        <v>5</v>
      </c>
      <c r="I550" s="7">
        <f t="shared" si="80"/>
        <v>103500</v>
      </c>
      <c r="J550" s="7">
        <f t="shared" si="81"/>
        <v>5175</v>
      </c>
      <c r="K550" s="7">
        <f t="shared" si="82"/>
        <v>98325</v>
      </c>
      <c r="L550" s="4">
        <v>85000</v>
      </c>
      <c r="M550" s="7">
        <f t="shared" si="83"/>
        <v>183325</v>
      </c>
      <c r="N550" s="2" t="s">
        <v>21</v>
      </c>
      <c r="O550" t="s">
        <v>22</v>
      </c>
      <c r="P550" s="2" t="s">
        <v>2367</v>
      </c>
      <c r="Q550" s="2">
        <v>5</v>
      </c>
      <c r="R550" s="2" t="s">
        <v>34</v>
      </c>
      <c r="S550" s="2" t="str">
        <f t="shared" si="84"/>
        <v>Tinggi</v>
      </c>
      <c r="T550" s="2" t="str">
        <f t="shared" si="85"/>
        <v>FALSE</v>
      </c>
      <c r="U550" s="2" t="str">
        <f t="shared" si="86"/>
        <v>TRUE</v>
      </c>
      <c r="V550" s="2" t="b">
        <f t="shared" si="87"/>
        <v>0</v>
      </c>
      <c r="W550" s="2" t="b">
        <f t="shared" si="88"/>
        <v>1</v>
      </c>
      <c r="X550" s="2" t="b">
        <f t="shared" si="89"/>
        <v>0</v>
      </c>
    </row>
    <row r="551" spans="1:24" ht="10.5" customHeight="1">
      <c r="A551" s="2" t="s">
        <v>878</v>
      </c>
      <c r="B551" s="3">
        <v>45772.198587962957</v>
      </c>
      <c r="C551" s="2" t="s">
        <v>772</v>
      </c>
      <c r="D551" s="2" t="s">
        <v>167</v>
      </c>
      <c r="E551" s="2" t="s">
        <v>27</v>
      </c>
      <c r="F551" s="4">
        <v>15000</v>
      </c>
      <c r="G551" s="5">
        <v>0.7</v>
      </c>
      <c r="H551" s="6">
        <v>5</v>
      </c>
      <c r="I551" s="7">
        <f t="shared" si="80"/>
        <v>10500</v>
      </c>
      <c r="J551" s="7">
        <f t="shared" si="81"/>
        <v>525</v>
      </c>
      <c r="K551" s="7">
        <f t="shared" si="82"/>
        <v>9975</v>
      </c>
      <c r="L551" s="4">
        <v>56000</v>
      </c>
      <c r="M551" s="7">
        <f t="shared" si="83"/>
        <v>65975</v>
      </c>
      <c r="N551" s="2" t="s">
        <v>28</v>
      </c>
      <c r="O551" t="s">
        <v>22</v>
      </c>
      <c r="P551" s="2" t="s">
        <v>2368</v>
      </c>
      <c r="Q551" s="2">
        <v>3</v>
      </c>
      <c r="R551" s="2" t="s">
        <v>23</v>
      </c>
      <c r="S551" s="2" t="str">
        <f t="shared" si="84"/>
        <v>Rendah</v>
      </c>
      <c r="T551" s="2" t="str">
        <f t="shared" si="85"/>
        <v>FALSE</v>
      </c>
      <c r="U551" s="2" t="str">
        <f t="shared" si="86"/>
        <v>FALSE</v>
      </c>
      <c r="V551" s="2" t="b">
        <f t="shared" si="87"/>
        <v>0</v>
      </c>
      <c r="W551" s="2" t="b">
        <f t="shared" si="88"/>
        <v>0</v>
      </c>
      <c r="X551" s="2" t="b">
        <f t="shared" si="89"/>
        <v>0</v>
      </c>
    </row>
    <row r="552" spans="1:24" ht="10.5" customHeight="1">
      <c r="A552" s="2" t="s">
        <v>879</v>
      </c>
      <c r="B552" s="3">
        <v>45772.240578703713</v>
      </c>
      <c r="C552" s="2" t="s">
        <v>157</v>
      </c>
      <c r="D552" s="2" t="s">
        <v>40</v>
      </c>
      <c r="E552" s="2" t="s">
        <v>95</v>
      </c>
      <c r="F552" s="4">
        <v>9500</v>
      </c>
      <c r="G552" s="5">
        <v>2.2999999999999998</v>
      </c>
      <c r="H552" s="6">
        <v>5</v>
      </c>
      <c r="I552" s="7">
        <f t="shared" si="80"/>
        <v>21850</v>
      </c>
      <c r="J552" s="7">
        <f t="shared" si="81"/>
        <v>1092.5</v>
      </c>
      <c r="K552" s="7">
        <f t="shared" si="82"/>
        <v>20757.5</v>
      </c>
      <c r="L552" s="4">
        <v>93000</v>
      </c>
      <c r="M552" s="7">
        <f t="shared" si="83"/>
        <v>113757.5</v>
      </c>
      <c r="N552" s="2" t="s">
        <v>33</v>
      </c>
      <c r="O552" t="s">
        <v>22</v>
      </c>
      <c r="P552" s="2" t="s">
        <v>2370</v>
      </c>
      <c r="Q552" s="2">
        <v>1</v>
      </c>
      <c r="R552" s="2" t="s">
        <v>23</v>
      </c>
      <c r="S552" s="2" t="str">
        <f t="shared" si="84"/>
        <v>Standar</v>
      </c>
      <c r="T552" s="2" t="str">
        <f t="shared" si="85"/>
        <v>FALSE</v>
      </c>
      <c r="U552" s="2" t="str">
        <f t="shared" si="86"/>
        <v>FALSE</v>
      </c>
      <c r="V552" s="2" t="b">
        <f t="shared" si="87"/>
        <v>0</v>
      </c>
      <c r="W552" s="2" t="b">
        <f t="shared" si="88"/>
        <v>0</v>
      </c>
      <c r="X552" s="2" t="b">
        <f t="shared" si="89"/>
        <v>0</v>
      </c>
    </row>
    <row r="553" spans="1:24" ht="10.5" customHeight="1">
      <c r="A553" s="2" t="s">
        <v>880</v>
      </c>
      <c r="B553" s="3">
        <v>45772.334907407407</v>
      </c>
      <c r="C553" s="2" t="s">
        <v>881</v>
      </c>
      <c r="D553" s="2" t="s">
        <v>118</v>
      </c>
      <c r="E553" s="2" t="s">
        <v>32</v>
      </c>
      <c r="F553" s="4">
        <v>20000</v>
      </c>
      <c r="G553" s="5">
        <v>1.3</v>
      </c>
      <c r="H553" s="6">
        <v>5</v>
      </c>
      <c r="I553" s="7">
        <f t="shared" si="80"/>
        <v>26000</v>
      </c>
      <c r="J553" s="7">
        <f t="shared" si="81"/>
        <v>1300</v>
      </c>
      <c r="K553" s="7">
        <f t="shared" si="82"/>
        <v>24700</v>
      </c>
      <c r="L553" s="4">
        <v>84000</v>
      </c>
      <c r="M553" s="7">
        <f t="shared" si="83"/>
        <v>108700</v>
      </c>
      <c r="N553" s="2" t="s">
        <v>33</v>
      </c>
      <c r="O553" t="s">
        <v>22</v>
      </c>
      <c r="P553" s="2" t="s">
        <v>2370</v>
      </c>
      <c r="Q553" s="2">
        <v>1</v>
      </c>
      <c r="R553" s="2" t="s">
        <v>34</v>
      </c>
      <c r="S553" s="2" t="str">
        <f t="shared" si="84"/>
        <v>Standar</v>
      </c>
      <c r="T553" s="2" t="str">
        <f t="shared" si="85"/>
        <v>FALSE</v>
      </c>
      <c r="U553" s="2" t="str">
        <f t="shared" si="86"/>
        <v>FALSE</v>
      </c>
      <c r="V553" s="2" t="b">
        <f t="shared" si="87"/>
        <v>0</v>
      </c>
      <c r="W553" s="2" t="b">
        <f t="shared" si="88"/>
        <v>0</v>
      </c>
      <c r="X553" s="2" t="b">
        <f t="shared" si="89"/>
        <v>0</v>
      </c>
    </row>
    <row r="554" spans="1:24" ht="10.5" customHeight="1">
      <c r="A554" s="2" t="s">
        <v>882</v>
      </c>
      <c r="B554" s="3">
        <v>45772.345717592587</v>
      </c>
      <c r="C554" s="2" t="s">
        <v>83</v>
      </c>
      <c r="D554" s="2" t="s">
        <v>84</v>
      </c>
      <c r="E554" s="2" t="s">
        <v>95</v>
      </c>
      <c r="F554" s="4">
        <v>9500</v>
      </c>
      <c r="G554" s="5">
        <v>1</v>
      </c>
      <c r="H554" s="6">
        <v>5</v>
      </c>
      <c r="I554" s="7">
        <f t="shared" si="80"/>
        <v>9500</v>
      </c>
      <c r="J554" s="7">
        <f t="shared" si="81"/>
        <v>475</v>
      </c>
      <c r="K554" s="7">
        <f t="shared" si="82"/>
        <v>9025</v>
      </c>
      <c r="L554" s="4">
        <v>30000</v>
      </c>
      <c r="M554" s="7">
        <f t="shared" si="83"/>
        <v>39025</v>
      </c>
      <c r="N554" s="2" t="s">
        <v>58</v>
      </c>
      <c r="O554" t="s">
        <v>22</v>
      </c>
      <c r="P554" s="2" t="s">
        <v>2368</v>
      </c>
      <c r="Q554" s="2">
        <v>3</v>
      </c>
      <c r="R554" s="2" t="s">
        <v>23</v>
      </c>
      <c r="S554" s="2" t="str">
        <f t="shared" si="84"/>
        <v>Sangat Rendah</v>
      </c>
      <c r="T554" s="2" t="str">
        <f t="shared" si="85"/>
        <v>FALSE</v>
      </c>
      <c r="U554" s="2" t="str">
        <f t="shared" si="86"/>
        <v>FALSE</v>
      </c>
      <c r="V554" s="2" t="b">
        <f t="shared" si="87"/>
        <v>0</v>
      </c>
      <c r="W554" s="2" t="b">
        <f t="shared" si="88"/>
        <v>0</v>
      </c>
      <c r="X554" s="2" t="b">
        <f t="shared" si="89"/>
        <v>1</v>
      </c>
    </row>
    <row r="555" spans="1:24" ht="10.5" customHeight="1">
      <c r="A555" s="2" t="s">
        <v>883</v>
      </c>
      <c r="B555" s="3">
        <v>45772.367210648154</v>
      </c>
      <c r="C555" s="2" t="s">
        <v>321</v>
      </c>
      <c r="D555" s="2" t="s">
        <v>19</v>
      </c>
      <c r="E555" s="2" t="s">
        <v>190</v>
      </c>
      <c r="F555" s="4">
        <v>15500</v>
      </c>
      <c r="G555" s="5">
        <v>0.3</v>
      </c>
      <c r="H555" s="6">
        <v>5</v>
      </c>
      <c r="I555" s="7">
        <f t="shared" si="80"/>
        <v>4650</v>
      </c>
      <c r="J555" s="7">
        <f t="shared" si="81"/>
        <v>232.5</v>
      </c>
      <c r="K555" s="7">
        <f t="shared" si="82"/>
        <v>4417.5</v>
      </c>
      <c r="L555" s="4">
        <v>15000</v>
      </c>
      <c r="M555" s="7">
        <f t="shared" si="83"/>
        <v>19417.5</v>
      </c>
      <c r="N555" s="2" t="s">
        <v>21</v>
      </c>
      <c r="O555" t="s">
        <v>22</v>
      </c>
      <c r="P555" s="2" t="s">
        <v>2368</v>
      </c>
      <c r="Q555" s="2">
        <v>1</v>
      </c>
      <c r="R555" s="2" t="s">
        <v>34</v>
      </c>
      <c r="S555" s="2" t="str">
        <f t="shared" si="84"/>
        <v>Sangat Rendah</v>
      </c>
      <c r="T555" s="2" t="str">
        <f t="shared" si="85"/>
        <v>FALSE</v>
      </c>
      <c r="U555" s="2" t="str">
        <f t="shared" si="86"/>
        <v>FALSE</v>
      </c>
      <c r="V555" s="2" t="b">
        <f t="shared" si="87"/>
        <v>0</v>
      </c>
      <c r="W555" s="2" t="b">
        <f t="shared" si="88"/>
        <v>0</v>
      </c>
      <c r="X555" s="2" t="b">
        <f t="shared" si="89"/>
        <v>0</v>
      </c>
    </row>
    <row r="556" spans="1:24" ht="10.5" customHeight="1">
      <c r="A556" s="2" t="s">
        <v>884</v>
      </c>
      <c r="B556" s="3">
        <v>45772.433888888889</v>
      </c>
      <c r="C556" s="2" t="s">
        <v>91</v>
      </c>
      <c r="D556" s="2" t="s">
        <v>61</v>
      </c>
      <c r="E556" s="2" t="s">
        <v>182</v>
      </c>
      <c r="F556" s="4">
        <v>11000</v>
      </c>
      <c r="G556" s="5">
        <v>0.7</v>
      </c>
      <c r="H556" s="6">
        <v>5</v>
      </c>
      <c r="I556" s="7">
        <f t="shared" si="80"/>
        <v>7699.9999999999991</v>
      </c>
      <c r="J556" s="7">
        <f t="shared" si="81"/>
        <v>385</v>
      </c>
      <c r="K556" s="7">
        <f t="shared" si="82"/>
        <v>7314.9999999999991</v>
      </c>
      <c r="L556" s="4">
        <v>59000</v>
      </c>
      <c r="M556" s="7">
        <f t="shared" si="83"/>
        <v>66315</v>
      </c>
      <c r="N556" s="2" t="s">
        <v>21</v>
      </c>
      <c r="O556" t="s">
        <v>69</v>
      </c>
      <c r="P556" s="2" t="s">
        <v>2366</v>
      </c>
      <c r="Q556" s="2">
        <v>4</v>
      </c>
      <c r="R556" s="2" t="s">
        <v>23</v>
      </c>
      <c r="S556" s="2" t="str">
        <f t="shared" si="84"/>
        <v>Rendah</v>
      </c>
      <c r="T556" s="2" t="str">
        <f t="shared" si="85"/>
        <v>FALSE</v>
      </c>
      <c r="U556" s="2" t="str">
        <f t="shared" si="86"/>
        <v>FALSE</v>
      </c>
      <c r="V556" s="2" t="b">
        <f t="shared" si="87"/>
        <v>0</v>
      </c>
      <c r="W556" s="2" t="b">
        <f t="shared" si="88"/>
        <v>0</v>
      </c>
      <c r="X556" s="2" t="b">
        <f t="shared" si="89"/>
        <v>0</v>
      </c>
    </row>
    <row r="557" spans="1:24" ht="10.5" customHeight="1">
      <c r="A557" s="2" t="s">
        <v>885</v>
      </c>
      <c r="B557" s="3">
        <v>45772.453136574077</v>
      </c>
      <c r="C557" s="2" t="s">
        <v>541</v>
      </c>
      <c r="D557" s="2" t="s">
        <v>252</v>
      </c>
      <c r="E557" s="2" t="s">
        <v>190</v>
      </c>
      <c r="F557" s="4">
        <v>15500</v>
      </c>
      <c r="G557" s="5">
        <v>0.3</v>
      </c>
      <c r="H557" s="6">
        <v>5</v>
      </c>
      <c r="I557" s="7">
        <f t="shared" si="80"/>
        <v>4650</v>
      </c>
      <c r="J557" s="7">
        <f t="shared" si="81"/>
        <v>232.5</v>
      </c>
      <c r="K557" s="7">
        <f t="shared" si="82"/>
        <v>4417.5</v>
      </c>
      <c r="L557" s="4">
        <v>18000</v>
      </c>
      <c r="M557" s="7">
        <f t="shared" si="83"/>
        <v>22417.5</v>
      </c>
      <c r="N557" s="2" t="s">
        <v>28</v>
      </c>
      <c r="O557" t="s">
        <v>115</v>
      </c>
      <c r="P557" s="2" t="s">
        <v>2370</v>
      </c>
      <c r="Q557" s="2">
        <v>2</v>
      </c>
      <c r="R557" s="2" t="s">
        <v>34</v>
      </c>
      <c r="S557" s="2" t="str">
        <f t="shared" si="84"/>
        <v>Sangat Rendah</v>
      </c>
      <c r="T557" s="2" t="str">
        <f t="shared" si="85"/>
        <v>FALSE</v>
      </c>
      <c r="U557" s="2" t="str">
        <f t="shared" si="86"/>
        <v>FALSE</v>
      </c>
      <c r="V557" s="2" t="b">
        <f t="shared" si="87"/>
        <v>0</v>
      </c>
      <c r="W557" s="2" t="b">
        <f t="shared" si="88"/>
        <v>0</v>
      </c>
      <c r="X557" s="2" t="b">
        <f t="shared" si="89"/>
        <v>0</v>
      </c>
    </row>
    <row r="558" spans="1:24" ht="10.5" customHeight="1">
      <c r="A558" s="2" t="s">
        <v>886</v>
      </c>
      <c r="B558" s="3">
        <v>45772.460462962961</v>
      </c>
      <c r="C558" s="2" t="s">
        <v>289</v>
      </c>
      <c r="D558" s="2" t="s">
        <v>153</v>
      </c>
      <c r="E558" s="2" t="s">
        <v>45</v>
      </c>
      <c r="F558" s="4">
        <v>10500</v>
      </c>
      <c r="G558" s="5">
        <v>2.9</v>
      </c>
      <c r="H558" s="6">
        <v>5</v>
      </c>
      <c r="I558" s="7">
        <f t="shared" si="80"/>
        <v>30450</v>
      </c>
      <c r="J558" s="7">
        <f t="shared" si="81"/>
        <v>1522.5</v>
      </c>
      <c r="K558" s="7">
        <f t="shared" si="82"/>
        <v>28927.5</v>
      </c>
      <c r="L558" s="4">
        <v>50000</v>
      </c>
      <c r="M558" s="7">
        <f t="shared" si="83"/>
        <v>78927.5</v>
      </c>
      <c r="N558" s="2" t="s">
        <v>21</v>
      </c>
      <c r="O558" t="s">
        <v>22</v>
      </c>
      <c r="P558" s="2" t="s">
        <v>2370</v>
      </c>
      <c r="Q558" s="2">
        <v>5</v>
      </c>
      <c r="R558" s="2" t="s">
        <v>23</v>
      </c>
      <c r="S558" s="2" t="str">
        <f t="shared" si="84"/>
        <v>Rendah</v>
      </c>
      <c r="T558" s="2" t="str">
        <f t="shared" si="85"/>
        <v>FALSE</v>
      </c>
      <c r="U558" s="2" t="str">
        <f t="shared" si="86"/>
        <v>FALSE</v>
      </c>
      <c r="V558" s="2" t="b">
        <f t="shared" si="87"/>
        <v>0</v>
      </c>
      <c r="W558" s="2" t="b">
        <f t="shared" si="88"/>
        <v>0</v>
      </c>
      <c r="X558" s="2" t="b">
        <f t="shared" si="89"/>
        <v>0</v>
      </c>
    </row>
    <row r="559" spans="1:24" ht="10.5" customHeight="1">
      <c r="A559" s="2" t="s">
        <v>887</v>
      </c>
      <c r="B559" s="3">
        <v>45772.520798611113</v>
      </c>
      <c r="C559" s="2" t="s">
        <v>888</v>
      </c>
      <c r="D559" s="2" t="s">
        <v>185</v>
      </c>
      <c r="E559" s="2" t="s">
        <v>41</v>
      </c>
      <c r="F559" s="4">
        <v>40000</v>
      </c>
      <c r="G559" s="5">
        <v>0.3</v>
      </c>
      <c r="H559" s="6">
        <v>5</v>
      </c>
      <c r="I559" s="7">
        <f t="shared" si="80"/>
        <v>12000</v>
      </c>
      <c r="J559" s="7">
        <f t="shared" si="81"/>
        <v>600</v>
      </c>
      <c r="K559" s="7">
        <f t="shared" si="82"/>
        <v>11400</v>
      </c>
      <c r="L559" s="4">
        <v>87000</v>
      </c>
      <c r="M559" s="7">
        <f t="shared" si="83"/>
        <v>98400</v>
      </c>
      <c r="N559" s="2" t="s">
        <v>28</v>
      </c>
      <c r="O559" t="s">
        <v>22</v>
      </c>
      <c r="P559" s="2" t="s">
        <v>2368</v>
      </c>
      <c r="Q559" s="2">
        <v>2</v>
      </c>
      <c r="R559" s="2" t="s">
        <v>23</v>
      </c>
      <c r="S559" s="2" t="str">
        <f t="shared" si="84"/>
        <v>Rendah</v>
      </c>
      <c r="T559" s="2" t="str">
        <f t="shared" si="85"/>
        <v>FALSE</v>
      </c>
      <c r="U559" s="2" t="str">
        <f t="shared" si="86"/>
        <v>FALSE</v>
      </c>
      <c r="V559" s="2" t="b">
        <f t="shared" si="87"/>
        <v>0</v>
      </c>
      <c r="W559" s="2" t="b">
        <f t="shared" si="88"/>
        <v>0</v>
      </c>
      <c r="X559" s="2" t="b">
        <f t="shared" si="89"/>
        <v>0</v>
      </c>
    </row>
    <row r="560" spans="1:24" ht="10.5" customHeight="1">
      <c r="A560" s="2" t="s">
        <v>889</v>
      </c>
      <c r="B560" s="3">
        <v>45772.547222222223</v>
      </c>
      <c r="C560" s="2" t="s">
        <v>890</v>
      </c>
      <c r="D560" s="2" t="s">
        <v>26</v>
      </c>
      <c r="E560" s="2" t="s">
        <v>170</v>
      </c>
      <c r="F560" s="4">
        <v>12000</v>
      </c>
      <c r="G560" s="5">
        <v>0.8</v>
      </c>
      <c r="H560" s="6">
        <v>5</v>
      </c>
      <c r="I560" s="7">
        <f t="shared" si="80"/>
        <v>9600</v>
      </c>
      <c r="J560" s="7">
        <f t="shared" si="81"/>
        <v>480</v>
      </c>
      <c r="K560" s="7">
        <f t="shared" si="82"/>
        <v>9120</v>
      </c>
      <c r="L560" s="4">
        <v>17000</v>
      </c>
      <c r="M560" s="7">
        <f t="shared" si="83"/>
        <v>26120</v>
      </c>
      <c r="N560" s="2" t="s">
        <v>28</v>
      </c>
      <c r="O560" t="s">
        <v>69</v>
      </c>
      <c r="P560" s="2" t="s">
        <v>2368</v>
      </c>
      <c r="Q560" s="2">
        <v>2</v>
      </c>
      <c r="R560" s="2" t="s">
        <v>23</v>
      </c>
      <c r="S560" s="2" t="str">
        <f t="shared" si="84"/>
        <v>Sangat Rendah</v>
      </c>
      <c r="T560" s="2" t="str">
        <f t="shared" si="85"/>
        <v>FALSE</v>
      </c>
      <c r="U560" s="2" t="str">
        <f t="shared" si="86"/>
        <v>FALSE</v>
      </c>
      <c r="V560" s="2" t="b">
        <f t="shared" si="87"/>
        <v>0</v>
      </c>
      <c r="W560" s="2" t="b">
        <f t="shared" si="88"/>
        <v>0</v>
      </c>
      <c r="X560" s="2" t="b">
        <f t="shared" si="89"/>
        <v>1</v>
      </c>
    </row>
    <row r="561" spans="1:24" ht="10.5" customHeight="1">
      <c r="A561" s="2" t="s">
        <v>891</v>
      </c>
      <c r="B561" s="3">
        <v>45772.600937499999</v>
      </c>
      <c r="C561" s="2" t="s">
        <v>748</v>
      </c>
      <c r="D561" s="2" t="s">
        <v>229</v>
      </c>
      <c r="E561" s="2" t="s">
        <v>143</v>
      </c>
      <c r="F561" s="4">
        <v>10000</v>
      </c>
      <c r="G561" s="5">
        <v>0.2</v>
      </c>
      <c r="H561" s="6">
        <v>5</v>
      </c>
      <c r="I561" s="7">
        <f t="shared" si="80"/>
        <v>2000</v>
      </c>
      <c r="J561" s="7">
        <f t="shared" si="81"/>
        <v>100</v>
      </c>
      <c r="K561" s="7">
        <f t="shared" si="82"/>
        <v>1900</v>
      </c>
      <c r="L561" s="4">
        <v>28000</v>
      </c>
      <c r="M561" s="7">
        <f t="shared" si="83"/>
        <v>29900</v>
      </c>
      <c r="N561" s="2" t="s">
        <v>33</v>
      </c>
      <c r="O561" t="s">
        <v>22</v>
      </c>
      <c r="P561" s="2" t="s">
        <v>2366</v>
      </c>
      <c r="Q561" s="2">
        <v>1</v>
      </c>
      <c r="R561" s="2" t="s">
        <v>23</v>
      </c>
      <c r="S561" s="2" t="str">
        <f t="shared" si="84"/>
        <v>Sangat Rendah</v>
      </c>
      <c r="T561" s="2" t="str">
        <f t="shared" si="85"/>
        <v>FALSE</v>
      </c>
      <c r="U561" s="2" t="str">
        <f t="shared" si="86"/>
        <v>TRUE</v>
      </c>
      <c r="V561" s="2" t="b">
        <f t="shared" si="87"/>
        <v>0</v>
      </c>
      <c r="W561" s="2" t="b">
        <f t="shared" si="88"/>
        <v>0</v>
      </c>
      <c r="X561" s="2" t="b">
        <f t="shared" si="89"/>
        <v>1</v>
      </c>
    </row>
    <row r="562" spans="1:24" ht="10.5" customHeight="1">
      <c r="A562" s="2" t="s">
        <v>892</v>
      </c>
      <c r="B562" s="3">
        <v>45772.618310185193</v>
      </c>
      <c r="C562" s="2" t="s">
        <v>371</v>
      </c>
      <c r="D562" s="2" t="s">
        <v>94</v>
      </c>
      <c r="E562" s="2" t="s">
        <v>190</v>
      </c>
      <c r="F562" s="4">
        <v>15500</v>
      </c>
      <c r="G562" s="5">
        <v>0.4</v>
      </c>
      <c r="H562" s="6">
        <v>5</v>
      </c>
      <c r="I562" s="7">
        <f t="shared" si="80"/>
        <v>6200</v>
      </c>
      <c r="J562" s="7">
        <f t="shared" si="81"/>
        <v>310</v>
      </c>
      <c r="K562" s="7">
        <f t="shared" si="82"/>
        <v>5890</v>
      </c>
      <c r="L562" s="4">
        <v>85000</v>
      </c>
      <c r="M562" s="7">
        <f t="shared" si="83"/>
        <v>90890</v>
      </c>
      <c r="N562" s="2" t="s">
        <v>58</v>
      </c>
      <c r="O562" t="s">
        <v>69</v>
      </c>
      <c r="P562" s="2" t="s">
        <v>2366</v>
      </c>
      <c r="Q562" s="2">
        <v>4</v>
      </c>
      <c r="R562" s="2" t="s">
        <v>23</v>
      </c>
      <c r="S562" s="2" t="str">
        <f t="shared" si="84"/>
        <v>Rendah</v>
      </c>
      <c r="T562" s="2" t="str">
        <f t="shared" si="85"/>
        <v>FALSE</v>
      </c>
      <c r="U562" s="2" t="str">
        <f t="shared" si="86"/>
        <v>FALSE</v>
      </c>
      <c r="V562" s="2" t="b">
        <f t="shared" si="87"/>
        <v>0</v>
      </c>
      <c r="W562" s="2" t="b">
        <f t="shared" si="88"/>
        <v>0</v>
      </c>
      <c r="X562" s="2" t="b">
        <f t="shared" si="89"/>
        <v>0</v>
      </c>
    </row>
    <row r="563" spans="1:24" ht="10.5" customHeight="1">
      <c r="A563" s="2" t="s">
        <v>893</v>
      </c>
      <c r="B563" s="3">
        <v>45772.622881944437</v>
      </c>
      <c r="C563" s="2" t="s">
        <v>894</v>
      </c>
      <c r="D563" s="2" t="s">
        <v>286</v>
      </c>
      <c r="E563" s="2" t="s">
        <v>41</v>
      </c>
      <c r="F563" s="4">
        <v>40000</v>
      </c>
      <c r="G563" s="5">
        <v>1.3</v>
      </c>
      <c r="H563" s="6">
        <v>5</v>
      </c>
      <c r="I563" s="7">
        <f t="shared" si="80"/>
        <v>52000</v>
      </c>
      <c r="J563" s="7">
        <f t="shared" si="81"/>
        <v>2600</v>
      </c>
      <c r="K563" s="7">
        <f t="shared" si="82"/>
        <v>49400</v>
      </c>
      <c r="L563" s="4">
        <v>79000</v>
      </c>
      <c r="M563" s="7">
        <f t="shared" si="83"/>
        <v>128400</v>
      </c>
      <c r="N563" s="2" t="s">
        <v>28</v>
      </c>
      <c r="O563" t="s">
        <v>69</v>
      </c>
      <c r="P563" s="2" t="s">
        <v>2367</v>
      </c>
      <c r="Q563" s="2">
        <v>4</v>
      </c>
      <c r="R563" s="2" t="s">
        <v>34</v>
      </c>
      <c r="S563" s="2" t="str">
        <f t="shared" si="84"/>
        <v>Standar</v>
      </c>
      <c r="T563" s="2" t="str">
        <f t="shared" si="85"/>
        <v>FALSE</v>
      </c>
      <c r="U563" s="2" t="str">
        <f t="shared" si="86"/>
        <v>FALSE</v>
      </c>
      <c r="V563" s="2" t="b">
        <f t="shared" si="87"/>
        <v>0</v>
      </c>
      <c r="W563" s="2" t="b">
        <f t="shared" si="88"/>
        <v>1</v>
      </c>
      <c r="X563" s="2" t="b">
        <f t="shared" si="89"/>
        <v>0</v>
      </c>
    </row>
    <row r="564" spans="1:24" ht="10.5" customHeight="1">
      <c r="A564" s="2" t="s">
        <v>895</v>
      </c>
      <c r="B564" s="3">
        <v>45772.627118055563</v>
      </c>
      <c r="C564" s="2" t="s">
        <v>259</v>
      </c>
      <c r="D564" s="2" t="s">
        <v>164</v>
      </c>
      <c r="E564" s="2" t="s">
        <v>49</v>
      </c>
      <c r="F564" s="4">
        <v>26000</v>
      </c>
      <c r="G564" s="5">
        <v>1.1000000000000001</v>
      </c>
      <c r="H564" s="6">
        <v>5</v>
      </c>
      <c r="I564" s="7">
        <f t="shared" si="80"/>
        <v>28600.000000000004</v>
      </c>
      <c r="J564" s="7">
        <f t="shared" si="81"/>
        <v>1430.0000000000002</v>
      </c>
      <c r="K564" s="7">
        <f t="shared" si="82"/>
        <v>27170.000000000004</v>
      </c>
      <c r="L564" s="4">
        <v>49000</v>
      </c>
      <c r="M564" s="7">
        <f t="shared" si="83"/>
        <v>76170</v>
      </c>
      <c r="N564" s="2" t="s">
        <v>28</v>
      </c>
      <c r="O564" t="s">
        <v>22</v>
      </c>
      <c r="P564" s="2" t="s">
        <v>2365</v>
      </c>
      <c r="Q564" s="2">
        <v>4</v>
      </c>
      <c r="R564" s="2" t="s">
        <v>34</v>
      </c>
      <c r="S564" s="2" t="str">
        <f t="shared" si="84"/>
        <v>Rendah</v>
      </c>
      <c r="T564" s="2" t="str">
        <f t="shared" si="85"/>
        <v>FALSE</v>
      </c>
      <c r="U564" s="2" t="str">
        <f t="shared" si="86"/>
        <v>FALSE</v>
      </c>
      <c r="V564" s="2" t="b">
        <f t="shared" si="87"/>
        <v>0</v>
      </c>
      <c r="W564" s="2" t="b">
        <f t="shared" si="88"/>
        <v>0</v>
      </c>
      <c r="X564" s="2" t="b">
        <f t="shared" si="89"/>
        <v>0</v>
      </c>
    </row>
    <row r="565" spans="1:24" ht="10.5" customHeight="1">
      <c r="A565" s="2" t="s">
        <v>896</v>
      </c>
      <c r="B565" s="3">
        <v>45772.644988425927</v>
      </c>
      <c r="C565" s="2" t="s">
        <v>349</v>
      </c>
      <c r="D565" s="2" t="s">
        <v>64</v>
      </c>
      <c r="E565" s="2" t="s">
        <v>99</v>
      </c>
      <c r="F565" s="4">
        <v>10000</v>
      </c>
      <c r="G565" s="5">
        <v>0.9</v>
      </c>
      <c r="H565" s="6">
        <v>5</v>
      </c>
      <c r="I565" s="7">
        <f t="shared" si="80"/>
        <v>9000</v>
      </c>
      <c r="J565" s="7">
        <f t="shared" si="81"/>
        <v>450</v>
      </c>
      <c r="K565" s="7">
        <f t="shared" si="82"/>
        <v>8550</v>
      </c>
      <c r="L565" s="4">
        <v>89000</v>
      </c>
      <c r="M565" s="7">
        <f t="shared" si="83"/>
        <v>97550</v>
      </c>
      <c r="N565" s="2" t="s">
        <v>28</v>
      </c>
      <c r="O565" t="s">
        <v>22</v>
      </c>
      <c r="P565" s="2" t="s">
        <v>2365</v>
      </c>
      <c r="Q565" s="2">
        <v>1</v>
      </c>
      <c r="R565" s="2" t="s">
        <v>23</v>
      </c>
      <c r="S565" s="2" t="str">
        <f t="shared" si="84"/>
        <v>Rendah</v>
      </c>
      <c r="T565" s="2" t="str">
        <f t="shared" si="85"/>
        <v>FALSE</v>
      </c>
      <c r="U565" s="2" t="str">
        <f t="shared" si="86"/>
        <v>FALSE</v>
      </c>
      <c r="V565" s="2" t="b">
        <f t="shared" si="87"/>
        <v>0</v>
      </c>
      <c r="W565" s="2" t="b">
        <f t="shared" si="88"/>
        <v>0</v>
      </c>
      <c r="X565" s="2" t="b">
        <f t="shared" si="89"/>
        <v>0</v>
      </c>
    </row>
    <row r="566" spans="1:24" ht="10.5" customHeight="1">
      <c r="A566" s="2" t="s">
        <v>897</v>
      </c>
      <c r="B566" s="3">
        <v>45772.652442129627</v>
      </c>
      <c r="C566" s="2" t="s">
        <v>415</v>
      </c>
      <c r="D566" s="2" t="s">
        <v>40</v>
      </c>
      <c r="E566" s="2" t="s">
        <v>41</v>
      </c>
      <c r="F566" s="4">
        <v>40000</v>
      </c>
      <c r="G566" s="5">
        <v>1.3</v>
      </c>
      <c r="H566" s="6">
        <v>5</v>
      </c>
      <c r="I566" s="7">
        <f t="shared" si="80"/>
        <v>52000</v>
      </c>
      <c r="J566" s="7">
        <f t="shared" si="81"/>
        <v>2600</v>
      </c>
      <c r="K566" s="7">
        <f t="shared" si="82"/>
        <v>49400</v>
      </c>
      <c r="L566" s="4">
        <v>93000</v>
      </c>
      <c r="M566" s="7">
        <f t="shared" si="83"/>
        <v>142400</v>
      </c>
      <c r="N566" s="2" t="s">
        <v>21</v>
      </c>
      <c r="O566" t="s">
        <v>22</v>
      </c>
      <c r="P566" s="2" t="s">
        <v>2370</v>
      </c>
      <c r="Q566" s="2">
        <v>1</v>
      </c>
      <c r="R566" s="2" t="s">
        <v>34</v>
      </c>
      <c r="S566" s="2" t="str">
        <f t="shared" si="84"/>
        <v>Standar</v>
      </c>
      <c r="T566" s="2" t="str">
        <f t="shared" si="85"/>
        <v>FALSE</v>
      </c>
      <c r="U566" s="2" t="str">
        <f t="shared" si="86"/>
        <v>FALSE</v>
      </c>
      <c r="V566" s="2" t="b">
        <f t="shared" si="87"/>
        <v>0</v>
      </c>
      <c r="W566" s="2" t="b">
        <f t="shared" si="88"/>
        <v>0</v>
      </c>
      <c r="X566" s="2" t="b">
        <f t="shared" si="89"/>
        <v>0</v>
      </c>
    </row>
    <row r="567" spans="1:24" ht="10.5" customHeight="1">
      <c r="A567" s="2" t="s">
        <v>898</v>
      </c>
      <c r="B567" s="3">
        <v>45772.655104166668</v>
      </c>
      <c r="C567" s="2" t="s">
        <v>522</v>
      </c>
      <c r="D567" s="2" t="s">
        <v>252</v>
      </c>
      <c r="E567" s="2" t="s">
        <v>41</v>
      </c>
      <c r="F567" s="4">
        <v>40000</v>
      </c>
      <c r="G567" s="5">
        <v>0.5</v>
      </c>
      <c r="H567" s="6">
        <v>5</v>
      </c>
      <c r="I567" s="7">
        <f t="shared" si="80"/>
        <v>20000</v>
      </c>
      <c r="J567" s="7">
        <f t="shared" si="81"/>
        <v>1000</v>
      </c>
      <c r="K567" s="7">
        <f t="shared" si="82"/>
        <v>19000</v>
      </c>
      <c r="L567" s="4">
        <v>18000</v>
      </c>
      <c r="M567" s="7">
        <f t="shared" si="83"/>
        <v>37000</v>
      </c>
      <c r="N567" s="2" t="s">
        <v>33</v>
      </c>
      <c r="O567" t="s">
        <v>22</v>
      </c>
      <c r="P567" s="2" t="s">
        <v>2365</v>
      </c>
      <c r="Q567" s="2">
        <v>3</v>
      </c>
      <c r="R567" s="2" t="s">
        <v>23</v>
      </c>
      <c r="S567" s="2" t="str">
        <f t="shared" si="84"/>
        <v>Sangat Rendah</v>
      </c>
      <c r="T567" s="2" t="str">
        <f t="shared" si="85"/>
        <v>FALSE</v>
      </c>
      <c r="U567" s="2" t="str">
        <f t="shared" si="86"/>
        <v>FALSE</v>
      </c>
      <c r="V567" s="2" t="b">
        <f t="shared" si="87"/>
        <v>0</v>
      </c>
      <c r="W567" s="2" t="b">
        <f t="shared" si="88"/>
        <v>0</v>
      </c>
      <c r="X567" s="2" t="b">
        <f t="shared" si="89"/>
        <v>1</v>
      </c>
    </row>
    <row r="568" spans="1:24" ht="10.5" customHeight="1">
      <c r="A568" s="2" t="s">
        <v>899</v>
      </c>
      <c r="B568" s="3">
        <v>45772.661793981482</v>
      </c>
      <c r="C568" s="2" t="s">
        <v>693</v>
      </c>
      <c r="D568" s="2" t="s">
        <v>114</v>
      </c>
      <c r="E568" s="2" t="s">
        <v>143</v>
      </c>
      <c r="F568" s="4">
        <v>10000</v>
      </c>
      <c r="G568" s="5">
        <v>0.5</v>
      </c>
      <c r="H568" s="6">
        <v>5</v>
      </c>
      <c r="I568" s="7">
        <f t="shared" si="80"/>
        <v>5000</v>
      </c>
      <c r="J568" s="7">
        <f t="shared" si="81"/>
        <v>250</v>
      </c>
      <c r="K568" s="7">
        <f t="shared" si="82"/>
        <v>4750</v>
      </c>
      <c r="L568" s="4">
        <v>78000</v>
      </c>
      <c r="M568" s="7">
        <f t="shared" si="83"/>
        <v>82750</v>
      </c>
      <c r="N568" s="2" t="s">
        <v>28</v>
      </c>
      <c r="O568" t="s">
        <v>22</v>
      </c>
      <c r="P568" s="2" t="s">
        <v>2366</v>
      </c>
      <c r="Q568" s="2">
        <v>5</v>
      </c>
      <c r="R568" s="2" t="s">
        <v>23</v>
      </c>
      <c r="S568" s="2" t="str">
        <f t="shared" si="84"/>
        <v>Rendah</v>
      </c>
      <c r="T568" s="2" t="str">
        <f t="shared" si="85"/>
        <v>TRUE</v>
      </c>
      <c r="U568" s="2" t="str">
        <f t="shared" si="86"/>
        <v>TRUE</v>
      </c>
      <c r="V568" s="2" t="b">
        <f t="shared" si="87"/>
        <v>0</v>
      </c>
      <c r="W568" s="2" t="b">
        <f t="shared" si="88"/>
        <v>0</v>
      </c>
      <c r="X568" s="2" t="b">
        <f t="shared" si="89"/>
        <v>0</v>
      </c>
    </row>
    <row r="569" spans="1:24" ht="10.5" customHeight="1">
      <c r="A569" s="2" t="s">
        <v>900</v>
      </c>
      <c r="B569" s="3">
        <v>45772.689745370371</v>
      </c>
      <c r="C569" s="2" t="s">
        <v>79</v>
      </c>
      <c r="D569" s="2" t="s">
        <v>74</v>
      </c>
      <c r="E569" s="2" t="s">
        <v>80</v>
      </c>
      <c r="F569" s="4">
        <v>15000</v>
      </c>
      <c r="G569" s="5">
        <v>2.2999999999999998</v>
      </c>
      <c r="H569" s="6">
        <v>5</v>
      </c>
      <c r="I569" s="7">
        <f t="shared" si="80"/>
        <v>34500</v>
      </c>
      <c r="J569" s="7">
        <f t="shared" si="81"/>
        <v>1725</v>
      </c>
      <c r="K569" s="7">
        <f t="shared" si="82"/>
        <v>32775</v>
      </c>
      <c r="L569" s="4">
        <v>74000</v>
      </c>
      <c r="M569" s="7">
        <f t="shared" si="83"/>
        <v>106775</v>
      </c>
      <c r="N569" s="2" t="s">
        <v>33</v>
      </c>
      <c r="O569" t="s">
        <v>69</v>
      </c>
      <c r="P569" s="2" t="s">
        <v>2370</v>
      </c>
      <c r="Q569" s="2">
        <v>5</v>
      </c>
      <c r="R569" s="2" t="s">
        <v>23</v>
      </c>
      <c r="S569" s="2" t="str">
        <f t="shared" si="84"/>
        <v>Standar</v>
      </c>
      <c r="T569" s="2" t="str">
        <f t="shared" si="85"/>
        <v>FALSE</v>
      </c>
      <c r="U569" s="2" t="str">
        <f t="shared" si="86"/>
        <v>FALSE</v>
      </c>
      <c r="V569" s="2" t="b">
        <f t="shared" si="87"/>
        <v>0</v>
      </c>
      <c r="W569" s="2" t="b">
        <f t="shared" si="88"/>
        <v>0</v>
      </c>
      <c r="X569" s="2" t="b">
        <f t="shared" si="89"/>
        <v>0</v>
      </c>
    </row>
    <row r="570" spans="1:24" ht="10.5" customHeight="1">
      <c r="A570" s="2" t="s">
        <v>901</v>
      </c>
      <c r="B570" s="3">
        <v>45772.75372685185</v>
      </c>
      <c r="C570" s="2" t="s">
        <v>802</v>
      </c>
      <c r="D570" s="2" t="s">
        <v>31</v>
      </c>
      <c r="E570" s="2" t="s">
        <v>41</v>
      </c>
      <c r="F570" s="4">
        <v>40000</v>
      </c>
      <c r="G570" s="5">
        <v>1.6</v>
      </c>
      <c r="H570" s="6">
        <v>5</v>
      </c>
      <c r="I570" s="7">
        <f t="shared" si="80"/>
        <v>64000</v>
      </c>
      <c r="J570" s="7">
        <f t="shared" si="81"/>
        <v>3200</v>
      </c>
      <c r="K570" s="7">
        <f t="shared" si="82"/>
        <v>60800</v>
      </c>
      <c r="L570" s="4">
        <v>76000</v>
      </c>
      <c r="M570" s="7">
        <f t="shared" si="83"/>
        <v>136800</v>
      </c>
      <c r="N570" s="2" t="s">
        <v>28</v>
      </c>
      <c r="O570" t="s">
        <v>22</v>
      </c>
      <c r="P570" s="2" t="s">
        <v>2367</v>
      </c>
      <c r="Q570" s="2">
        <v>1</v>
      </c>
      <c r="R570" s="2" t="s">
        <v>23</v>
      </c>
      <c r="S570" s="2" t="str">
        <f t="shared" si="84"/>
        <v>Standar</v>
      </c>
      <c r="T570" s="2" t="str">
        <f t="shared" si="85"/>
        <v>FALSE</v>
      </c>
      <c r="U570" s="2" t="str">
        <f t="shared" si="86"/>
        <v>FALSE</v>
      </c>
      <c r="V570" s="2" t="b">
        <f t="shared" si="87"/>
        <v>0</v>
      </c>
      <c r="W570" s="2" t="b">
        <f t="shared" si="88"/>
        <v>1</v>
      </c>
      <c r="X570" s="2" t="b">
        <f t="shared" si="89"/>
        <v>0</v>
      </c>
    </row>
    <row r="571" spans="1:24" ht="10.5" customHeight="1">
      <c r="A571" s="2" t="s">
        <v>901</v>
      </c>
      <c r="B571" s="3">
        <v>45772.75372685185</v>
      </c>
      <c r="C571" s="2" t="s">
        <v>802</v>
      </c>
      <c r="D571" s="2" t="s">
        <v>31</v>
      </c>
      <c r="E571" s="2" t="s">
        <v>80</v>
      </c>
      <c r="F571" s="4">
        <v>15000</v>
      </c>
      <c r="G571" s="5">
        <v>1.7</v>
      </c>
      <c r="H571" s="6">
        <v>5</v>
      </c>
      <c r="I571" s="7">
        <f t="shared" si="80"/>
        <v>25500</v>
      </c>
      <c r="J571" s="7">
        <f t="shared" si="81"/>
        <v>1275</v>
      </c>
      <c r="K571" s="7">
        <f t="shared" si="82"/>
        <v>24225</v>
      </c>
      <c r="L571" s="4">
        <v>0</v>
      </c>
      <c r="M571" s="7">
        <f t="shared" si="83"/>
        <v>24225</v>
      </c>
      <c r="N571" s="2" t="s">
        <v>28</v>
      </c>
      <c r="O571" t="s">
        <v>22</v>
      </c>
      <c r="P571" s="2" t="s">
        <v>2367</v>
      </c>
      <c r="Q571" s="2">
        <v>1</v>
      </c>
      <c r="R571" s="2" t="s">
        <v>23</v>
      </c>
      <c r="S571" s="2" t="str">
        <f t="shared" si="84"/>
        <v>Sangat Rendah</v>
      </c>
      <c r="T571" s="2" t="str">
        <f t="shared" si="85"/>
        <v>FALSE</v>
      </c>
      <c r="U571" s="2" t="str">
        <f t="shared" si="86"/>
        <v>FALSE</v>
      </c>
      <c r="V571" s="2" t="b">
        <f t="shared" si="87"/>
        <v>0</v>
      </c>
      <c r="W571" s="2" t="b">
        <f t="shared" si="88"/>
        <v>1</v>
      </c>
      <c r="X571" s="2" t="b">
        <f t="shared" si="89"/>
        <v>1</v>
      </c>
    </row>
    <row r="572" spans="1:24" ht="10.5" customHeight="1">
      <c r="A572" s="2" t="s">
        <v>902</v>
      </c>
      <c r="B572" s="3">
        <v>45772.763541666667</v>
      </c>
      <c r="C572" s="2" t="s">
        <v>609</v>
      </c>
      <c r="D572" s="2" t="s">
        <v>425</v>
      </c>
      <c r="E572" s="2" t="s">
        <v>65</v>
      </c>
      <c r="F572" s="4">
        <v>46000</v>
      </c>
      <c r="G572" s="5">
        <v>0.3</v>
      </c>
      <c r="H572" s="6">
        <v>5</v>
      </c>
      <c r="I572" s="7">
        <f t="shared" si="80"/>
        <v>13800</v>
      </c>
      <c r="J572" s="7">
        <f t="shared" si="81"/>
        <v>690</v>
      </c>
      <c r="K572" s="7">
        <f t="shared" si="82"/>
        <v>13110</v>
      </c>
      <c r="L572" s="4">
        <v>67000</v>
      </c>
      <c r="M572" s="7">
        <f t="shared" si="83"/>
        <v>80110</v>
      </c>
      <c r="N572" s="2" t="s">
        <v>33</v>
      </c>
      <c r="O572" t="s">
        <v>22</v>
      </c>
      <c r="P572" s="2" t="s">
        <v>2368</v>
      </c>
      <c r="Q572" s="2">
        <v>4</v>
      </c>
      <c r="R572" s="2" t="s">
        <v>23</v>
      </c>
      <c r="S572" s="2" t="str">
        <f t="shared" si="84"/>
        <v>Rendah</v>
      </c>
      <c r="T572" s="2" t="str">
        <f t="shared" si="85"/>
        <v>FALSE</v>
      </c>
      <c r="U572" s="2" t="str">
        <f t="shared" si="86"/>
        <v>FALSE</v>
      </c>
      <c r="V572" s="2" t="b">
        <f t="shared" si="87"/>
        <v>0</v>
      </c>
      <c r="W572" s="2" t="b">
        <f t="shared" si="88"/>
        <v>0</v>
      </c>
      <c r="X572" s="2" t="b">
        <f t="shared" si="89"/>
        <v>0</v>
      </c>
    </row>
    <row r="573" spans="1:24" ht="10.5" customHeight="1">
      <c r="A573" s="2" t="s">
        <v>903</v>
      </c>
      <c r="B573" s="3">
        <v>45772.830601851849</v>
      </c>
      <c r="C573" s="2" t="s">
        <v>375</v>
      </c>
      <c r="D573" s="2" t="s">
        <v>365</v>
      </c>
      <c r="E573" s="2" t="s">
        <v>57</v>
      </c>
      <c r="F573" s="4">
        <v>17500</v>
      </c>
      <c r="G573" s="5">
        <v>1.4</v>
      </c>
      <c r="H573" s="6">
        <v>5</v>
      </c>
      <c r="I573" s="7">
        <f t="shared" si="80"/>
        <v>24500</v>
      </c>
      <c r="J573" s="7">
        <f t="shared" si="81"/>
        <v>1225</v>
      </c>
      <c r="K573" s="7">
        <f t="shared" si="82"/>
        <v>23275</v>
      </c>
      <c r="L573" s="4">
        <v>21000</v>
      </c>
      <c r="M573" s="7">
        <f t="shared" si="83"/>
        <v>44275</v>
      </c>
      <c r="N573" s="2" t="s">
        <v>33</v>
      </c>
      <c r="O573" t="s">
        <v>22</v>
      </c>
      <c r="P573" s="2" t="s">
        <v>2370</v>
      </c>
      <c r="Q573" s="2">
        <v>5</v>
      </c>
      <c r="R573" s="2" t="s">
        <v>23</v>
      </c>
      <c r="S573" s="2" t="str">
        <f t="shared" si="84"/>
        <v>Sangat Rendah</v>
      </c>
      <c r="T573" s="2" t="str">
        <f t="shared" si="85"/>
        <v>FALSE</v>
      </c>
      <c r="U573" s="2" t="str">
        <f t="shared" si="86"/>
        <v>FALSE</v>
      </c>
      <c r="V573" s="2" t="b">
        <f t="shared" si="87"/>
        <v>0</v>
      </c>
      <c r="W573" s="2" t="b">
        <f t="shared" si="88"/>
        <v>0</v>
      </c>
      <c r="X573" s="2" t="b">
        <f t="shared" si="89"/>
        <v>1</v>
      </c>
    </row>
    <row r="574" spans="1:24" ht="10.5" customHeight="1">
      <c r="A574" s="2" t="s">
        <v>904</v>
      </c>
      <c r="B574" s="3">
        <v>45772.917129629634</v>
      </c>
      <c r="C574" s="2" t="s">
        <v>263</v>
      </c>
      <c r="D574" s="2" t="s">
        <v>185</v>
      </c>
      <c r="E574" s="2" t="s">
        <v>57</v>
      </c>
      <c r="F574" s="4">
        <v>17500</v>
      </c>
      <c r="G574" s="5">
        <v>3.5</v>
      </c>
      <c r="H574" s="6">
        <v>5</v>
      </c>
      <c r="I574" s="7">
        <f t="shared" si="80"/>
        <v>61250</v>
      </c>
      <c r="J574" s="7">
        <f t="shared" si="81"/>
        <v>3062.5</v>
      </c>
      <c r="K574" s="7">
        <f t="shared" si="82"/>
        <v>58187.5</v>
      </c>
      <c r="L574" s="4">
        <v>87000</v>
      </c>
      <c r="M574" s="7">
        <f t="shared" si="83"/>
        <v>145187.5</v>
      </c>
      <c r="N574" s="2" t="s">
        <v>33</v>
      </c>
      <c r="O574" t="s">
        <v>22</v>
      </c>
      <c r="P574" s="2" t="s">
        <v>2367</v>
      </c>
      <c r="Q574" s="2">
        <v>4</v>
      </c>
      <c r="R574" s="2" t="s">
        <v>23</v>
      </c>
      <c r="S574" s="2" t="str">
        <f t="shared" si="84"/>
        <v>Standar</v>
      </c>
      <c r="T574" s="2" t="str">
        <f t="shared" si="85"/>
        <v>FALSE</v>
      </c>
      <c r="U574" s="2" t="str">
        <f t="shared" si="86"/>
        <v>FALSE</v>
      </c>
      <c r="V574" s="2" t="b">
        <f t="shared" si="87"/>
        <v>0</v>
      </c>
      <c r="W574" s="2" t="b">
        <f t="shared" si="88"/>
        <v>1</v>
      </c>
      <c r="X574" s="2" t="b">
        <f t="shared" si="89"/>
        <v>0</v>
      </c>
    </row>
    <row r="575" spans="1:24" ht="10.5" customHeight="1">
      <c r="A575" s="2" t="s">
        <v>905</v>
      </c>
      <c r="B575" s="3">
        <v>45772.964513888888</v>
      </c>
      <c r="C575" s="2" t="s">
        <v>906</v>
      </c>
      <c r="D575" s="2" t="s">
        <v>87</v>
      </c>
      <c r="E575" s="2" t="s">
        <v>27</v>
      </c>
      <c r="F575" s="4">
        <v>15000</v>
      </c>
      <c r="G575" s="5">
        <v>0.9</v>
      </c>
      <c r="H575" s="6">
        <v>5</v>
      </c>
      <c r="I575" s="7">
        <f t="shared" si="80"/>
        <v>13500</v>
      </c>
      <c r="J575" s="7">
        <f t="shared" si="81"/>
        <v>675</v>
      </c>
      <c r="K575" s="7">
        <f t="shared" si="82"/>
        <v>12825</v>
      </c>
      <c r="L575" s="4">
        <v>49000</v>
      </c>
      <c r="M575" s="7">
        <f t="shared" si="83"/>
        <v>61825</v>
      </c>
      <c r="N575" s="2" t="s">
        <v>21</v>
      </c>
      <c r="O575" t="s">
        <v>22</v>
      </c>
      <c r="P575" s="2" t="s">
        <v>2365</v>
      </c>
      <c r="Q575" s="2">
        <v>4</v>
      </c>
      <c r="R575" s="2" t="s">
        <v>23</v>
      </c>
      <c r="S575" s="2" t="str">
        <f t="shared" si="84"/>
        <v>Rendah</v>
      </c>
      <c r="T575" s="2" t="str">
        <f t="shared" si="85"/>
        <v>FALSE</v>
      </c>
      <c r="U575" s="2" t="str">
        <f t="shared" si="86"/>
        <v>FALSE</v>
      </c>
      <c r="V575" s="2" t="b">
        <f t="shared" si="87"/>
        <v>0</v>
      </c>
      <c r="W575" s="2" t="b">
        <f t="shared" si="88"/>
        <v>0</v>
      </c>
      <c r="X575" s="2" t="b">
        <f t="shared" si="89"/>
        <v>0</v>
      </c>
    </row>
    <row r="576" spans="1:24" ht="10.5" customHeight="1">
      <c r="A576" s="2" t="s">
        <v>907</v>
      </c>
      <c r="B576" s="3">
        <v>45773.49287037037</v>
      </c>
      <c r="C576" s="2" t="s">
        <v>908</v>
      </c>
      <c r="D576" s="2" t="s">
        <v>286</v>
      </c>
      <c r="E576" s="2" t="s">
        <v>161</v>
      </c>
      <c r="F576" s="4">
        <v>115000</v>
      </c>
      <c r="G576" s="5">
        <v>0.7</v>
      </c>
      <c r="H576" s="6">
        <v>0</v>
      </c>
      <c r="I576" s="7">
        <f t="shared" si="80"/>
        <v>80500</v>
      </c>
      <c r="J576" s="7">
        <f t="shared" si="81"/>
        <v>0</v>
      </c>
      <c r="K576" s="7">
        <f t="shared" si="82"/>
        <v>80500</v>
      </c>
      <c r="L576" s="4">
        <v>79000</v>
      </c>
      <c r="M576" s="7">
        <f t="shared" si="83"/>
        <v>159500</v>
      </c>
      <c r="N576" s="2" t="s">
        <v>58</v>
      </c>
      <c r="O576" t="s">
        <v>22</v>
      </c>
      <c r="P576" s="2" t="s">
        <v>2366</v>
      </c>
      <c r="Q576" s="2">
        <v>2</v>
      </c>
      <c r="R576" s="2" t="s">
        <v>23</v>
      </c>
      <c r="S576" s="2" t="str">
        <f t="shared" si="84"/>
        <v>Tinggi</v>
      </c>
      <c r="T576" s="2" t="str">
        <f t="shared" si="85"/>
        <v>FALSE</v>
      </c>
      <c r="U576" s="2" t="str">
        <f t="shared" si="86"/>
        <v>TRUE</v>
      </c>
      <c r="V576" s="2" t="b">
        <f t="shared" si="87"/>
        <v>0</v>
      </c>
      <c r="W576" s="2" t="b">
        <f t="shared" si="88"/>
        <v>0</v>
      </c>
      <c r="X576" s="2" t="b">
        <f t="shared" si="89"/>
        <v>0</v>
      </c>
    </row>
    <row r="577" spans="1:24" ht="10.5" customHeight="1">
      <c r="A577" s="2" t="s">
        <v>909</v>
      </c>
      <c r="B577" s="3">
        <v>45773.528819444437</v>
      </c>
      <c r="C577" s="2" t="s">
        <v>194</v>
      </c>
      <c r="D577" s="2" t="s">
        <v>19</v>
      </c>
      <c r="E577" s="2" t="s">
        <v>45</v>
      </c>
      <c r="F577" s="4">
        <v>10500</v>
      </c>
      <c r="G577" s="5">
        <v>1.8</v>
      </c>
      <c r="H577" s="6">
        <v>0</v>
      </c>
      <c r="I577" s="7">
        <f t="shared" si="80"/>
        <v>18900</v>
      </c>
      <c r="J577" s="7">
        <f t="shared" si="81"/>
        <v>0</v>
      </c>
      <c r="K577" s="7">
        <f t="shared" si="82"/>
        <v>18900</v>
      </c>
      <c r="L577" s="4">
        <v>15000</v>
      </c>
      <c r="M577" s="7">
        <f t="shared" si="83"/>
        <v>33900</v>
      </c>
      <c r="N577" s="2" t="s">
        <v>58</v>
      </c>
      <c r="O577" t="s">
        <v>22</v>
      </c>
      <c r="P577" s="2" t="s">
        <v>2368</v>
      </c>
      <c r="Q577" s="2">
        <v>4</v>
      </c>
      <c r="R577" s="2" t="s">
        <v>23</v>
      </c>
      <c r="S577" s="2" t="str">
        <f t="shared" si="84"/>
        <v>Sangat Rendah</v>
      </c>
      <c r="T577" s="2" t="str">
        <f t="shared" si="85"/>
        <v>FALSE</v>
      </c>
      <c r="U577" s="2" t="str">
        <f t="shared" si="86"/>
        <v>FALSE</v>
      </c>
      <c r="V577" s="2" t="b">
        <f t="shared" si="87"/>
        <v>0</v>
      </c>
      <c r="W577" s="2" t="b">
        <f t="shared" si="88"/>
        <v>0</v>
      </c>
      <c r="X577" s="2" t="b">
        <f t="shared" si="89"/>
        <v>1</v>
      </c>
    </row>
    <row r="578" spans="1:24" ht="10.5" customHeight="1">
      <c r="A578" s="2" t="s">
        <v>910</v>
      </c>
      <c r="B578" s="3">
        <v>45773.54760416667</v>
      </c>
      <c r="C578" s="2" t="s">
        <v>311</v>
      </c>
      <c r="D578" s="2" t="s">
        <v>74</v>
      </c>
      <c r="E578" s="2" t="s">
        <v>32</v>
      </c>
      <c r="F578" s="4">
        <v>20000</v>
      </c>
      <c r="G578" s="5">
        <v>2.8</v>
      </c>
      <c r="H578" s="6">
        <v>0</v>
      </c>
      <c r="I578" s="7">
        <f t="shared" si="80"/>
        <v>56000</v>
      </c>
      <c r="J578" s="7">
        <f t="shared" si="81"/>
        <v>0</v>
      </c>
      <c r="K578" s="7">
        <f t="shared" si="82"/>
        <v>56000</v>
      </c>
      <c r="L578" s="4">
        <v>74000</v>
      </c>
      <c r="M578" s="7">
        <f t="shared" si="83"/>
        <v>130000</v>
      </c>
      <c r="N578" s="2" t="s">
        <v>33</v>
      </c>
      <c r="O578" t="s">
        <v>22</v>
      </c>
      <c r="P578" s="2" t="s">
        <v>2370</v>
      </c>
      <c r="Q578" s="2">
        <v>3</v>
      </c>
      <c r="R578" s="2" t="s">
        <v>23</v>
      </c>
      <c r="S578" s="2" t="str">
        <f t="shared" si="84"/>
        <v>Standar</v>
      </c>
      <c r="T578" s="2" t="str">
        <f t="shared" si="85"/>
        <v>FALSE</v>
      </c>
      <c r="U578" s="2" t="str">
        <f t="shared" si="86"/>
        <v>FALSE</v>
      </c>
      <c r="V578" s="2" t="b">
        <f t="shared" si="87"/>
        <v>0</v>
      </c>
      <c r="W578" s="2" t="b">
        <f t="shared" si="88"/>
        <v>0</v>
      </c>
      <c r="X578" s="2" t="b">
        <f t="shared" si="89"/>
        <v>0</v>
      </c>
    </row>
    <row r="579" spans="1:24" ht="10.5" customHeight="1">
      <c r="A579" s="2" t="s">
        <v>911</v>
      </c>
      <c r="B579" s="3">
        <v>45773.56863425926</v>
      </c>
      <c r="C579" s="2" t="s">
        <v>912</v>
      </c>
      <c r="D579" s="2" t="s">
        <v>31</v>
      </c>
      <c r="E579" s="2" t="s">
        <v>95</v>
      </c>
      <c r="F579" s="4">
        <v>9500</v>
      </c>
      <c r="G579" s="5">
        <v>2.2000000000000002</v>
      </c>
      <c r="H579" s="6">
        <v>0</v>
      </c>
      <c r="I579" s="7">
        <f t="shared" si="80"/>
        <v>20900</v>
      </c>
      <c r="J579" s="7">
        <f t="shared" si="81"/>
        <v>0</v>
      </c>
      <c r="K579" s="7">
        <f t="shared" si="82"/>
        <v>20900</v>
      </c>
      <c r="L579" s="4">
        <v>76000</v>
      </c>
      <c r="M579" s="7">
        <f t="shared" si="83"/>
        <v>96900</v>
      </c>
      <c r="N579" s="2" t="s">
        <v>28</v>
      </c>
      <c r="O579" t="s">
        <v>69</v>
      </c>
      <c r="P579" s="2" t="s">
        <v>2367</v>
      </c>
      <c r="Q579" s="2">
        <v>3</v>
      </c>
      <c r="R579" s="2" t="s">
        <v>34</v>
      </c>
      <c r="S579" s="2" t="str">
        <f t="shared" si="84"/>
        <v>Rendah</v>
      </c>
      <c r="T579" s="2" t="str">
        <f t="shared" si="85"/>
        <v>FALSE</v>
      </c>
      <c r="U579" s="2" t="str">
        <f t="shared" si="86"/>
        <v>FALSE</v>
      </c>
      <c r="V579" s="2" t="b">
        <f t="shared" si="87"/>
        <v>0</v>
      </c>
      <c r="W579" s="2" t="b">
        <f t="shared" si="88"/>
        <v>1</v>
      </c>
      <c r="X579" s="2" t="b">
        <f t="shared" si="89"/>
        <v>0</v>
      </c>
    </row>
    <row r="580" spans="1:24" ht="10.5" customHeight="1">
      <c r="A580" s="2" t="s">
        <v>913</v>
      </c>
      <c r="B580" s="3">
        <v>45773.612060185187</v>
      </c>
      <c r="C580" s="2" t="s">
        <v>914</v>
      </c>
      <c r="D580" s="2" t="s">
        <v>19</v>
      </c>
      <c r="E580" s="2" t="s">
        <v>182</v>
      </c>
      <c r="F580" s="4">
        <v>11000</v>
      </c>
      <c r="G580" s="5">
        <v>0.7</v>
      </c>
      <c r="H580" s="6">
        <v>0</v>
      </c>
      <c r="I580" s="7">
        <f t="shared" ref="I580:I643" si="90">F580*G580</f>
        <v>7699.9999999999991</v>
      </c>
      <c r="J580" s="7">
        <f t="shared" ref="J580:J643" si="91">I580*(H580/100)</f>
        <v>0</v>
      </c>
      <c r="K580" s="7">
        <f t="shared" ref="K580:K643" si="92">I580-J580</f>
        <v>7699.9999999999991</v>
      </c>
      <c r="L580" s="4">
        <v>15000</v>
      </c>
      <c r="M580" s="7">
        <f t="shared" ref="M580:M643" si="93">K580+L580</f>
        <v>22700</v>
      </c>
      <c r="N580" s="2" t="s">
        <v>33</v>
      </c>
      <c r="O580" t="s">
        <v>22</v>
      </c>
      <c r="P580" s="2" t="s">
        <v>2366</v>
      </c>
      <c r="Q580" s="2">
        <v>1</v>
      </c>
      <c r="R580" s="2" t="s">
        <v>34</v>
      </c>
      <c r="S580" s="2" t="str">
        <f t="shared" ref="S580:S643" si="94">IF(M580&lt;=50000,"Sangat Rendah",IF(M580&lt;=100000,"Rendah",IF(M580&lt;=150000,"Standar",IF(M580&lt;=200000,"Tinggi","Sangat Tinggi"))))</f>
        <v>Sangat Rendah</v>
      </c>
      <c r="T580" s="2" t="str">
        <f t="shared" ref="T580:T643" si="95">IF(AND(S580="Rendah",D580="Yogyakarta"),"TRUE","FALSE")</f>
        <v>FALSE</v>
      </c>
      <c r="U580" s="2" t="str">
        <f t="shared" ref="U580:U643" si="96">IF(OR(S580="Tinggi",E580="Bayam"),"TRUE","FALSE")</f>
        <v>FALSE</v>
      </c>
      <c r="V580" s="2" t="b">
        <f t="shared" ref="V580:V643" si="97">IF(AND(S580="Standar",N580="Transef Bank"),TRUE,FALSE)</f>
        <v>0</v>
      </c>
      <c r="W580" s="2" t="b">
        <f t="shared" ref="W580:W643" si="98">IF(OR(S580="Sangat Tinggi",P580="FoodMart"),TRUE,FALSE)</f>
        <v>0</v>
      </c>
      <c r="X580" s="2" t="b">
        <f t="shared" ref="X580:X643" si="99">IF(AND(S580="Sangat Rendah",R580="Perempuan"),TRUE,FALSE)</f>
        <v>0</v>
      </c>
    </row>
    <row r="581" spans="1:24" ht="10.5" customHeight="1">
      <c r="A581" s="2" t="s">
        <v>915</v>
      </c>
      <c r="B581" s="3">
        <v>45773.727465277778</v>
      </c>
      <c r="C581" s="2" t="s">
        <v>784</v>
      </c>
      <c r="D581" s="2" t="s">
        <v>56</v>
      </c>
      <c r="E581" s="2" t="s">
        <v>53</v>
      </c>
      <c r="F581" s="4">
        <v>14000</v>
      </c>
      <c r="G581" s="5">
        <v>1</v>
      </c>
      <c r="H581" s="6">
        <v>0</v>
      </c>
      <c r="I581" s="7">
        <f t="shared" si="90"/>
        <v>14000</v>
      </c>
      <c r="J581" s="7">
        <f t="shared" si="91"/>
        <v>0</v>
      </c>
      <c r="K581" s="7">
        <f t="shared" si="92"/>
        <v>14000</v>
      </c>
      <c r="L581" s="4">
        <v>26000</v>
      </c>
      <c r="M581" s="7">
        <f t="shared" si="93"/>
        <v>40000</v>
      </c>
      <c r="N581" s="2" t="s">
        <v>28</v>
      </c>
      <c r="O581" t="s">
        <v>22</v>
      </c>
      <c r="P581" s="2" t="s">
        <v>2366</v>
      </c>
      <c r="Q581" s="2">
        <v>5</v>
      </c>
      <c r="R581" s="2" t="s">
        <v>34</v>
      </c>
      <c r="S581" s="2" t="str">
        <f t="shared" si="94"/>
        <v>Sangat Rendah</v>
      </c>
      <c r="T581" s="2" t="str">
        <f t="shared" si="95"/>
        <v>FALSE</v>
      </c>
      <c r="U581" s="2" t="str">
        <f t="shared" si="96"/>
        <v>FALSE</v>
      </c>
      <c r="V581" s="2" t="b">
        <f t="shared" si="97"/>
        <v>0</v>
      </c>
      <c r="W581" s="2" t="b">
        <f t="shared" si="98"/>
        <v>0</v>
      </c>
      <c r="X581" s="2" t="b">
        <f t="shared" si="99"/>
        <v>0</v>
      </c>
    </row>
    <row r="582" spans="1:24" ht="10.5" customHeight="1">
      <c r="A582" s="2" t="s">
        <v>916</v>
      </c>
      <c r="B582" s="3">
        <v>45773.728136574071</v>
      </c>
      <c r="C582" s="2" t="s">
        <v>857</v>
      </c>
      <c r="D582" s="2" t="s">
        <v>19</v>
      </c>
      <c r="E582" s="2" t="s">
        <v>80</v>
      </c>
      <c r="F582" s="4">
        <v>15000</v>
      </c>
      <c r="G582" s="5">
        <v>1.1000000000000001</v>
      </c>
      <c r="H582" s="6">
        <v>0</v>
      </c>
      <c r="I582" s="7">
        <f t="shared" si="90"/>
        <v>16500</v>
      </c>
      <c r="J582" s="7">
        <f t="shared" si="91"/>
        <v>0</v>
      </c>
      <c r="K582" s="7">
        <f t="shared" si="92"/>
        <v>16500</v>
      </c>
      <c r="L582" s="4">
        <v>15000</v>
      </c>
      <c r="M582" s="7">
        <f t="shared" si="93"/>
        <v>31500</v>
      </c>
      <c r="N582" s="2" t="s">
        <v>58</v>
      </c>
      <c r="O582" t="s">
        <v>22</v>
      </c>
      <c r="P582" s="2" t="s">
        <v>2370</v>
      </c>
      <c r="Q582" s="2">
        <v>3</v>
      </c>
      <c r="R582" s="2" t="s">
        <v>34</v>
      </c>
      <c r="S582" s="2" t="str">
        <f t="shared" si="94"/>
        <v>Sangat Rendah</v>
      </c>
      <c r="T582" s="2" t="str">
        <f t="shared" si="95"/>
        <v>FALSE</v>
      </c>
      <c r="U582" s="2" t="str">
        <f t="shared" si="96"/>
        <v>FALSE</v>
      </c>
      <c r="V582" s="2" t="b">
        <f t="shared" si="97"/>
        <v>0</v>
      </c>
      <c r="W582" s="2" t="b">
        <f t="shared" si="98"/>
        <v>0</v>
      </c>
      <c r="X582" s="2" t="b">
        <f t="shared" si="99"/>
        <v>0</v>
      </c>
    </row>
    <row r="583" spans="1:24" ht="10.5" customHeight="1">
      <c r="A583" s="2" t="s">
        <v>917</v>
      </c>
      <c r="B583" s="3">
        <v>45773.786041666674</v>
      </c>
      <c r="C583" s="2" t="s">
        <v>271</v>
      </c>
      <c r="D583" s="2" t="s">
        <v>140</v>
      </c>
      <c r="E583" s="2" t="s">
        <v>45</v>
      </c>
      <c r="F583" s="4">
        <v>10500</v>
      </c>
      <c r="G583" s="5">
        <v>2.2000000000000002</v>
      </c>
      <c r="H583" s="6">
        <v>0</v>
      </c>
      <c r="I583" s="7">
        <f t="shared" si="90"/>
        <v>23100.000000000004</v>
      </c>
      <c r="J583" s="7">
        <f t="shared" si="91"/>
        <v>0</v>
      </c>
      <c r="K583" s="7">
        <f t="shared" si="92"/>
        <v>23100.000000000004</v>
      </c>
      <c r="L583" s="4">
        <v>55000</v>
      </c>
      <c r="M583" s="7">
        <f t="shared" si="93"/>
        <v>78100</v>
      </c>
      <c r="N583" s="2" t="s">
        <v>21</v>
      </c>
      <c r="O583" t="s">
        <v>69</v>
      </c>
      <c r="P583" s="2" t="s">
        <v>2367</v>
      </c>
      <c r="Q583" s="2">
        <v>2</v>
      </c>
      <c r="R583" s="2" t="s">
        <v>23</v>
      </c>
      <c r="S583" s="2" t="str">
        <f t="shared" si="94"/>
        <v>Rendah</v>
      </c>
      <c r="T583" s="2" t="str">
        <f t="shared" si="95"/>
        <v>FALSE</v>
      </c>
      <c r="U583" s="2" t="str">
        <f t="shared" si="96"/>
        <v>FALSE</v>
      </c>
      <c r="V583" s="2" t="b">
        <f t="shared" si="97"/>
        <v>0</v>
      </c>
      <c r="W583" s="2" t="b">
        <f t="shared" si="98"/>
        <v>1</v>
      </c>
      <c r="X583" s="2" t="b">
        <f t="shared" si="99"/>
        <v>0</v>
      </c>
    </row>
    <row r="584" spans="1:24" ht="10.5" customHeight="1">
      <c r="A584" s="2" t="s">
        <v>918</v>
      </c>
      <c r="B584" s="3">
        <v>45773.786828703713</v>
      </c>
      <c r="C584" s="2" t="s">
        <v>639</v>
      </c>
      <c r="D584" s="2" t="s">
        <v>167</v>
      </c>
      <c r="E584" s="2" t="s">
        <v>57</v>
      </c>
      <c r="F584" s="4">
        <v>17500</v>
      </c>
      <c r="G584" s="5">
        <v>0.8</v>
      </c>
      <c r="H584" s="6">
        <v>0</v>
      </c>
      <c r="I584" s="7">
        <f t="shared" si="90"/>
        <v>14000</v>
      </c>
      <c r="J584" s="7">
        <f t="shared" si="91"/>
        <v>0</v>
      </c>
      <c r="K584" s="7">
        <f t="shared" si="92"/>
        <v>14000</v>
      </c>
      <c r="L584" s="4">
        <v>56000</v>
      </c>
      <c r="M584" s="7">
        <f t="shared" si="93"/>
        <v>70000</v>
      </c>
      <c r="N584" s="2" t="s">
        <v>58</v>
      </c>
      <c r="O584" t="s">
        <v>22</v>
      </c>
      <c r="P584" s="2" t="s">
        <v>2365</v>
      </c>
      <c r="Q584" s="2">
        <v>1</v>
      </c>
      <c r="R584" s="2" t="s">
        <v>23</v>
      </c>
      <c r="S584" s="2" t="str">
        <f t="shared" si="94"/>
        <v>Rendah</v>
      </c>
      <c r="T584" s="2" t="str">
        <f t="shared" si="95"/>
        <v>FALSE</v>
      </c>
      <c r="U584" s="2" t="str">
        <f t="shared" si="96"/>
        <v>FALSE</v>
      </c>
      <c r="V584" s="2" t="b">
        <f t="shared" si="97"/>
        <v>0</v>
      </c>
      <c r="W584" s="2" t="b">
        <f t="shared" si="98"/>
        <v>0</v>
      </c>
      <c r="X584" s="2" t="b">
        <f t="shared" si="99"/>
        <v>0</v>
      </c>
    </row>
    <row r="585" spans="1:24" ht="10.5" customHeight="1">
      <c r="A585" s="2" t="s">
        <v>919</v>
      </c>
      <c r="B585" s="3">
        <v>45773.802997685183</v>
      </c>
      <c r="C585" s="2" t="s">
        <v>572</v>
      </c>
      <c r="D585" s="2" t="s">
        <v>425</v>
      </c>
      <c r="E585" s="2" t="s">
        <v>20</v>
      </c>
      <c r="F585" s="4">
        <v>10000</v>
      </c>
      <c r="G585" s="5">
        <v>3.1</v>
      </c>
      <c r="H585" s="6">
        <v>0</v>
      </c>
      <c r="I585" s="7">
        <f t="shared" si="90"/>
        <v>31000</v>
      </c>
      <c r="J585" s="7">
        <f t="shared" si="91"/>
        <v>0</v>
      </c>
      <c r="K585" s="7">
        <f t="shared" si="92"/>
        <v>31000</v>
      </c>
      <c r="L585" s="4">
        <v>67000</v>
      </c>
      <c r="M585" s="7">
        <f t="shared" si="93"/>
        <v>98000</v>
      </c>
      <c r="N585" s="2" t="s">
        <v>21</v>
      </c>
      <c r="O585" t="s">
        <v>22</v>
      </c>
      <c r="P585" s="2" t="s">
        <v>2366</v>
      </c>
      <c r="Q585" s="2">
        <v>3</v>
      </c>
      <c r="R585" s="2" t="s">
        <v>23</v>
      </c>
      <c r="S585" s="2" t="str">
        <f t="shared" si="94"/>
        <v>Rendah</v>
      </c>
      <c r="T585" s="2" t="str">
        <f t="shared" si="95"/>
        <v>FALSE</v>
      </c>
      <c r="U585" s="2" t="str">
        <f t="shared" si="96"/>
        <v>FALSE</v>
      </c>
      <c r="V585" s="2" t="b">
        <f t="shared" si="97"/>
        <v>0</v>
      </c>
      <c r="W585" s="2" t="b">
        <f t="shared" si="98"/>
        <v>0</v>
      </c>
      <c r="X585" s="2" t="b">
        <f t="shared" si="99"/>
        <v>0</v>
      </c>
    </row>
    <row r="586" spans="1:24" ht="10.5" customHeight="1">
      <c r="A586" s="2" t="s">
        <v>919</v>
      </c>
      <c r="B586" s="3">
        <v>45773.802997685183</v>
      </c>
      <c r="C586" s="2" t="s">
        <v>572</v>
      </c>
      <c r="D586" s="2" t="s">
        <v>425</v>
      </c>
      <c r="E586" s="2" t="s">
        <v>41</v>
      </c>
      <c r="F586" s="4">
        <v>40000</v>
      </c>
      <c r="G586" s="5">
        <v>1.7</v>
      </c>
      <c r="H586" s="6">
        <v>0</v>
      </c>
      <c r="I586" s="7">
        <f t="shared" si="90"/>
        <v>68000</v>
      </c>
      <c r="J586" s="7">
        <f t="shared" si="91"/>
        <v>0</v>
      </c>
      <c r="K586" s="7">
        <f t="shared" si="92"/>
        <v>68000</v>
      </c>
      <c r="L586" s="4">
        <v>0</v>
      </c>
      <c r="M586" s="7">
        <f t="shared" si="93"/>
        <v>68000</v>
      </c>
      <c r="N586" s="2" t="s">
        <v>21</v>
      </c>
      <c r="O586" t="s">
        <v>22</v>
      </c>
      <c r="P586" s="2" t="s">
        <v>2366</v>
      </c>
      <c r="Q586" s="2">
        <v>3</v>
      </c>
      <c r="R586" s="2" t="s">
        <v>23</v>
      </c>
      <c r="S586" s="2" t="str">
        <f t="shared" si="94"/>
        <v>Rendah</v>
      </c>
      <c r="T586" s="2" t="str">
        <f t="shared" si="95"/>
        <v>FALSE</v>
      </c>
      <c r="U586" s="2" t="str">
        <f t="shared" si="96"/>
        <v>FALSE</v>
      </c>
      <c r="V586" s="2" t="b">
        <f t="shared" si="97"/>
        <v>0</v>
      </c>
      <c r="W586" s="2" t="b">
        <f t="shared" si="98"/>
        <v>0</v>
      </c>
      <c r="X586" s="2" t="b">
        <f t="shared" si="99"/>
        <v>0</v>
      </c>
    </row>
    <row r="587" spans="1:24" ht="10.5" customHeight="1">
      <c r="A587" s="2" t="s">
        <v>920</v>
      </c>
      <c r="B587" s="3">
        <v>45773.804155092592</v>
      </c>
      <c r="C587" s="2" t="s">
        <v>458</v>
      </c>
      <c r="D587" s="2" t="s">
        <v>153</v>
      </c>
      <c r="E587" s="2" t="s">
        <v>53</v>
      </c>
      <c r="F587" s="4">
        <v>14000</v>
      </c>
      <c r="G587" s="5">
        <v>0.9</v>
      </c>
      <c r="H587" s="6">
        <v>0</v>
      </c>
      <c r="I587" s="7">
        <f t="shared" si="90"/>
        <v>12600</v>
      </c>
      <c r="J587" s="7">
        <f t="shared" si="91"/>
        <v>0</v>
      </c>
      <c r="K587" s="7">
        <f t="shared" si="92"/>
        <v>12600</v>
      </c>
      <c r="L587" s="4">
        <v>50000</v>
      </c>
      <c r="M587" s="7">
        <f t="shared" si="93"/>
        <v>62600</v>
      </c>
      <c r="N587" s="2" t="s">
        <v>33</v>
      </c>
      <c r="O587" t="s">
        <v>22</v>
      </c>
      <c r="P587" s="2" t="s">
        <v>2370</v>
      </c>
      <c r="Q587" s="2">
        <v>2</v>
      </c>
      <c r="R587" s="2" t="s">
        <v>23</v>
      </c>
      <c r="S587" s="2" t="str">
        <f t="shared" si="94"/>
        <v>Rendah</v>
      </c>
      <c r="T587" s="2" t="str">
        <f t="shared" si="95"/>
        <v>FALSE</v>
      </c>
      <c r="U587" s="2" t="str">
        <f t="shared" si="96"/>
        <v>FALSE</v>
      </c>
      <c r="V587" s="2" t="b">
        <f t="shared" si="97"/>
        <v>0</v>
      </c>
      <c r="W587" s="2" t="b">
        <f t="shared" si="98"/>
        <v>0</v>
      </c>
      <c r="X587" s="2" t="b">
        <f t="shared" si="99"/>
        <v>0</v>
      </c>
    </row>
    <row r="588" spans="1:24" ht="10.5" customHeight="1">
      <c r="A588" s="2" t="s">
        <v>921</v>
      </c>
      <c r="B588" s="3">
        <v>45773.857615740737</v>
      </c>
      <c r="C588" s="2" t="s">
        <v>388</v>
      </c>
      <c r="D588" s="2" t="s">
        <v>173</v>
      </c>
      <c r="E588" s="2" t="s">
        <v>190</v>
      </c>
      <c r="F588" s="4">
        <v>15500</v>
      </c>
      <c r="G588" s="5">
        <v>0.2</v>
      </c>
      <c r="H588" s="6">
        <v>0</v>
      </c>
      <c r="I588" s="7">
        <f t="shared" si="90"/>
        <v>3100</v>
      </c>
      <c r="J588" s="7">
        <f t="shared" si="91"/>
        <v>0</v>
      </c>
      <c r="K588" s="7">
        <f t="shared" si="92"/>
        <v>3100</v>
      </c>
      <c r="L588" s="4">
        <v>48000</v>
      </c>
      <c r="M588" s="7">
        <f t="shared" si="93"/>
        <v>51100</v>
      </c>
      <c r="N588" s="2" t="s">
        <v>21</v>
      </c>
      <c r="O588" t="s">
        <v>69</v>
      </c>
      <c r="P588" s="2" t="s">
        <v>2368</v>
      </c>
      <c r="Q588" s="2">
        <v>2</v>
      </c>
      <c r="R588" s="2" t="s">
        <v>23</v>
      </c>
      <c r="S588" s="2" t="str">
        <f t="shared" si="94"/>
        <v>Rendah</v>
      </c>
      <c r="T588" s="2" t="str">
        <f t="shared" si="95"/>
        <v>FALSE</v>
      </c>
      <c r="U588" s="2" t="str">
        <f t="shared" si="96"/>
        <v>FALSE</v>
      </c>
      <c r="V588" s="2" t="b">
        <f t="shared" si="97"/>
        <v>0</v>
      </c>
      <c r="W588" s="2" t="b">
        <f t="shared" si="98"/>
        <v>0</v>
      </c>
      <c r="X588" s="2" t="b">
        <f t="shared" si="99"/>
        <v>0</v>
      </c>
    </row>
    <row r="589" spans="1:24" ht="10.5" customHeight="1">
      <c r="A589" s="2" t="s">
        <v>922</v>
      </c>
      <c r="B589" s="3">
        <v>45773.872256944444</v>
      </c>
      <c r="C589" s="2" t="s">
        <v>323</v>
      </c>
      <c r="D589" s="2" t="s">
        <v>98</v>
      </c>
      <c r="E589" s="2" t="s">
        <v>102</v>
      </c>
      <c r="F589" s="4">
        <v>55000</v>
      </c>
      <c r="G589" s="5">
        <v>1</v>
      </c>
      <c r="H589" s="6">
        <v>0</v>
      </c>
      <c r="I589" s="7">
        <f t="shared" si="90"/>
        <v>55000</v>
      </c>
      <c r="J589" s="7">
        <f t="shared" si="91"/>
        <v>0</v>
      </c>
      <c r="K589" s="7">
        <f t="shared" si="92"/>
        <v>55000</v>
      </c>
      <c r="L589" s="4">
        <v>97000</v>
      </c>
      <c r="M589" s="7">
        <f t="shared" si="93"/>
        <v>152000</v>
      </c>
      <c r="N589" s="2" t="s">
        <v>58</v>
      </c>
      <c r="O589" t="s">
        <v>69</v>
      </c>
      <c r="P589" s="2" t="s">
        <v>2367</v>
      </c>
      <c r="Q589" s="2">
        <v>4</v>
      </c>
      <c r="R589" s="2" t="s">
        <v>34</v>
      </c>
      <c r="S589" s="2" t="str">
        <f t="shared" si="94"/>
        <v>Tinggi</v>
      </c>
      <c r="T589" s="2" t="str">
        <f t="shared" si="95"/>
        <v>FALSE</v>
      </c>
      <c r="U589" s="2" t="str">
        <f t="shared" si="96"/>
        <v>TRUE</v>
      </c>
      <c r="V589" s="2" t="b">
        <f t="shared" si="97"/>
        <v>0</v>
      </c>
      <c r="W589" s="2" t="b">
        <f t="shared" si="98"/>
        <v>1</v>
      </c>
      <c r="X589" s="2" t="b">
        <f t="shared" si="99"/>
        <v>0</v>
      </c>
    </row>
    <row r="590" spans="1:24" ht="10.5" customHeight="1">
      <c r="A590" s="2" t="s">
        <v>923</v>
      </c>
      <c r="B590" s="3">
        <v>45773.97515046296</v>
      </c>
      <c r="C590" s="2" t="s">
        <v>527</v>
      </c>
      <c r="D590" s="2" t="s">
        <v>52</v>
      </c>
      <c r="E590" s="2" t="s">
        <v>75</v>
      </c>
      <c r="F590" s="4">
        <v>45000</v>
      </c>
      <c r="G590" s="5">
        <v>1.4</v>
      </c>
      <c r="H590" s="6">
        <v>0</v>
      </c>
      <c r="I590" s="7">
        <f t="shared" si="90"/>
        <v>62999.999999999993</v>
      </c>
      <c r="J590" s="7">
        <f t="shared" si="91"/>
        <v>0</v>
      </c>
      <c r="K590" s="7">
        <f t="shared" si="92"/>
        <v>62999.999999999993</v>
      </c>
      <c r="L590" s="4">
        <v>80000</v>
      </c>
      <c r="M590" s="7">
        <f t="shared" si="93"/>
        <v>143000</v>
      </c>
      <c r="N590" s="2" t="s">
        <v>58</v>
      </c>
      <c r="O590" t="s">
        <v>22</v>
      </c>
      <c r="P590" s="2" t="s">
        <v>2368</v>
      </c>
      <c r="Q590" s="2">
        <v>5</v>
      </c>
      <c r="R590" s="2" t="s">
        <v>34</v>
      </c>
      <c r="S590" s="2" t="str">
        <f t="shared" si="94"/>
        <v>Standar</v>
      </c>
      <c r="T590" s="2" t="str">
        <f t="shared" si="95"/>
        <v>FALSE</v>
      </c>
      <c r="U590" s="2" t="str">
        <f t="shared" si="96"/>
        <v>FALSE</v>
      </c>
      <c r="V590" s="2" t="b">
        <f t="shared" si="97"/>
        <v>0</v>
      </c>
      <c r="W590" s="2" t="b">
        <f t="shared" si="98"/>
        <v>0</v>
      </c>
      <c r="X590" s="2" t="b">
        <f t="shared" si="99"/>
        <v>0</v>
      </c>
    </row>
    <row r="591" spans="1:24" ht="10.5" customHeight="1">
      <c r="A591" s="2" t="s">
        <v>924</v>
      </c>
      <c r="B591" s="3">
        <v>45774.033356481479</v>
      </c>
      <c r="C591" s="2" t="s">
        <v>632</v>
      </c>
      <c r="D591" s="2" t="s">
        <v>150</v>
      </c>
      <c r="E591" s="2" t="s">
        <v>143</v>
      </c>
      <c r="F591" s="4">
        <v>10000</v>
      </c>
      <c r="G591" s="5">
        <v>0.6</v>
      </c>
      <c r="H591" s="6">
        <v>0</v>
      </c>
      <c r="I591" s="7">
        <f t="shared" si="90"/>
        <v>6000</v>
      </c>
      <c r="J591" s="7">
        <f t="shared" si="91"/>
        <v>0</v>
      </c>
      <c r="K591" s="7">
        <f t="shared" si="92"/>
        <v>6000</v>
      </c>
      <c r="L591" s="4">
        <v>68000</v>
      </c>
      <c r="M591" s="7">
        <f t="shared" si="93"/>
        <v>74000</v>
      </c>
      <c r="N591" s="2" t="s">
        <v>33</v>
      </c>
      <c r="O591" t="s">
        <v>22</v>
      </c>
      <c r="P591" s="2" t="s">
        <v>2366</v>
      </c>
      <c r="Q591" s="2">
        <v>4</v>
      </c>
      <c r="R591" s="2" t="s">
        <v>23</v>
      </c>
      <c r="S591" s="2" t="str">
        <f t="shared" si="94"/>
        <v>Rendah</v>
      </c>
      <c r="T591" s="2" t="str">
        <f t="shared" si="95"/>
        <v>FALSE</v>
      </c>
      <c r="U591" s="2" t="str">
        <f t="shared" si="96"/>
        <v>TRUE</v>
      </c>
      <c r="V591" s="2" t="b">
        <f t="shared" si="97"/>
        <v>0</v>
      </c>
      <c r="W591" s="2" t="b">
        <f t="shared" si="98"/>
        <v>0</v>
      </c>
      <c r="X591" s="2" t="b">
        <f t="shared" si="99"/>
        <v>0</v>
      </c>
    </row>
    <row r="592" spans="1:24" ht="10.5" customHeight="1">
      <c r="A592" s="2" t="s">
        <v>924</v>
      </c>
      <c r="B592" s="3">
        <v>45774.033356481479</v>
      </c>
      <c r="C592" s="2" t="s">
        <v>632</v>
      </c>
      <c r="D592" s="2" t="s">
        <v>150</v>
      </c>
      <c r="E592" s="2" t="s">
        <v>170</v>
      </c>
      <c r="F592" s="4">
        <v>12000</v>
      </c>
      <c r="G592" s="5">
        <v>0.6</v>
      </c>
      <c r="H592" s="6">
        <v>0</v>
      </c>
      <c r="I592" s="7">
        <f t="shared" si="90"/>
        <v>7200</v>
      </c>
      <c r="J592" s="7">
        <f t="shared" si="91"/>
        <v>0</v>
      </c>
      <c r="K592" s="7">
        <f t="shared" si="92"/>
        <v>7200</v>
      </c>
      <c r="L592" s="4">
        <v>0</v>
      </c>
      <c r="M592" s="7">
        <f t="shared" si="93"/>
        <v>7200</v>
      </c>
      <c r="N592" s="2" t="s">
        <v>33</v>
      </c>
      <c r="O592" t="s">
        <v>22</v>
      </c>
      <c r="P592" s="2" t="s">
        <v>2366</v>
      </c>
      <c r="Q592" s="2">
        <v>4</v>
      </c>
      <c r="R592" s="2" t="s">
        <v>23</v>
      </c>
      <c r="S592" s="2" t="str">
        <f t="shared" si="94"/>
        <v>Sangat Rendah</v>
      </c>
      <c r="T592" s="2" t="str">
        <f t="shared" si="95"/>
        <v>FALSE</v>
      </c>
      <c r="U592" s="2" t="str">
        <f t="shared" si="96"/>
        <v>FALSE</v>
      </c>
      <c r="V592" s="2" t="b">
        <f t="shared" si="97"/>
        <v>0</v>
      </c>
      <c r="W592" s="2" t="b">
        <f t="shared" si="98"/>
        <v>0</v>
      </c>
      <c r="X592" s="2" t="b">
        <f t="shared" si="99"/>
        <v>1</v>
      </c>
    </row>
    <row r="593" spans="1:24" ht="10.5" customHeight="1">
      <c r="A593" s="2" t="s">
        <v>925</v>
      </c>
      <c r="B593" s="3">
        <v>45774.13071759259</v>
      </c>
      <c r="C593" s="2" t="s">
        <v>390</v>
      </c>
      <c r="D593" s="2" t="s">
        <v>26</v>
      </c>
      <c r="E593" s="2" t="s">
        <v>35</v>
      </c>
      <c r="F593" s="4">
        <v>13500</v>
      </c>
      <c r="G593" s="5">
        <v>2.8</v>
      </c>
      <c r="H593" s="6">
        <v>0</v>
      </c>
      <c r="I593" s="7">
        <f t="shared" si="90"/>
        <v>37800</v>
      </c>
      <c r="J593" s="7">
        <f t="shared" si="91"/>
        <v>0</v>
      </c>
      <c r="K593" s="7">
        <f t="shared" si="92"/>
        <v>37800</v>
      </c>
      <c r="L593" s="4">
        <v>17000</v>
      </c>
      <c r="M593" s="7">
        <f t="shared" si="93"/>
        <v>54800</v>
      </c>
      <c r="N593" s="2" t="s">
        <v>33</v>
      </c>
      <c r="O593" t="s">
        <v>22</v>
      </c>
      <c r="P593" s="2" t="s">
        <v>2367</v>
      </c>
      <c r="Q593" s="2">
        <v>3</v>
      </c>
      <c r="R593" s="2" t="s">
        <v>23</v>
      </c>
      <c r="S593" s="2" t="str">
        <f t="shared" si="94"/>
        <v>Rendah</v>
      </c>
      <c r="T593" s="2" t="str">
        <f t="shared" si="95"/>
        <v>FALSE</v>
      </c>
      <c r="U593" s="2" t="str">
        <f t="shared" si="96"/>
        <v>FALSE</v>
      </c>
      <c r="V593" s="2" t="b">
        <f t="shared" si="97"/>
        <v>0</v>
      </c>
      <c r="W593" s="2" t="b">
        <f t="shared" si="98"/>
        <v>1</v>
      </c>
      <c r="X593" s="2" t="b">
        <f t="shared" si="99"/>
        <v>0</v>
      </c>
    </row>
    <row r="594" spans="1:24" ht="10.5" customHeight="1">
      <c r="A594" s="2" t="s">
        <v>926</v>
      </c>
      <c r="B594" s="3">
        <v>45774.282754629632</v>
      </c>
      <c r="C594" s="2" t="s">
        <v>616</v>
      </c>
      <c r="D594" s="2" t="s">
        <v>286</v>
      </c>
      <c r="E594" s="2" t="s">
        <v>49</v>
      </c>
      <c r="F594" s="4">
        <v>26000</v>
      </c>
      <c r="G594" s="5">
        <v>1.5</v>
      </c>
      <c r="H594" s="6">
        <v>0</v>
      </c>
      <c r="I594" s="7">
        <f t="shared" si="90"/>
        <v>39000</v>
      </c>
      <c r="J594" s="7">
        <f t="shared" si="91"/>
        <v>0</v>
      </c>
      <c r="K594" s="7">
        <f t="shared" si="92"/>
        <v>39000</v>
      </c>
      <c r="L594" s="4">
        <v>79000</v>
      </c>
      <c r="M594" s="7">
        <f t="shared" si="93"/>
        <v>118000</v>
      </c>
      <c r="N594" s="2" t="s">
        <v>58</v>
      </c>
      <c r="O594" t="s">
        <v>22</v>
      </c>
      <c r="P594" s="2" t="s">
        <v>2366</v>
      </c>
      <c r="Q594" s="2">
        <v>2</v>
      </c>
      <c r="R594" s="2" t="s">
        <v>23</v>
      </c>
      <c r="S594" s="2" t="str">
        <f t="shared" si="94"/>
        <v>Standar</v>
      </c>
      <c r="T594" s="2" t="str">
        <f t="shared" si="95"/>
        <v>FALSE</v>
      </c>
      <c r="U594" s="2" t="str">
        <f t="shared" si="96"/>
        <v>FALSE</v>
      </c>
      <c r="V594" s="2" t="b">
        <f t="shared" si="97"/>
        <v>0</v>
      </c>
      <c r="W594" s="2" t="b">
        <f t="shared" si="98"/>
        <v>0</v>
      </c>
      <c r="X594" s="2" t="b">
        <f t="shared" si="99"/>
        <v>0</v>
      </c>
    </row>
    <row r="595" spans="1:24" ht="10.5" customHeight="1">
      <c r="A595" s="2" t="s">
        <v>927</v>
      </c>
      <c r="B595" s="3">
        <v>45774.302268518521</v>
      </c>
      <c r="C595" s="2" t="s">
        <v>712</v>
      </c>
      <c r="D595" s="2" t="s">
        <v>52</v>
      </c>
      <c r="E595" s="2" t="s">
        <v>27</v>
      </c>
      <c r="F595" s="4">
        <v>15000</v>
      </c>
      <c r="G595" s="5">
        <v>0.6</v>
      </c>
      <c r="H595" s="6">
        <v>0</v>
      </c>
      <c r="I595" s="7">
        <f t="shared" si="90"/>
        <v>9000</v>
      </c>
      <c r="J595" s="7">
        <f t="shared" si="91"/>
        <v>0</v>
      </c>
      <c r="K595" s="7">
        <f t="shared" si="92"/>
        <v>9000</v>
      </c>
      <c r="L595" s="4">
        <v>80000</v>
      </c>
      <c r="M595" s="7">
        <f t="shared" si="93"/>
        <v>89000</v>
      </c>
      <c r="N595" s="2" t="s">
        <v>33</v>
      </c>
      <c r="O595" t="s">
        <v>22</v>
      </c>
      <c r="P595" s="2" t="s">
        <v>2370</v>
      </c>
      <c r="Q595" s="2">
        <v>2</v>
      </c>
      <c r="R595" s="2" t="s">
        <v>23</v>
      </c>
      <c r="S595" s="2" t="str">
        <f t="shared" si="94"/>
        <v>Rendah</v>
      </c>
      <c r="T595" s="2" t="str">
        <f t="shared" si="95"/>
        <v>FALSE</v>
      </c>
      <c r="U595" s="2" t="str">
        <f t="shared" si="96"/>
        <v>FALSE</v>
      </c>
      <c r="V595" s="2" t="b">
        <f t="shared" si="97"/>
        <v>0</v>
      </c>
      <c r="W595" s="2" t="b">
        <f t="shared" si="98"/>
        <v>0</v>
      </c>
      <c r="X595" s="2" t="b">
        <f t="shared" si="99"/>
        <v>0</v>
      </c>
    </row>
    <row r="596" spans="1:24" ht="10.5" customHeight="1">
      <c r="A596" s="2" t="s">
        <v>928</v>
      </c>
      <c r="B596" s="3">
        <v>45774.387662037043</v>
      </c>
      <c r="C596" s="2" t="s">
        <v>447</v>
      </c>
      <c r="D596" s="2" t="s">
        <v>74</v>
      </c>
      <c r="E596" s="2" t="s">
        <v>41</v>
      </c>
      <c r="F596" s="4">
        <v>40000</v>
      </c>
      <c r="G596" s="5">
        <v>0.6</v>
      </c>
      <c r="H596" s="6">
        <v>0</v>
      </c>
      <c r="I596" s="7">
        <f t="shared" si="90"/>
        <v>24000</v>
      </c>
      <c r="J596" s="7">
        <f t="shared" si="91"/>
        <v>0</v>
      </c>
      <c r="K596" s="7">
        <f t="shared" si="92"/>
        <v>24000</v>
      </c>
      <c r="L596" s="4">
        <v>74000</v>
      </c>
      <c r="M596" s="7">
        <f t="shared" si="93"/>
        <v>98000</v>
      </c>
      <c r="N596" s="2" t="s">
        <v>33</v>
      </c>
      <c r="O596" t="s">
        <v>22</v>
      </c>
      <c r="P596" s="2" t="s">
        <v>2365</v>
      </c>
      <c r="Q596" s="2">
        <v>1</v>
      </c>
      <c r="R596" s="2" t="s">
        <v>23</v>
      </c>
      <c r="S596" s="2" t="str">
        <f t="shared" si="94"/>
        <v>Rendah</v>
      </c>
      <c r="T596" s="2" t="str">
        <f t="shared" si="95"/>
        <v>FALSE</v>
      </c>
      <c r="U596" s="2" t="str">
        <f t="shared" si="96"/>
        <v>FALSE</v>
      </c>
      <c r="V596" s="2" t="b">
        <f t="shared" si="97"/>
        <v>0</v>
      </c>
      <c r="W596" s="2" t="b">
        <f t="shared" si="98"/>
        <v>0</v>
      </c>
      <c r="X596" s="2" t="b">
        <f t="shared" si="99"/>
        <v>0</v>
      </c>
    </row>
    <row r="597" spans="1:24" ht="10.5" customHeight="1">
      <c r="A597" s="2" t="s">
        <v>928</v>
      </c>
      <c r="B597" s="3">
        <v>45774.387662037043</v>
      </c>
      <c r="C597" s="2" t="s">
        <v>447</v>
      </c>
      <c r="D597" s="2" t="s">
        <v>74</v>
      </c>
      <c r="E597" s="2" t="s">
        <v>45</v>
      </c>
      <c r="F597" s="4">
        <v>10500</v>
      </c>
      <c r="G597" s="5">
        <v>1.4</v>
      </c>
      <c r="H597" s="6">
        <v>0</v>
      </c>
      <c r="I597" s="7">
        <f t="shared" si="90"/>
        <v>14699.999999999998</v>
      </c>
      <c r="J597" s="7">
        <f t="shared" si="91"/>
        <v>0</v>
      </c>
      <c r="K597" s="7">
        <f t="shared" si="92"/>
        <v>14699.999999999998</v>
      </c>
      <c r="L597" s="4">
        <v>0</v>
      </c>
      <c r="M597" s="7">
        <f t="shared" si="93"/>
        <v>14699.999999999998</v>
      </c>
      <c r="N597" s="2" t="s">
        <v>33</v>
      </c>
      <c r="O597" t="s">
        <v>22</v>
      </c>
      <c r="P597" s="2" t="s">
        <v>2365</v>
      </c>
      <c r="Q597" s="2">
        <v>1</v>
      </c>
      <c r="R597" s="2" t="s">
        <v>23</v>
      </c>
      <c r="S597" s="2" t="str">
        <f t="shared" si="94"/>
        <v>Sangat Rendah</v>
      </c>
      <c r="T597" s="2" t="str">
        <f t="shared" si="95"/>
        <v>FALSE</v>
      </c>
      <c r="U597" s="2" t="str">
        <f t="shared" si="96"/>
        <v>FALSE</v>
      </c>
      <c r="V597" s="2" t="b">
        <f t="shared" si="97"/>
        <v>0</v>
      </c>
      <c r="W597" s="2" t="b">
        <f t="shared" si="98"/>
        <v>0</v>
      </c>
      <c r="X597" s="2" t="b">
        <f t="shared" si="99"/>
        <v>1</v>
      </c>
    </row>
    <row r="598" spans="1:24" ht="10.5" customHeight="1">
      <c r="A598" s="2" t="s">
        <v>929</v>
      </c>
      <c r="B598" s="3">
        <v>45774.393784722219</v>
      </c>
      <c r="C598" s="2" t="s">
        <v>731</v>
      </c>
      <c r="D598" s="2" t="s">
        <v>179</v>
      </c>
      <c r="E598" s="2" t="s">
        <v>35</v>
      </c>
      <c r="F598" s="4">
        <v>13500</v>
      </c>
      <c r="G598" s="5">
        <v>3.8</v>
      </c>
      <c r="H598" s="6">
        <v>0</v>
      </c>
      <c r="I598" s="7">
        <f t="shared" si="90"/>
        <v>51300</v>
      </c>
      <c r="J598" s="7">
        <f t="shared" si="91"/>
        <v>0</v>
      </c>
      <c r="K598" s="7">
        <f t="shared" si="92"/>
        <v>51300</v>
      </c>
      <c r="L598" s="4">
        <v>57000</v>
      </c>
      <c r="M598" s="7">
        <f t="shared" si="93"/>
        <v>108300</v>
      </c>
      <c r="N598" s="2" t="s">
        <v>21</v>
      </c>
      <c r="O598" t="s">
        <v>22</v>
      </c>
      <c r="P598" s="2" t="s">
        <v>2368</v>
      </c>
      <c r="Q598" s="2">
        <v>1</v>
      </c>
      <c r="R598" s="2" t="s">
        <v>23</v>
      </c>
      <c r="S598" s="2" t="str">
        <f t="shared" si="94"/>
        <v>Standar</v>
      </c>
      <c r="T598" s="2" t="str">
        <f t="shared" si="95"/>
        <v>FALSE</v>
      </c>
      <c r="U598" s="2" t="str">
        <f t="shared" si="96"/>
        <v>FALSE</v>
      </c>
      <c r="V598" s="2" t="b">
        <f t="shared" si="97"/>
        <v>0</v>
      </c>
      <c r="W598" s="2" t="b">
        <f t="shared" si="98"/>
        <v>0</v>
      </c>
      <c r="X598" s="2" t="b">
        <f t="shared" si="99"/>
        <v>0</v>
      </c>
    </row>
    <row r="599" spans="1:24" ht="10.5" customHeight="1">
      <c r="A599" s="2" t="s">
        <v>930</v>
      </c>
      <c r="B599" s="3">
        <v>45774.447754629633</v>
      </c>
      <c r="C599" s="2" t="s">
        <v>295</v>
      </c>
      <c r="D599" s="2" t="s">
        <v>133</v>
      </c>
      <c r="E599" s="2" t="s">
        <v>182</v>
      </c>
      <c r="F599" s="4">
        <v>11000</v>
      </c>
      <c r="G599" s="5">
        <v>1.5</v>
      </c>
      <c r="H599" s="6">
        <v>0</v>
      </c>
      <c r="I599" s="7">
        <f t="shared" si="90"/>
        <v>16500</v>
      </c>
      <c r="J599" s="7">
        <f t="shared" si="91"/>
        <v>0</v>
      </c>
      <c r="K599" s="7">
        <f t="shared" si="92"/>
        <v>16500</v>
      </c>
      <c r="L599" s="4">
        <v>50000</v>
      </c>
      <c r="M599" s="7">
        <f t="shared" si="93"/>
        <v>66500</v>
      </c>
      <c r="N599" s="2" t="s">
        <v>58</v>
      </c>
      <c r="O599" t="s">
        <v>22</v>
      </c>
      <c r="P599" s="2" t="s">
        <v>2370</v>
      </c>
      <c r="Q599" s="2">
        <v>1</v>
      </c>
      <c r="R599" s="2" t="s">
        <v>23</v>
      </c>
      <c r="S599" s="2" t="str">
        <f t="shared" si="94"/>
        <v>Rendah</v>
      </c>
      <c r="T599" s="2" t="str">
        <f t="shared" si="95"/>
        <v>FALSE</v>
      </c>
      <c r="U599" s="2" t="str">
        <f t="shared" si="96"/>
        <v>FALSE</v>
      </c>
      <c r="V599" s="2" t="b">
        <f t="shared" si="97"/>
        <v>0</v>
      </c>
      <c r="W599" s="2" t="b">
        <f t="shared" si="98"/>
        <v>0</v>
      </c>
      <c r="X599" s="2" t="b">
        <f t="shared" si="99"/>
        <v>0</v>
      </c>
    </row>
    <row r="600" spans="1:24" ht="10.5" customHeight="1">
      <c r="A600" s="2" t="s">
        <v>931</v>
      </c>
      <c r="B600" s="3">
        <v>45774.466284722221</v>
      </c>
      <c r="C600" s="2" t="s">
        <v>255</v>
      </c>
      <c r="D600" s="2" t="s">
        <v>111</v>
      </c>
      <c r="E600" s="2" t="s">
        <v>95</v>
      </c>
      <c r="F600" s="4">
        <v>9500</v>
      </c>
      <c r="G600" s="5">
        <v>1.8</v>
      </c>
      <c r="H600" s="6">
        <v>0</v>
      </c>
      <c r="I600" s="7">
        <f t="shared" si="90"/>
        <v>17100</v>
      </c>
      <c r="J600" s="7">
        <f t="shared" si="91"/>
        <v>0</v>
      </c>
      <c r="K600" s="7">
        <f t="shared" si="92"/>
        <v>17100</v>
      </c>
      <c r="L600" s="4">
        <v>0</v>
      </c>
      <c r="M600" s="7">
        <f t="shared" si="93"/>
        <v>17100</v>
      </c>
      <c r="N600" s="2" t="s">
        <v>33</v>
      </c>
      <c r="O600" t="s">
        <v>22</v>
      </c>
      <c r="P600" s="2" t="s">
        <v>2365</v>
      </c>
      <c r="Q600" s="2">
        <v>1</v>
      </c>
      <c r="R600" s="2" t="s">
        <v>23</v>
      </c>
      <c r="S600" s="2" t="str">
        <f t="shared" si="94"/>
        <v>Sangat Rendah</v>
      </c>
      <c r="T600" s="2" t="str">
        <f t="shared" si="95"/>
        <v>FALSE</v>
      </c>
      <c r="U600" s="2" t="str">
        <f t="shared" si="96"/>
        <v>FALSE</v>
      </c>
      <c r="V600" s="2" t="b">
        <f t="shared" si="97"/>
        <v>0</v>
      </c>
      <c r="W600" s="2" t="b">
        <f t="shared" si="98"/>
        <v>0</v>
      </c>
      <c r="X600" s="2" t="b">
        <f t="shared" si="99"/>
        <v>1</v>
      </c>
    </row>
    <row r="601" spans="1:24" ht="10.5" customHeight="1">
      <c r="A601" s="2" t="s">
        <v>932</v>
      </c>
      <c r="B601" s="3">
        <v>45774.5000462963</v>
      </c>
      <c r="C601" s="2" t="s">
        <v>522</v>
      </c>
      <c r="D601" s="2" t="s">
        <v>252</v>
      </c>
      <c r="E601" s="2" t="s">
        <v>41</v>
      </c>
      <c r="F601" s="4">
        <v>40000</v>
      </c>
      <c r="G601" s="5">
        <v>1.1000000000000001</v>
      </c>
      <c r="H601" s="6">
        <v>0</v>
      </c>
      <c r="I601" s="7">
        <f t="shared" si="90"/>
        <v>44000</v>
      </c>
      <c r="J601" s="7">
        <f t="shared" si="91"/>
        <v>0</v>
      </c>
      <c r="K601" s="7">
        <f t="shared" si="92"/>
        <v>44000</v>
      </c>
      <c r="L601" s="4">
        <v>18000</v>
      </c>
      <c r="M601" s="7">
        <f t="shared" si="93"/>
        <v>62000</v>
      </c>
      <c r="N601" s="2" t="s">
        <v>21</v>
      </c>
      <c r="O601" t="s">
        <v>22</v>
      </c>
      <c r="P601" s="2" t="s">
        <v>2365</v>
      </c>
      <c r="Q601" s="2">
        <v>3</v>
      </c>
      <c r="R601" s="2" t="s">
        <v>23</v>
      </c>
      <c r="S601" s="2" t="str">
        <f t="shared" si="94"/>
        <v>Rendah</v>
      </c>
      <c r="T601" s="2" t="str">
        <f t="shared" si="95"/>
        <v>FALSE</v>
      </c>
      <c r="U601" s="2" t="str">
        <f t="shared" si="96"/>
        <v>FALSE</v>
      </c>
      <c r="V601" s="2" t="b">
        <f t="shared" si="97"/>
        <v>0</v>
      </c>
      <c r="W601" s="2" t="b">
        <f t="shared" si="98"/>
        <v>0</v>
      </c>
      <c r="X601" s="2" t="b">
        <f t="shared" si="99"/>
        <v>0</v>
      </c>
    </row>
    <row r="602" spans="1:24" ht="10.5" customHeight="1">
      <c r="A602" s="2" t="s">
        <v>933</v>
      </c>
      <c r="B602" s="3">
        <v>45774.504305555558</v>
      </c>
      <c r="C602" s="2" t="s">
        <v>237</v>
      </c>
      <c r="D602" s="2" t="s">
        <v>229</v>
      </c>
      <c r="E602" s="2" t="s">
        <v>190</v>
      </c>
      <c r="F602" s="4">
        <v>15500</v>
      </c>
      <c r="G602" s="5">
        <v>0.2</v>
      </c>
      <c r="H602" s="6">
        <v>0</v>
      </c>
      <c r="I602" s="7">
        <f t="shared" si="90"/>
        <v>3100</v>
      </c>
      <c r="J602" s="7">
        <f t="shared" si="91"/>
        <v>0</v>
      </c>
      <c r="K602" s="7">
        <f t="shared" si="92"/>
        <v>3100</v>
      </c>
      <c r="L602" s="4">
        <v>28000</v>
      </c>
      <c r="M602" s="7">
        <f t="shared" si="93"/>
        <v>31100</v>
      </c>
      <c r="N602" s="2" t="s">
        <v>58</v>
      </c>
      <c r="O602" t="s">
        <v>69</v>
      </c>
      <c r="P602" s="2" t="s">
        <v>2367</v>
      </c>
      <c r="Q602" s="2">
        <v>5</v>
      </c>
      <c r="R602" s="2" t="s">
        <v>23</v>
      </c>
      <c r="S602" s="2" t="str">
        <f t="shared" si="94"/>
        <v>Sangat Rendah</v>
      </c>
      <c r="T602" s="2" t="str">
        <f t="shared" si="95"/>
        <v>FALSE</v>
      </c>
      <c r="U602" s="2" t="str">
        <f t="shared" si="96"/>
        <v>FALSE</v>
      </c>
      <c r="V602" s="2" t="b">
        <f t="shared" si="97"/>
        <v>0</v>
      </c>
      <c r="W602" s="2" t="b">
        <f t="shared" si="98"/>
        <v>1</v>
      </c>
      <c r="X602" s="2" t="b">
        <f t="shared" si="99"/>
        <v>1</v>
      </c>
    </row>
    <row r="603" spans="1:24" ht="10.5" customHeight="1">
      <c r="A603" s="2" t="s">
        <v>934</v>
      </c>
      <c r="B603" s="3">
        <v>45774.508634259262</v>
      </c>
      <c r="C603" s="2" t="s">
        <v>321</v>
      </c>
      <c r="D603" s="2" t="s">
        <v>19</v>
      </c>
      <c r="E603" s="2" t="s">
        <v>20</v>
      </c>
      <c r="F603" s="4">
        <v>10000</v>
      </c>
      <c r="G603" s="5">
        <v>2</v>
      </c>
      <c r="H603" s="6">
        <v>0</v>
      </c>
      <c r="I603" s="7">
        <f t="shared" si="90"/>
        <v>20000</v>
      </c>
      <c r="J603" s="7">
        <f t="shared" si="91"/>
        <v>0</v>
      </c>
      <c r="K603" s="7">
        <f t="shared" si="92"/>
        <v>20000</v>
      </c>
      <c r="L603" s="4">
        <v>15000</v>
      </c>
      <c r="M603" s="7">
        <f t="shared" si="93"/>
        <v>35000</v>
      </c>
      <c r="N603" s="2" t="s">
        <v>28</v>
      </c>
      <c r="O603" t="s">
        <v>22</v>
      </c>
      <c r="P603" s="2" t="s">
        <v>2368</v>
      </c>
      <c r="Q603" s="2">
        <v>4</v>
      </c>
      <c r="R603" s="2" t="s">
        <v>34</v>
      </c>
      <c r="S603" s="2" t="str">
        <f t="shared" si="94"/>
        <v>Sangat Rendah</v>
      </c>
      <c r="T603" s="2" t="str">
        <f t="shared" si="95"/>
        <v>FALSE</v>
      </c>
      <c r="U603" s="2" t="str">
        <f t="shared" si="96"/>
        <v>FALSE</v>
      </c>
      <c r="V603" s="2" t="b">
        <f t="shared" si="97"/>
        <v>0</v>
      </c>
      <c r="W603" s="2" t="b">
        <f t="shared" si="98"/>
        <v>0</v>
      </c>
      <c r="X603" s="2" t="b">
        <f t="shared" si="99"/>
        <v>0</v>
      </c>
    </row>
    <row r="604" spans="1:24" ht="10.5" customHeight="1">
      <c r="A604" s="2" t="s">
        <v>935</v>
      </c>
      <c r="B604" s="3">
        <v>45774.516527777778</v>
      </c>
      <c r="C604" s="2" t="s">
        <v>334</v>
      </c>
      <c r="D604" s="2" t="s">
        <v>185</v>
      </c>
      <c r="E604" s="2" t="s">
        <v>65</v>
      </c>
      <c r="F604" s="4">
        <v>46000</v>
      </c>
      <c r="G604" s="5">
        <v>1</v>
      </c>
      <c r="H604" s="6">
        <v>0</v>
      </c>
      <c r="I604" s="7">
        <f t="shared" si="90"/>
        <v>46000</v>
      </c>
      <c r="J604" s="7">
        <f t="shared" si="91"/>
        <v>0</v>
      </c>
      <c r="K604" s="7">
        <f t="shared" si="92"/>
        <v>46000</v>
      </c>
      <c r="L604" s="4">
        <v>87000</v>
      </c>
      <c r="M604" s="7">
        <f t="shared" si="93"/>
        <v>133000</v>
      </c>
      <c r="N604" s="2" t="s">
        <v>21</v>
      </c>
      <c r="O604" t="s">
        <v>69</v>
      </c>
      <c r="P604" s="2" t="s">
        <v>2365</v>
      </c>
      <c r="Q604" s="2">
        <v>5</v>
      </c>
      <c r="R604" s="2" t="s">
        <v>23</v>
      </c>
      <c r="S604" s="2" t="str">
        <f t="shared" si="94"/>
        <v>Standar</v>
      </c>
      <c r="T604" s="2" t="str">
        <f t="shared" si="95"/>
        <v>FALSE</v>
      </c>
      <c r="U604" s="2" t="str">
        <f t="shared" si="96"/>
        <v>FALSE</v>
      </c>
      <c r="V604" s="2" t="b">
        <f t="shared" si="97"/>
        <v>0</v>
      </c>
      <c r="W604" s="2" t="b">
        <f t="shared" si="98"/>
        <v>0</v>
      </c>
      <c r="X604" s="2" t="b">
        <f t="shared" si="99"/>
        <v>0</v>
      </c>
    </row>
    <row r="605" spans="1:24" ht="10.5" customHeight="1">
      <c r="A605" s="2" t="s">
        <v>935</v>
      </c>
      <c r="B605" s="3">
        <v>45774.516527777778</v>
      </c>
      <c r="C605" s="2" t="s">
        <v>334</v>
      </c>
      <c r="D605" s="2" t="s">
        <v>185</v>
      </c>
      <c r="E605" s="2" t="s">
        <v>161</v>
      </c>
      <c r="F605" s="4">
        <v>115000</v>
      </c>
      <c r="G605" s="5">
        <v>0.2</v>
      </c>
      <c r="H605" s="6">
        <v>0</v>
      </c>
      <c r="I605" s="7">
        <f t="shared" si="90"/>
        <v>23000</v>
      </c>
      <c r="J605" s="7">
        <f t="shared" si="91"/>
        <v>0</v>
      </c>
      <c r="K605" s="7">
        <f t="shared" si="92"/>
        <v>23000</v>
      </c>
      <c r="L605" s="4">
        <v>0</v>
      </c>
      <c r="M605" s="7">
        <f t="shared" si="93"/>
        <v>23000</v>
      </c>
      <c r="N605" s="2" t="s">
        <v>21</v>
      </c>
      <c r="O605" t="s">
        <v>69</v>
      </c>
      <c r="P605" s="2" t="s">
        <v>2365</v>
      </c>
      <c r="Q605" s="2">
        <v>5</v>
      </c>
      <c r="R605" s="2" t="s">
        <v>23</v>
      </c>
      <c r="S605" s="2" t="str">
        <f t="shared" si="94"/>
        <v>Sangat Rendah</v>
      </c>
      <c r="T605" s="2" t="str">
        <f t="shared" si="95"/>
        <v>FALSE</v>
      </c>
      <c r="U605" s="2" t="str">
        <f t="shared" si="96"/>
        <v>FALSE</v>
      </c>
      <c r="V605" s="2" t="b">
        <f t="shared" si="97"/>
        <v>0</v>
      </c>
      <c r="W605" s="2" t="b">
        <f t="shared" si="98"/>
        <v>0</v>
      </c>
      <c r="X605" s="2" t="b">
        <f t="shared" si="99"/>
        <v>1</v>
      </c>
    </row>
    <row r="606" spans="1:24" ht="10.5" customHeight="1">
      <c r="A606" s="2" t="s">
        <v>936</v>
      </c>
      <c r="B606" s="3">
        <v>45774.522222222222</v>
      </c>
      <c r="C606" s="2" t="s">
        <v>301</v>
      </c>
      <c r="D606" s="2" t="s">
        <v>108</v>
      </c>
      <c r="E606" s="2" t="s">
        <v>161</v>
      </c>
      <c r="F606" s="4">
        <v>115000</v>
      </c>
      <c r="G606" s="5">
        <v>1</v>
      </c>
      <c r="H606" s="6">
        <v>0</v>
      </c>
      <c r="I606" s="7">
        <f t="shared" si="90"/>
        <v>115000</v>
      </c>
      <c r="J606" s="7">
        <f t="shared" si="91"/>
        <v>0</v>
      </c>
      <c r="K606" s="7">
        <f t="shared" si="92"/>
        <v>115000</v>
      </c>
      <c r="L606" s="4">
        <v>72000</v>
      </c>
      <c r="M606" s="7">
        <f t="shared" si="93"/>
        <v>187000</v>
      </c>
      <c r="N606" s="2" t="s">
        <v>33</v>
      </c>
      <c r="O606" t="s">
        <v>22</v>
      </c>
      <c r="P606" s="2" t="s">
        <v>2367</v>
      </c>
      <c r="Q606" s="2">
        <v>4</v>
      </c>
      <c r="R606" s="2" t="s">
        <v>23</v>
      </c>
      <c r="S606" s="2" t="str">
        <f t="shared" si="94"/>
        <v>Tinggi</v>
      </c>
      <c r="T606" s="2" t="str">
        <f t="shared" si="95"/>
        <v>FALSE</v>
      </c>
      <c r="U606" s="2" t="str">
        <f t="shared" si="96"/>
        <v>TRUE</v>
      </c>
      <c r="V606" s="2" t="b">
        <f t="shared" si="97"/>
        <v>0</v>
      </c>
      <c r="W606" s="2" t="b">
        <f t="shared" si="98"/>
        <v>1</v>
      </c>
      <c r="X606" s="2" t="b">
        <f t="shared" si="99"/>
        <v>0</v>
      </c>
    </row>
    <row r="607" spans="1:24" ht="10.5" customHeight="1">
      <c r="A607" s="2" t="s">
        <v>937</v>
      </c>
      <c r="B607" s="3">
        <v>45774.585520833331</v>
      </c>
      <c r="C607" s="2" t="s">
        <v>187</v>
      </c>
      <c r="D607" s="2" t="s">
        <v>111</v>
      </c>
      <c r="E607" s="2" t="s">
        <v>57</v>
      </c>
      <c r="F607" s="4">
        <v>17500</v>
      </c>
      <c r="G607" s="5">
        <v>1.4</v>
      </c>
      <c r="H607" s="6">
        <v>0</v>
      </c>
      <c r="I607" s="7">
        <f t="shared" si="90"/>
        <v>24500</v>
      </c>
      <c r="J607" s="7">
        <f t="shared" si="91"/>
        <v>0</v>
      </c>
      <c r="K607" s="7">
        <f t="shared" si="92"/>
        <v>24500</v>
      </c>
      <c r="L607" s="4">
        <v>0</v>
      </c>
      <c r="M607" s="7">
        <f t="shared" si="93"/>
        <v>24500</v>
      </c>
      <c r="N607" s="2" t="s">
        <v>21</v>
      </c>
      <c r="O607" t="s">
        <v>22</v>
      </c>
      <c r="P607" s="2" t="s">
        <v>2370</v>
      </c>
      <c r="Q607" s="2">
        <v>1</v>
      </c>
      <c r="R607" s="2" t="s">
        <v>34</v>
      </c>
      <c r="S607" s="2" t="str">
        <f t="shared" si="94"/>
        <v>Sangat Rendah</v>
      </c>
      <c r="T607" s="2" t="str">
        <f t="shared" si="95"/>
        <v>FALSE</v>
      </c>
      <c r="U607" s="2" t="str">
        <f t="shared" si="96"/>
        <v>FALSE</v>
      </c>
      <c r="V607" s="2" t="b">
        <f t="shared" si="97"/>
        <v>0</v>
      </c>
      <c r="W607" s="2" t="b">
        <f t="shared" si="98"/>
        <v>0</v>
      </c>
      <c r="X607" s="2" t="b">
        <f t="shared" si="99"/>
        <v>0</v>
      </c>
    </row>
    <row r="608" spans="1:24" ht="10.5" customHeight="1">
      <c r="A608" s="2" t="s">
        <v>938</v>
      </c>
      <c r="B608" s="3">
        <v>45774.6</v>
      </c>
      <c r="C608" s="2" t="s">
        <v>621</v>
      </c>
      <c r="D608" s="2" t="s">
        <v>19</v>
      </c>
      <c r="E608" s="2" t="s">
        <v>99</v>
      </c>
      <c r="F608" s="4">
        <v>10000</v>
      </c>
      <c r="G608" s="5">
        <v>0.5</v>
      </c>
      <c r="H608" s="6">
        <v>0</v>
      </c>
      <c r="I608" s="7">
        <f t="shared" si="90"/>
        <v>5000</v>
      </c>
      <c r="J608" s="7">
        <f t="shared" si="91"/>
        <v>0</v>
      </c>
      <c r="K608" s="7">
        <f t="shared" si="92"/>
        <v>5000</v>
      </c>
      <c r="L608" s="4">
        <v>15000</v>
      </c>
      <c r="M608" s="7">
        <f t="shared" si="93"/>
        <v>20000</v>
      </c>
      <c r="N608" s="2" t="s">
        <v>21</v>
      </c>
      <c r="O608" t="s">
        <v>22</v>
      </c>
      <c r="P608" s="2" t="s">
        <v>2365</v>
      </c>
      <c r="Q608" s="2">
        <v>4</v>
      </c>
      <c r="R608" s="2" t="s">
        <v>34</v>
      </c>
      <c r="S608" s="2" t="str">
        <f t="shared" si="94"/>
        <v>Sangat Rendah</v>
      </c>
      <c r="T608" s="2" t="str">
        <f t="shared" si="95"/>
        <v>FALSE</v>
      </c>
      <c r="U608" s="2" t="str">
        <f t="shared" si="96"/>
        <v>FALSE</v>
      </c>
      <c r="V608" s="2" t="b">
        <f t="shared" si="97"/>
        <v>0</v>
      </c>
      <c r="W608" s="2" t="b">
        <f t="shared" si="98"/>
        <v>0</v>
      </c>
      <c r="X608" s="2" t="b">
        <f t="shared" si="99"/>
        <v>0</v>
      </c>
    </row>
    <row r="609" spans="1:24" ht="10.5" customHeight="1">
      <c r="A609" s="2" t="s">
        <v>939</v>
      </c>
      <c r="B609" s="3">
        <v>45774.607719907413</v>
      </c>
      <c r="C609" s="2" t="s">
        <v>865</v>
      </c>
      <c r="D609" s="2" t="s">
        <v>160</v>
      </c>
      <c r="E609" s="2" t="s">
        <v>41</v>
      </c>
      <c r="F609" s="4">
        <v>40000</v>
      </c>
      <c r="G609" s="5">
        <v>0.5</v>
      </c>
      <c r="H609" s="6">
        <v>0</v>
      </c>
      <c r="I609" s="7">
        <f t="shared" si="90"/>
        <v>20000</v>
      </c>
      <c r="J609" s="7">
        <f t="shared" si="91"/>
        <v>0</v>
      </c>
      <c r="K609" s="7">
        <f t="shared" si="92"/>
        <v>20000</v>
      </c>
      <c r="L609" s="4">
        <v>46000</v>
      </c>
      <c r="M609" s="7">
        <f t="shared" si="93"/>
        <v>66000</v>
      </c>
      <c r="N609" s="2" t="s">
        <v>28</v>
      </c>
      <c r="O609" t="s">
        <v>22</v>
      </c>
      <c r="P609" s="2" t="s">
        <v>2366</v>
      </c>
      <c r="Q609" s="2">
        <v>2</v>
      </c>
      <c r="R609" s="2" t="s">
        <v>23</v>
      </c>
      <c r="S609" s="2" t="str">
        <f t="shared" si="94"/>
        <v>Rendah</v>
      </c>
      <c r="T609" s="2" t="str">
        <f t="shared" si="95"/>
        <v>FALSE</v>
      </c>
      <c r="U609" s="2" t="str">
        <f t="shared" si="96"/>
        <v>FALSE</v>
      </c>
      <c r="V609" s="2" t="b">
        <f t="shared" si="97"/>
        <v>0</v>
      </c>
      <c r="W609" s="2" t="b">
        <f t="shared" si="98"/>
        <v>0</v>
      </c>
      <c r="X609" s="2" t="b">
        <f t="shared" si="99"/>
        <v>0</v>
      </c>
    </row>
    <row r="610" spans="1:24" ht="10.5" customHeight="1">
      <c r="A610" s="2" t="s">
        <v>940</v>
      </c>
      <c r="B610" s="3">
        <v>45774.646562499998</v>
      </c>
      <c r="C610" s="2" t="s">
        <v>79</v>
      </c>
      <c r="D610" s="2" t="s">
        <v>74</v>
      </c>
      <c r="E610" s="2" t="s">
        <v>49</v>
      </c>
      <c r="F610" s="4">
        <v>26000</v>
      </c>
      <c r="G610" s="5">
        <v>1.5</v>
      </c>
      <c r="H610" s="6">
        <v>0</v>
      </c>
      <c r="I610" s="7">
        <f t="shared" si="90"/>
        <v>39000</v>
      </c>
      <c r="J610" s="7">
        <f t="shared" si="91"/>
        <v>0</v>
      </c>
      <c r="K610" s="7">
        <f t="shared" si="92"/>
        <v>39000</v>
      </c>
      <c r="L610" s="4">
        <v>74000</v>
      </c>
      <c r="M610" s="7">
        <f t="shared" si="93"/>
        <v>113000</v>
      </c>
      <c r="N610" s="2" t="s">
        <v>33</v>
      </c>
      <c r="O610" t="s">
        <v>22</v>
      </c>
      <c r="P610" s="2" t="s">
        <v>2368</v>
      </c>
      <c r="Q610" s="2">
        <v>5</v>
      </c>
      <c r="R610" s="2" t="s">
        <v>23</v>
      </c>
      <c r="S610" s="2" t="str">
        <f t="shared" si="94"/>
        <v>Standar</v>
      </c>
      <c r="T610" s="2" t="str">
        <f t="shared" si="95"/>
        <v>FALSE</v>
      </c>
      <c r="U610" s="2" t="str">
        <f t="shared" si="96"/>
        <v>FALSE</v>
      </c>
      <c r="V610" s="2" t="b">
        <f t="shared" si="97"/>
        <v>0</v>
      </c>
      <c r="W610" s="2" t="b">
        <f t="shared" si="98"/>
        <v>0</v>
      </c>
      <c r="X610" s="2" t="b">
        <f t="shared" si="99"/>
        <v>0</v>
      </c>
    </row>
    <row r="611" spans="1:24" ht="10.5" customHeight="1">
      <c r="A611" s="2" t="s">
        <v>941</v>
      </c>
      <c r="B611" s="3">
        <v>45774.713831018518</v>
      </c>
      <c r="C611" s="2" t="s">
        <v>753</v>
      </c>
      <c r="D611" s="2" t="s">
        <v>68</v>
      </c>
      <c r="E611" s="2" t="s">
        <v>99</v>
      </c>
      <c r="F611" s="4">
        <v>10000</v>
      </c>
      <c r="G611" s="5">
        <v>1.3</v>
      </c>
      <c r="H611" s="6">
        <v>0</v>
      </c>
      <c r="I611" s="7">
        <f t="shared" si="90"/>
        <v>13000</v>
      </c>
      <c r="J611" s="7">
        <f t="shared" si="91"/>
        <v>0</v>
      </c>
      <c r="K611" s="7">
        <f t="shared" si="92"/>
        <v>13000</v>
      </c>
      <c r="L611" s="4">
        <v>87000</v>
      </c>
      <c r="M611" s="7">
        <f t="shared" si="93"/>
        <v>100000</v>
      </c>
      <c r="N611" s="2" t="s">
        <v>21</v>
      </c>
      <c r="O611" t="s">
        <v>22</v>
      </c>
      <c r="P611" s="2" t="s">
        <v>2370</v>
      </c>
      <c r="Q611" s="2">
        <v>2</v>
      </c>
      <c r="R611" s="2" t="s">
        <v>23</v>
      </c>
      <c r="S611" s="2" t="str">
        <f t="shared" si="94"/>
        <v>Rendah</v>
      </c>
      <c r="T611" s="2" t="str">
        <f t="shared" si="95"/>
        <v>FALSE</v>
      </c>
      <c r="U611" s="2" t="str">
        <f t="shared" si="96"/>
        <v>FALSE</v>
      </c>
      <c r="V611" s="2" t="b">
        <f t="shared" si="97"/>
        <v>0</v>
      </c>
      <c r="W611" s="2" t="b">
        <f t="shared" si="98"/>
        <v>0</v>
      </c>
      <c r="X611" s="2" t="b">
        <f t="shared" si="99"/>
        <v>0</v>
      </c>
    </row>
    <row r="612" spans="1:24" ht="10.5" customHeight="1">
      <c r="A612" s="2" t="s">
        <v>942</v>
      </c>
      <c r="B612" s="3">
        <v>45774.715937499997</v>
      </c>
      <c r="C612" s="2" t="s">
        <v>421</v>
      </c>
      <c r="D612" s="2" t="s">
        <v>31</v>
      </c>
      <c r="E612" s="2" t="s">
        <v>35</v>
      </c>
      <c r="F612" s="4">
        <v>13500</v>
      </c>
      <c r="G612" s="5">
        <v>1.1000000000000001</v>
      </c>
      <c r="H612" s="6">
        <v>0</v>
      </c>
      <c r="I612" s="7">
        <f t="shared" si="90"/>
        <v>14850.000000000002</v>
      </c>
      <c r="J612" s="7">
        <f t="shared" si="91"/>
        <v>0</v>
      </c>
      <c r="K612" s="7">
        <f t="shared" si="92"/>
        <v>14850.000000000002</v>
      </c>
      <c r="L612" s="4">
        <v>76000</v>
      </c>
      <c r="M612" s="7">
        <f t="shared" si="93"/>
        <v>90850</v>
      </c>
      <c r="N612" s="2" t="s">
        <v>21</v>
      </c>
      <c r="O612" t="s">
        <v>22</v>
      </c>
      <c r="P612" s="2" t="s">
        <v>2368</v>
      </c>
      <c r="Q612" s="2">
        <v>3</v>
      </c>
      <c r="R612" s="2" t="s">
        <v>23</v>
      </c>
      <c r="S612" s="2" t="str">
        <f t="shared" si="94"/>
        <v>Rendah</v>
      </c>
      <c r="T612" s="2" t="str">
        <f t="shared" si="95"/>
        <v>FALSE</v>
      </c>
      <c r="U612" s="2" t="str">
        <f t="shared" si="96"/>
        <v>FALSE</v>
      </c>
      <c r="V612" s="2" t="b">
        <f t="shared" si="97"/>
        <v>0</v>
      </c>
      <c r="W612" s="2" t="b">
        <f t="shared" si="98"/>
        <v>0</v>
      </c>
      <c r="X612" s="2" t="b">
        <f t="shared" si="99"/>
        <v>0</v>
      </c>
    </row>
    <row r="613" spans="1:24" ht="10.5" customHeight="1">
      <c r="A613" s="2" t="s">
        <v>943</v>
      </c>
      <c r="B613" s="3">
        <v>45774.735381944447</v>
      </c>
      <c r="C613" s="2" t="s">
        <v>944</v>
      </c>
      <c r="D613" s="2" t="s">
        <v>40</v>
      </c>
      <c r="E613" s="2" t="s">
        <v>49</v>
      </c>
      <c r="F613" s="4">
        <v>26000</v>
      </c>
      <c r="G613" s="5">
        <v>1.5</v>
      </c>
      <c r="H613" s="6">
        <v>0</v>
      </c>
      <c r="I613" s="7">
        <f t="shared" si="90"/>
        <v>39000</v>
      </c>
      <c r="J613" s="7">
        <f t="shared" si="91"/>
        <v>0</v>
      </c>
      <c r="K613" s="7">
        <f t="shared" si="92"/>
        <v>39000</v>
      </c>
      <c r="L613" s="4">
        <v>93000</v>
      </c>
      <c r="M613" s="7">
        <f t="shared" si="93"/>
        <v>132000</v>
      </c>
      <c r="N613" s="2" t="s">
        <v>21</v>
      </c>
      <c r="O613" t="s">
        <v>22</v>
      </c>
      <c r="P613" s="2" t="s">
        <v>2365</v>
      </c>
      <c r="Q613" s="2">
        <v>2</v>
      </c>
      <c r="R613" s="2" t="s">
        <v>23</v>
      </c>
      <c r="S613" s="2" t="str">
        <f t="shared" si="94"/>
        <v>Standar</v>
      </c>
      <c r="T613" s="2" t="str">
        <f t="shared" si="95"/>
        <v>FALSE</v>
      </c>
      <c r="U613" s="2" t="str">
        <f t="shared" si="96"/>
        <v>FALSE</v>
      </c>
      <c r="V613" s="2" t="b">
        <f t="shared" si="97"/>
        <v>0</v>
      </c>
      <c r="W613" s="2" t="b">
        <f t="shared" si="98"/>
        <v>0</v>
      </c>
      <c r="X613" s="2" t="b">
        <f t="shared" si="99"/>
        <v>0</v>
      </c>
    </row>
    <row r="614" spans="1:24" ht="10.5" customHeight="1">
      <c r="A614" s="2" t="s">
        <v>943</v>
      </c>
      <c r="B614" s="3">
        <v>45774.735381944447</v>
      </c>
      <c r="C614" s="2" t="s">
        <v>944</v>
      </c>
      <c r="D614" s="2" t="s">
        <v>40</v>
      </c>
      <c r="E614" s="2" t="s">
        <v>53</v>
      </c>
      <c r="F614" s="4">
        <v>14000</v>
      </c>
      <c r="G614" s="5">
        <v>1.3</v>
      </c>
      <c r="H614" s="6">
        <v>0</v>
      </c>
      <c r="I614" s="7">
        <f t="shared" si="90"/>
        <v>18200</v>
      </c>
      <c r="J614" s="7">
        <f t="shared" si="91"/>
        <v>0</v>
      </c>
      <c r="K614" s="7">
        <f t="shared" si="92"/>
        <v>18200</v>
      </c>
      <c r="L614" s="4">
        <v>0</v>
      </c>
      <c r="M614" s="7">
        <f t="shared" si="93"/>
        <v>18200</v>
      </c>
      <c r="N614" s="2" t="s">
        <v>21</v>
      </c>
      <c r="O614" t="s">
        <v>22</v>
      </c>
      <c r="P614" s="2" t="s">
        <v>2365</v>
      </c>
      <c r="Q614" s="2">
        <v>2</v>
      </c>
      <c r="R614" s="2" t="s">
        <v>23</v>
      </c>
      <c r="S614" s="2" t="str">
        <f t="shared" si="94"/>
        <v>Sangat Rendah</v>
      </c>
      <c r="T614" s="2" t="str">
        <f t="shared" si="95"/>
        <v>FALSE</v>
      </c>
      <c r="U614" s="2" t="str">
        <f t="shared" si="96"/>
        <v>FALSE</v>
      </c>
      <c r="V614" s="2" t="b">
        <f t="shared" si="97"/>
        <v>0</v>
      </c>
      <c r="W614" s="2" t="b">
        <f t="shared" si="98"/>
        <v>0</v>
      </c>
      <c r="X614" s="2" t="b">
        <f t="shared" si="99"/>
        <v>1</v>
      </c>
    </row>
    <row r="615" spans="1:24" ht="10.5" customHeight="1">
      <c r="A615" s="2" t="s">
        <v>945</v>
      </c>
      <c r="B615" s="3">
        <v>45774.756111111114</v>
      </c>
      <c r="C615" s="2" t="s">
        <v>55</v>
      </c>
      <c r="D615" s="2" t="s">
        <v>56</v>
      </c>
      <c r="E615" s="2" t="s">
        <v>65</v>
      </c>
      <c r="F615" s="4">
        <v>46000</v>
      </c>
      <c r="G615" s="5">
        <v>0.6</v>
      </c>
      <c r="H615" s="6">
        <v>0</v>
      </c>
      <c r="I615" s="7">
        <f t="shared" si="90"/>
        <v>27600</v>
      </c>
      <c r="J615" s="7">
        <f t="shared" si="91"/>
        <v>0</v>
      </c>
      <c r="K615" s="7">
        <f t="shared" si="92"/>
        <v>27600</v>
      </c>
      <c r="L615" s="4">
        <v>26000</v>
      </c>
      <c r="M615" s="7">
        <f t="shared" si="93"/>
        <v>53600</v>
      </c>
      <c r="N615" s="2" t="s">
        <v>28</v>
      </c>
      <c r="O615" t="s">
        <v>22</v>
      </c>
      <c r="P615" s="2" t="s">
        <v>2367</v>
      </c>
      <c r="Q615" s="2">
        <v>1</v>
      </c>
      <c r="R615" s="2" t="s">
        <v>23</v>
      </c>
      <c r="S615" s="2" t="str">
        <f t="shared" si="94"/>
        <v>Rendah</v>
      </c>
      <c r="T615" s="2" t="str">
        <f t="shared" si="95"/>
        <v>FALSE</v>
      </c>
      <c r="U615" s="2" t="str">
        <f t="shared" si="96"/>
        <v>FALSE</v>
      </c>
      <c r="V615" s="2" t="b">
        <f t="shared" si="97"/>
        <v>0</v>
      </c>
      <c r="W615" s="2" t="b">
        <f t="shared" si="98"/>
        <v>1</v>
      </c>
      <c r="X615" s="2" t="b">
        <f t="shared" si="99"/>
        <v>0</v>
      </c>
    </row>
    <row r="616" spans="1:24" ht="10.5" customHeight="1">
      <c r="A616" s="2" t="s">
        <v>946</v>
      </c>
      <c r="B616" s="3">
        <v>45774.87605324074</v>
      </c>
      <c r="C616" s="2" t="s">
        <v>181</v>
      </c>
      <c r="D616" s="2" t="s">
        <v>98</v>
      </c>
      <c r="E616" s="2" t="s">
        <v>99</v>
      </c>
      <c r="F616" s="4">
        <v>10000</v>
      </c>
      <c r="G616" s="5">
        <v>0.4</v>
      </c>
      <c r="H616" s="6">
        <v>0</v>
      </c>
      <c r="I616" s="7">
        <f t="shared" si="90"/>
        <v>4000</v>
      </c>
      <c r="J616" s="7">
        <f t="shared" si="91"/>
        <v>0</v>
      </c>
      <c r="K616" s="7">
        <f t="shared" si="92"/>
        <v>4000</v>
      </c>
      <c r="L616" s="4">
        <v>97000</v>
      </c>
      <c r="M616" s="7">
        <f t="shared" si="93"/>
        <v>101000</v>
      </c>
      <c r="N616" s="2" t="s">
        <v>58</v>
      </c>
      <c r="O616" t="s">
        <v>22</v>
      </c>
      <c r="P616" s="2" t="s">
        <v>2370</v>
      </c>
      <c r="Q616" s="2">
        <v>5</v>
      </c>
      <c r="R616" s="2" t="s">
        <v>23</v>
      </c>
      <c r="S616" s="2" t="str">
        <f t="shared" si="94"/>
        <v>Standar</v>
      </c>
      <c r="T616" s="2" t="str">
        <f t="shared" si="95"/>
        <v>FALSE</v>
      </c>
      <c r="U616" s="2" t="str">
        <f t="shared" si="96"/>
        <v>FALSE</v>
      </c>
      <c r="V616" s="2" t="b">
        <f t="shared" si="97"/>
        <v>0</v>
      </c>
      <c r="W616" s="2" t="b">
        <f t="shared" si="98"/>
        <v>0</v>
      </c>
      <c r="X616" s="2" t="b">
        <f t="shared" si="99"/>
        <v>0</v>
      </c>
    </row>
    <row r="617" spans="1:24" ht="10.5" customHeight="1">
      <c r="A617" s="2" t="s">
        <v>947</v>
      </c>
      <c r="B617" s="3">
        <v>45774.91207175926</v>
      </c>
      <c r="C617" s="2" t="s">
        <v>841</v>
      </c>
      <c r="D617" s="2" t="s">
        <v>61</v>
      </c>
      <c r="E617" s="2" t="s">
        <v>65</v>
      </c>
      <c r="F617" s="4">
        <v>46000</v>
      </c>
      <c r="G617" s="5">
        <v>1.1000000000000001</v>
      </c>
      <c r="H617" s="6">
        <v>0</v>
      </c>
      <c r="I617" s="7">
        <f t="shared" si="90"/>
        <v>50600.000000000007</v>
      </c>
      <c r="J617" s="7">
        <f t="shared" si="91"/>
        <v>0</v>
      </c>
      <c r="K617" s="7">
        <f t="shared" si="92"/>
        <v>50600.000000000007</v>
      </c>
      <c r="L617" s="4">
        <v>59000</v>
      </c>
      <c r="M617" s="7">
        <f t="shared" si="93"/>
        <v>109600</v>
      </c>
      <c r="N617" s="2" t="s">
        <v>28</v>
      </c>
      <c r="O617" t="s">
        <v>22</v>
      </c>
      <c r="P617" s="2" t="s">
        <v>2367</v>
      </c>
      <c r="Q617" s="2">
        <v>1</v>
      </c>
      <c r="R617" s="2" t="s">
        <v>34</v>
      </c>
      <c r="S617" s="2" t="str">
        <f t="shared" si="94"/>
        <v>Standar</v>
      </c>
      <c r="T617" s="2" t="str">
        <f t="shared" si="95"/>
        <v>FALSE</v>
      </c>
      <c r="U617" s="2" t="str">
        <f t="shared" si="96"/>
        <v>FALSE</v>
      </c>
      <c r="V617" s="2" t="b">
        <f t="shared" si="97"/>
        <v>0</v>
      </c>
      <c r="W617" s="2" t="b">
        <f t="shared" si="98"/>
        <v>1</v>
      </c>
      <c r="X617" s="2" t="b">
        <f t="shared" si="99"/>
        <v>0</v>
      </c>
    </row>
    <row r="618" spans="1:24" ht="10.5" customHeight="1">
      <c r="A618" s="2" t="s">
        <v>948</v>
      </c>
      <c r="B618" s="3">
        <v>45774.923738425918</v>
      </c>
      <c r="C618" s="2" t="s">
        <v>949</v>
      </c>
      <c r="D618" s="2" t="s">
        <v>173</v>
      </c>
      <c r="E618" s="2" t="s">
        <v>49</v>
      </c>
      <c r="F618" s="4">
        <v>26000</v>
      </c>
      <c r="G618" s="5">
        <v>0.4</v>
      </c>
      <c r="H618" s="6">
        <v>0</v>
      </c>
      <c r="I618" s="7">
        <f t="shared" si="90"/>
        <v>10400</v>
      </c>
      <c r="J618" s="7">
        <f t="shared" si="91"/>
        <v>0</v>
      </c>
      <c r="K618" s="7">
        <f t="shared" si="92"/>
        <v>10400</v>
      </c>
      <c r="L618" s="4">
        <v>48000</v>
      </c>
      <c r="M618" s="7">
        <f t="shared" si="93"/>
        <v>58400</v>
      </c>
      <c r="N618" s="2" t="s">
        <v>21</v>
      </c>
      <c r="O618" t="s">
        <v>22</v>
      </c>
      <c r="P618" s="2" t="s">
        <v>2370</v>
      </c>
      <c r="Q618" s="2">
        <v>2</v>
      </c>
      <c r="R618" s="2" t="s">
        <v>23</v>
      </c>
      <c r="S618" s="2" t="str">
        <f t="shared" si="94"/>
        <v>Rendah</v>
      </c>
      <c r="T618" s="2" t="str">
        <f t="shared" si="95"/>
        <v>FALSE</v>
      </c>
      <c r="U618" s="2" t="str">
        <f t="shared" si="96"/>
        <v>FALSE</v>
      </c>
      <c r="V618" s="2" t="b">
        <f t="shared" si="97"/>
        <v>0</v>
      </c>
      <c r="W618" s="2" t="b">
        <f t="shared" si="98"/>
        <v>0</v>
      </c>
      <c r="X618" s="2" t="b">
        <f t="shared" si="99"/>
        <v>0</v>
      </c>
    </row>
    <row r="619" spans="1:24" ht="10.5" customHeight="1">
      <c r="A619" s="2" t="s">
        <v>950</v>
      </c>
      <c r="B619" s="3">
        <v>45775.047638888893</v>
      </c>
      <c r="C619" s="2" t="s">
        <v>345</v>
      </c>
      <c r="D619" s="2" t="s">
        <v>108</v>
      </c>
      <c r="E619" s="2" t="s">
        <v>65</v>
      </c>
      <c r="F619" s="4">
        <v>46000</v>
      </c>
      <c r="G619" s="5">
        <v>0.8</v>
      </c>
      <c r="H619" s="6">
        <v>0</v>
      </c>
      <c r="I619" s="7">
        <f t="shared" si="90"/>
        <v>36800</v>
      </c>
      <c r="J619" s="7">
        <f t="shared" si="91"/>
        <v>0</v>
      </c>
      <c r="K619" s="7">
        <f t="shared" si="92"/>
        <v>36800</v>
      </c>
      <c r="L619" s="4">
        <v>72000</v>
      </c>
      <c r="M619" s="7">
        <f t="shared" si="93"/>
        <v>108800</v>
      </c>
      <c r="N619" s="2" t="s">
        <v>33</v>
      </c>
      <c r="O619" t="s">
        <v>22</v>
      </c>
      <c r="P619" s="2" t="s">
        <v>2366</v>
      </c>
      <c r="Q619" s="2">
        <v>3</v>
      </c>
      <c r="R619" s="2" t="s">
        <v>23</v>
      </c>
      <c r="S619" s="2" t="str">
        <f t="shared" si="94"/>
        <v>Standar</v>
      </c>
      <c r="T619" s="2" t="str">
        <f t="shared" si="95"/>
        <v>FALSE</v>
      </c>
      <c r="U619" s="2" t="str">
        <f t="shared" si="96"/>
        <v>FALSE</v>
      </c>
      <c r="V619" s="2" t="b">
        <f t="shared" si="97"/>
        <v>0</v>
      </c>
      <c r="W619" s="2" t="b">
        <f t="shared" si="98"/>
        <v>0</v>
      </c>
      <c r="X619" s="2" t="b">
        <f t="shared" si="99"/>
        <v>0</v>
      </c>
    </row>
    <row r="620" spans="1:24" ht="10.5" customHeight="1">
      <c r="A620" s="2" t="s">
        <v>951</v>
      </c>
      <c r="B620" s="3">
        <v>45775.054930555547</v>
      </c>
      <c r="C620" s="2" t="s">
        <v>289</v>
      </c>
      <c r="D620" s="2" t="s">
        <v>153</v>
      </c>
      <c r="E620" s="2" t="s">
        <v>190</v>
      </c>
      <c r="F620" s="4">
        <v>15500</v>
      </c>
      <c r="G620" s="5">
        <v>0.1</v>
      </c>
      <c r="H620" s="6">
        <v>0</v>
      </c>
      <c r="I620" s="7">
        <f t="shared" si="90"/>
        <v>1550</v>
      </c>
      <c r="J620" s="7">
        <f t="shared" si="91"/>
        <v>0</v>
      </c>
      <c r="K620" s="7">
        <f t="shared" si="92"/>
        <v>1550</v>
      </c>
      <c r="L620" s="4">
        <v>50000</v>
      </c>
      <c r="M620" s="7">
        <f t="shared" si="93"/>
        <v>51550</v>
      </c>
      <c r="N620" s="2" t="s">
        <v>21</v>
      </c>
      <c r="O620" t="s">
        <v>22</v>
      </c>
      <c r="P620" s="2" t="s">
        <v>2366</v>
      </c>
      <c r="Q620" s="2">
        <v>3</v>
      </c>
      <c r="R620" s="2" t="s">
        <v>23</v>
      </c>
      <c r="S620" s="2" t="str">
        <f t="shared" si="94"/>
        <v>Rendah</v>
      </c>
      <c r="T620" s="2" t="str">
        <f t="shared" si="95"/>
        <v>FALSE</v>
      </c>
      <c r="U620" s="2" t="str">
        <f t="shared" si="96"/>
        <v>FALSE</v>
      </c>
      <c r="V620" s="2" t="b">
        <f t="shared" si="97"/>
        <v>0</v>
      </c>
      <c r="W620" s="2" t="b">
        <f t="shared" si="98"/>
        <v>0</v>
      </c>
      <c r="X620" s="2" t="b">
        <f t="shared" si="99"/>
        <v>0</v>
      </c>
    </row>
    <row r="621" spans="1:24" ht="10.5" customHeight="1">
      <c r="A621" s="2" t="s">
        <v>952</v>
      </c>
      <c r="B621" s="3">
        <v>45775.177094907413</v>
      </c>
      <c r="C621" s="2" t="s">
        <v>603</v>
      </c>
      <c r="D621" s="2" t="s">
        <v>365</v>
      </c>
      <c r="E621" s="2" t="s">
        <v>80</v>
      </c>
      <c r="F621" s="4">
        <v>15000</v>
      </c>
      <c r="G621" s="5">
        <v>0.4</v>
      </c>
      <c r="H621" s="6">
        <v>0</v>
      </c>
      <c r="I621" s="7">
        <f t="shared" si="90"/>
        <v>6000</v>
      </c>
      <c r="J621" s="7">
        <f t="shared" si="91"/>
        <v>0</v>
      </c>
      <c r="K621" s="7">
        <f t="shared" si="92"/>
        <v>6000</v>
      </c>
      <c r="L621" s="4">
        <v>21000</v>
      </c>
      <c r="M621" s="7">
        <f t="shared" si="93"/>
        <v>27000</v>
      </c>
      <c r="N621" s="2" t="s">
        <v>58</v>
      </c>
      <c r="O621" t="s">
        <v>115</v>
      </c>
      <c r="P621" s="2" t="s">
        <v>2368</v>
      </c>
      <c r="Q621" s="2">
        <v>4</v>
      </c>
      <c r="R621" s="2" t="s">
        <v>23</v>
      </c>
      <c r="S621" s="2" t="str">
        <f t="shared" si="94"/>
        <v>Sangat Rendah</v>
      </c>
      <c r="T621" s="2" t="str">
        <f t="shared" si="95"/>
        <v>FALSE</v>
      </c>
      <c r="U621" s="2" t="str">
        <f t="shared" si="96"/>
        <v>FALSE</v>
      </c>
      <c r="V621" s="2" t="b">
        <f t="shared" si="97"/>
        <v>0</v>
      </c>
      <c r="W621" s="2" t="b">
        <f t="shared" si="98"/>
        <v>0</v>
      </c>
      <c r="X621" s="2" t="b">
        <f t="shared" si="99"/>
        <v>1</v>
      </c>
    </row>
    <row r="622" spans="1:24" ht="10.5" customHeight="1">
      <c r="A622" s="2" t="s">
        <v>953</v>
      </c>
      <c r="B622" s="3">
        <v>45775.433715277781</v>
      </c>
      <c r="C622" s="2" t="s">
        <v>101</v>
      </c>
      <c r="D622" s="2" t="s">
        <v>44</v>
      </c>
      <c r="E622" s="2" t="s">
        <v>20</v>
      </c>
      <c r="F622" s="4">
        <v>10000</v>
      </c>
      <c r="G622" s="5">
        <v>1.7</v>
      </c>
      <c r="H622" s="6">
        <v>0</v>
      </c>
      <c r="I622" s="7">
        <f t="shared" si="90"/>
        <v>17000</v>
      </c>
      <c r="J622" s="7">
        <f t="shared" si="91"/>
        <v>0</v>
      </c>
      <c r="K622" s="7">
        <f t="shared" si="92"/>
        <v>17000</v>
      </c>
      <c r="L622" s="4">
        <v>43000</v>
      </c>
      <c r="M622" s="7">
        <f t="shared" si="93"/>
        <v>60000</v>
      </c>
      <c r="N622" s="2" t="s">
        <v>33</v>
      </c>
      <c r="O622" t="s">
        <v>69</v>
      </c>
      <c r="P622" s="2" t="s">
        <v>2370</v>
      </c>
      <c r="Q622" s="2">
        <v>1</v>
      </c>
      <c r="R622" s="2" t="s">
        <v>23</v>
      </c>
      <c r="S622" s="2" t="str">
        <f t="shared" si="94"/>
        <v>Rendah</v>
      </c>
      <c r="T622" s="2" t="str">
        <f t="shared" si="95"/>
        <v>FALSE</v>
      </c>
      <c r="U622" s="2" t="str">
        <f t="shared" si="96"/>
        <v>FALSE</v>
      </c>
      <c r="V622" s="2" t="b">
        <f t="shared" si="97"/>
        <v>0</v>
      </c>
      <c r="W622" s="2" t="b">
        <f t="shared" si="98"/>
        <v>0</v>
      </c>
      <c r="X622" s="2" t="b">
        <f t="shared" si="99"/>
        <v>0</v>
      </c>
    </row>
    <row r="623" spans="1:24" ht="10.5" customHeight="1">
      <c r="A623" s="2" t="s">
        <v>953</v>
      </c>
      <c r="B623" s="3">
        <v>45775.433715277781</v>
      </c>
      <c r="C623" s="2" t="s">
        <v>101</v>
      </c>
      <c r="D623" s="2" t="s">
        <v>44</v>
      </c>
      <c r="E623" s="2" t="s">
        <v>32</v>
      </c>
      <c r="F623" s="4">
        <v>20000</v>
      </c>
      <c r="G623" s="5">
        <v>1.4</v>
      </c>
      <c r="H623" s="6">
        <v>0</v>
      </c>
      <c r="I623" s="7">
        <f t="shared" si="90"/>
        <v>28000</v>
      </c>
      <c r="J623" s="7">
        <f t="shared" si="91"/>
        <v>0</v>
      </c>
      <c r="K623" s="7">
        <f t="shared" si="92"/>
        <v>28000</v>
      </c>
      <c r="L623" s="4">
        <v>0</v>
      </c>
      <c r="M623" s="7">
        <f t="shared" si="93"/>
        <v>28000</v>
      </c>
      <c r="N623" s="2" t="s">
        <v>33</v>
      </c>
      <c r="O623" t="s">
        <v>69</v>
      </c>
      <c r="P623" s="2" t="s">
        <v>2370</v>
      </c>
      <c r="Q623" s="2">
        <v>1</v>
      </c>
      <c r="R623" s="2" t="s">
        <v>23</v>
      </c>
      <c r="S623" s="2" t="str">
        <f t="shared" si="94"/>
        <v>Sangat Rendah</v>
      </c>
      <c r="T623" s="2" t="str">
        <f t="shared" si="95"/>
        <v>FALSE</v>
      </c>
      <c r="U623" s="2" t="str">
        <f t="shared" si="96"/>
        <v>FALSE</v>
      </c>
      <c r="V623" s="2" t="b">
        <f t="shared" si="97"/>
        <v>0</v>
      </c>
      <c r="W623" s="2" t="b">
        <f t="shared" si="98"/>
        <v>0</v>
      </c>
      <c r="X623" s="2" t="b">
        <f t="shared" si="99"/>
        <v>1</v>
      </c>
    </row>
    <row r="624" spans="1:24" ht="10.5" customHeight="1">
      <c r="A624" s="2" t="s">
        <v>954</v>
      </c>
      <c r="B624" s="3">
        <v>45775.455613425933</v>
      </c>
      <c r="C624" s="2" t="s">
        <v>492</v>
      </c>
      <c r="D624" s="2" t="s">
        <v>98</v>
      </c>
      <c r="E624" s="2" t="s">
        <v>161</v>
      </c>
      <c r="F624" s="4">
        <v>115000</v>
      </c>
      <c r="G624" s="5">
        <v>0.4</v>
      </c>
      <c r="H624" s="6">
        <v>0</v>
      </c>
      <c r="I624" s="7">
        <f t="shared" si="90"/>
        <v>46000</v>
      </c>
      <c r="J624" s="7">
        <f t="shared" si="91"/>
        <v>0</v>
      </c>
      <c r="K624" s="7">
        <f t="shared" si="92"/>
        <v>46000</v>
      </c>
      <c r="L624" s="4">
        <v>97000</v>
      </c>
      <c r="M624" s="7">
        <f t="shared" si="93"/>
        <v>143000</v>
      </c>
      <c r="N624" s="2" t="s">
        <v>28</v>
      </c>
      <c r="O624" t="s">
        <v>22</v>
      </c>
      <c r="P624" s="2" t="s">
        <v>2365</v>
      </c>
      <c r="Q624" s="2">
        <v>3</v>
      </c>
      <c r="R624" s="2" t="s">
        <v>23</v>
      </c>
      <c r="S624" s="2" t="str">
        <f t="shared" si="94"/>
        <v>Standar</v>
      </c>
      <c r="T624" s="2" t="str">
        <f t="shared" si="95"/>
        <v>FALSE</v>
      </c>
      <c r="U624" s="2" t="str">
        <f t="shared" si="96"/>
        <v>FALSE</v>
      </c>
      <c r="V624" s="2" t="b">
        <f t="shared" si="97"/>
        <v>0</v>
      </c>
      <c r="W624" s="2" t="b">
        <f t="shared" si="98"/>
        <v>0</v>
      </c>
      <c r="X624" s="2" t="b">
        <f t="shared" si="99"/>
        <v>0</v>
      </c>
    </row>
    <row r="625" spans="1:24" ht="10.5" customHeight="1">
      <c r="A625" s="2" t="s">
        <v>955</v>
      </c>
      <c r="B625" s="3">
        <v>45775.537800925929</v>
      </c>
      <c r="C625" s="2" t="s">
        <v>192</v>
      </c>
      <c r="D625" s="2" t="s">
        <v>98</v>
      </c>
      <c r="E625" s="2" t="s">
        <v>57</v>
      </c>
      <c r="F625" s="4">
        <v>17500</v>
      </c>
      <c r="G625" s="5">
        <v>3.2</v>
      </c>
      <c r="H625" s="6">
        <v>0</v>
      </c>
      <c r="I625" s="7">
        <f t="shared" si="90"/>
        <v>56000</v>
      </c>
      <c r="J625" s="7">
        <f t="shared" si="91"/>
        <v>0</v>
      </c>
      <c r="K625" s="7">
        <f t="shared" si="92"/>
        <v>56000</v>
      </c>
      <c r="L625" s="4">
        <v>97000</v>
      </c>
      <c r="M625" s="7">
        <f t="shared" si="93"/>
        <v>153000</v>
      </c>
      <c r="N625" s="2" t="s">
        <v>28</v>
      </c>
      <c r="O625" t="s">
        <v>22</v>
      </c>
      <c r="P625" s="2" t="s">
        <v>2366</v>
      </c>
      <c r="Q625" s="2">
        <v>4</v>
      </c>
      <c r="R625" s="2" t="s">
        <v>23</v>
      </c>
      <c r="S625" s="2" t="str">
        <f t="shared" si="94"/>
        <v>Tinggi</v>
      </c>
      <c r="T625" s="2" t="str">
        <f t="shared" si="95"/>
        <v>FALSE</v>
      </c>
      <c r="U625" s="2" t="str">
        <f t="shared" si="96"/>
        <v>TRUE</v>
      </c>
      <c r="V625" s="2" t="b">
        <f t="shared" si="97"/>
        <v>0</v>
      </c>
      <c r="W625" s="2" t="b">
        <f t="shared" si="98"/>
        <v>0</v>
      </c>
      <c r="X625" s="2" t="b">
        <f t="shared" si="99"/>
        <v>0</v>
      </c>
    </row>
    <row r="626" spans="1:24" ht="10.5" customHeight="1">
      <c r="A626" s="2" t="s">
        <v>956</v>
      </c>
      <c r="B626" s="3">
        <v>45775.550532407397</v>
      </c>
      <c r="C626" s="2" t="s">
        <v>560</v>
      </c>
      <c r="D626" s="2" t="s">
        <v>74</v>
      </c>
      <c r="E626" s="2" t="s">
        <v>143</v>
      </c>
      <c r="F626" s="4">
        <v>10000</v>
      </c>
      <c r="G626" s="5">
        <v>0.3</v>
      </c>
      <c r="H626" s="6">
        <v>0</v>
      </c>
      <c r="I626" s="7">
        <f t="shared" si="90"/>
        <v>3000</v>
      </c>
      <c r="J626" s="7">
        <f t="shared" si="91"/>
        <v>0</v>
      </c>
      <c r="K626" s="7">
        <f t="shared" si="92"/>
        <v>3000</v>
      </c>
      <c r="L626" s="4">
        <v>74000</v>
      </c>
      <c r="M626" s="7">
        <f t="shared" si="93"/>
        <v>77000</v>
      </c>
      <c r="N626" s="2" t="s">
        <v>58</v>
      </c>
      <c r="O626" t="s">
        <v>22</v>
      </c>
      <c r="P626" s="2" t="s">
        <v>2366</v>
      </c>
      <c r="Q626" s="2">
        <v>1</v>
      </c>
      <c r="R626" s="2" t="s">
        <v>23</v>
      </c>
      <c r="S626" s="2" t="str">
        <f t="shared" si="94"/>
        <v>Rendah</v>
      </c>
      <c r="T626" s="2" t="str">
        <f t="shared" si="95"/>
        <v>FALSE</v>
      </c>
      <c r="U626" s="2" t="str">
        <f t="shared" si="96"/>
        <v>TRUE</v>
      </c>
      <c r="V626" s="2" t="b">
        <f t="shared" si="97"/>
        <v>0</v>
      </c>
      <c r="W626" s="2" t="b">
        <f t="shared" si="98"/>
        <v>0</v>
      </c>
      <c r="X626" s="2" t="b">
        <f t="shared" si="99"/>
        <v>0</v>
      </c>
    </row>
    <row r="627" spans="1:24" ht="10.5" customHeight="1">
      <c r="A627" s="2" t="s">
        <v>957</v>
      </c>
      <c r="B627" s="3">
        <v>45775.624386574083</v>
      </c>
      <c r="C627" s="2" t="s">
        <v>192</v>
      </c>
      <c r="D627" s="2" t="s">
        <v>98</v>
      </c>
      <c r="E627" s="2" t="s">
        <v>57</v>
      </c>
      <c r="F627" s="4">
        <v>17500</v>
      </c>
      <c r="G627" s="5">
        <v>2.5</v>
      </c>
      <c r="H627" s="6">
        <v>0</v>
      </c>
      <c r="I627" s="7">
        <f t="shared" si="90"/>
        <v>43750</v>
      </c>
      <c r="J627" s="7">
        <f t="shared" si="91"/>
        <v>0</v>
      </c>
      <c r="K627" s="7">
        <f t="shared" si="92"/>
        <v>43750</v>
      </c>
      <c r="L627" s="4">
        <v>97000</v>
      </c>
      <c r="M627" s="7">
        <f t="shared" si="93"/>
        <v>140750</v>
      </c>
      <c r="N627" s="2" t="s">
        <v>33</v>
      </c>
      <c r="O627" t="s">
        <v>22</v>
      </c>
      <c r="P627" s="2" t="s">
        <v>2366</v>
      </c>
      <c r="Q627" s="2">
        <v>5</v>
      </c>
      <c r="R627" s="2" t="s">
        <v>23</v>
      </c>
      <c r="S627" s="2" t="str">
        <f t="shared" si="94"/>
        <v>Standar</v>
      </c>
      <c r="T627" s="2" t="str">
        <f t="shared" si="95"/>
        <v>FALSE</v>
      </c>
      <c r="U627" s="2" t="str">
        <f t="shared" si="96"/>
        <v>FALSE</v>
      </c>
      <c r="V627" s="2" t="b">
        <f t="shared" si="97"/>
        <v>0</v>
      </c>
      <c r="W627" s="2" t="b">
        <f t="shared" si="98"/>
        <v>0</v>
      </c>
      <c r="X627" s="2" t="b">
        <f t="shared" si="99"/>
        <v>0</v>
      </c>
    </row>
    <row r="628" spans="1:24" ht="10.5" customHeight="1">
      <c r="A628" s="2" t="s">
        <v>958</v>
      </c>
      <c r="B628" s="3">
        <v>45775.731608796297</v>
      </c>
      <c r="C628" s="2" t="s">
        <v>959</v>
      </c>
      <c r="D628" s="2" t="s">
        <v>167</v>
      </c>
      <c r="E628" s="2" t="s">
        <v>32</v>
      </c>
      <c r="F628" s="4">
        <v>20000</v>
      </c>
      <c r="G628" s="5">
        <v>1.8</v>
      </c>
      <c r="H628" s="6">
        <v>0</v>
      </c>
      <c r="I628" s="7">
        <f t="shared" si="90"/>
        <v>36000</v>
      </c>
      <c r="J628" s="7">
        <f t="shared" si="91"/>
        <v>0</v>
      </c>
      <c r="K628" s="7">
        <f t="shared" si="92"/>
        <v>36000</v>
      </c>
      <c r="L628" s="4">
        <v>56000</v>
      </c>
      <c r="M628" s="7">
        <f t="shared" si="93"/>
        <v>92000</v>
      </c>
      <c r="N628" s="2" t="s">
        <v>28</v>
      </c>
      <c r="O628" t="s">
        <v>22</v>
      </c>
      <c r="P628" s="2" t="s">
        <v>2368</v>
      </c>
      <c r="Q628" s="2">
        <v>3</v>
      </c>
      <c r="R628" s="2" t="s">
        <v>23</v>
      </c>
      <c r="S628" s="2" t="str">
        <f t="shared" si="94"/>
        <v>Rendah</v>
      </c>
      <c r="T628" s="2" t="str">
        <f t="shared" si="95"/>
        <v>FALSE</v>
      </c>
      <c r="U628" s="2" t="str">
        <f t="shared" si="96"/>
        <v>FALSE</v>
      </c>
      <c r="V628" s="2" t="b">
        <f t="shared" si="97"/>
        <v>0</v>
      </c>
      <c r="W628" s="2" t="b">
        <f t="shared" si="98"/>
        <v>0</v>
      </c>
      <c r="X628" s="2" t="b">
        <f t="shared" si="99"/>
        <v>0</v>
      </c>
    </row>
    <row r="629" spans="1:24" ht="10.5" customHeight="1">
      <c r="A629" s="2" t="s">
        <v>960</v>
      </c>
      <c r="B629" s="3">
        <v>45775.746412037042</v>
      </c>
      <c r="C629" s="2" t="s">
        <v>447</v>
      </c>
      <c r="D629" s="2" t="s">
        <v>74</v>
      </c>
      <c r="E629" s="2" t="s">
        <v>190</v>
      </c>
      <c r="F629" s="4">
        <v>15500</v>
      </c>
      <c r="G629" s="5">
        <v>0.4</v>
      </c>
      <c r="H629" s="6">
        <v>0</v>
      </c>
      <c r="I629" s="7">
        <f t="shared" si="90"/>
        <v>6200</v>
      </c>
      <c r="J629" s="7">
        <f t="shared" si="91"/>
        <v>0</v>
      </c>
      <c r="K629" s="7">
        <f t="shared" si="92"/>
        <v>6200</v>
      </c>
      <c r="L629" s="4">
        <v>74000</v>
      </c>
      <c r="M629" s="7">
        <f t="shared" si="93"/>
        <v>80200</v>
      </c>
      <c r="N629" s="2" t="s">
        <v>58</v>
      </c>
      <c r="O629" t="s">
        <v>22</v>
      </c>
      <c r="P629" s="2" t="s">
        <v>2368</v>
      </c>
      <c r="Q629" s="2">
        <v>1</v>
      </c>
      <c r="R629" s="2" t="s">
        <v>23</v>
      </c>
      <c r="S629" s="2" t="str">
        <f t="shared" si="94"/>
        <v>Rendah</v>
      </c>
      <c r="T629" s="2" t="str">
        <f t="shared" si="95"/>
        <v>FALSE</v>
      </c>
      <c r="U629" s="2" t="str">
        <f t="shared" si="96"/>
        <v>FALSE</v>
      </c>
      <c r="V629" s="2" t="b">
        <f t="shared" si="97"/>
        <v>0</v>
      </c>
      <c r="W629" s="2" t="b">
        <f t="shared" si="98"/>
        <v>0</v>
      </c>
      <c r="X629" s="2" t="b">
        <f t="shared" si="99"/>
        <v>0</v>
      </c>
    </row>
    <row r="630" spans="1:24" ht="10.5" customHeight="1">
      <c r="A630" s="2" t="s">
        <v>960</v>
      </c>
      <c r="B630" s="3">
        <v>45775.746412037042</v>
      </c>
      <c r="C630" s="2" t="s">
        <v>447</v>
      </c>
      <c r="D630" s="2" t="s">
        <v>74</v>
      </c>
      <c r="E630" s="2" t="s">
        <v>49</v>
      </c>
      <c r="F630" s="4">
        <v>26000</v>
      </c>
      <c r="G630" s="5">
        <v>1.5</v>
      </c>
      <c r="H630" s="6">
        <v>0</v>
      </c>
      <c r="I630" s="7">
        <f t="shared" si="90"/>
        <v>39000</v>
      </c>
      <c r="J630" s="7">
        <f t="shared" si="91"/>
        <v>0</v>
      </c>
      <c r="K630" s="7">
        <f t="shared" si="92"/>
        <v>39000</v>
      </c>
      <c r="L630" s="4">
        <v>0</v>
      </c>
      <c r="M630" s="7">
        <f t="shared" si="93"/>
        <v>39000</v>
      </c>
      <c r="N630" s="2" t="s">
        <v>58</v>
      </c>
      <c r="O630" t="s">
        <v>22</v>
      </c>
      <c r="P630" s="2" t="s">
        <v>2368</v>
      </c>
      <c r="Q630" s="2">
        <v>1</v>
      </c>
      <c r="R630" s="2" t="s">
        <v>23</v>
      </c>
      <c r="S630" s="2" t="str">
        <f t="shared" si="94"/>
        <v>Sangat Rendah</v>
      </c>
      <c r="T630" s="2" t="str">
        <f t="shared" si="95"/>
        <v>FALSE</v>
      </c>
      <c r="U630" s="2" t="str">
        <f t="shared" si="96"/>
        <v>FALSE</v>
      </c>
      <c r="V630" s="2" t="b">
        <f t="shared" si="97"/>
        <v>0</v>
      </c>
      <c r="W630" s="2" t="b">
        <f t="shared" si="98"/>
        <v>0</v>
      </c>
      <c r="X630" s="2" t="b">
        <f t="shared" si="99"/>
        <v>1</v>
      </c>
    </row>
    <row r="631" spans="1:24" ht="10.5" customHeight="1">
      <c r="A631" s="2" t="s">
        <v>961</v>
      </c>
      <c r="B631" s="3">
        <v>45775.838171296287</v>
      </c>
      <c r="C631" s="2" t="s">
        <v>242</v>
      </c>
      <c r="D631" s="2" t="s">
        <v>123</v>
      </c>
      <c r="E631" s="2" t="s">
        <v>80</v>
      </c>
      <c r="F631" s="4">
        <v>15000</v>
      </c>
      <c r="G631" s="5">
        <v>0.6</v>
      </c>
      <c r="H631" s="6">
        <v>0</v>
      </c>
      <c r="I631" s="7">
        <f t="shared" si="90"/>
        <v>9000</v>
      </c>
      <c r="J631" s="7">
        <f t="shared" si="91"/>
        <v>0</v>
      </c>
      <c r="K631" s="7">
        <f t="shared" si="92"/>
        <v>9000</v>
      </c>
      <c r="L631" s="4">
        <v>59000</v>
      </c>
      <c r="M631" s="7">
        <f t="shared" si="93"/>
        <v>68000</v>
      </c>
      <c r="N631" s="2" t="s">
        <v>21</v>
      </c>
      <c r="O631" t="s">
        <v>69</v>
      </c>
      <c r="P631" s="2" t="s">
        <v>2370</v>
      </c>
      <c r="Q631" s="2">
        <v>4</v>
      </c>
      <c r="R631" s="2" t="s">
        <v>23</v>
      </c>
      <c r="S631" s="2" t="str">
        <f t="shared" si="94"/>
        <v>Rendah</v>
      </c>
      <c r="T631" s="2" t="str">
        <f t="shared" si="95"/>
        <v>FALSE</v>
      </c>
      <c r="U631" s="2" t="str">
        <f t="shared" si="96"/>
        <v>FALSE</v>
      </c>
      <c r="V631" s="2" t="b">
        <f t="shared" si="97"/>
        <v>0</v>
      </c>
      <c r="W631" s="2" t="b">
        <f t="shared" si="98"/>
        <v>0</v>
      </c>
      <c r="X631" s="2" t="b">
        <f t="shared" si="99"/>
        <v>0</v>
      </c>
    </row>
    <row r="632" spans="1:24" ht="10.5" customHeight="1">
      <c r="A632" s="2" t="s">
        <v>962</v>
      </c>
      <c r="B632" s="3">
        <v>45775.906759259262</v>
      </c>
      <c r="C632" s="2" t="s">
        <v>588</v>
      </c>
      <c r="D632" s="2" t="s">
        <v>56</v>
      </c>
      <c r="E632" s="2" t="s">
        <v>80</v>
      </c>
      <c r="F632" s="4">
        <v>15000</v>
      </c>
      <c r="G632" s="5">
        <v>1.8</v>
      </c>
      <c r="H632" s="6">
        <v>0</v>
      </c>
      <c r="I632" s="7">
        <f t="shared" si="90"/>
        <v>27000</v>
      </c>
      <c r="J632" s="7">
        <f t="shared" si="91"/>
        <v>0</v>
      </c>
      <c r="K632" s="7">
        <f t="shared" si="92"/>
        <v>27000</v>
      </c>
      <c r="L632" s="4">
        <v>26000</v>
      </c>
      <c r="M632" s="7">
        <f t="shared" si="93"/>
        <v>53000</v>
      </c>
      <c r="N632" s="2" t="s">
        <v>33</v>
      </c>
      <c r="O632" t="s">
        <v>69</v>
      </c>
      <c r="P632" s="2" t="s">
        <v>2365</v>
      </c>
      <c r="Q632" s="2">
        <v>3</v>
      </c>
      <c r="R632" s="2" t="s">
        <v>23</v>
      </c>
      <c r="S632" s="2" t="str">
        <f t="shared" si="94"/>
        <v>Rendah</v>
      </c>
      <c r="T632" s="2" t="str">
        <f t="shared" si="95"/>
        <v>FALSE</v>
      </c>
      <c r="U632" s="2" t="str">
        <f t="shared" si="96"/>
        <v>FALSE</v>
      </c>
      <c r="V632" s="2" t="b">
        <f t="shared" si="97"/>
        <v>0</v>
      </c>
      <c r="W632" s="2" t="b">
        <f t="shared" si="98"/>
        <v>0</v>
      </c>
      <c r="X632" s="2" t="b">
        <f t="shared" si="99"/>
        <v>0</v>
      </c>
    </row>
    <row r="633" spans="1:24" ht="10.5" customHeight="1">
      <c r="A633" s="2" t="s">
        <v>963</v>
      </c>
      <c r="B633" s="3">
        <v>45776.048206018517</v>
      </c>
      <c r="C633" s="2" t="s">
        <v>304</v>
      </c>
      <c r="D633" s="2" t="s">
        <v>105</v>
      </c>
      <c r="E633" s="2" t="s">
        <v>102</v>
      </c>
      <c r="F633" s="4">
        <v>55000</v>
      </c>
      <c r="G633" s="5">
        <v>1.1000000000000001</v>
      </c>
      <c r="H633" s="6">
        <v>0</v>
      </c>
      <c r="I633" s="7">
        <f t="shared" si="90"/>
        <v>60500.000000000007</v>
      </c>
      <c r="J633" s="7">
        <f t="shared" si="91"/>
        <v>0</v>
      </c>
      <c r="K633" s="7">
        <f t="shared" si="92"/>
        <v>60500.000000000007</v>
      </c>
      <c r="L633" s="4">
        <v>18000</v>
      </c>
      <c r="M633" s="7">
        <f t="shared" si="93"/>
        <v>78500</v>
      </c>
      <c r="N633" s="2" t="s">
        <v>58</v>
      </c>
      <c r="O633" t="s">
        <v>22</v>
      </c>
      <c r="P633" s="2" t="s">
        <v>2367</v>
      </c>
      <c r="Q633" s="2">
        <v>1</v>
      </c>
      <c r="R633" s="2" t="s">
        <v>23</v>
      </c>
      <c r="S633" s="2" t="str">
        <f t="shared" si="94"/>
        <v>Rendah</v>
      </c>
      <c r="T633" s="2" t="str">
        <f t="shared" si="95"/>
        <v>FALSE</v>
      </c>
      <c r="U633" s="2" t="str">
        <f t="shared" si="96"/>
        <v>FALSE</v>
      </c>
      <c r="V633" s="2" t="b">
        <f t="shared" si="97"/>
        <v>0</v>
      </c>
      <c r="W633" s="2" t="b">
        <f t="shared" si="98"/>
        <v>1</v>
      </c>
      <c r="X633" s="2" t="b">
        <f t="shared" si="99"/>
        <v>0</v>
      </c>
    </row>
    <row r="634" spans="1:24" ht="10.5" customHeight="1">
      <c r="A634" s="2" t="s">
        <v>963</v>
      </c>
      <c r="B634" s="3">
        <v>45776.048206018517</v>
      </c>
      <c r="C634" s="2" t="s">
        <v>304</v>
      </c>
      <c r="D634" s="2" t="s">
        <v>105</v>
      </c>
      <c r="E634" s="2" t="s">
        <v>161</v>
      </c>
      <c r="F634" s="4">
        <v>115000</v>
      </c>
      <c r="G634" s="5">
        <v>0.8</v>
      </c>
      <c r="H634" s="6">
        <v>0</v>
      </c>
      <c r="I634" s="7">
        <f t="shared" si="90"/>
        <v>92000</v>
      </c>
      <c r="J634" s="7">
        <f t="shared" si="91"/>
        <v>0</v>
      </c>
      <c r="K634" s="7">
        <f t="shared" si="92"/>
        <v>92000</v>
      </c>
      <c r="L634" s="4">
        <v>0</v>
      </c>
      <c r="M634" s="7">
        <f t="shared" si="93"/>
        <v>92000</v>
      </c>
      <c r="N634" s="2" t="s">
        <v>58</v>
      </c>
      <c r="O634" t="s">
        <v>22</v>
      </c>
      <c r="P634" s="2" t="s">
        <v>2367</v>
      </c>
      <c r="Q634" s="2">
        <v>1</v>
      </c>
      <c r="R634" s="2" t="s">
        <v>23</v>
      </c>
      <c r="S634" s="2" t="str">
        <f t="shared" si="94"/>
        <v>Rendah</v>
      </c>
      <c r="T634" s="2" t="str">
        <f t="shared" si="95"/>
        <v>FALSE</v>
      </c>
      <c r="U634" s="2" t="str">
        <f t="shared" si="96"/>
        <v>FALSE</v>
      </c>
      <c r="V634" s="2" t="b">
        <f t="shared" si="97"/>
        <v>0</v>
      </c>
      <c r="W634" s="2" t="b">
        <f t="shared" si="98"/>
        <v>1</v>
      </c>
      <c r="X634" s="2" t="b">
        <f t="shared" si="99"/>
        <v>0</v>
      </c>
    </row>
    <row r="635" spans="1:24" ht="10.5" customHeight="1">
      <c r="A635" s="2" t="s">
        <v>964</v>
      </c>
      <c r="B635" s="3">
        <v>45776.133715277778</v>
      </c>
      <c r="C635" s="2" t="s">
        <v>786</v>
      </c>
      <c r="D635" s="2" t="s">
        <v>111</v>
      </c>
      <c r="E635" s="2" t="s">
        <v>53</v>
      </c>
      <c r="F635" s="4">
        <v>14000</v>
      </c>
      <c r="G635" s="5">
        <v>0.3</v>
      </c>
      <c r="H635" s="6">
        <v>0</v>
      </c>
      <c r="I635" s="7">
        <f t="shared" si="90"/>
        <v>4200</v>
      </c>
      <c r="J635" s="7">
        <f t="shared" si="91"/>
        <v>0</v>
      </c>
      <c r="K635" s="7">
        <f t="shared" si="92"/>
        <v>4200</v>
      </c>
      <c r="L635" s="4">
        <v>0</v>
      </c>
      <c r="M635" s="7">
        <f t="shared" si="93"/>
        <v>4200</v>
      </c>
      <c r="N635" s="2" t="s">
        <v>28</v>
      </c>
      <c r="O635" t="s">
        <v>22</v>
      </c>
      <c r="P635" s="2" t="s">
        <v>2365</v>
      </c>
      <c r="Q635" s="2">
        <v>3</v>
      </c>
      <c r="R635" s="2" t="s">
        <v>23</v>
      </c>
      <c r="S635" s="2" t="str">
        <f t="shared" si="94"/>
        <v>Sangat Rendah</v>
      </c>
      <c r="T635" s="2" t="str">
        <f t="shared" si="95"/>
        <v>FALSE</v>
      </c>
      <c r="U635" s="2" t="str">
        <f t="shared" si="96"/>
        <v>FALSE</v>
      </c>
      <c r="V635" s="2" t="b">
        <f t="shared" si="97"/>
        <v>0</v>
      </c>
      <c r="W635" s="2" t="b">
        <f t="shared" si="98"/>
        <v>0</v>
      </c>
      <c r="X635" s="2" t="b">
        <f t="shared" si="99"/>
        <v>1</v>
      </c>
    </row>
    <row r="636" spans="1:24" ht="10.5" customHeight="1">
      <c r="A636" s="2" t="s">
        <v>965</v>
      </c>
      <c r="B636" s="3">
        <v>45776.324467592603</v>
      </c>
      <c r="C636" s="2" t="s">
        <v>966</v>
      </c>
      <c r="D636" s="2" t="s">
        <v>173</v>
      </c>
      <c r="E636" s="2" t="s">
        <v>75</v>
      </c>
      <c r="F636" s="4">
        <v>45000</v>
      </c>
      <c r="G636" s="5">
        <v>1</v>
      </c>
      <c r="H636" s="6">
        <v>0</v>
      </c>
      <c r="I636" s="7">
        <f t="shared" si="90"/>
        <v>45000</v>
      </c>
      <c r="J636" s="7">
        <f t="shared" si="91"/>
        <v>0</v>
      </c>
      <c r="K636" s="7">
        <f t="shared" si="92"/>
        <v>45000</v>
      </c>
      <c r="L636" s="4">
        <v>48000</v>
      </c>
      <c r="M636" s="7">
        <f t="shared" si="93"/>
        <v>93000</v>
      </c>
      <c r="N636" s="2" t="s">
        <v>28</v>
      </c>
      <c r="O636" t="s">
        <v>22</v>
      </c>
      <c r="P636" s="2" t="s">
        <v>2366</v>
      </c>
      <c r="Q636" s="2">
        <v>3</v>
      </c>
      <c r="R636" s="2" t="s">
        <v>23</v>
      </c>
      <c r="S636" s="2" t="str">
        <f t="shared" si="94"/>
        <v>Rendah</v>
      </c>
      <c r="T636" s="2" t="str">
        <f t="shared" si="95"/>
        <v>FALSE</v>
      </c>
      <c r="U636" s="2" t="str">
        <f t="shared" si="96"/>
        <v>FALSE</v>
      </c>
      <c r="V636" s="2" t="b">
        <f t="shared" si="97"/>
        <v>0</v>
      </c>
      <c r="W636" s="2" t="b">
        <f t="shared" si="98"/>
        <v>0</v>
      </c>
      <c r="X636" s="2" t="b">
        <f t="shared" si="99"/>
        <v>0</v>
      </c>
    </row>
    <row r="637" spans="1:24" ht="10.5" customHeight="1">
      <c r="A637" s="2" t="s">
        <v>967</v>
      </c>
      <c r="B637" s="3">
        <v>45776.425567129627</v>
      </c>
      <c r="C637" s="2" t="s">
        <v>196</v>
      </c>
      <c r="D637" s="2" t="s">
        <v>87</v>
      </c>
      <c r="E637" s="2" t="s">
        <v>102</v>
      </c>
      <c r="F637" s="4">
        <v>55000</v>
      </c>
      <c r="G637" s="5">
        <v>1</v>
      </c>
      <c r="H637" s="6">
        <v>0</v>
      </c>
      <c r="I637" s="7">
        <f t="shared" si="90"/>
        <v>55000</v>
      </c>
      <c r="J637" s="7">
        <f t="shared" si="91"/>
        <v>0</v>
      </c>
      <c r="K637" s="7">
        <f t="shared" si="92"/>
        <v>55000</v>
      </c>
      <c r="L637" s="4">
        <v>49000</v>
      </c>
      <c r="M637" s="7">
        <f t="shared" si="93"/>
        <v>104000</v>
      </c>
      <c r="N637" s="2" t="s">
        <v>58</v>
      </c>
      <c r="O637" t="s">
        <v>69</v>
      </c>
      <c r="P637" s="2" t="s">
        <v>2368</v>
      </c>
      <c r="Q637" s="2">
        <v>1</v>
      </c>
      <c r="R637" s="2" t="s">
        <v>23</v>
      </c>
      <c r="S637" s="2" t="str">
        <f t="shared" si="94"/>
        <v>Standar</v>
      </c>
      <c r="T637" s="2" t="str">
        <f t="shared" si="95"/>
        <v>FALSE</v>
      </c>
      <c r="U637" s="2" t="str">
        <f t="shared" si="96"/>
        <v>FALSE</v>
      </c>
      <c r="V637" s="2" t="b">
        <f t="shared" si="97"/>
        <v>0</v>
      </c>
      <c r="W637" s="2" t="b">
        <f t="shared" si="98"/>
        <v>0</v>
      </c>
      <c r="X637" s="2" t="b">
        <f t="shared" si="99"/>
        <v>0</v>
      </c>
    </row>
    <row r="638" spans="1:24" ht="10.5" customHeight="1">
      <c r="A638" s="2" t="s">
        <v>968</v>
      </c>
      <c r="B638" s="3">
        <v>45776.508194444446</v>
      </c>
      <c r="C638" s="2" t="s">
        <v>969</v>
      </c>
      <c r="D638" s="2" t="s">
        <v>44</v>
      </c>
      <c r="E638" s="2" t="s">
        <v>95</v>
      </c>
      <c r="F638" s="4">
        <v>9500</v>
      </c>
      <c r="G638" s="5">
        <v>1.6</v>
      </c>
      <c r="H638" s="6">
        <v>0</v>
      </c>
      <c r="I638" s="7">
        <f t="shared" si="90"/>
        <v>15200</v>
      </c>
      <c r="J638" s="7">
        <f t="shared" si="91"/>
        <v>0</v>
      </c>
      <c r="K638" s="7">
        <f t="shared" si="92"/>
        <v>15200</v>
      </c>
      <c r="L638" s="4">
        <v>43000</v>
      </c>
      <c r="M638" s="7">
        <f t="shared" si="93"/>
        <v>58200</v>
      </c>
      <c r="N638" s="2" t="s">
        <v>33</v>
      </c>
      <c r="O638" t="s">
        <v>22</v>
      </c>
      <c r="P638" s="2" t="s">
        <v>2370</v>
      </c>
      <c r="Q638" s="2">
        <v>2</v>
      </c>
      <c r="R638" s="2" t="s">
        <v>23</v>
      </c>
      <c r="S638" s="2" t="str">
        <f t="shared" si="94"/>
        <v>Rendah</v>
      </c>
      <c r="T638" s="2" t="str">
        <f t="shared" si="95"/>
        <v>FALSE</v>
      </c>
      <c r="U638" s="2" t="str">
        <f t="shared" si="96"/>
        <v>FALSE</v>
      </c>
      <c r="V638" s="2" t="b">
        <f t="shared" si="97"/>
        <v>0</v>
      </c>
      <c r="W638" s="2" t="b">
        <f t="shared" si="98"/>
        <v>0</v>
      </c>
      <c r="X638" s="2" t="b">
        <f t="shared" si="99"/>
        <v>0</v>
      </c>
    </row>
    <row r="639" spans="1:24" ht="10.5" customHeight="1">
      <c r="A639" s="2" t="s">
        <v>970</v>
      </c>
      <c r="B639" s="3">
        <v>45776.509143518517</v>
      </c>
      <c r="C639" s="2" t="s">
        <v>579</v>
      </c>
      <c r="D639" s="2" t="s">
        <v>252</v>
      </c>
      <c r="E639" s="2" t="s">
        <v>65</v>
      </c>
      <c r="F639" s="4">
        <v>46000</v>
      </c>
      <c r="G639" s="5">
        <v>1.2</v>
      </c>
      <c r="H639" s="6">
        <v>0</v>
      </c>
      <c r="I639" s="7">
        <f t="shared" si="90"/>
        <v>55200</v>
      </c>
      <c r="J639" s="7">
        <f t="shared" si="91"/>
        <v>0</v>
      </c>
      <c r="K639" s="7">
        <f t="shared" si="92"/>
        <v>55200</v>
      </c>
      <c r="L639" s="4">
        <v>18000</v>
      </c>
      <c r="M639" s="7">
        <f t="shared" si="93"/>
        <v>73200</v>
      </c>
      <c r="N639" s="2" t="s">
        <v>33</v>
      </c>
      <c r="O639" t="s">
        <v>115</v>
      </c>
      <c r="P639" s="2" t="s">
        <v>2368</v>
      </c>
      <c r="Q639" s="2">
        <v>4</v>
      </c>
      <c r="R639" s="2" t="s">
        <v>34</v>
      </c>
      <c r="S639" s="2" t="str">
        <f t="shared" si="94"/>
        <v>Rendah</v>
      </c>
      <c r="T639" s="2" t="str">
        <f t="shared" si="95"/>
        <v>FALSE</v>
      </c>
      <c r="U639" s="2" t="str">
        <f t="shared" si="96"/>
        <v>FALSE</v>
      </c>
      <c r="V639" s="2" t="b">
        <f t="shared" si="97"/>
        <v>0</v>
      </c>
      <c r="W639" s="2" t="b">
        <f t="shared" si="98"/>
        <v>0</v>
      </c>
      <c r="X639" s="2" t="b">
        <f t="shared" si="99"/>
        <v>0</v>
      </c>
    </row>
    <row r="640" spans="1:24" ht="10.5" customHeight="1">
      <c r="A640" s="2" t="s">
        <v>971</v>
      </c>
      <c r="B640" s="3">
        <v>45776.516250000001</v>
      </c>
      <c r="C640" s="2" t="s">
        <v>304</v>
      </c>
      <c r="D640" s="2" t="s">
        <v>105</v>
      </c>
      <c r="E640" s="2" t="s">
        <v>143</v>
      </c>
      <c r="F640" s="4">
        <v>10000</v>
      </c>
      <c r="G640" s="5">
        <v>1.3</v>
      </c>
      <c r="H640" s="6">
        <v>0</v>
      </c>
      <c r="I640" s="7">
        <f t="shared" si="90"/>
        <v>13000</v>
      </c>
      <c r="J640" s="7">
        <f t="shared" si="91"/>
        <v>0</v>
      </c>
      <c r="K640" s="7">
        <f t="shared" si="92"/>
        <v>13000</v>
      </c>
      <c r="L640" s="4">
        <v>18000</v>
      </c>
      <c r="M640" s="7">
        <f t="shared" si="93"/>
        <v>31000</v>
      </c>
      <c r="N640" s="2" t="s">
        <v>28</v>
      </c>
      <c r="O640" t="s">
        <v>115</v>
      </c>
      <c r="P640" s="2" t="s">
        <v>2367</v>
      </c>
      <c r="Q640" s="2">
        <v>2</v>
      </c>
      <c r="R640" s="2" t="s">
        <v>23</v>
      </c>
      <c r="S640" s="2" t="str">
        <f t="shared" si="94"/>
        <v>Sangat Rendah</v>
      </c>
      <c r="T640" s="2" t="str">
        <f t="shared" si="95"/>
        <v>FALSE</v>
      </c>
      <c r="U640" s="2" t="str">
        <f t="shared" si="96"/>
        <v>TRUE</v>
      </c>
      <c r="V640" s="2" t="b">
        <f t="shared" si="97"/>
        <v>0</v>
      </c>
      <c r="W640" s="2" t="b">
        <f t="shared" si="98"/>
        <v>1</v>
      </c>
      <c r="X640" s="2" t="b">
        <f t="shared" si="99"/>
        <v>1</v>
      </c>
    </row>
    <row r="641" spans="1:24" ht="10.5" customHeight="1">
      <c r="A641" s="2" t="s">
        <v>972</v>
      </c>
      <c r="B641" s="3">
        <v>45776.563287037039</v>
      </c>
      <c r="C641" s="2" t="s">
        <v>973</v>
      </c>
      <c r="D641" s="2" t="s">
        <v>252</v>
      </c>
      <c r="E641" s="2" t="s">
        <v>35</v>
      </c>
      <c r="F641" s="4">
        <v>13500</v>
      </c>
      <c r="G641" s="5">
        <v>1.8</v>
      </c>
      <c r="H641" s="6">
        <v>0</v>
      </c>
      <c r="I641" s="7">
        <f t="shared" si="90"/>
        <v>24300</v>
      </c>
      <c r="J641" s="7">
        <f t="shared" si="91"/>
        <v>0</v>
      </c>
      <c r="K641" s="7">
        <f t="shared" si="92"/>
        <v>24300</v>
      </c>
      <c r="L641" s="4">
        <v>18000</v>
      </c>
      <c r="M641" s="7">
        <f t="shared" si="93"/>
        <v>42300</v>
      </c>
      <c r="N641" s="2" t="s">
        <v>33</v>
      </c>
      <c r="O641" t="s">
        <v>69</v>
      </c>
      <c r="P641" s="2" t="s">
        <v>2370</v>
      </c>
      <c r="Q641" s="2">
        <v>2</v>
      </c>
      <c r="R641" s="2" t="s">
        <v>34</v>
      </c>
      <c r="S641" s="2" t="str">
        <f t="shared" si="94"/>
        <v>Sangat Rendah</v>
      </c>
      <c r="T641" s="2" t="str">
        <f t="shared" si="95"/>
        <v>FALSE</v>
      </c>
      <c r="U641" s="2" t="str">
        <f t="shared" si="96"/>
        <v>FALSE</v>
      </c>
      <c r="V641" s="2" t="b">
        <f t="shared" si="97"/>
        <v>0</v>
      </c>
      <c r="W641" s="2" t="b">
        <f t="shared" si="98"/>
        <v>0</v>
      </c>
      <c r="X641" s="2" t="b">
        <f t="shared" si="99"/>
        <v>0</v>
      </c>
    </row>
    <row r="642" spans="1:24" ht="10.5" customHeight="1">
      <c r="A642" s="2" t="s">
        <v>974</v>
      </c>
      <c r="B642" s="3">
        <v>45776.564988425933</v>
      </c>
      <c r="C642" s="2" t="s">
        <v>975</v>
      </c>
      <c r="D642" s="2" t="s">
        <v>48</v>
      </c>
      <c r="E642" s="2" t="s">
        <v>80</v>
      </c>
      <c r="F642" s="4">
        <v>15000</v>
      </c>
      <c r="G642" s="5">
        <v>1.5</v>
      </c>
      <c r="H642" s="6">
        <v>0</v>
      </c>
      <c r="I642" s="7">
        <f t="shared" si="90"/>
        <v>22500</v>
      </c>
      <c r="J642" s="7">
        <f t="shared" si="91"/>
        <v>0</v>
      </c>
      <c r="K642" s="7">
        <f t="shared" si="92"/>
        <v>22500</v>
      </c>
      <c r="L642" s="4">
        <v>18000</v>
      </c>
      <c r="M642" s="7">
        <f t="shared" si="93"/>
        <v>40500</v>
      </c>
      <c r="N642" s="2" t="s">
        <v>21</v>
      </c>
      <c r="O642" t="s">
        <v>69</v>
      </c>
      <c r="P642" s="2" t="s">
        <v>2370</v>
      </c>
      <c r="Q642" s="2">
        <v>5</v>
      </c>
      <c r="R642" s="2" t="s">
        <v>23</v>
      </c>
      <c r="S642" s="2" t="str">
        <f t="shared" si="94"/>
        <v>Sangat Rendah</v>
      </c>
      <c r="T642" s="2" t="str">
        <f t="shared" si="95"/>
        <v>FALSE</v>
      </c>
      <c r="U642" s="2" t="str">
        <f t="shared" si="96"/>
        <v>FALSE</v>
      </c>
      <c r="V642" s="2" t="b">
        <f t="shared" si="97"/>
        <v>0</v>
      </c>
      <c r="W642" s="2" t="b">
        <f t="shared" si="98"/>
        <v>0</v>
      </c>
      <c r="X642" s="2" t="b">
        <f t="shared" si="99"/>
        <v>1</v>
      </c>
    </row>
    <row r="643" spans="1:24" ht="10.5" customHeight="1">
      <c r="A643" s="2" t="s">
        <v>976</v>
      </c>
      <c r="B643" s="3">
        <v>45776.584120370368</v>
      </c>
      <c r="C643" s="2" t="s">
        <v>487</v>
      </c>
      <c r="D643" s="2" t="s">
        <v>164</v>
      </c>
      <c r="E643" s="2" t="s">
        <v>99</v>
      </c>
      <c r="F643" s="4">
        <v>10000</v>
      </c>
      <c r="G643" s="5">
        <v>1.2</v>
      </c>
      <c r="H643" s="6">
        <v>0</v>
      </c>
      <c r="I643" s="7">
        <f t="shared" si="90"/>
        <v>12000</v>
      </c>
      <c r="J643" s="7">
        <f t="shared" si="91"/>
        <v>0</v>
      </c>
      <c r="K643" s="7">
        <f t="shared" si="92"/>
        <v>12000</v>
      </c>
      <c r="L643" s="4">
        <v>49000</v>
      </c>
      <c r="M643" s="7">
        <f t="shared" si="93"/>
        <v>61000</v>
      </c>
      <c r="N643" s="2" t="s">
        <v>58</v>
      </c>
      <c r="O643" t="s">
        <v>22</v>
      </c>
      <c r="P643" s="2" t="s">
        <v>2366</v>
      </c>
      <c r="Q643" s="2">
        <v>3</v>
      </c>
      <c r="R643" s="2" t="s">
        <v>34</v>
      </c>
      <c r="S643" s="2" t="str">
        <f t="shared" si="94"/>
        <v>Rendah</v>
      </c>
      <c r="T643" s="2" t="str">
        <f t="shared" si="95"/>
        <v>FALSE</v>
      </c>
      <c r="U643" s="2" t="str">
        <f t="shared" si="96"/>
        <v>FALSE</v>
      </c>
      <c r="V643" s="2" t="b">
        <f t="shared" si="97"/>
        <v>0</v>
      </c>
      <c r="W643" s="2" t="b">
        <f t="shared" si="98"/>
        <v>0</v>
      </c>
      <c r="X643" s="2" t="b">
        <f t="shared" si="99"/>
        <v>0</v>
      </c>
    </row>
    <row r="644" spans="1:24" ht="10.5" customHeight="1">
      <c r="A644" s="2" t="s">
        <v>977</v>
      </c>
      <c r="B644" s="3">
        <v>45776.636678240742</v>
      </c>
      <c r="C644" s="2" t="s">
        <v>202</v>
      </c>
      <c r="D644" s="2" t="s">
        <v>44</v>
      </c>
      <c r="E644" s="2" t="s">
        <v>80</v>
      </c>
      <c r="F644" s="4">
        <v>15000</v>
      </c>
      <c r="G644" s="5">
        <v>0.9</v>
      </c>
      <c r="H644" s="6">
        <v>0</v>
      </c>
      <c r="I644" s="7">
        <f t="shared" ref="I644:I707" si="100">F644*G644</f>
        <v>13500</v>
      </c>
      <c r="J644" s="7">
        <f t="shared" ref="J644:J707" si="101">I644*(H644/100)</f>
        <v>0</v>
      </c>
      <c r="K644" s="7">
        <f t="shared" ref="K644:K707" si="102">I644-J644</f>
        <v>13500</v>
      </c>
      <c r="L644" s="4">
        <v>43000</v>
      </c>
      <c r="M644" s="7">
        <f t="shared" ref="M644:M707" si="103">K644+L644</f>
        <v>56500</v>
      </c>
      <c r="N644" s="2" t="s">
        <v>28</v>
      </c>
      <c r="O644" t="s">
        <v>69</v>
      </c>
      <c r="P644" s="2" t="s">
        <v>2370</v>
      </c>
      <c r="Q644" s="2">
        <v>3</v>
      </c>
      <c r="R644" s="2" t="s">
        <v>23</v>
      </c>
      <c r="S644" s="2" t="str">
        <f t="shared" ref="S644:S707" si="104">IF(M644&lt;=50000,"Sangat Rendah",IF(M644&lt;=100000,"Rendah",IF(M644&lt;=150000,"Standar",IF(M644&lt;=200000,"Tinggi","Sangat Tinggi"))))</f>
        <v>Rendah</v>
      </c>
      <c r="T644" s="2" t="str">
        <f t="shared" ref="T644:T707" si="105">IF(AND(S644="Rendah",D644="Yogyakarta"),"TRUE","FALSE")</f>
        <v>FALSE</v>
      </c>
      <c r="U644" s="2" t="str">
        <f t="shared" ref="U644:U707" si="106">IF(OR(S644="Tinggi",E644="Bayam"),"TRUE","FALSE")</f>
        <v>FALSE</v>
      </c>
      <c r="V644" s="2" t="b">
        <f t="shared" ref="V644:V707" si="107">IF(AND(S644="Standar",N644="Transef Bank"),TRUE,FALSE)</f>
        <v>0</v>
      </c>
      <c r="W644" s="2" t="b">
        <f t="shared" ref="W644:W707" si="108">IF(OR(S644="Sangat Tinggi",P644="FoodMart"),TRUE,FALSE)</f>
        <v>0</v>
      </c>
      <c r="X644" s="2" t="b">
        <f t="shared" ref="X644:X707" si="109">IF(AND(S644="Sangat Rendah",R644="Perempuan"),TRUE,FALSE)</f>
        <v>0</v>
      </c>
    </row>
    <row r="645" spans="1:24" ht="10.5" customHeight="1">
      <c r="A645" s="2" t="s">
        <v>978</v>
      </c>
      <c r="B645" s="3">
        <v>45776.65556712963</v>
      </c>
      <c r="C645" s="2" t="s">
        <v>441</v>
      </c>
      <c r="D645" s="2" t="s">
        <v>108</v>
      </c>
      <c r="E645" s="2" t="s">
        <v>57</v>
      </c>
      <c r="F645" s="4">
        <v>17500</v>
      </c>
      <c r="G645" s="5">
        <v>2.8</v>
      </c>
      <c r="H645" s="6">
        <v>0</v>
      </c>
      <c r="I645" s="7">
        <f t="shared" si="100"/>
        <v>49000</v>
      </c>
      <c r="J645" s="7">
        <f t="shared" si="101"/>
        <v>0</v>
      </c>
      <c r="K645" s="7">
        <f t="shared" si="102"/>
        <v>49000</v>
      </c>
      <c r="L645" s="4">
        <v>72000</v>
      </c>
      <c r="M645" s="7">
        <f t="shared" si="103"/>
        <v>121000</v>
      </c>
      <c r="N645" s="2" t="s">
        <v>58</v>
      </c>
      <c r="O645" t="s">
        <v>115</v>
      </c>
      <c r="P645" s="2" t="s">
        <v>2366</v>
      </c>
      <c r="Q645" s="2">
        <v>5</v>
      </c>
      <c r="R645" s="2" t="s">
        <v>23</v>
      </c>
      <c r="S645" s="2" t="str">
        <f t="shared" si="104"/>
        <v>Standar</v>
      </c>
      <c r="T645" s="2" t="str">
        <f t="shared" si="105"/>
        <v>FALSE</v>
      </c>
      <c r="U645" s="2" t="str">
        <f t="shared" si="106"/>
        <v>FALSE</v>
      </c>
      <c r="V645" s="2" t="b">
        <f t="shared" si="107"/>
        <v>0</v>
      </c>
      <c r="W645" s="2" t="b">
        <f t="shared" si="108"/>
        <v>0</v>
      </c>
      <c r="X645" s="2" t="b">
        <f t="shared" si="109"/>
        <v>0</v>
      </c>
    </row>
    <row r="646" spans="1:24" ht="10.5" customHeight="1">
      <c r="A646" s="2" t="s">
        <v>979</v>
      </c>
      <c r="B646" s="3">
        <v>45776.660300925927</v>
      </c>
      <c r="C646" s="2" t="s">
        <v>980</v>
      </c>
      <c r="D646" s="2" t="s">
        <v>164</v>
      </c>
      <c r="E646" s="2" t="s">
        <v>170</v>
      </c>
      <c r="F646" s="4">
        <v>12000</v>
      </c>
      <c r="G646" s="5">
        <v>0.7</v>
      </c>
      <c r="H646" s="6">
        <v>0</v>
      </c>
      <c r="I646" s="7">
        <f t="shared" si="100"/>
        <v>8400</v>
      </c>
      <c r="J646" s="7">
        <f t="shared" si="101"/>
        <v>0</v>
      </c>
      <c r="K646" s="7">
        <f t="shared" si="102"/>
        <v>8400</v>
      </c>
      <c r="L646" s="4">
        <v>49000</v>
      </c>
      <c r="M646" s="7">
        <f t="shared" si="103"/>
        <v>57400</v>
      </c>
      <c r="N646" s="2" t="s">
        <v>21</v>
      </c>
      <c r="O646" t="s">
        <v>22</v>
      </c>
      <c r="P646" s="2" t="s">
        <v>2368</v>
      </c>
      <c r="Q646" s="2">
        <v>1</v>
      </c>
      <c r="R646" s="2" t="s">
        <v>23</v>
      </c>
      <c r="S646" s="2" t="str">
        <f t="shared" si="104"/>
        <v>Rendah</v>
      </c>
      <c r="T646" s="2" t="str">
        <f t="shared" si="105"/>
        <v>FALSE</v>
      </c>
      <c r="U646" s="2" t="str">
        <f t="shared" si="106"/>
        <v>FALSE</v>
      </c>
      <c r="V646" s="2" t="b">
        <f t="shared" si="107"/>
        <v>0</v>
      </c>
      <c r="W646" s="2" t="b">
        <f t="shared" si="108"/>
        <v>0</v>
      </c>
      <c r="X646" s="2" t="b">
        <f t="shared" si="109"/>
        <v>0</v>
      </c>
    </row>
    <row r="647" spans="1:24" ht="10.5" customHeight="1">
      <c r="A647" s="2" t="s">
        <v>979</v>
      </c>
      <c r="B647" s="3">
        <v>45776.660300925927</v>
      </c>
      <c r="C647" s="2" t="s">
        <v>980</v>
      </c>
      <c r="D647" s="2" t="s">
        <v>164</v>
      </c>
      <c r="E647" s="2" t="s">
        <v>53</v>
      </c>
      <c r="F647" s="4">
        <v>14000</v>
      </c>
      <c r="G647" s="5">
        <v>0.7</v>
      </c>
      <c r="H647" s="6">
        <v>0</v>
      </c>
      <c r="I647" s="7">
        <f t="shared" si="100"/>
        <v>9800</v>
      </c>
      <c r="J647" s="7">
        <f t="shared" si="101"/>
        <v>0</v>
      </c>
      <c r="K647" s="7">
        <f t="shared" si="102"/>
        <v>9800</v>
      </c>
      <c r="L647" s="4">
        <v>0</v>
      </c>
      <c r="M647" s="7">
        <f t="shared" si="103"/>
        <v>9800</v>
      </c>
      <c r="N647" s="2" t="s">
        <v>21</v>
      </c>
      <c r="O647" t="s">
        <v>22</v>
      </c>
      <c r="P647" s="2" t="s">
        <v>2368</v>
      </c>
      <c r="Q647" s="2">
        <v>1</v>
      </c>
      <c r="R647" s="2" t="s">
        <v>23</v>
      </c>
      <c r="S647" s="2" t="str">
        <f t="shared" si="104"/>
        <v>Sangat Rendah</v>
      </c>
      <c r="T647" s="2" t="str">
        <f t="shared" si="105"/>
        <v>FALSE</v>
      </c>
      <c r="U647" s="2" t="str">
        <f t="shared" si="106"/>
        <v>FALSE</v>
      </c>
      <c r="V647" s="2" t="b">
        <f t="shared" si="107"/>
        <v>0</v>
      </c>
      <c r="W647" s="2" t="b">
        <f t="shared" si="108"/>
        <v>0</v>
      </c>
      <c r="X647" s="2" t="b">
        <f t="shared" si="109"/>
        <v>1</v>
      </c>
    </row>
    <row r="648" spans="1:24" ht="10.5" customHeight="1">
      <c r="A648" s="2" t="s">
        <v>981</v>
      </c>
      <c r="B648" s="3">
        <v>45776.702592592592</v>
      </c>
      <c r="C648" s="2" t="s">
        <v>973</v>
      </c>
      <c r="D648" s="2" t="s">
        <v>252</v>
      </c>
      <c r="E648" s="2" t="s">
        <v>57</v>
      </c>
      <c r="F648" s="4">
        <v>17500</v>
      </c>
      <c r="G648" s="5">
        <v>2.4</v>
      </c>
      <c r="H648" s="6">
        <v>0</v>
      </c>
      <c r="I648" s="7">
        <f t="shared" si="100"/>
        <v>42000</v>
      </c>
      <c r="J648" s="7">
        <f t="shared" si="101"/>
        <v>0</v>
      </c>
      <c r="K648" s="7">
        <f t="shared" si="102"/>
        <v>42000</v>
      </c>
      <c r="L648" s="4">
        <v>18000</v>
      </c>
      <c r="M648" s="7">
        <f t="shared" si="103"/>
        <v>60000</v>
      </c>
      <c r="N648" s="2" t="s">
        <v>21</v>
      </c>
      <c r="O648" t="s">
        <v>115</v>
      </c>
      <c r="P648" s="2" t="s">
        <v>2365</v>
      </c>
      <c r="Q648" s="2">
        <v>4</v>
      </c>
      <c r="R648" s="2" t="s">
        <v>34</v>
      </c>
      <c r="S648" s="2" t="str">
        <f t="shared" si="104"/>
        <v>Rendah</v>
      </c>
      <c r="T648" s="2" t="str">
        <f t="shared" si="105"/>
        <v>FALSE</v>
      </c>
      <c r="U648" s="2" t="str">
        <f t="shared" si="106"/>
        <v>FALSE</v>
      </c>
      <c r="V648" s="2" t="b">
        <f t="shared" si="107"/>
        <v>0</v>
      </c>
      <c r="W648" s="2" t="b">
        <f t="shared" si="108"/>
        <v>0</v>
      </c>
      <c r="X648" s="2" t="b">
        <f t="shared" si="109"/>
        <v>0</v>
      </c>
    </row>
    <row r="649" spans="1:24" ht="10.5" customHeight="1">
      <c r="A649" s="2" t="s">
        <v>982</v>
      </c>
      <c r="B649" s="3">
        <v>45776.729780092603</v>
      </c>
      <c r="C649" s="2" t="s">
        <v>267</v>
      </c>
      <c r="D649" s="2" t="s">
        <v>111</v>
      </c>
      <c r="E649" s="2" t="s">
        <v>27</v>
      </c>
      <c r="F649" s="4">
        <v>15000</v>
      </c>
      <c r="G649" s="5">
        <v>0.4</v>
      </c>
      <c r="H649" s="6">
        <v>0</v>
      </c>
      <c r="I649" s="7">
        <f t="shared" si="100"/>
        <v>6000</v>
      </c>
      <c r="J649" s="7">
        <f t="shared" si="101"/>
        <v>0</v>
      </c>
      <c r="K649" s="7">
        <f t="shared" si="102"/>
        <v>6000</v>
      </c>
      <c r="L649" s="4">
        <v>0</v>
      </c>
      <c r="M649" s="7">
        <f t="shared" si="103"/>
        <v>6000</v>
      </c>
      <c r="N649" s="2" t="s">
        <v>33</v>
      </c>
      <c r="O649" t="s">
        <v>22</v>
      </c>
      <c r="P649" s="2" t="s">
        <v>2370</v>
      </c>
      <c r="Q649" s="2">
        <v>5</v>
      </c>
      <c r="R649" s="2" t="s">
        <v>23</v>
      </c>
      <c r="S649" s="2" t="str">
        <f t="shared" si="104"/>
        <v>Sangat Rendah</v>
      </c>
      <c r="T649" s="2" t="str">
        <f t="shared" si="105"/>
        <v>FALSE</v>
      </c>
      <c r="U649" s="2" t="str">
        <f t="shared" si="106"/>
        <v>FALSE</v>
      </c>
      <c r="V649" s="2" t="b">
        <f t="shared" si="107"/>
        <v>0</v>
      </c>
      <c r="W649" s="2" t="b">
        <f t="shared" si="108"/>
        <v>0</v>
      </c>
      <c r="X649" s="2" t="b">
        <f t="shared" si="109"/>
        <v>1</v>
      </c>
    </row>
    <row r="650" spans="1:24" ht="10.5" customHeight="1">
      <c r="A650" s="2" t="s">
        <v>983</v>
      </c>
      <c r="B650" s="3">
        <v>45776.734212962961</v>
      </c>
      <c r="C650" s="2" t="s">
        <v>541</v>
      </c>
      <c r="D650" s="2" t="s">
        <v>252</v>
      </c>
      <c r="E650" s="2" t="s">
        <v>20</v>
      </c>
      <c r="F650" s="4">
        <v>10000</v>
      </c>
      <c r="G650" s="5">
        <v>2.6</v>
      </c>
      <c r="H650" s="6">
        <v>0</v>
      </c>
      <c r="I650" s="7">
        <f t="shared" si="100"/>
        <v>26000</v>
      </c>
      <c r="J650" s="7">
        <f t="shared" si="101"/>
        <v>0</v>
      </c>
      <c r="K650" s="7">
        <f t="shared" si="102"/>
        <v>26000</v>
      </c>
      <c r="L650" s="4">
        <v>18000</v>
      </c>
      <c r="M650" s="7">
        <f t="shared" si="103"/>
        <v>44000</v>
      </c>
      <c r="N650" s="2" t="s">
        <v>21</v>
      </c>
      <c r="O650" t="s">
        <v>22</v>
      </c>
      <c r="P650" s="2" t="s">
        <v>2370</v>
      </c>
      <c r="Q650" s="2">
        <v>3</v>
      </c>
      <c r="R650" s="2" t="s">
        <v>34</v>
      </c>
      <c r="S650" s="2" t="str">
        <f t="shared" si="104"/>
        <v>Sangat Rendah</v>
      </c>
      <c r="T650" s="2" t="str">
        <f t="shared" si="105"/>
        <v>FALSE</v>
      </c>
      <c r="U650" s="2" t="str">
        <f t="shared" si="106"/>
        <v>FALSE</v>
      </c>
      <c r="V650" s="2" t="b">
        <f t="shared" si="107"/>
        <v>0</v>
      </c>
      <c r="W650" s="2" t="b">
        <f t="shared" si="108"/>
        <v>0</v>
      </c>
      <c r="X650" s="2" t="b">
        <f t="shared" si="109"/>
        <v>0</v>
      </c>
    </row>
    <row r="651" spans="1:24" ht="10.5" customHeight="1">
      <c r="A651" s="2" t="s">
        <v>984</v>
      </c>
      <c r="B651" s="3">
        <v>45776.824525462973</v>
      </c>
      <c r="C651" s="2" t="s">
        <v>330</v>
      </c>
      <c r="D651" s="2" t="s">
        <v>118</v>
      </c>
      <c r="E651" s="2" t="s">
        <v>170</v>
      </c>
      <c r="F651" s="4">
        <v>12000</v>
      </c>
      <c r="G651" s="5">
        <v>0.6</v>
      </c>
      <c r="H651" s="6">
        <v>0</v>
      </c>
      <c r="I651" s="7">
        <f t="shared" si="100"/>
        <v>7200</v>
      </c>
      <c r="J651" s="7">
        <f t="shared" si="101"/>
        <v>0</v>
      </c>
      <c r="K651" s="7">
        <f t="shared" si="102"/>
        <v>7200</v>
      </c>
      <c r="L651" s="4">
        <v>84000</v>
      </c>
      <c r="M651" s="7">
        <f t="shared" si="103"/>
        <v>91200</v>
      </c>
      <c r="N651" s="2" t="s">
        <v>58</v>
      </c>
      <c r="O651" t="s">
        <v>22</v>
      </c>
      <c r="P651" s="2" t="s">
        <v>2370</v>
      </c>
      <c r="Q651" s="2">
        <v>3</v>
      </c>
      <c r="R651" s="2" t="s">
        <v>34</v>
      </c>
      <c r="S651" s="2" t="str">
        <f t="shared" si="104"/>
        <v>Rendah</v>
      </c>
      <c r="T651" s="2" t="str">
        <f t="shared" si="105"/>
        <v>FALSE</v>
      </c>
      <c r="U651" s="2" t="str">
        <f t="shared" si="106"/>
        <v>FALSE</v>
      </c>
      <c r="V651" s="2" t="b">
        <f t="shared" si="107"/>
        <v>0</v>
      </c>
      <c r="W651" s="2" t="b">
        <f t="shared" si="108"/>
        <v>0</v>
      </c>
      <c r="X651" s="2" t="b">
        <f t="shared" si="109"/>
        <v>0</v>
      </c>
    </row>
    <row r="652" spans="1:24" ht="10.5" customHeight="1">
      <c r="A652" s="2" t="s">
        <v>985</v>
      </c>
      <c r="B652" s="3">
        <v>45776.836550925917</v>
      </c>
      <c r="C652" s="2" t="s">
        <v>729</v>
      </c>
      <c r="D652" s="2" t="s">
        <v>167</v>
      </c>
      <c r="E652" s="2" t="s">
        <v>32</v>
      </c>
      <c r="F652" s="4">
        <v>20000</v>
      </c>
      <c r="G652" s="5">
        <v>2.1</v>
      </c>
      <c r="H652" s="6">
        <v>0</v>
      </c>
      <c r="I652" s="7">
        <f t="shared" si="100"/>
        <v>42000</v>
      </c>
      <c r="J652" s="7">
        <f t="shared" si="101"/>
        <v>0</v>
      </c>
      <c r="K652" s="7">
        <f t="shared" si="102"/>
        <v>42000</v>
      </c>
      <c r="L652" s="4">
        <v>56000</v>
      </c>
      <c r="M652" s="7">
        <f t="shared" si="103"/>
        <v>98000</v>
      </c>
      <c r="N652" s="2" t="s">
        <v>21</v>
      </c>
      <c r="O652" t="s">
        <v>22</v>
      </c>
      <c r="P652" s="2" t="s">
        <v>2370</v>
      </c>
      <c r="Q652" s="2">
        <v>3</v>
      </c>
      <c r="R652" s="2" t="s">
        <v>23</v>
      </c>
      <c r="S652" s="2" t="str">
        <f t="shared" si="104"/>
        <v>Rendah</v>
      </c>
      <c r="T652" s="2" t="str">
        <f t="shared" si="105"/>
        <v>FALSE</v>
      </c>
      <c r="U652" s="2" t="str">
        <f t="shared" si="106"/>
        <v>FALSE</v>
      </c>
      <c r="V652" s="2" t="b">
        <f t="shared" si="107"/>
        <v>0</v>
      </c>
      <c r="W652" s="2" t="b">
        <f t="shared" si="108"/>
        <v>0</v>
      </c>
      <c r="X652" s="2" t="b">
        <f t="shared" si="109"/>
        <v>0</v>
      </c>
    </row>
    <row r="653" spans="1:24" ht="10.5" customHeight="1">
      <c r="A653" s="2" t="s">
        <v>986</v>
      </c>
      <c r="B653" s="3">
        <v>45776.906180555547</v>
      </c>
      <c r="C653" s="2" t="s">
        <v>826</v>
      </c>
      <c r="D653" s="2" t="s">
        <v>31</v>
      </c>
      <c r="E653" s="2" t="s">
        <v>20</v>
      </c>
      <c r="F653" s="4">
        <v>10000</v>
      </c>
      <c r="G653" s="5">
        <v>2.7</v>
      </c>
      <c r="H653" s="6">
        <v>0</v>
      </c>
      <c r="I653" s="7">
        <f t="shared" si="100"/>
        <v>27000</v>
      </c>
      <c r="J653" s="7">
        <f t="shared" si="101"/>
        <v>0</v>
      </c>
      <c r="K653" s="7">
        <f t="shared" si="102"/>
        <v>27000</v>
      </c>
      <c r="L653" s="4">
        <v>76000</v>
      </c>
      <c r="M653" s="7">
        <f t="shared" si="103"/>
        <v>103000</v>
      </c>
      <c r="N653" s="2" t="s">
        <v>58</v>
      </c>
      <c r="O653" t="s">
        <v>115</v>
      </c>
      <c r="P653" s="2" t="s">
        <v>2365</v>
      </c>
      <c r="Q653" s="2">
        <v>5</v>
      </c>
      <c r="R653" s="2" t="s">
        <v>34</v>
      </c>
      <c r="S653" s="2" t="str">
        <f t="shared" si="104"/>
        <v>Standar</v>
      </c>
      <c r="T653" s="2" t="str">
        <f t="shared" si="105"/>
        <v>FALSE</v>
      </c>
      <c r="U653" s="2" t="str">
        <f t="shared" si="106"/>
        <v>FALSE</v>
      </c>
      <c r="V653" s="2" t="b">
        <f t="shared" si="107"/>
        <v>0</v>
      </c>
      <c r="W653" s="2" t="b">
        <f t="shared" si="108"/>
        <v>0</v>
      </c>
      <c r="X653" s="2" t="b">
        <f t="shared" si="109"/>
        <v>0</v>
      </c>
    </row>
    <row r="654" spans="1:24" ht="10.5" customHeight="1">
      <c r="A654" s="2" t="s">
        <v>987</v>
      </c>
      <c r="B654" s="3">
        <v>45777.193379629629</v>
      </c>
      <c r="C654" s="2" t="s">
        <v>55</v>
      </c>
      <c r="D654" s="2" t="s">
        <v>56</v>
      </c>
      <c r="E654" s="2" t="s">
        <v>57</v>
      </c>
      <c r="F654" s="4">
        <v>17500</v>
      </c>
      <c r="G654" s="5">
        <v>3.3</v>
      </c>
      <c r="H654" s="6">
        <v>0</v>
      </c>
      <c r="I654" s="7">
        <f t="shared" si="100"/>
        <v>57750</v>
      </c>
      <c r="J654" s="7">
        <f t="shared" si="101"/>
        <v>0</v>
      </c>
      <c r="K654" s="7">
        <f t="shared" si="102"/>
        <v>57750</v>
      </c>
      <c r="L654" s="4">
        <v>26000</v>
      </c>
      <c r="M654" s="7">
        <f t="shared" si="103"/>
        <v>83750</v>
      </c>
      <c r="N654" s="2" t="s">
        <v>21</v>
      </c>
      <c r="O654" t="s">
        <v>22</v>
      </c>
      <c r="P654" s="2" t="s">
        <v>2367</v>
      </c>
      <c r="Q654" s="2">
        <v>2</v>
      </c>
      <c r="R654" s="2" t="s">
        <v>23</v>
      </c>
      <c r="S654" s="2" t="str">
        <f t="shared" si="104"/>
        <v>Rendah</v>
      </c>
      <c r="T654" s="2" t="str">
        <f t="shared" si="105"/>
        <v>FALSE</v>
      </c>
      <c r="U654" s="2" t="str">
        <f t="shared" si="106"/>
        <v>FALSE</v>
      </c>
      <c r="V654" s="2" t="b">
        <f t="shared" si="107"/>
        <v>0</v>
      </c>
      <c r="W654" s="2" t="b">
        <f t="shared" si="108"/>
        <v>1</v>
      </c>
      <c r="X654" s="2" t="b">
        <f t="shared" si="109"/>
        <v>0</v>
      </c>
    </row>
    <row r="655" spans="1:24" ht="10.5" customHeight="1">
      <c r="A655" s="2" t="s">
        <v>988</v>
      </c>
      <c r="B655" s="3">
        <v>45777.30972222222</v>
      </c>
      <c r="C655" s="2" t="s">
        <v>73</v>
      </c>
      <c r="D655" s="2" t="s">
        <v>74</v>
      </c>
      <c r="E655" s="2" t="s">
        <v>49</v>
      </c>
      <c r="F655" s="4">
        <v>26000</v>
      </c>
      <c r="G655" s="5">
        <v>1.2</v>
      </c>
      <c r="H655" s="6">
        <v>0</v>
      </c>
      <c r="I655" s="7">
        <f t="shared" si="100"/>
        <v>31200</v>
      </c>
      <c r="J655" s="7">
        <f t="shared" si="101"/>
        <v>0</v>
      </c>
      <c r="K655" s="7">
        <f t="shared" si="102"/>
        <v>31200</v>
      </c>
      <c r="L655" s="4">
        <v>74000</v>
      </c>
      <c r="M655" s="7">
        <f t="shared" si="103"/>
        <v>105200</v>
      </c>
      <c r="N655" s="2" t="s">
        <v>33</v>
      </c>
      <c r="O655" t="s">
        <v>22</v>
      </c>
      <c r="P655" s="2" t="s">
        <v>2368</v>
      </c>
      <c r="Q655" s="2">
        <v>4</v>
      </c>
      <c r="R655" s="2" t="s">
        <v>23</v>
      </c>
      <c r="S655" s="2" t="str">
        <f t="shared" si="104"/>
        <v>Standar</v>
      </c>
      <c r="T655" s="2" t="str">
        <f t="shared" si="105"/>
        <v>FALSE</v>
      </c>
      <c r="U655" s="2" t="str">
        <f t="shared" si="106"/>
        <v>FALSE</v>
      </c>
      <c r="V655" s="2" t="b">
        <f t="shared" si="107"/>
        <v>0</v>
      </c>
      <c r="W655" s="2" t="b">
        <f t="shared" si="108"/>
        <v>0</v>
      </c>
      <c r="X655" s="2" t="b">
        <f t="shared" si="109"/>
        <v>0</v>
      </c>
    </row>
    <row r="656" spans="1:24" ht="10.5" customHeight="1">
      <c r="A656" s="2" t="s">
        <v>989</v>
      </c>
      <c r="B656" s="3">
        <v>45777.348749999997</v>
      </c>
      <c r="C656" s="2" t="s">
        <v>343</v>
      </c>
      <c r="D656" s="2" t="s">
        <v>61</v>
      </c>
      <c r="E656" s="2" t="s">
        <v>53</v>
      </c>
      <c r="F656" s="4">
        <v>14000</v>
      </c>
      <c r="G656" s="5">
        <v>0.7</v>
      </c>
      <c r="H656" s="6">
        <v>0</v>
      </c>
      <c r="I656" s="7">
        <f t="shared" si="100"/>
        <v>9800</v>
      </c>
      <c r="J656" s="7">
        <f t="shared" si="101"/>
        <v>0</v>
      </c>
      <c r="K656" s="7">
        <f t="shared" si="102"/>
        <v>9800</v>
      </c>
      <c r="L656" s="4">
        <v>59000</v>
      </c>
      <c r="M656" s="7">
        <f t="shared" si="103"/>
        <v>68800</v>
      </c>
      <c r="N656" s="2" t="s">
        <v>33</v>
      </c>
      <c r="O656" t="s">
        <v>22</v>
      </c>
      <c r="P656" s="2" t="s">
        <v>2368</v>
      </c>
      <c r="Q656" s="2">
        <v>2</v>
      </c>
      <c r="R656" s="2" t="s">
        <v>23</v>
      </c>
      <c r="S656" s="2" t="str">
        <f t="shared" si="104"/>
        <v>Rendah</v>
      </c>
      <c r="T656" s="2" t="str">
        <f t="shared" si="105"/>
        <v>FALSE</v>
      </c>
      <c r="U656" s="2" t="str">
        <f t="shared" si="106"/>
        <v>FALSE</v>
      </c>
      <c r="V656" s="2" t="b">
        <f t="shared" si="107"/>
        <v>0</v>
      </c>
      <c r="W656" s="2" t="b">
        <f t="shared" si="108"/>
        <v>0</v>
      </c>
      <c r="X656" s="2" t="b">
        <f t="shared" si="109"/>
        <v>0</v>
      </c>
    </row>
    <row r="657" spans="1:24" ht="10.5" customHeight="1">
      <c r="A657" s="2" t="s">
        <v>990</v>
      </c>
      <c r="B657" s="3">
        <v>45777.371296296304</v>
      </c>
      <c r="C657" s="2" t="s">
        <v>110</v>
      </c>
      <c r="D657" s="2" t="s">
        <v>111</v>
      </c>
      <c r="E657" s="2" t="s">
        <v>190</v>
      </c>
      <c r="F657" s="4">
        <v>15500</v>
      </c>
      <c r="G657" s="5">
        <v>0.7</v>
      </c>
      <c r="H657" s="6">
        <v>0</v>
      </c>
      <c r="I657" s="7">
        <f t="shared" si="100"/>
        <v>10850</v>
      </c>
      <c r="J657" s="7">
        <f t="shared" si="101"/>
        <v>0</v>
      </c>
      <c r="K657" s="7">
        <f t="shared" si="102"/>
        <v>10850</v>
      </c>
      <c r="L657" s="4">
        <v>0</v>
      </c>
      <c r="M657" s="7">
        <f t="shared" si="103"/>
        <v>10850</v>
      </c>
      <c r="N657" s="2" t="s">
        <v>58</v>
      </c>
      <c r="O657" t="s">
        <v>22</v>
      </c>
      <c r="P657" s="2" t="s">
        <v>2370</v>
      </c>
      <c r="Q657" s="2">
        <v>3</v>
      </c>
      <c r="R657" s="2" t="s">
        <v>23</v>
      </c>
      <c r="S657" s="2" t="str">
        <f t="shared" si="104"/>
        <v>Sangat Rendah</v>
      </c>
      <c r="T657" s="2" t="str">
        <f t="shared" si="105"/>
        <v>FALSE</v>
      </c>
      <c r="U657" s="2" t="str">
        <f t="shared" si="106"/>
        <v>FALSE</v>
      </c>
      <c r="V657" s="2" t="b">
        <f t="shared" si="107"/>
        <v>0</v>
      </c>
      <c r="W657" s="2" t="b">
        <f t="shared" si="108"/>
        <v>0</v>
      </c>
      <c r="X657" s="2" t="b">
        <f t="shared" si="109"/>
        <v>1</v>
      </c>
    </row>
    <row r="658" spans="1:24" ht="10.5" customHeight="1">
      <c r="A658" s="2" t="s">
        <v>991</v>
      </c>
      <c r="B658" s="3">
        <v>45777.510011574072</v>
      </c>
      <c r="C658" s="2" t="s">
        <v>431</v>
      </c>
      <c r="D658" s="2" t="s">
        <v>108</v>
      </c>
      <c r="E658" s="2" t="s">
        <v>65</v>
      </c>
      <c r="F658" s="4">
        <v>46000</v>
      </c>
      <c r="G658" s="5">
        <v>0.7</v>
      </c>
      <c r="H658" s="6">
        <v>0</v>
      </c>
      <c r="I658" s="7">
        <f t="shared" si="100"/>
        <v>32199.999999999996</v>
      </c>
      <c r="J658" s="7">
        <f t="shared" si="101"/>
        <v>0</v>
      </c>
      <c r="K658" s="7">
        <f t="shared" si="102"/>
        <v>32199.999999999996</v>
      </c>
      <c r="L658" s="4">
        <v>72000</v>
      </c>
      <c r="M658" s="7">
        <f t="shared" si="103"/>
        <v>104200</v>
      </c>
      <c r="N658" s="2" t="s">
        <v>28</v>
      </c>
      <c r="O658" t="s">
        <v>22</v>
      </c>
      <c r="P658" s="2" t="s">
        <v>2365</v>
      </c>
      <c r="Q658" s="2">
        <v>2</v>
      </c>
      <c r="R658" s="2" t="s">
        <v>34</v>
      </c>
      <c r="S658" s="2" t="str">
        <f t="shared" si="104"/>
        <v>Standar</v>
      </c>
      <c r="T658" s="2" t="str">
        <f t="shared" si="105"/>
        <v>FALSE</v>
      </c>
      <c r="U658" s="2" t="str">
        <f t="shared" si="106"/>
        <v>FALSE</v>
      </c>
      <c r="V658" s="2" t="b">
        <f t="shared" si="107"/>
        <v>0</v>
      </c>
      <c r="W658" s="2" t="b">
        <f t="shared" si="108"/>
        <v>0</v>
      </c>
      <c r="X658" s="2" t="b">
        <f t="shared" si="109"/>
        <v>0</v>
      </c>
    </row>
    <row r="659" spans="1:24" ht="10.5" customHeight="1">
      <c r="A659" s="2" t="s">
        <v>992</v>
      </c>
      <c r="B659" s="3">
        <v>45777.510729166657</v>
      </c>
      <c r="C659" s="2" t="s">
        <v>993</v>
      </c>
      <c r="D659" s="2" t="s">
        <v>252</v>
      </c>
      <c r="E659" s="2" t="s">
        <v>80</v>
      </c>
      <c r="F659" s="4">
        <v>15000</v>
      </c>
      <c r="G659" s="5">
        <v>1</v>
      </c>
      <c r="H659" s="6">
        <v>0</v>
      </c>
      <c r="I659" s="7">
        <f t="shared" si="100"/>
        <v>15000</v>
      </c>
      <c r="J659" s="7">
        <f t="shared" si="101"/>
        <v>0</v>
      </c>
      <c r="K659" s="7">
        <f t="shared" si="102"/>
        <v>15000</v>
      </c>
      <c r="L659" s="4">
        <v>18000</v>
      </c>
      <c r="M659" s="7">
        <f t="shared" si="103"/>
        <v>33000</v>
      </c>
      <c r="N659" s="2" t="s">
        <v>21</v>
      </c>
      <c r="O659" t="s">
        <v>22</v>
      </c>
      <c r="P659" s="2" t="s">
        <v>2368</v>
      </c>
      <c r="Q659" s="2">
        <v>1</v>
      </c>
      <c r="R659" s="2" t="s">
        <v>23</v>
      </c>
      <c r="S659" s="2" t="str">
        <f t="shared" si="104"/>
        <v>Sangat Rendah</v>
      </c>
      <c r="T659" s="2" t="str">
        <f t="shared" si="105"/>
        <v>FALSE</v>
      </c>
      <c r="U659" s="2" t="str">
        <f t="shared" si="106"/>
        <v>FALSE</v>
      </c>
      <c r="V659" s="2" t="b">
        <f t="shared" si="107"/>
        <v>0</v>
      </c>
      <c r="W659" s="2" t="b">
        <f t="shared" si="108"/>
        <v>0</v>
      </c>
      <c r="X659" s="2" t="b">
        <f t="shared" si="109"/>
        <v>1</v>
      </c>
    </row>
    <row r="660" spans="1:24" ht="10.5" customHeight="1">
      <c r="A660" s="2" t="s">
        <v>994</v>
      </c>
      <c r="B660" s="3">
        <v>45777.533263888887</v>
      </c>
      <c r="C660" s="2" t="s">
        <v>995</v>
      </c>
      <c r="D660" s="2" t="s">
        <v>114</v>
      </c>
      <c r="E660" s="2" t="s">
        <v>35</v>
      </c>
      <c r="F660" s="4">
        <v>13500</v>
      </c>
      <c r="G660" s="5">
        <v>2.1</v>
      </c>
      <c r="H660" s="6">
        <v>0</v>
      </c>
      <c r="I660" s="7">
        <f t="shared" si="100"/>
        <v>28350</v>
      </c>
      <c r="J660" s="7">
        <f t="shared" si="101"/>
        <v>0</v>
      </c>
      <c r="K660" s="7">
        <f t="shared" si="102"/>
        <v>28350</v>
      </c>
      <c r="L660" s="4">
        <v>78000</v>
      </c>
      <c r="M660" s="7">
        <f t="shared" si="103"/>
        <v>106350</v>
      </c>
      <c r="N660" s="2" t="s">
        <v>33</v>
      </c>
      <c r="O660" t="s">
        <v>22</v>
      </c>
      <c r="P660" s="2" t="s">
        <v>2365</v>
      </c>
      <c r="Q660" s="2">
        <v>5</v>
      </c>
      <c r="R660" s="2" t="s">
        <v>23</v>
      </c>
      <c r="S660" s="2" t="str">
        <f t="shared" si="104"/>
        <v>Standar</v>
      </c>
      <c r="T660" s="2" t="str">
        <f t="shared" si="105"/>
        <v>FALSE</v>
      </c>
      <c r="U660" s="2" t="str">
        <f t="shared" si="106"/>
        <v>FALSE</v>
      </c>
      <c r="V660" s="2" t="b">
        <f t="shared" si="107"/>
        <v>0</v>
      </c>
      <c r="W660" s="2" t="b">
        <f t="shared" si="108"/>
        <v>0</v>
      </c>
      <c r="X660" s="2" t="b">
        <f t="shared" si="109"/>
        <v>0</v>
      </c>
    </row>
    <row r="661" spans="1:24" ht="10.5" customHeight="1">
      <c r="A661" s="2" t="s">
        <v>996</v>
      </c>
      <c r="B661" s="3">
        <v>45777.557395833333</v>
      </c>
      <c r="C661" s="2" t="s">
        <v>515</v>
      </c>
      <c r="D661" s="2" t="s">
        <v>87</v>
      </c>
      <c r="E661" s="2" t="s">
        <v>95</v>
      </c>
      <c r="F661" s="4">
        <v>9500</v>
      </c>
      <c r="G661" s="5">
        <v>2</v>
      </c>
      <c r="H661" s="6">
        <v>0</v>
      </c>
      <c r="I661" s="7">
        <f t="shared" si="100"/>
        <v>19000</v>
      </c>
      <c r="J661" s="7">
        <f t="shared" si="101"/>
        <v>0</v>
      </c>
      <c r="K661" s="7">
        <f t="shared" si="102"/>
        <v>19000</v>
      </c>
      <c r="L661" s="4">
        <v>49000</v>
      </c>
      <c r="M661" s="7">
        <f t="shared" si="103"/>
        <v>68000</v>
      </c>
      <c r="N661" s="2" t="s">
        <v>33</v>
      </c>
      <c r="O661" t="s">
        <v>22</v>
      </c>
      <c r="P661" s="2" t="s">
        <v>2370</v>
      </c>
      <c r="Q661" s="2">
        <v>3</v>
      </c>
      <c r="R661" s="2" t="s">
        <v>23</v>
      </c>
      <c r="S661" s="2" t="str">
        <f t="shared" si="104"/>
        <v>Rendah</v>
      </c>
      <c r="T661" s="2" t="str">
        <f t="shared" si="105"/>
        <v>FALSE</v>
      </c>
      <c r="U661" s="2" t="str">
        <f t="shared" si="106"/>
        <v>FALSE</v>
      </c>
      <c r="V661" s="2" t="b">
        <f t="shared" si="107"/>
        <v>0</v>
      </c>
      <c r="W661" s="2" t="b">
        <f t="shared" si="108"/>
        <v>0</v>
      </c>
      <c r="X661" s="2" t="b">
        <f t="shared" si="109"/>
        <v>0</v>
      </c>
    </row>
    <row r="662" spans="1:24" ht="10.5" customHeight="1">
      <c r="A662" s="2" t="s">
        <v>997</v>
      </c>
      <c r="B662" s="3">
        <v>45777.68273148148</v>
      </c>
      <c r="C662" s="2" t="s">
        <v>447</v>
      </c>
      <c r="D662" s="2" t="s">
        <v>74</v>
      </c>
      <c r="E662" s="2" t="s">
        <v>53</v>
      </c>
      <c r="F662" s="4">
        <v>14000</v>
      </c>
      <c r="G662" s="5">
        <v>0.7</v>
      </c>
      <c r="H662" s="6">
        <v>0</v>
      </c>
      <c r="I662" s="7">
        <f t="shared" si="100"/>
        <v>9800</v>
      </c>
      <c r="J662" s="7">
        <f t="shared" si="101"/>
        <v>0</v>
      </c>
      <c r="K662" s="7">
        <f t="shared" si="102"/>
        <v>9800</v>
      </c>
      <c r="L662" s="4">
        <v>74000</v>
      </c>
      <c r="M662" s="7">
        <f t="shared" si="103"/>
        <v>83800</v>
      </c>
      <c r="N662" s="2" t="s">
        <v>21</v>
      </c>
      <c r="O662" t="s">
        <v>22</v>
      </c>
      <c r="P662" s="2" t="s">
        <v>2367</v>
      </c>
      <c r="Q662" s="2">
        <v>2</v>
      </c>
      <c r="R662" s="2" t="s">
        <v>23</v>
      </c>
      <c r="S662" s="2" t="str">
        <f t="shared" si="104"/>
        <v>Rendah</v>
      </c>
      <c r="T662" s="2" t="str">
        <f t="shared" si="105"/>
        <v>FALSE</v>
      </c>
      <c r="U662" s="2" t="str">
        <f t="shared" si="106"/>
        <v>FALSE</v>
      </c>
      <c r="V662" s="2" t="b">
        <f t="shared" si="107"/>
        <v>0</v>
      </c>
      <c r="W662" s="2" t="b">
        <f t="shared" si="108"/>
        <v>1</v>
      </c>
      <c r="X662" s="2" t="b">
        <f t="shared" si="109"/>
        <v>0</v>
      </c>
    </row>
    <row r="663" spans="1:24" ht="10.5" customHeight="1">
      <c r="A663" s="2" t="s">
        <v>998</v>
      </c>
      <c r="B663" s="3">
        <v>45777.696412037039</v>
      </c>
      <c r="C663" s="2" t="s">
        <v>379</v>
      </c>
      <c r="D663" s="2" t="s">
        <v>173</v>
      </c>
      <c r="E663" s="2" t="s">
        <v>45</v>
      </c>
      <c r="F663" s="4">
        <v>10500</v>
      </c>
      <c r="G663" s="5">
        <v>3</v>
      </c>
      <c r="H663" s="6">
        <v>0</v>
      </c>
      <c r="I663" s="7">
        <f t="shared" si="100"/>
        <v>31500</v>
      </c>
      <c r="J663" s="7">
        <f t="shared" si="101"/>
        <v>0</v>
      </c>
      <c r="K663" s="7">
        <f t="shared" si="102"/>
        <v>31500</v>
      </c>
      <c r="L663" s="4">
        <v>48000</v>
      </c>
      <c r="M663" s="7">
        <f t="shared" si="103"/>
        <v>79500</v>
      </c>
      <c r="N663" s="2" t="s">
        <v>21</v>
      </c>
      <c r="O663" t="s">
        <v>22</v>
      </c>
      <c r="P663" s="2" t="s">
        <v>2366</v>
      </c>
      <c r="Q663" s="2">
        <v>4</v>
      </c>
      <c r="R663" s="2" t="s">
        <v>23</v>
      </c>
      <c r="S663" s="2" t="str">
        <f t="shared" si="104"/>
        <v>Rendah</v>
      </c>
      <c r="T663" s="2" t="str">
        <f t="shared" si="105"/>
        <v>FALSE</v>
      </c>
      <c r="U663" s="2" t="str">
        <f t="shared" si="106"/>
        <v>FALSE</v>
      </c>
      <c r="V663" s="2" t="b">
        <f t="shared" si="107"/>
        <v>0</v>
      </c>
      <c r="W663" s="2" t="b">
        <f t="shared" si="108"/>
        <v>0</v>
      </c>
      <c r="X663" s="2" t="b">
        <f t="shared" si="109"/>
        <v>0</v>
      </c>
    </row>
    <row r="664" spans="1:24" ht="10.5" customHeight="1">
      <c r="A664" s="2" t="s">
        <v>999</v>
      </c>
      <c r="B664" s="3">
        <v>45777.706909722219</v>
      </c>
      <c r="C664" s="2" t="s">
        <v>39</v>
      </c>
      <c r="D664" s="2" t="s">
        <v>40</v>
      </c>
      <c r="E664" s="2" t="s">
        <v>75</v>
      </c>
      <c r="F664" s="4">
        <v>45000</v>
      </c>
      <c r="G664" s="5">
        <v>0.8</v>
      </c>
      <c r="H664" s="6">
        <v>0</v>
      </c>
      <c r="I664" s="7">
        <f t="shared" si="100"/>
        <v>36000</v>
      </c>
      <c r="J664" s="7">
        <f t="shared" si="101"/>
        <v>0</v>
      </c>
      <c r="K664" s="7">
        <f t="shared" si="102"/>
        <v>36000</v>
      </c>
      <c r="L664" s="4">
        <v>93000</v>
      </c>
      <c r="M664" s="7">
        <f t="shared" si="103"/>
        <v>129000</v>
      </c>
      <c r="N664" s="2" t="s">
        <v>28</v>
      </c>
      <c r="O664" t="s">
        <v>22</v>
      </c>
      <c r="P664" s="2" t="s">
        <v>2366</v>
      </c>
      <c r="Q664" s="2">
        <v>4</v>
      </c>
      <c r="R664" s="2" t="s">
        <v>23</v>
      </c>
      <c r="S664" s="2" t="str">
        <f t="shared" si="104"/>
        <v>Standar</v>
      </c>
      <c r="T664" s="2" t="str">
        <f t="shared" si="105"/>
        <v>FALSE</v>
      </c>
      <c r="U664" s="2" t="str">
        <f t="shared" si="106"/>
        <v>FALSE</v>
      </c>
      <c r="V664" s="2" t="b">
        <f t="shared" si="107"/>
        <v>0</v>
      </c>
      <c r="W664" s="2" t="b">
        <f t="shared" si="108"/>
        <v>0</v>
      </c>
      <c r="X664" s="2" t="b">
        <f t="shared" si="109"/>
        <v>0</v>
      </c>
    </row>
    <row r="665" spans="1:24" ht="10.5" customHeight="1">
      <c r="A665" s="2" t="s">
        <v>1000</v>
      </c>
      <c r="B665" s="3">
        <v>45777.734398148154</v>
      </c>
      <c r="C665" s="2" t="s">
        <v>192</v>
      </c>
      <c r="D665" s="2" t="s">
        <v>98</v>
      </c>
      <c r="E665" s="2" t="s">
        <v>57</v>
      </c>
      <c r="F665" s="4">
        <v>17500</v>
      </c>
      <c r="G665" s="5">
        <v>3</v>
      </c>
      <c r="H665" s="6">
        <v>0</v>
      </c>
      <c r="I665" s="7">
        <f t="shared" si="100"/>
        <v>52500</v>
      </c>
      <c r="J665" s="7">
        <f t="shared" si="101"/>
        <v>0</v>
      </c>
      <c r="K665" s="7">
        <f t="shared" si="102"/>
        <v>52500</v>
      </c>
      <c r="L665" s="4">
        <v>97000</v>
      </c>
      <c r="M665" s="7">
        <f t="shared" si="103"/>
        <v>149500</v>
      </c>
      <c r="N665" s="2" t="s">
        <v>28</v>
      </c>
      <c r="O665" t="s">
        <v>22</v>
      </c>
      <c r="P665" s="2" t="s">
        <v>2366</v>
      </c>
      <c r="Q665" s="2">
        <v>5</v>
      </c>
      <c r="R665" s="2" t="s">
        <v>23</v>
      </c>
      <c r="S665" s="2" t="str">
        <f t="shared" si="104"/>
        <v>Standar</v>
      </c>
      <c r="T665" s="2" t="str">
        <f t="shared" si="105"/>
        <v>FALSE</v>
      </c>
      <c r="U665" s="2" t="str">
        <f t="shared" si="106"/>
        <v>FALSE</v>
      </c>
      <c r="V665" s="2" t="b">
        <f t="shared" si="107"/>
        <v>0</v>
      </c>
      <c r="W665" s="2" t="b">
        <f t="shared" si="108"/>
        <v>0</v>
      </c>
      <c r="X665" s="2" t="b">
        <f t="shared" si="109"/>
        <v>0</v>
      </c>
    </row>
    <row r="666" spans="1:24" ht="10.5" customHeight="1">
      <c r="A666" s="2" t="s">
        <v>1000</v>
      </c>
      <c r="B666" s="3">
        <v>45777.734398148154</v>
      </c>
      <c r="C666" s="2" t="s">
        <v>192</v>
      </c>
      <c r="D666" s="2" t="s">
        <v>98</v>
      </c>
      <c r="E666" s="2" t="s">
        <v>41</v>
      </c>
      <c r="F666" s="4">
        <v>40000</v>
      </c>
      <c r="G666" s="5">
        <v>0.4</v>
      </c>
      <c r="H666" s="6">
        <v>0</v>
      </c>
      <c r="I666" s="7">
        <f t="shared" si="100"/>
        <v>16000</v>
      </c>
      <c r="J666" s="7">
        <f t="shared" si="101"/>
        <v>0</v>
      </c>
      <c r="K666" s="7">
        <f t="shared" si="102"/>
        <v>16000</v>
      </c>
      <c r="L666" s="4">
        <v>0</v>
      </c>
      <c r="M666" s="7">
        <f t="shared" si="103"/>
        <v>16000</v>
      </c>
      <c r="N666" s="2" t="s">
        <v>28</v>
      </c>
      <c r="O666" t="s">
        <v>22</v>
      </c>
      <c r="P666" s="2" t="s">
        <v>2366</v>
      </c>
      <c r="Q666" s="2">
        <v>5</v>
      </c>
      <c r="R666" s="2" t="s">
        <v>23</v>
      </c>
      <c r="S666" s="2" t="str">
        <f t="shared" si="104"/>
        <v>Sangat Rendah</v>
      </c>
      <c r="T666" s="2" t="str">
        <f t="shared" si="105"/>
        <v>FALSE</v>
      </c>
      <c r="U666" s="2" t="str">
        <f t="shared" si="106"/>
        <v>FALSE</v>
      </c>
      <c r="V666" s="2" t="b">
        <f t="shared" si="107"/>
        <v>0</v>
      </c>
      <c r="W666" s="2" t="b">
        <f t="shared" si="108"/>
        <v>0</v>
      </c>
      <c r="X666" s="2" t="b">
        <f t="shared" si="109"/>
        <v>1</v>
      </c>
    </row>
    <row r="667" spans="1:24" ht="10.5" customHeight="1">
      <c r="A667" s="2" t="s">
        <v>1001</v>
      </c>
      <c r="B667" s="3">
        <v>45777.781990740739</v>
      </c>
      <c r="C667" s="2" t="s">
        <v>1002</v>
      </c>
      <c r="D667" s="2" t="s">
        <v>167</v>
      </c>
      <c r="E667" s="2" t="s">
        <v>80</v>
      </c>
      <c r="F667" s="4">
        <v>15000</v>
      </c>
      <c r="G667" s="5">
        <v>0.6</v>
      </c>
      <c r="H667" s="6">
        <v>0</v>
      </c>
      <c r="I667" s="7">
        <f t="shared" si="100"/>
        <v>9000</v>
      </c>
      <c r="J667" s="7">
        <f t="shared" si="101"/>
        <v>0</v>
      </c>
      <c r="K667" s="7">
        <f t="shared" si="102"/>
        <v>9000</v>
      </c>
      <c r="L667" s="4">
        <v>56000</v>
      </c>
      <c r="M667" s="7">
        <f t="shared" si="103"/>
        <v>65000</v>
      </c>
      <c r="N667" s="2" t="s">
        <v>28</v>
      </c>
      <c r="O667" t="s">
        <v>22</v>
      </c>
      <c r="P667" s="2" t="s">
        <v>2370</v>
      </c>
      <c r="Q667" s="2">
        <v>5</v>
      </c>
      <c r="R667" s="2" t="s">
        <v>34</v>
      </c>
      <c r="S667" s="2" t="str">
        <f t="shared" si="104"/>
        <v>Rendah</v>
      </c>
      <c r="T667" s="2" t="str">
        <f t="shared" si="105"/>
        <v>FALSE</v>
      </c>
      <c r="U667" s="2" t="str">
        <f t="shared" si="106"/>
        <v>FALSE</v>
      </c>
      <c r="V667" s="2" t="b">
        <f t="shared" si="107"/>
        <v>0</v>
      </c>
      <c r="W667" s="2" t="b">
        <f t="shared" si="108"/>
        <v>0</v>
      </c>
      <c r="X667" s="2" t="b">
        <f t="shared" si="109"/>
        <v>0</v>
      </c>
    </row>
    <row r="668" spans="1:24" ht="10.5" customHeight="1">
      <c r="A668" s="2" t="s">
        <v>1003</v>
      </c>
      <c r="B668" s="3">
        <v>45777.953865740739</v>
      </c>
      <c r="C668" s="2" t="s">
        <v>436</v>
      </c>
      <c r="D668" s="2" t="s">
        <v>286</v>
      </c>
      <c r="E668" s="2" t="s">
        <v>65</v>
      </c>
      <c r="F668" s="4">
        <v>46000</v>
      </c>
      <c r="G668" s="5">
        <v>0.8</v>
      </c>
      <c r="H668" s="6">
        <v>0</v>
      </c>
      <c r="I668" s="7">
        <f t="shared" si="100"/>
        <v>36800</v>
      </c>
      <c r="J668" s="7">
        <f t="shared" si="101"/>
        <v>0</v>
      </c>
      <c r="K668" s="7">
        <f t="shared" si="102"/>
        <v>36800</v>
      </c>
      <c r="L668" s="4">
        <v>79000</v>
      </c>
      <c r="M668" s="7">
        <f t="shared" si="103"/>
        <v>115800</v>
      </c>
      <c r="N668" s="2" t="s">
        <v>58</v>
      </c>
      <c r="O668" t="s">
        <v>69</v>
      </c>
      <c r="P668" s="2" t="s">
        <v>2368</v>
      </c>
      <c r="Q668" s="2">
        <v>3</v>
      </c>
      <c r="R668" s="2" t="s">
        <v>34</v>
      </c>
      <c r="S668" s="2" t="str">
        <f t="shared" si="104"/>
        <v>Standar</v>
      </c>
      <c r="T668" s="2" t="str">
        <f t="shared" si="105"/>
        <v>FALSE</v>
      </c>
      <c r="U668" s="2" t="str">
        <f t="shared" si="106"/>
        <v>FALSE</v>
      </c>
      <c r="V668" s="2" t="b">
        <f t="shared" si="107"/>
        <v>0</v>
      </c>
      <c r="W668" s="2" t="b">
        <f t="shared" si="108"/>
        <v>0</v>
      </c>
      <c r="X668" s="2" t="b">
        <f t="shared" si="109"/>
        <v>0</v>
      </c>
    </row>
    <row r="669" spans="1:24" ht="10.5" customHeight="1">
      <c r="A669" s="2" t="s">
        <v>1004</v>
      </c>
      <c r="B669" s="3">
        <v>45777.978564814817</v>
      </c>
      <c r="C669" s="2" t="s">
        <v>701</v>
      </c>
      <c r="D669" s="2" t="s">
        <v>167</v>
      </c>
      <c r="E669" s="2" t="s">
        <v>161</v>
      </c>
      <c r="F669" s="4">
        <v>115000</v>
      </c>
      <c r="G669" s="5">
        <v>1.2</v>
      </c>
      <c r="H669" s="6">
        <v>0</v>
      </c>
      <c r="I669" s="7">
        <f t="shared" si="100"/>
        <v>138000</v>
      </c>
      <c r="J669" s="7">
        <f t="shared" si="101"/>
        <v>0</v>
      </c>
      <c r="K669" s="7">
        <f t="shared" si="102"/>
        <v>138000</v>
      </c>
      <c r="L669" s="4">
        <v>56000</v>
      </c>
      <c r="M669" s="7">
        <f t="shared" si="103"/>
        <v>194000</v>
      </c>
      <c r="N669" s="2" t="s">
        <v>58</v>
      </c>
      <c r="O669" t="s">
        <v>22</v>
      </c>
      <c r="P669" s="2" t="s">
        <v>2368</v>
      </c>
      <c r="Q669" s="2">
        <v>4</v>
      </c>
      <c r="R669" s="2" t="s">
        <v>23</v>
      </c>
      <c r="S669" s="2" t="str">
        <f t="shared" si="104"/>
        <v>Tinggi</v>
      </c>
      <c r="T669" s="2" t="str">
        <f t="shared" si="105"/>
        <v>FALSE</v>
      </c>
      <c r="U669" s="2" t="str">
        <f t="shared" si="106"/>
        <v>TRUE</v>
      </c>
      <c r="V669" s="2" t="b">
        <f t="shared" si="107"/>
        <v>0</v>
      </c>
      <c r="W669" s="2" t="b">
        <f t="shared" si="108"/>
        <v>0</v>
      </c>
      <c r="X669" s="2" t="b">
        <f t="shared" si="109"/>
        <v>0</v>
      </c>
    </row>
    <row r="670" spans="1:24" ht="10.5" customHeight="1">
      <c r="A670" s="2" t="s">
        <v>1005</v>
      </c>
      <c r="B670" s="3">
        <v>45778.424814814818</v>
      </c>
      <c r="C670" s="2" t="s">
        <v>313</v>
      </c>
      <c r="D670" s="2" t="s">
        <v>94</v>
      </c>
      <c r="E670" s="2" t="s">
        <v>75</v>
      </c>
      <c r="F670" s="4">
        <v>45000</v>
      </c>
      <c r="G670" s="5">
        <v>0.5</v>
      </c>
      <c r="H670" s="6">
        <v>0</v>
      </c>
      <c r="I670" s="7">
        <f t="shared" si="100"/>
        <v>22500</v>
      </c>
      <c r="J670" s="7">
        <f t="shared" si="101"/>
        <v>0</v>
      </c>
      <c r="K670" s="7">
        <f t="shared" si="102"/>
        <v>22500</v>
      </c>
      <c r="L670" s="4">
        <v>85000</v>
      </c>
      <c r="M670" s="7">
        <f t="shared" si="103"/>
        <v>107500</v>
      </c>
      <c r="N670" s="2" t="s">
        <v>21</v>
      </c>
      <c r="O670" t="s">
        <v>22</v>
      </c>
      <c r="P670" s="2" t="s">
        <v>2366</v>
      </c>
      <c r="Q670" s="2">
        <v>2</v>
      </c>
      <c r="R670" s="2" t="s">
        <v>23</v>
      </c>
      <c r="S670" s="2" t="str">
        <f t="shared" si="104"/>
        <v>Standar</v>
      </c>
      <c r="T670" s="2" t="str">
        <f t="shared" si="105"/>
        <v>FALSE</v>
      </c>
      <c r="U670" s="2" t="str">
        <f t="shared" si="106"/>
        <v>FALSE</v>
      </c>
      <c r="V670" s="2" t="b">
        <f t="shared" si="107"/>
        <v>0</v>
      </c>
      <c r="W670" s="2" t="b">
        <f t="shared" si="108"/>
        <v>0</v>
      </c>
      <c r="X670" s="2" t="b">
        <f t="shared" si="109"/>
        <v>0</v>
      </c>
    </row>
    <row r="671" spans="1:24" ht="10.5" customHeight="1">
      <c r="A671" s="2" t="s">
        <v>1006</v>
      </c>
      <c r="B671" s="3">
        <v>45778.792881944442</v>
      </c>
      <c r="C671" s="2" t="s">
        <v>485</v>
      </c>
      <c r="D671" s="2" t="s">
        <v>40</v>
      </c>
      <c r="E671" s="2" t="s">
        <v>95</v>
      </c>
      <c r="F671" s="4">
        <v>9500</v>
      </c>
      <c r="G671" s="5">
        <v>1.6</v>
      </c>
      <c r="H671" s="6">
        <v>0</v>
      </c>
      <c r="I671" s="7">
        <f t="shared" si="100"/>
        <v>15200</v>
      </c>
      <c r="J671" s="7">
        <f t="shared" si="101"/>
        <v>0</v>
      </c>
      <c r="K671" s="7">
        <f t="shared" si="102"/>
        <v>15200</v>
      </c>
      <c r="L671" s="4">
        <v>93000</v>
      </c>
      <c r="M671" s="7">
        <f t="shared" si="103"/>
        <v>108200</v>
      </c>
      <c r="N671" s="2" t="s">
        <v>33</v>
      </c>
      <c r="O671" t="s">
        <v>115</v>
      </c>
      <c r="P671" s="2" t="s">
        <v>2365</v>
      </c>
      <c r="Q671" s="2">
        <v>3</v>
      </c>
      <c r="R671" s="2" t="s">
        <v>34</v>
      </c>
      <c r="S671" s="2" t="str">
        <f t="shared" si="104"/>
        <v>Standar</v>
      </c>
      <c r="T671" s="2" t="str">
        <f t="shared" si="105"/>
        <v>FALSE</v>
      </c>
      <c r="U671" s="2" t="str">
        <f t="shared" si="106"/>
        <v>FALSE</v>
      </c>
      <c r="V671" s="2" t="b">
        <f t="shared" si="107"/>
        <v>0</v>
      </c>
      <c r="W671" s="2" t="b">
        <f t="shared" si="108"/>
        <v>0</v>
      </c>
      <c r="X671" s="2" t="b">
        <f t="shared" si="109"/>
        <v>0</v>
      </c>
    </row>
    <row r="672" spans="1:24" ht="10.5" customHeight="1">
      <c r="A672" s="2" t="s">
        <v>1007</v>
      </c>
      <c r="B672" s="3">
        <v>45779.791956018518</v>
      </c>
      <c r="C672" s="2" t="s">
        <v>712</v>
      </c>
      <c r="D672" s="2" t="s">
        <v>52</v>
      </c>
      <c r="E672" s="2" t="s">
        <v>65</v>
      </c>
      <c r="F672" s="4">
        <v>46000</v>
      </c>
      <c r="G672" s="5">
        <v>0.8</v>
      </c>
      <c r="H672" s="6">
        <v>0</v>
      </c>
      <c r="I672" s="7">
        <f t="shared" si="100"/>
        <v>36800</v>
      </c>
      <c r="J672" s="7">
        <f t="shared" si="101"/>
        <v>0</v>
      </c>
      <c r="K672" s="7">
        <f t="shared" si="102"/>
        <v>36800</v>
      </c>
      <c r="L672" s="4">
        <v>80000</v>
      </c>
      <c r="M672" s="7">
        <f t="shared" si="103"/>
        <v>116800</v>
      </c>
      <c r="N672" s="2" t="s">
        <v>21</v>
      </c>
      <c r="O672" t="s">
        <v>22</v>
      </c>
      <c r="P672" s="2" t="s">
        <v>2370</v>
      </c>
      <c r="Q672" s="2">
        <v>2</v>
      </c>
      <c r="R672" s="2" t="s">
        <v>23</v>
      </c>
      <c r="S672" s="2" t="str">
        <f t="shared" si="104"/>
        <v>Standar</v>
      </c>
      <c r="T672" s="2" t="str">
        <f t="shared" si="105"/>
        <v>FALSE</v>
      </c>
      <c r="U672" s="2" t="str">
        <f t="shared" si="106"/>
        <v>FALSE</v>
      </c>
      <c r="V672" s="2" t="b">
        <f t="shared" si="107"/>
        <v>0</v>
      </c>
      <c r="W672" s="2" t="b">
        <f t="shared" si="108"/>
        <v>0</v>
      </c>
      <c r="X672" s="2" t="b">
        <f t="shared" si="109"/>
        <v>0</v>
      </c>
    </row>
    <row r="673" spans="1:24" ht="10.5" customHeight="1">
      <c r="A673" s="2" t="s">
        <v>1008</v>
      </c>
      <c r="B673" s="3">
        <v>45781.471886574072</v>
      </c>
      <c r="C673" s="2" t="s">
        <v>402</v>
      </c>
      <c r="D673" s="2" t="s">
        <v>64</v>
      </c>
      <c r="E673" s="2" t="s">
        <v>190</v>
      </c>
      <c r="F673" s="4">
        <v>15500</v>
      </c>
      <c r="G673" s="5">
        <v>0.2</v>
      </c>
      <c r="H673" s="6">
        <v>0</v>
      </c>
      <c r="I673" s="7">
        <f t="shared" si="100"/>
        <v>3100</v>
      </c>
      <c r="J673" s="7">
        <f t="shared" si="101"/>
        <v>0</v>
      </c>
      <c r="K673" s="7">
        <f t="shared" si="102"/>
        <v>3100</v>
      </c>
      <c r="L673" s="4">
        <v>89000</v>
      </c>
      <c r="M673" s="7">
        <f t="shared" si="103"/>
        <v>92100</v>
      </c>
      <c r="N673" s="2" t="s">
        <v>21</v>
      </c>
      <c r="O673" t="s">
        <v>22</v>
      </c>
      <c r="P673" s="2" t="s">
        <v>2366</v>
      </c>
      <c r="Q673" s="2">
        <v>5</v>
      </c>
      <c r="R673" s="2" t="s">
        <v>23</v>
      </c>
      <c r="S673" s="2" t="str">
        <f t="shared" si="104"/>
        <v>Rendah</v>
      </c>
      <c r="T673" s="2" t="str">
        <f t="shared" si="105"/>
        <v>FALSE</v>
      </c>
      <c r="U673" s="2" t="str">
        <f t="shared" si="106"/>
        <v>FALSE</v>
      </c>
      <c r="V673" s="2" t="b">
        <f t="shared" si="107"/>
        <v>0</v>
      </c>
      <c r="W673" s="2" t="b">
        <f t="shared" si="108"/>
        <v>0</v>
      </c>
      <c r="X673" s="2" t="b">
        <f t="shared" si="109"/>
        <v>0</v>
      </c>
    </row>
    <row r="674" spans="1:24" ht="10.5" customHeight="1">
      <c r="A674" s="2" t="s">
        <v>1009</v>
      </c>
      <c r="B674" s="3">
        <v>45781.777245370373</v>
      </c>
      <c r="C674" s="2" t="s">
        <v>908</v>
      </c>
      <c r="D674" s="2" t="s">
        <v>286</v>
      </c>
      <c r="E674" s="2" t="s">
        <v>95</v>
      </c>
      <c r="F674" s="4">
        <v>9500</v>
      </c>
      <c r="G674" s="5">
        <v>1.4</v>
      </c>
      <c r="H674" s="6">
        <v>0</v>
      </c>
      <c r="I674" s="7">
        <f t="shared" si="100"/>
        <v>13300</v>
      </c>
      <c r="J674" s="7">
        <f t="shared" si="101"/>
        <v>0</v>
      </c>
      <c r="K674" s="7">
        <f t="shared" si="102"/>
        <v>13300</v>
      </c>
      <c r="L674" s="4">
        <v>79000</v>
      </c>
      <c r="M674" s="7">
        <f t="shared" si="103"/>
        <v>92300</v>
      </c>
      <c r="N674" s="2" t="s">
        <v>58</v>
      </c>
      <c r="O674" t="s">
        <v>22</v>
      </c>
      <c r="P674" s="2" t="s">
        <v>2366</v>
      </c>
      <c r="Q674" s="2">
        <v>2</v>
      </c>
      <c r="R674" s="2" t="s">
        <v>23</v>
      </c>
      <c r="S674" s="2" t="str">
        <f t="shared" si="104"/>
        <v>Rendah</v>
      </c>
      <c r="T674" s="2" t="str">
        <f t="shared" si="105"/>
        <v>FALSE</v>
      </c>
      <c r="U674" s="2" t="str">
        <f t="shared" si="106"/>
        <v>FALSE</v>
      </c>
      <c r="V674" s="2" t="b">
        <f t="shared" si="107"/>
        <v>0</v>
      </c>
      <c r="W674" s="2" t="b">
        <f t="shared" si="108"/>
        <v>0</v>
      </c>
      <c r="X674" s="2" t="b">
        <f t="shared" si="109"/>
        <v>0</v>
      </c>
    </row>
    <row r="675" spans="1:24" ht="10.5" customHeight="1">
      <c r="A675" s="2" t="s">
        <v>1010</v>
      </c>
      <c r="B675" s="3">
        <v>45782.46329861111</v>
      </c>
      <c r="C675" s="2" t="s">
        <v>646</v>
      </c>
      <c r="D675" s="2" t="s">
        <v>185</v>
      </c>
      <c r="E675" s="2" t="s">
        <v>57</v>
      </c>
      <c r="F675" s="4">
        <v>17500</v>
      </c>
      <c r="G675" s="5">
        <v>0.9</v>
      </c>
      <c r="H675" s="6">
        <v>5</v>
      </c>
      <c r="I675" s="7">
        <f t="shared" si="100"/>
        <v>15750</v>
      </c>
      <c r="J675" s="7">
        <f t="shared" si="101"/>
        <v>787.5</v>
      </c>
      <c r="K675" s="7">
        <f t="shared" si="102"/>
        <v>14962.5</v>
      </c>
      <c r="L675" s="4">
        <v>87000</v>
      </c>
      <c r="M675" s="7">
        <f t="shared" si="103"/>
        <v>101962.5</v>
      </c>
      <c r="N675" s="2" t="s">
        <v>33</v>
      </c>
      <c r="O675" t="s">
        <v>22</v>
      </c>
      <c r="P675" s="2" t="s">
        <v>2366</v>
      </c>
      <c r="Q675" s="2">
        <v>4</v>
      </c>
      <c r="R675" s="2" t="s">
        <v>34</v>
      </c>
      <c r="S675" s="2" t="str">
        <f t="shared" si="104"/>
        <v>Standar</v>
      </c>
      <c r="T675" s="2" t="str">
        <f t="shared" si="105"/>
        <v>FALSE</v>
      </c>
      <c r="U675" s="2" t="str">
        <f t="shared" si="106"/>
        <v>FALSE</v>
      </c>
      <c r="V675" s="2" t="b">
        <f t="shared" si="107"/>
        <v>0</v>
      </c>
      <c r="W675" s="2" t="b">
        <f t="shared" si="108"/>
        <v>0</v>
      </c>
      <c r="X675" s="2" t="b">
        <f t="shared" si="109"/>
        <v>0</v>
      </c>
    </row>
    <row r="676" spans="1:24" ht="10.5" customHeight="1">
      <c r="A676" s="2" t="s">
        <v>1011</v>
      </c>
      <c r="B676" s="3">
        <v>45782.66883101852</v>
      </c>
      <c r="C676" s="2" t="s">
        <v>1012</v>
      </c>
      <c r="D676" s="2" t="s">
        <v>167</v>
      </c>
      <c r="E676" s="2" t="s">
        <v>41</v>
      </c>
      <c r="F676" s="4">
        <v>40000</v>
      </c>
      <c r="G676" s="5">
        <v>0.8</v>
      </c>
      <c r="H676" s="6">
        <v>5</v>
      </c>
      <c r="I676" s="7">
        <f t="shared" si="100"/>
        <v>32000</v>
      </c>
      <c r="J676" s="7">
        <f t="shared" si="101"/>
        <v>1600</v>
      </c>
      <c r="K676" s="7">
        <f t="shared" si="102"/>
        <v>30400</v>
      </c>
      <c r="L676" s="4">
        <v>56000</v>
      </c>
      <c r="M676" s="7">
        <f t="shared" si="103"/>
        <v>86400</v>
      </c>
      <c r="N676" s="2" t="s">
        <v>21</v>
      </c>
      <c r="O676" t="s">
        <v>22</v>
      </c>
      <c r="P676" s="2" t="s">
        <v>2365</v>
      </c>
      <c r="Q676" s="2">
        <v>2</v>
      </c>
      <c r="R676" s="2" t="s">
        <v>23</v>
      </c>
      <c r="S676" s="2" t="str">
        <f t="shared" si="104"/>
        <v>Rendah</v>
      </c>
      <c r="T676" s="2" t="str">
        <f t="shared" si="105"/>
        <v>FALSE</v>
      </c>
      <c r="U676" s="2" t="str">
        <f t="shared" si="106"/>
        <v>FALSE</v>
      </c>
      <c r="V676" s="2" t="b">
        <f t="shared" si="107"/>
        <v>0</v>
      </c>
      <c r="W676" s="2" t="b">
        <f t="shared" si="108"/>
        <v>0</v>
      </c>
      <c r="X676" s="2" t="b">
        <f t="shared" si="109"/>
        <v>0</v>
      </c>
    </row>
    <row r="677" spans="1:24" ht="10.5" customHeight="1">
      <c r="A677" s="2" t="s">
        <v>1013</v>
      </c>
      <c r="B677" s="3">
        <v>45782.919386574067</v>
      </c>
      <c r="C677" s="2" t="s">
        <v>824</v>
      </c>
      <c r="D677" s="2" t="s">
        <v>167</v>
      </c>
      <c r="E677" s="2" t="s">
        <v>190</v>
      </c>
      <c r="F677" s="4">
        <v>15500</v>
      </c>
      <c r="G677" s="5">
        <v>0.4</v>
      </c>
      <c r="H677" s="6">
        <v>5</v>
      </c>
      <c r="I677" s="7">
        <f t="shared" si="100"/>
        <v>6200</v>
      </c>
      <c r="J677" s="7">
        <f t="shared" si="101"/>
        <v>310</v>
      </c>
      <c r="K677" s="7">
        <f t="shared" si="102"/>
        <v>5890</v>
      </c>
      <c r="L677" s="4">
        <v>56000</v>
      </c>
      <c r="M677" s="7">
        <f t="shared" si="103"/>
        <v>61890</v>
      </c>
      <c r="N677" s="2" t="s">
        <v>28</v>
      </c>
      <c r="O677" t="s">
        <v>69</v>
      </c>
      <c r="P677" s="2" t="s">
        <v>2368</v>
      </c>
      <c r="Q677" s="2">
        <v>4</v>
      </c>
      <c r="R677" s="2" t="s">
        <v>34</v>
      </c>
      <c r="S677" s="2" t="str">
        <f t="shared" si="104"/>
        <v>Rendah</v>
      </c>
      <c r="T677" s="2" t="str">
        <f t="shared" si="105"/>
        <v>FALSE</v>
      </c>
      <c r="U677" s="2" t="str">
        <f t="shared" si="106"/>
        <v>FALSE</v>
      </c>
      <c r="V677" s="2" t="b">
        <f t="shared" si="107"/>
        <v>0</v>
      </c>
      <c r="W677" s="2" t="b">
        <f t="shared" si="108"/>
        <v>0</v>
      </c>
      <c r="X677" s="2" t="b">
        <f t="shared" si="109"/>
        <v>0</v>
      </c>
    </row>
    <row r="678" spans="1:24" ht="10.5" customHeight="1">
      <c r="A678" s="2" t="s">
        <v>1014</v>
      </c>
      <c r="B678" s="3">
        <v>45783.655636574083</v>
      </c>
      <c r="C678" s="2" t="s">
        <v>1015</v>
      </c>
      <c r="D678" s="2" t="s">
        <v>111</v>
      </c>
      <c r="E678" s="2" t="s">
        <v>80</v>
      </c>
      <c r="F678" s="4">
        <v>15000</v>
      </c>
      <c r="G678" s="5">
        <v>1.6</v>
      </c>
      <c r="H678" s="6">
        <v>0</v>
      </c>
      <c r="I678" s="7">
        <f t="shared" si="100"/>
        <v>24000</v>
      </c>
      <c r="J678" s="7">
        <f t="shared" si="101"/>
        <v>0</v>
      </c>
      <c r="K678" s="7">
        <f t="shared" si="102"/>
        <v>24000</v>
      </c>
      <c r="L678" s="4">
        <v>0</v>
      </c>
      <c r="M678" s="7">
        <f t="shared" si="103"/>
        <v>24000</v>
      </c>
      <c r="N678" s="2" t="s">
        <v>28</v>
      </c>
      <c r="O678" t="s">
        <v>22</v>
      </c>
      <c r="P678" s="2" t="s">
        <v>2365</v>
      </c>
      <c r="Q678" s="2">
        <v>5</v>
      </c>
      <c r="R678" s="2" t="s">
        <v>23</v>
      </c>
      <c r="S678" s="2" t="str">
        <f t="shared" si="104"/>
        <v>Sangat Rendah</v>
      </c>
      <c r="T678" s="2" t="str">
        <f t="shared" si="105"/>
        <v>FALSE</v>
      </c>
      <c r="U678" s="2" t="str">
        <f t="shared" si="106"/>
        <v>FALSE</v>
      </c>
      <c r="V678" s="2" t="b">
        <f t="shared" si="107"/>
        <v>0</v>
      </c>
      <c r="W678" s="2" t="b">
        <f t="shared" si="108"/>
        <v>0</v>
      </c>
      <c r="X678" s="2" t="b">
        <f t="shared" si="109"/>
        <v>1</v>
      </c>
    </row>
    <row r="679" spans="1:24" ht="10.5" customHeight="1">
      <c r="A679" s="2" t="s">
        <v>1016</v>
      </c>
      <c r="B679" s="3">
        <v>45783.805960648147</v>
      </c>
      <c r="C679" s="2" t="s">
        <v>738</v>
      </c>
      <c r="D679" s="2" t="s">
        <v>150</v>
      </c>
      <c r="E679" s="2" t="s">
        <v>95</v>
      </c>
      <c r="F679" s="4">
        <v>9500</v>
      </c>
      <c r="G679" s="5">
        <v>2.8</v>
      </c>
      <c r="H679" s="6">
        <v>0</v>
      </c>
      <c r="I679" s="7">
        <f t="shared" si="100"/>
        <v>26600</v>
      </c>
      <c r="J679" s="7">
        <f t="shared" si="101"/>
        <v>0</v>
      </c>
      <c r="K679" s="7">
        <f t="shared" si="102"/>
        <v>26600</v>
      </c>
      <c r="L679" s="4">
        <v>68000</v>
      </c>
      <c r="M679" s="7">
        <f t="shared" si="103"/>
        <v>94600</v>
      </c>
      <c r="N679" s="2" t="s">
        <v>33</v>
      </c>
      <c r="O679" t="s">
        <v>22</v>
      </c>
      <c r="P679" s="2" t="s">
        <v>2365</v>
      </c>
      <c r="Q679" s="2">
        <v>5</v>
      </c>
      <c r="R679" s="2" t="s">
        <v>23</v>
      </c>
      <c r="S679" s="2" t="str">
        <f t="shared" si="104"/>
        <v>Rendah</v>
      </c>
      <c r="T679" s="2" t="str">
        <f t="shared" si="105"/>
        <v>FALSE</v>
      </c>
      <c r="U679" s="2" t="str">
        <f t="shared" si="106"/>
        <v>FALSE</v>
      </c>
      <c r="V679" s="2" t="b">
        <f t="shared" si="107"/>
        <v>0</v>
      </c>
      <c r="W679" s="2" t="b">
        <f t="shared" si="108"/>
        <v>0</v>
      </c>
      <c r="X679" s="2" t="b">
        <f t="shared" si="109"/>
        <v>0</v>
      </c>
    </row>
    <row r="680" spans="1:24" ht="10.5" customHeight="1">
      <c r="A680" s="2" t="s">
        <v>1017</v>
      </c>
      <c r="B680" s="3">
        <v>45784.401863425926</v>
      </c>
      <c r="C680" s="2" t="s">
        <v>424</v>
      </c>
      <c r="D680" s="2" t="s">
        <v>425</v>
      </c>
      <c r="E680" s="2" t="s">
        <v>27</v>
      </c>
      <c r="F680" s="4">
        <v>15000</v>
      </c>
      <c r="G680" s="5">
        <v>0.9</v>
      </c>
      <c r="H680" s="6">
        <v>0</v>
      </c>
      <c r="I680" s="7">
        <f t="shared" si="100"/>
        <v>13500</v>
      </c>
      <c r="J680" s="7">
        <f t="shared" si="101"/>
        <v>0</v>
      </c>
      <c r="K680" s="7">
        <f t="shared" si="102"/>
        <v>13500</v>
      </c>
      <c r="L680" s="4">
        <v>67000</v>
      </c>
      <c r="M680" s="7">
        <f t="shared" si="103"/>
        <v>80500</v>
      </c>
      <c r="N680" s="2" t="s">
        <v>21</v>
      </c>
      <c r="O680" t="s">
        <v>69</v>
      </c>
      <c r="P680" s="2" t="s">
        <v>2368</v>
      </c>
      <c r="Q680" s="2">
        <v>2</v>
      </c>
      <c r="R680" s="2" t="s">
        <v>23</v>
      </c>
      <c r="S680" s="2" t="str">
        <f t="shared" si="104"/>
        <v>Rendah</v>
      </c>
      <c r="T680" s="2" t="str">
        <f t="shared" si="105"/>
        <v>FALSE</v>
      </c>
      <c r="U680" s="2" t="str">
        <f t="shared" si="106"/>
        <v>FALSE</v>
      </c>
      <c r="V680" s="2" t="b">
        <f t="shared" si="107"/>
        <v>0</v>
      </c>
      <c r="W680" s="2" t="b">
        <f t="shared" si="108"/>
        <v>0</v>
      </c>
      <c r="X680" s="2" t="b">
        <f t="shared" si="109"/>
        <v>0</v>
      </c>
    </row>
    <row r="681" spans="1:24" ht="10.5" customHeight="1">
      <c r="A681" s="2" t="s">
        <v>1018</v>
      </c>
      <c r="B681" s="3">
        <v>45784.424525462957</v>
      </c>
      <c r="C681" s="2" t="s">
        <v>433</v>
      </c>
      <c r="D681" s="2" t="s">
        <v>48</v>
      </c>
      <c r="E681" s="2" t="s">
        <v>75</v>
      </c>
      <c r="F681" s="4">
        <v>45000</v>
      </c>
      <c r="G681" s="5">
        <v>0.8</v>
      </c>
      <c r="H681" s="6">
        <v>0</v>
      </c>
      <c r="I681" s="7">
        <f t="shared" si="100"/>
        <v>36000</v>
      </c>
      <c r="J681" s="7">
        <f t="shared" si="101"/>
        <v>0</v>
      </c>
      <c r="K681" s="7">
        <f t="shared" si="102"/>
        <v>36000</v>
      </c>
      <c r="L681" s="4">
        <v>18000</v>
      </c>
      <c r="M681" s="7">
        <f t="shared" si="103"/>
        <v>54000</v>
      </c>
      <c r="N681" s="2" t="s">
        <v>28</v>
      </c>
      <c r="O681" t="s">
        <v>22</v>
      </c>
      <c r="P681" s="2" t="s">
        <v>2365</v>
      </c>
      <c r="Q681" s="2">
        <v>5</v>
      </c>
      <c r="R681" s="2" t="s">
        <v>23</v>
      </c>
      <c r="S681" s="2" t="str">
        <f t="shared" si="104"/>
        <v>Rendah</v>
      </c>
      <c r="T681" s="2" t="str">
        <f t="shared" si="105"/>
        <v>FALSE</v>
      </c>
      <c r="U681" s="2" t="str">
        <f t="shared" si="106"/>
        <v>FALSE</v>
      </c>
      <c r="V681" s="2" t="b">
        <f t="shared" si="107"/>
        <v>0</v>
      </c>
      <c r="W681" s="2" t="b">
        <f t="shared" si="108"/>
        <v>0</v>
      </c>
      <c r="X681" s="2" t="b">
        <f t="shared" si="109"/>
        <v>0</v>
      </c>
    </row>
    <row r="682" spans="1:24" ht="10.5" customHeight="1">
      <c r="A682" s="2" t="s">
        <v>1019</v>
      </c>
      <c r="B682" s="3">
        <v>45784.63790509259</v>
      </c>
      <c r="C682" s="2" t="s">
        <v>373</v>
      </c>
      <c r="D682" s="2" t="s">
        <v>114</v>
      </c>
      <c r="E682" s="2" t="s">
        <v>65</v>
      </c>
      <c r="F682" s="4">
        <v>46000</v>
      </c>
      <c r="G682" s="5">
        <v>1.4</v>
      </c>
      <c r="H682" s="6">
        <v>0</v>
      </c>
      <c r="I682" s="7">
        <f t="shared" si="100"/>
        <v>64399.999999999993</v>
      </c>
      <c r="J682" s="7">
        <f t="shared" si="101"/>
        <v>0</v>
      </c>
      <c r="K682" s="7">
        <f t="shared" si="102"/>
        <v>64399.999999999993</v>
      </c>
      <c r="L682" s="4">
        <v>78000</v>
      </c>
      <c r="M682" s="7">
        <f t="shared" si="103"/>
        <v>142400</v>
      </c>
      <c r="N682" s="2" t="s">
        <v>21</v>
      </c>
      <c r="O682" t="s">
        <v>22</v>
      </c>
      <c r="P682" s="2" t="s">
        <v>2370</v>
      </c>
      <c r="Q682" s="2">
        <v>2</v>
      </c>
      <c r="R682" s="2" t="s">
        <v>23</v>
      </c>
      <c r="S682" s="2" t="str">
        <f t="shared" si="104"/>
        <v>Standar</v>
      </c>
      <c r="T682" s="2" t="str">
        <f t="shared" si="105"/>
        <v>FALSE</v>
      </c>
      <c r="U682" s="2" t="str">
        <f t="shared" si="106"/>
        <v>FALSE</v>
      </c>
      <c r="V682" s="2" t="b">
        <f t="shared" si="107"/>
        <v>0</v>
      </c>
      <c r="W682" s="2" t="b">
        <f t="shared" si="108"/>
        <v>0</v>
      </c>
      <c r="X682" s="2" t="b">
        <f t="shared" si="109"/>
        <v>0</v>
      </c>
    </row>
    <row r="683" spans="1:24" ht="10.5" customHeight="1">
      <c r="A683" s="2" t="s">
        <v>1020</v>
      </c>
      <c r="B683" s="3">
        <v>45785.319097222222</v>
      </c>
      <c r="C683" s="2" t="s">
        <v>113</v>
      </c>
      <c r="D683" s="2" t="s">
        <v>114</v>
      </c>
      <c r="E683" s="2" t="s">
        <v>41</v>
      </c>
      <c r="F683" s="4">
        <v>40000</v>
      </c>
      <c r="G683" s="5">
        <v>1.2</v>
      </c>
      <c r="H683" s="6">
        <v>0</v>
      </c>
      <c r="I683" s="7">
        <f t="shared" si="100"/>
        <v>48000</v>
      </c>
      <c r="J683" s="7">
        <f t="shared" si="101"/>
        <v>0</v>
      </c>
      <c r="K683" s="7">
        <f t="shared" si="102"/>
        <v>48000</v>
      </c>
      <c r="L683" s="4">
        <v>78000</v>
      </c>
      <c r="M683" s="7">
        <f t="shared" si="103"/>
        <v>126000</v>
      </c>
      <c r="N683" s="2" t="s">
        <v>58</v>
      </c>
      <c r="O683" t="s">
        <v>22</v>
      </c>
      <c r="P683" s="2" t="s">
        <v>2365</v>
      </c>
      <c r="Q683" s="2">
        <v>5</v>
      </c>
      <c r="R683" s="2" t="s">
        <v>23</v>
      </c>
      <c r="S683" s="2" t="str">
        <f t="shared" si="104"/>
        <v>Standar</v>
      </c>
      <c r="T683" s="2" t="str">
        <f t="shared" si="105"/>
        <v>FALSE</v>
      </c>
      <c r="U683" s="2" t="str">
        <f t="shared" si="106"/>
        <v>FALSE</v>
      </c>
      <c r="V683" s="2" t="b">
        <f t="shared" si="107"/>
        <v>0</v>
      </c>
      <c r="W683" s="2" t="b">
        <f t="shared" si="108"/>
        <v>0</v>
      </c>
      <c r="X683" s="2" t="b">
        <f t="shared" si="109"/>
        <v>0</v>
      </c>
    </row>
    <row r="684" spans="1:24" ht="10.5" customHeight="1">
      <c r="A684" s="2" t="s">
        <v>1021</v>
      </c>
      <c r="B684" s="3">
        <v>45785.764814814807</v>
      </c>
      <c r="C684" s="2" t="s">
        <v>695</v>
      </c>
      <c r="D684" s="2" t="s">
        <v>179</v>
      </c>
      <c r="E684" s="2" t="s">
        <v>75</v>
      </c>
      <c r="F684" s="4">
        <v>45000</v>
      </c>
      <c r="G684" s="5">
        <v>1.9</v>
      </c>
      <c r="H684" s="6">
        <v>0</v>
      </c>
      <c r="I684" s="7">
        <f t="shared" si="100"/>
        <v>85500</v>
      </c>
      <c r="J684" s="7">
        <f t="shared" si="101"/>
        <v>0</v>
      </c>
      <c r="K684" s="7">
        <f t="shared" si="102"/>
        <v>85500</v>
      </c>
      <c r="L684" s="4">
        <v>57000</v>
      </c>
      <c r="M684" s="7">
        <f t="shared" si="103"/>
        <v>142500</v>
      </c>
      <c r="N684" s="2" t="s">
        <v>28</v>
      </c>
      <c r="O684" t="s">
        <v>22</v>
      </c>
      <c r="P684" s="2" t="s">
        <v>2368</v>
      </c>
      <c r="Q684" s="2">
        <v>4</v>
      </c>
      <c r="R684" s="2" t="s">
        <v>23</v>
      </c>
      <c r="S684" s="2" t="str">
        <f t="shared" si="104"/>
        <v>Standar</v>
      </c>
      <c r="T684" s="2" t="str">
        <f t="shared" si="105"/>
        <v>FALSE</v>
      </c>
      <c r="U684" s="2" t="str">
        <f t="shared" si="106"/>
        <v>FALSE</v>
      </c>
      <c r="V684" s="2" t="b">
        <f t="shared" si="107"/>
        <v>0</v>
      </c>
      <c r="W684" s="2" t="b">
        <f t="shared" si="108"/>
        <v>0</v>
      </c>
      <c r="X684" s="2" t="b">
        <f t="shared" si="109"/>
        <v>0</v>
      </c>
    </row>
    <row r="685" spans="1:24" ht="10.5" customHeight="1">
      <c r="A685" s="2" t="s">
        <v>1022</v>
      </c>
      <c r="B685" s="3">
        <v>45786.476354166669</v>
      </c>
      <c r="C685" s="2" t="s">
        <v>1023</v>
      </c>
      <c r="D685" s="2" t="s">
        <v>114</v>
      </c>
      <c r="E685" s="2" t="s">
        <v>80</v>
      </c>
      <c r="F685" s="4">
        <v>15000</v>
      </c>
      <c r="G685" s="5">
        <v>1.2</v>
      </c>
      <c r="H685" s="6">
        <v>0</v>
      </c>
      <c r="I685" s="7">
        <f t="shared" si="100"/>
        <v>18000</v>
      </c>
      <c r="J685" s="7">
        <f t="shared" si="101"/>
        <v>0</v>
      </c>
      <c r="K685" s="7">
        <f t="shared" si="102"/>
        <v>18000</v>
      </c>
      <c r="L685" s="4">
        <v>78000</v>
      </c>
      <c r="M685" s="7">
        <f t="shared" si="103"/>
        <v>96000</v>
      </c>
      <c r="N685" s="2" t="s">
        <v>33</v>
      </c>
      <c r="O685" t="s">
        <v>22</v>
      </c>
      <c r="P685" s="2" t="s">
        <v>2365</v>
      </c>
      <c r="Q685" s="2">
        <v>3</v>
      </c>
      <c r="R685" s="2" t="s">
        <v>23</v>
      </c>
      <c r="S685" s="2" t="str">
        <f t="shared" si="104"/>
        <v>Rendah</v>
      </c>
      <c r="T685" s="2" t="str">
        <f t="shared" si="105"/>
        <v>TRUE</v>
      </c>
      <c r="U685" s="2" t="str">
        <f t="shared" si="106"/>
        <v>FALSE</v>
      </c>
      <c r="V685" s="2" t="b">
        <f t="shared" si="107"/>
        <v>0</v>
      </c>
      <c r="W685" s="2" t="b">
        <f t="shared" si="108"/>
        <v>0</v>
      </c>
      <c r="X685" s="2" t="b">
        <f t="shared" si="109"/>
        <v>0</v>
      </c>
    </row>
    <row r="686" spans="1:24" ht="10.5" customHeight="1">
      <c r="A686" s="2" t="s">
        <v>1024</v>
      </c>
      <c r="B686" s="3">
        <v>45786.535543981481</v>
      </c>
      <c r="C686" s="2" t="s">
        <v>1025</v>
      </c>
      <c r="D686" s="2" t="s">
        <v>61</v>
      </c>
      <c r="E686" s="2" t="s">
        <v>32</v>
      </c>
      <c r="F686" s="4">
        <v>20000</v>
      </c>
      <c r="G686" s="5">
        <v>2.5</v>
      </c>
      <c r="H686" s="6">
        <v>0</v>
      </c>
      <c r="I686" s="7">
        <f t="shared" si="100"/>
        <v>50000</v>
      </c>
      <c r="J686" s="7">
        <f t="shared" si="101"/>
        <v>0</v>
      </c>
      <c r="K686" s="7">
        <f t="shared" si="102"/>
        <v>50000</v>
      </c>
      <c r="L686" s="4">
        <v>59000</v>
      </c>
      <c r="M686" s="7">
        <f t="shared" si="103"/>
        <v>109000</v>
      </c>
      <c r="N686" s="2" t="s">
        <v>28</v>
      </c>
      <c r="O686" t="s">
        <v>22</v>
      </c>
      <c r="P686" s="2" t="s">
        <v>2365</v>
      </c>
      <c r="Q686" s="2">
        <v>4</v>
      </c>
      <c r="R686" s="2" t="s">
        <v>23</v>
      </c>
      <c r="S686" s="2" t="str">
        <f t="shared" si="104"/>
        <v>Standar</v>
      </c>
      <c r="T686" s="2" t="str">
        <f t="shared" si="105"/>
        <v>FALSE</v>
      </c>
      <c r="U686" s="2" t="str">
        <f t="shared" si="106"/>
        <v>FALSE</v>
      </c>
      <c r="V686" s="2" t="b">
        <f t="shared" si="107"/>
        <v>0</v>
      </c>
      <c r="W686" s="2" t="b">
        <f t="shared" si="108"/>
        <v>0</v>
      </c>
      <c r="X686" s="2" t="b">
        <f t="shared" si="109"/>
        <v>0</v>
      </c>
    </row>
    <row r="687" spans="1:24" ht="10.5" customHeight="1">
      <c r="A687" s="2" t="s">
        <v>1024</v>
      </c>
      <c r="B687" s="3">
        <v>45786.535543981481</v>
      </c>
      <c r="C687" s="2" t="s">
        <v>1025</v>
      </c>
      <c r="D687" s="2" t="s">
        <v>61</v>
      </c>
      <c r="E687" s="2" t="s">
        <v>45</v>
      </c>
      <c r="F687" s="4">
        <v>10500</v>
      </c>
      <c r="G687" s="5">
        <v>2</v>
      </c>
      <c r="H687" s="6">
        <v>0</v>
      </c>
      <c r="I687" s="7">
        <f t="shared" si="100"/>
        <v>21000</v>
      </c>
      <c r="J687" s="7">
        <f t="shared" si="101"/>
        <v>0</v>
      </c>
      <c r="K687" s="7">
        <f t="shared" si="102"/>
        <v>21000</v>
      </c>
      <c r="L687" s="4">
        <v>0</v>
      </c>
      <c r="M687" s="7">
        <f t="shared" si="103"/>
        <v>21000</v>
      </c>
      <c r="N687" s="2" t="s">
        <v>28</v>
      </c>
      <c r="O687" t="s">
        <v>22</v>
      </c>
      <c r="P687" s="2" t="s">
        <v>2365</v>
      </c>
      <c r="Q687" s="2">
        <v>4</v>
      </c>
      <c r="R687" s="2" t="s">
        <v>23</v>
      </c>
      <c r="S687" s="2" t="str">
        <f t="shared" si="104"/>
        <v>Sangat Rendah</v>
      </c>
      <c r="T687" s="2" t="str">
        <f t="shared" si="105"/>
        <v>FALSE</v>
      </c>
      <c r="U687" s="2" t="str">
        <f t="shared" si="106"/>
        <v>FALSE</v>
      </c>
      <c r="V687" s="2" t="b">
        <f t="shared" si="107"/>
        <v>0</v>
      </c>
      <c r="W687" s="2" t="b">
        <f t="shared" si="108"/>
        <v>0</v>
      </c>
      <c r="X687" s="2" t="b">
        <f t="shared" si="109"/>
        <v>1</v>
      </c>
    </row>
    <row r="688" spans="1:24" ht="10.5" customHeight="1">
      <c r="A688" s="2" t="s">
        <v>1026</v>
      </c>
      <c r="B688" s="3">
        <v>45786.652974537043</v>
      </c>
      <c r="C688" s="2" t="s">
        <v>738</v>
      </c>
      <c r="D688" s="2" t="s">
        <v>150</v>
      </c>
      <c r="E688" s="2" t="s">
        <v>35</v>
      </c>
      <c r="F688" s="4">
        <v>13500</v>
      </c>
      <c r="G688" s="5">
        <v>3.1</v>
      </c>
      <c r="H688" s="6">
        <v>0</v>
      </c>
      <c r="I688" s="7">
        <f t="shared" si="100"/>
        <v>41850</v>
      </c>
      <c r="J688" s="7">
        <f t="shared" si="101"/>
        <v>0</v>
      </c>
      <c r="K688" s="7">
        <f t="shared" si="102"/>
        <v>41850</v>
      </c>
      <c r="L688" s="4">
        <v>68000</v>
      </c>
      <c r="M688" s="7">
        <f t="shared" si="103"/>
        <v>109850</v>
      </c>
      <c r="N688" s="2" t="s">
        <v>58</v>
      </c>
      <c r="O688" t="s">
        <v>22</v>
      </c>
      <c r="P688" s="2" t="s">
        <v>2368</v>
      </c>
      <c r="Q688" s="2">
        <v>3</v>
      </c>
      <c r="R688" s="2" t="s">
        <v>23</v>
      </c>
      <c r="S688" s="2" t="str">
        <f t="shared" si="104"/>
        <v>Standar</v>
      </c>
      <c r="T688" s="2" t="str">
        <f t="shared" si="105"/>
        <v>FALSE</v>
      </c>
      <c r="U688" s="2" t="str">
        <f t="shared" si="106"/>
        <v>FALSE</v>
      </c>
      <c r="V688" s="2" t="b">
        <f t="shared" si="107"/>
        <v>0</v>
      </c>
      <c r="W688" s="2" t="b">
        <f t="shared" si="108"/>
        <v>0</v>
      </c>
      <c r="X688" s="2" t="b">
        <f t="shared" si="109"/>
        <v>0</v>
      </c>
    </row>
    <row r="689" spans="1:24" ht="10.5" customHeight="1">
      <c r="A689" s="2" t="s">
        <v>1027</v>
      </c>
      <c r="B689" s="3">
        <v>45786.823229166657</v>
      </c>
      <c r="C689" s="2" t="s">
        <v>1028</v>
      </c>
      <c r="D689" s="2" t="s">
        <v>48</v>
      </c>
      <c r="E689" s="2" t="s">
        <v>32</v>
      </c>
      <c r="F689" s="4">
        <v>20000</v>
      </c>
      <c r="G689" s="5">
        <v>2.1</v>
      </c>
      <c r="H689" s="6">
        <v>0</v>
      </c>
      <c r="I689" s="7">
        <f t="shared" si="100"/>
        <v>42000</v>
      </c>
      <c r="J689" s="7">
        <f t="shared" si="101"/>
        <v>0</v>
      </c>
      <c r="K689" s="7">
        <f t="shared" si="102"/>
        <v>42000</v>
      </c>
      <c r="L689" s="4">
        <v>18000</v>
      </c>
      <c r="M689" s="7">
        <f t="shared" si="103"/>
        <v>60000</v>
      </c>
      <c r="N689" s="2" t="s">
        <v>28</v>
      </c>
      <c r="O689" t="s">
        <v>22</v>
      </c>
      <c r="P689" s="2" t="s">
        <v>2370</v>
      </c>
      <c r="Q689" s="2">
        <v>3</v>
      </c>
      <c r="R689" s="2" t="s">
        <v>23</v>
      </c>
      <c r="S689" s="2" t="str">
        <f t="shared" si="104"/>
        <v>Rendah</v>
      </c>
      <c r="T689" s="2" t="str">
        <f t="shared" si="105"/>
        <v>FALSE</v>
      </c>
      <c r="U689" s="2" t="str">
        <f t="shared" si="106"/>
        <v>FALSE</v>
      </c>
      <c r="V689" s="2" t="b">
        <f t="shared" si="107"/>
        <v>0</v>
      </c>
      <c r="W689" s="2" t="b">
        <f t="shared" si="108"/>
        <v>0</v>
      </c>
      <c r="X689" s="2" t="b">
        <f t="shared" si="109"/>
        <v>0</v>
      </c>
    </row>
    <row r="690" spans="1:24" ht="10.5" customHeight="1">
      <c r="A690" s="2" t="s">
        <v>1029</v>
      </c>
      <c r="B690" s="3">
        <v>45787.664722222216</v>
      </c>
      <c r="C690" s="2" t="s">
        <v>1030</v>
      </c>
      <c r="D690" s="2" t="s">
        <v>56</v>
      </c>
      <c r="E690" s="2" t="s">
        <v>65</v>
      </c>
      <c r="F690" s="4">
        <v>46000</v>
      </c>
      <c r="G690" s="5">
        <v>1</v>
      </c>
      <c r="H690" s="6">
        <v>0</v>
      </c>
      <c r="I690" s="7">
        <f t="shared" si="100"/>
        <v>46000</v>
      </c>
      <c r="J690" s="7">
        <f t="shared" si="101"/>
        <v>0</v>
      </c>
      <c r="K690" s="7">
        <f t="shared" si="102"/>
        <v>46000</v>
      </c>
      <c r="L690" s="4">
        <v>26000</v>
      </c>
      <c r="M690" s="7">
        <f t="shared" si="103"/>
        <v>72000</v>
      </c>
      <c r="N690" s="2" t="s">
        <v>28</v>
      </c>
      <c r="O690" t="s">
        <v>22</v>
      </c>
      <c r="P690" s="2" t="s">
        <v>2366</v>
      </c>
      <c r="Q690" s="2">
        <v>1</v>
      </c>
      <c r="R690" s="2" t="s">
        <v>23</v>
      </c>
      <c r="S690" s="2" t="str">
        <f t="shared" si="104"/>
        <v>Rendah</v>
      </c>
      <c r="T690" s="2" t="str">
        <f t="shared" si="105"/>
        <v>FALSE</v>
      </c>
      <c r="U690" s="2" t="str">
        <f t="shared" si="106"/>
        <v>FALSE</v>
      </c>
      <c r="V690" s="2" t="b">
        <f t="shared" si="107"/>
        <v>0</v>
      </c>
      <c r="W690" s="2" t="b">
        <f t="shared" si="108"/>
        <v>0</v>
      </c>
      <c r="X690" s="2" t="b">
        <f t="shared" si="109"/>
        <v>0</v>
      </c>
    </row>
    <row r="691" spans="1:24" ht="10.5" customHeight="1">
      <c r="A691" s="2" t="s">
        <v>1031</v>
      </c>
      <c r="B691" s="3">
        <v>45788.281238425923</v>
      </c>
      <c r="C691" s="2" t="s">
        <v>51</v>
      </c>
      <c r="D691" s="2" t="s">
        <v>52</v>
      </c>
      <c r="E691" s="2" t="s">
        <v>53</v>
      </c>
      <c r="F691" s="4">
        <v>14000</v>
      </c>
      <c r="G691" s="5">
        <v>0.9</v>
      </c>
      <c r="H691" s="6">
        <v>0</v>
      </c>
      <c r="I691" s="7">
        <f t="shared" si="100"/>
        <v>12600</v>
      </c>
      <c r="J691" s="7">
        <f t="shared" si="101"/>
        <v>0</v>
      </c>
      <c r="K691" s="7">
        <f t="shared" si="102"/>
        <v>12600</v>
      </c>
      <c r="L691" s="4">
        <v>80000</v>
      </c>
      <c r="M691" s="7">
        <f t="shared" si="103"/>
        <v>92600</v>
      </c>
      <c r="N691" s="2" t="s">
        <v>28</v>
      </c>
      <c r="O691" t="s">
        <v>22</v>
      </c>
      <c r="P691" s="2" t="s">
        <v>2367</v>
      </c>
      <c r="Q691" s="2">
        <v>4</v>
      </c>
      <c r="R691" s="2" t="s">
        <v>23</v>
      </c>
      <c r="S691" s="2" t="str">
        <f t="shared" si="104"/>
        <v>Rendah</v>
      </c>
      <c r="T691" s="2" t="str">
        <f t="shared" si="105"/>
        <v>FALSE</v>
      </c>
      <c r="U691" s="2" t="str">
        <f t="shared" si="106"/>
        <v>FALSE</v>
      </c>
      <c r="V691" s="2" t="b">
        <f t="shared" si="107"/>
        <v>0</v>
      </c>
      <c r="W691" s="2" t="b">
        <f t="shared" si="108"/>
        <v>1</v>
      </c>
      <c r="X691" s="2" t="b">
        <f t="shared" si="109"/>
        <v>0</v>
      </c>
    </row>
    <row r="692" spans="1:24" ht="10.5" customHeight="1">
      <c r="A692" s="2" t="s">
        <v>1032</v>
      </c>
      <c r="B692" s="3">
        <v>45788.386747685188</v>
      </c>
      <c r="C692" s="2" t="s">
        <v>890</v>
      </c>
      <c r="D692" s="2" t="s">
        <v>26</v>
      </c>
      <c r="E692" s="2" t="s">
        <v>99</v>
      </c>
      <c r="F692" s="4">
        <v>10000</v>
      </c>
      <c r="G692" s="5">
        <v>0.8</v>
      </c>
      <c r="H692" s="6">
        <v>0</v>
      </c>
      <c r="I692" s="7">
        <f t="shared" si="100"/>
        <v>8000</v>
      </c>
      <c r="J692" s="7">
        <f t="shared" si="101"/>
        <v>0</v>
      </c>
      <c r="K692" s="7">
        <f t="shared" si="102"/>
        <v>8000</v>
      </c>
      <c r="L692" s="4">
        <v>17000</v>
      </c>
      <c r="M692" s="7">
        <f t="shared" si="103"/>
        <v>25000</v>
      </c>
      <c r="N692" s="2" t="s">
        <v>58</v>
      </c>
      <c r="O692" t="s">
        <v>22</v>
      </c>
      <c r="P692" s="2" t="s">
        <v>2370</v>
      </c>
      <c r="Q692" s="2">
        <v>4</v>
      </c>
      <c r="R692" s="2" t="s">
        <v>23</v>
      </c>
      <c r="S692" s="2" t="str">
        <f t="shared" si="104"/>
        <v>Sangat Rendah</v>
      </c>
      <c r="T692" s="2" t="str">
        <f t="shared" si="105"/>
        <v>FALSE</v>
      </c>
      <c r="U692" s="2" t="str">
        <f t="shared" si="106"/>
        <v>FALSE</v>
      </c>
      <c r="V692" s="2" t="b">
        <f t="shared" si="107"/>
        <v>0</v>
      </c>
      <c r="W692" s="2" t="b">
        <f t="shared" si="108"/>
        <v>0</v>
      </c>
      <c r="X692" s="2" t="b">
        <f t="shared" si="109"/>
        <v>1</v>
      </c>
    </row>
    <row r="693" spans="1:24" ht="10.5" customHeight="1">
      <c r="A693" s="2" t="s">
        <v>1033</v>
      </c>
      <c r="B693" s="3">
        <v>45788.452060185176</v>
      </c>
      <c r="C693" s="2" t="s">
        <v>522</v>
      </c>
      <c r="D693" s="2" t="s">
        <v>252</v>
      </c>
      <c r="E693" s="2" t="s">
        <v>75</v>
      </c>
      <c r="F693" s="4">
        <v>45000</v>
      </c>
      <c r="G693" s="5">
        <v>1.1000000000000001</v>
      </c>
      <c r="H693" s="6">
        <v>0</v>
      </c>
      <c r="I693" s="7">
        <f t="shared" si="100"/>
        <v>49500.000000000007</v>
      </c>
      <c r="J693" s="7">
        <f t="shared" si="101"/>
        <v>0</v>
      </c>
      <c r="K693" s="7">
        <f t="shared" si="102"/>
        <v>49500.000000000007</v>
      </c>
      <c r="L693" s="4">
        <v>18000</v>
      </c>
      <c r="M693" s="7">
        <f t="shared" si="103"/>
        <v>67500</v>
      </c>
      <c r="N693" s="2" t="s">
        <v>28</v>
      </c>
      <c r="O693" t="s">
        <v>22</v>
      </c>
      <c r="P693" s="2" t="s">
        <v>2366</v>
      </c>
      <c r="Q693" s="2">
        <v>3</v>
      </c>
      <c r="R693" s="2" t="s">
        <v>23</v>
      </c>
      <c r="S693" s="2" t="str">
        <f t="shared" si="104"/>
        <v>Rendah</v>
      </c>
      <c r="T693" s="2" t="str">
        <f t="shared" si="105"/>
        <v>FALSE</v>
      </c>
      <c r="U693" s="2" t="str">
        <f t="shared" si="106"/>
        <v>FALSE</v>
      </c>
      <c r="V693" s="2" t="b">
        <f t="shared" si="107"/>
        <v>0</v>
      </c>
      <c r="W693" s="2" t="b">
        <f t="shared" si="108"/>
        <v>0</v>
      </c>
      <c r="X693" s="2" t="b">
        <f t="shared" si="109"/>
        <v>0</v>
      </c>
    </row>
    <row r="694" spans="1:24" ht="10.5" customHeight="1">
      <c r="A694" s="2" t="s">
        <v>1033</v>
      </c>
      <c r="B694" s="3">
        <v>45788.452060185176</v>
      </c>
      <c r="C694" s="2" t="s">
        <v>522</v>
      </c>
      <c r="D694" s="2" t="s">
        <v>252</v>
      </c>
      <c r="E694" s="2" t="s">
        <v>80</v>
      </c>
      <c r="F694" s="4">
        <v>15000</v>
      </c>
      <c r="G694" s="5">
        <v>1.1000000000000001</v>
      </c>
      <c r="H694" s="6">
        <v>0</v>
      </c>
      <c r="I694" s="7">
        <f t="shared" si="100"/>
        <v>16500</v>
      </c>
      <c r="J694" s="7">
        <f t="shared" si="101"/>
        <v>0</v>
      </c>
      <c r="K694" s="7">
        <f t="shared" si="102"/>
        <v>16500</v>
      </c>
      <c r="L694" s="4">
        <v>0</v>
      </c>
      <c r="M694" s="7">
        <f t="shared" si="103"/>
        <v>16500</v>
      </c>
      <c r="N694" s="2" t="s">
        <v>28</v>
      </c>
      <c r="O694" t="s">
        <v>22</v>
      </c>
      <c r="P694" s="2" t="s">
        <v>2366</v>
      </c>
      <c r="Q694" s="2">
        <v>3</v>
      </c>
      <c r="R694" s="2" t="s">
        <v>23</v>
      </c>
      <c r="S694" s="2" t="str">
        <f t="shared" si="104"/>
        <v>Sangat Rendah</v>
      </c>
      <c r="T694" s="2" t="str">
        <f t="shared" si="105"/>
        <v>FALSE</v>
      </c>
      <c r="U694" s="2" t="str">
        <f t="shared" si="106"/>
        <v>FALSE</v>
      </c>
      <c r="V694" s="2" t="b">
        <f t="shared" si="107"/>
        <v>0</v>
      </c>
      <c r="W694" s="2" t="b">
        <f t="shared" si="108"/>
        <v>0</v>
      </c>
      <c r="X694" s="2" t="b">
        <f t="shared" si="109"/>
        <v>1</v>
      </c>
    </row>
    <row r="695" spans="1:24" ht="10.5" customHeight="1">
      <c r="A695" s="2" t="s">
        <v>1034</v>
      </c>
      <c r="B695" s="3">
        <v>45788.584814814807</v>
      </c>
      <c r="C695" s="2" t="s">
        <v>834</v>
      </c>
      <c r="D695" s="2" t="s">
        <v>111</v>
      </c>
      <c r="E695" s="2" t="s">
        <v>99</v>
      </c>
      <c r="F695" s="4">
        <v>10000</v>
      </c>
      <c r="G695" s="5">
        <v>0.4</v>
      </c>
      <c r="H695" s="6">
        <v>0</v>
      </c>
      <c r="I695" s="7">
        <f t="shared" si="100"/>
        <v>4000</v>
      </c>
      <c r="J695" s="7">
        <f t="shared" si="101"/>
        <v>0</v>
      </c>
      <c r="K695" s="7">
        <f t="shared" si="102"/>
        <v>4000</v>
      </c>
      <c r="L695" s="4">
        <v>0</v>
      </c>
      <c r="M695" s="7">
        <f t="shared" si="103"/>
        <v>4000</v>
      </c>
      <c r="N695" s="2" t="s">
        <v>28</v>
      </c>
      <c r="O695" t="s">
        <v>69</v>
      </c>
      <c r="P695" s="2" t="s">
        <v>2367</v>
      </c>
      <c r="Q695" s="2">
        <v>4</v>
      </c>
      <c r="R695" s="2" t="s">
        <v>23</v>
      </c>
      <c r="S695" s="2" t="str">
        <f t="shared" si="104"/>
        <v>Sangat Rendah</v>
      </c>
      <c r="T695" s="2" t="str">
        <f t="shared" si="105"/>
        <v>FALSE</v>
      </c>
      <c r="U695" s="2" t="str">
        <f t="shared" si="106"/>
        <v>FALSE</v>
      </c>
      <c r="V695" s="2" t="b">
        <f t="shared" si="107"/>
        <v>0</v>
      </c>
      <c r="W695" s="2" t="b">
        <f t="shared" si="108"/>
        <v>1</v>
      </c>
      <c r="X695" s="2" t="b">
        <f t="shared" si="109"/>
        <v>1</v>
      </c>
    </row>
    <row r="696" spans="1:24" ht="10.5" customHeight="1">
      <c r="A696" s="2" t="s">
        <v>1035</v>
      </c>
      <c r="B696" s="3">
        <v>45792.595046296286</v>
      </c>
      <c r="C696" s="2" t="s">
        <v>447</v>
      </c>
      <c r="D696" s="2" t="s">
        <v>74</v>
      </c>
      <c r="E696" s="2" t="s">
        <v>49</v>
      </c>
      <c r="F696" s="4">
        <v>26000</v>
      </c>
      <c r="G696" s="5">
        <v>1</v>
      </c>
      <c r="H696" s="6">
        <v>0</v>
      </c>
      <c r="I696" s="7">
        <f t="shared" si="100"/>
        <v>26000</v>
      </c>
      <c r="J696" s="7">
        <f t="shared" si="101"/>
        <v>0</v>
      </c>
      <c r="K696" s="7">
        <f t="shared" si="102"/>
        <v>26000</v>
      </c>
      <c r="L696" s="4">
        <v>74000</v>
      </c>
      <c r="M696" s="7">
        <f t="shared" si="103"/>
        <v>100000</v>
      </c>
      <c r="N696" s="2" t="s">
        <v>21</v>
      </c>
      <c r="O696" t="s">
        <v>22</v>
      </c>
      <c r="P696" s="2" t="s">
        <v>2367</v>
      </c>
      <c r="Q696" s="2">
        <v>1</v>
      </c>
      <c r="R696" s="2" t="s">
        <v>23</v>
      </c>
      <c r="S696" s="2" t="str">
        <f t="shared" si="104"/>
        <v>Rendah</v>
      </c>
      <c r="T696" s="2" t="str">
        <f t="shared" si="105"/>
        <v>FALSE</v>
      </c>
      <c r="U696" s="2" t="str">
        <f t="shared" si="106"/>
        <v>FALSE</v>
      </c>
      <c r="V696" s="2" t="b">
        <f t="shared" si="107"/>
        <v>0</v>
      </c>
      <c r="W696" s="2" t="b">
        <f t="shared" si="108"/>
        <v>1</v>
      </c>
      <c r="X696" s="2" t="b">
        <f t="shared" si="109"/>
        <v>0</v>
      </c>
    </row>
    <row r="697" spans="1:24" ht="10.5" customHeight="1">
      <c r="A697" s="2" t="s">
        <v>1036</v>
      </c>
      <c r="B697" s="3">
        <v>45792.864652777767</v>
      </c>
      <c r="C697" s="2" t="s">
        <v>1037</v>
      </c>
      <c r="D697" s="2" t="s">
        <v>150</v>
      </c>
      <c r="E697" s="2" t="s">
        <v>20</v>
      </c>
      <c r="F697" s="4">
        <v>10000</v>
      </c>
      <c r="G697" s="5">
        <v>2.2000000000000002</v>
      </c>
      <c r="H697" s="6">
        <v>0</v>
      </c>
      <c r="I697" s="7">
        <f t="shared" si="100"/>
        <v>22000</v>
      </c>
      <c r="J697" s="7">
        <f t="shared" si="101"/>
        <v>0</v>
      </c>
      <c r="K697" s="7">
        <f t="shared" si="102"/>
        <v>22000</v>
      </c>
      <c r="L697" s="4">
        <v>68000</v>
      </c>
      <c r="M697" s="7">
        <f t="shared" si="103"/>
        <v>90000</v>
      </c>
      <c r="N697" s="2" t="s">
        <v>28</v>
      </c>
      <c r="O697" t="s">
        <v>22</v>
      </c>
      <c r="P697" s="2" t="s">
        <v>2370</v>
      </c>
      <c r="Q697" s="2">
        <v>4</v>
      </c>
      <c r="R697" s="2" t="s">
        <v>23</v>
      </c>
      <c r="S697" s="2" t="str">
        <f t="shared" si="104"/>
        <v>Rendah</v>
      </c>
      <c r="T697" s="2" t="str">
        <f t="shared" si="105"/>
        <v>FALSE</v>
      </c>
      <c r="U697" s="2" t="str">
        <f t="shared" si="106"/>
        <v>FALSE</v>
      </c>
      <c r="V697" s="2" t="b">
        <f t="shared" si="107"/>
        <v>0</v>
      </c>
      <c r="W697" s="2" t="b">
        <f t="shared" si="108"/>
        <v>0</v>
      </c>
      <c r="X697" s="2" t="b">
        <f t="shared" si="109"/>
        <v>0</v>
      </c>
    </row>
    <row r="698" spans="1:24" ht="10.5" customHeight="1">
      <c r="A698" s="2" t="s">
        <v>1038</v>
      </c>
      <c r="B698" s="3">
        <v>45793.388298611113</v>
      </c>
      <c r="C698" s="2" t="s">
        <v>494</v>
      </c>
      <c r="D698" s="2" t="s">
        <v>185</v>
      </c>
      <c r="E698" s="2" t="s">
        <v>170</v>
      </c>
      <c r="F698" s="4">
        <v>12000</v>
      </c>
      <c r="G698" s="5">
        <v>1</v>
      </c>
      <c r="H698" s="6">
        <v>0</v>
      </c>
      <c r="I698" s="7">
        <f t="shared" si="100"/>
        <v>12000</v>
      </c>
      <c r="J698" s="7">
        <f t="shared" si="101"/>
        <v>0</v>
      </c>
      <c r="K698" s="7">
        <f t="shared" si="102"/>
        <v>12000</v>
      </c>
      <c r="L698" s="4">
        <v>87000</v>
      </c>
      <c r="M698" s="7">
        <f t="shared" si="103"/>
        <v>99000</v>
      </c>
      <c r="N698" s="2" t="s">
        <v>33</v>
      </c>
      <c r="O698" t="s">
        <v>22</v>
      </c>
      <c r="P698" s="2" t="s">
        <v>2365</v>
      </c>
      <c r="Q698" s="2">
        <v>5</v>
      </c>
      <c r="R698" s="2" t="s">
        <v>23</v>
      </c>
      <c r="S698" s="2" t="str">
        <f t="shared" si="104"/>
        <v>Rendah</v>
      </c>
      <c r="T698" s="2" t="str">
        <f t="shared" si="105"/>
        <v>FALSE</v>
      </c>
      <c r="U698" s="2" t="str">
        <f t="shared" si="106"/>
        <v>FALSE</v>
      </c>
      <c r="V698" s="2" t="b">
        <f t="shared" si="107"/>
        <v>0</v>
      </c>
      <c r="W698" s="2" t="b">
        <f t="shared" si="108"/>
        <v>0</v>
      </c>
      <c r="X698" s="2" t="b">
        <f t="shared" si="109"/>
        <v>0</v>
      </c>
    </row>
    <row r="699" spans="1:24" ht="10.5" customHeight="1">
      <c r="A699" s="2" t="s">
        <v>1039</v>
      </c>
      <c r="B699" s="3">
        <v>45793.599583333344</v>
      </c>
      <c r="C699" s="2" t="s">
        <v>1040</v>
      </c>
      <c r="D699" s="2" t="s">
        <v>84</v>
      </c>
      <c r="E699" s="2" t="s">
        <v>57</v>
      </c>
      <c r="F699" s="4">
        <v>17500</v>
      </c>
      <c r="G699" s="5">
        <v>3.2</v>
      </c>
      <c r="H699" s="6">
        <v>0</v>
      </c>
      <c r="I699" s="7">
        <f t="shared" si="100"/>
        <v>56000</v>
      </c>
      <c r="J699" s="7">
        <f t="shared" si="101"/>
        <v>0</v>
      </c>
      <c r="K699" s="7">
        <f t="shared" si="102"/>
        <v>56000</v>
      </c>
      <c r="L699" s="4">
        <v>30000</v>
      </c>
      <c r="M699" s="7">
        <f t="shared" si="103"/>
        <v>86000</v>
      </c>
      <c r="N699" s="2" t="s">
        <v>21</v>
      </c>
      <c r="O699" t="s">
        <v>22</v>
      </c>
      <c r="P699" s="2" t="s">
        <v>2367</v>
      </c>
      <c r="Q699" s="2">
        <v>5</v>
      </c>
      <c r="R699" s="2" t="s">
        <v>23</v>
      </c>
      <c r="S699" s="2" t="str">
        <f t="shared" si="104"/>
        <v>Rendah</v>
      </c>
      <c r="T699" s="2" t="str">
        <f t="shared" si="105"/>
        <v>FALSE</v>
      </c>
      <c r="U699" s="2" t="str">
        <f t="shared" si="106"/>
        <v>FALSE</v>
      </c>
      <c r="V699" s="2" t="b">
        <f t="shared" si="107"/>
        <v>0</v>
      </c>
      <c r="W699" s="2" t="b">
        <f t="shared" si="108"/>
        <v>1</v>
      </c>
      <c r="X699" s="2" t="b">
        <f t="shared" si="109"/>
        <v>0</v>
      </c>
    </row>
    <row r="700" spans="1:24" ht="10.5" customHeight="1">
      <c r="A700" s="2" t="s">
        <v>1041</v>
      </c>
      <c r="B700" s="3">
        <v>45794.304432870369</v>
      </c>
      <c r="C700" s="2" t="s">
        <v>560</v>
      </c>
      <c r="D700" s="2" t="s">
        <v>74</v>
      </c>
      <c r="E700" s="2" t="s">
        <v>65</v>
      </c>
      <c r="F700" s="4">
        <v>46000</v>
      </c>
      <c r="G700" s="5">
        <v>0.2</v>
      </c>
      <c r="H700" s="6">
        <v>0</v>
      </c>
      <c r="I700" s="7">
        <f t="shared" si="100"/>
        <v>9200</v>
      </c>
      <c r="J700" s="7">
        <f t="shared" si="101"/>
        <v>0</v>
      </c>
      <c r="K700" s="7">
        <f t="shared" si="102"/>
        <v>9200</v>
      </c>
      <c r="L700" s="4">
        <v>74000</v>
      </c>
      <c r="M700" s="7">
        <f t="shared" si="103"/>
        <v>83200</v>
      </c>
      <c r="N700" s="2" t="s">
        <v>21</v>
      </c>
      <c r="O700" t="s">
        <v>22</v>
      </c>
      <c r="P700" s="2" t="s">
        <v>2367</v>
      </c>
      <c r="Q700" s="2">
        <v>2</v>
      </c>
      <c r="R700" s="2" t="s">
        <v>23</v>
      </c>
      <c r="S700" s="2" t="str">
        <f t="shared" si="104"/>
        <v>Rendah</v>
      </c>
      <c r="T700" s="2" t="str">
        <f t="shared" si="105"/>
        <v>FALSE</v>
      </c>
      <c r="U700" s="2" t="str">
        <f t="shared" si="106"/>
        <v>FALSE</v>
      </c>
      <c r="V700" s="2" t="b">
        <f t="shared" si="107"/>
        <v>0</v>
      </c>
      <c r="W700" s="2" t="b">
        <f t="shared" si="108"/>
        <v>1</v>
      </c>
      <c r="X700" s="2" t="b">
        <f t="shared" si="109"/>
        <v>0</v>
      </c>
    </row>
    <row r="701" spans="1:24" ht="10.5" customHeight="1">
      <c r="A701" s="2" t="s">
        <v>1042</v>
      </c>
      <c r="B701" s="3">
        <v>45794.404756944437</v>
      </c>
      <c r="C701" s="2" t="s">
        <v>1043</v>
      </c>
      <c r="D701" s="2" t="s">
        <v>74</v>
      </c>
      <c r="E701" s="2" t="s">
        <v>41</v>
      </c>
      <c r="F701" s="4">
        <v>40000</v>
      </c>
      <c r="G701" s="5">
        <v>0.4</v>
      </c>
      <c r="H701" s="6">
        <v>0</v>
      </c>
      <c r="I701" s="7">
        <f t="shared" si="100"/>
        <v>16000</v>
      </c>
      <c r="J701" s="7">
        <f t="shared" si="101"/>
        <v>0</v>
      </c>
      <c r="K701" s="7">
        <f t="shared" si="102"/>
        <v>16000</v>
      </c>
      <c r="L701" s="4">
        <v>74000</v>
      </c>
      <c r="M701" s="7">
        <f t="shared" si="103"/>
        <v>90000</v>
      </c>
      <c r="N701" s="2" t="s">
        <v>33</v>
      </c>
      <c r="O701" t="s">
        <v>69</v>
      </c>
      <c r="P701" s="2" t="s">
        <v>2367</v>
      </c>
      <c r="Q701" s="2">
        <v>1</v>
      </c>
      <c r="R701" s="2" t="s">
        <v>23</v>
      </c>
      <c r="S701" s="2" t="str">
        <f t="shared" si="104"/>
        <v>Rendah</v>
      </c>
      <c r="T701" s="2" t="str">
        <f t="shared" si="105"/>
        <v>FALSE</v>
      </c>
      <c r="U701" s="2" t="str">
        <f t="shared" si="106"/>
        <v>FALSE</v>
      </c>
      <c r="V701" s="2" t="b">
        <f t="shared" si="107"/>
        <v>0</v>
      </c>
      <c r="W701" s="2" t="b">
        <f t="shared" si="108"/>
        <v>1</v>
      </c>
      <c r="X701" s="2" t="b">
        <f t="shared" si="109"/>
        <v>0</v>
      </c>
    </row>
    <row r="702" spans="1:24" ht="10.5" customHeight="1">
      <c r="A702" s="2" t="s">
        <v>1044</v>
      </c>
      <c r="B702" s="3">
        <v>45794.446030092593</v>
      </c>
      <c r="C702" s="2" t="s">
        <v>1045</v>
      </c>
      <c r="D702" s="2" t="s">
        <v>52</v>
      </c>
      <c r="E702" s="2" t="s">
        <v>35</v>
      </c>
      <c r="F702" s="4">
        <v>13500</v>
      </c>
      <c r="G702" s="5">
        <v>2.2999999999999998</v>
      </c>
      <c r="H702" s="6">
        <v>0</v>
      </c>
      <c r="I702" s="7">
        <f t="shared" si="100"/>
        <v>31049.999999999996</v>
      </c>
      <c r="J702" s="7">
        <f t="shared" si="101"/>
        <v>0</v>
      </c>
      <c r="K702" s="7">
        <f t="shared" si="102"/>
        <v>31049.999999999996</v>
      </c>
      <c r="L702" s="4">
        <v>80000</v>
      </c>
      <c r="M702" s="7">
        <f t="shared" si="103"/>
        <v>111050</v>
      </c>
      <c r="N702" s="2" t="s">
        <v>33</v>
      </c>
      <c r="O702" t="s">
        <v>22</v>
      </c>
      <c r="P702" s="2" t="s">
        <v>2367</v>
      </c>
      <c r="Q702" s="2">
        <v>5</v>
      </c>
      <c r="R702" s="2" t="s">
        <v>23</v>
      </c>
      <c r="S702" s="2" t="str">
        <f t="shared" si="104"/>
        <v>Standar</v>
      </c>
      <c r="T702" s="2" t="str">
        <f t="shared" si="105"/>
        <v>FALSE</v>
      </c>
      <c r="U702" s="2" t="str">
        <f t="shared" si="106"/>
        <v>FALSE</v>
      </c>
      <c r="V702" s="2" t="b">
        <f t="shared" si="107"/>
        <v>0</v>
      </c>
      <c r="W702" s="2" t="b">
        <f t="shared" si="108"/>
        <v>1</v>
      </c>
      <c r="X702" s="2" t="b">
        <f t="shared" si="109"/>
        <v>0</v>
      </c>
    </row>
    <row r="703" spans="1:24" ht="10.5" customHeight="1">
      <c r="A703" s="2" t="s">
        <v>1046</v>
      </c>
      <c r="B703" s="3">
        <v>45794.450532407413</v>
      </c>
      <c r="C703" s="2" t="s">
        <v>51</v>
      </c>
      <c r="D703" s="2" t="s">
        <v>52</v>
      </c>
      <c r="E703" s="2" t="s">
        <v>80</v>
      </c>
      <c r="F703" s="4">
        <v>15000</v>
      </c>
      <c r="G703" s="5">
        <v>1.2</v>
      </c>
      <c r="H703" s="6">
        <v>0</v>
      </c>
      <c r="I703" s="7">
        <f t="shared" si="100"/>
        <v>18000</v>
      </c>
      <c r="J703" s="7">
        <f t="shared" si="101"/>
        <v>0</v>
      </c>
      <c r="K703" s="7">
        <f t="shared" si="102"/>
        <v>18000</v>
      </c>
      <c r="L703" s="4">
        <v>80000</v>
      </c>
      <c r="M703" s="7">
        <f t="shared" si="103"/>
        <v>98000</v>
      </c>
      <c r="N703" s="2" t="s">
        <v>33</v>
      </c>
      <c r="O703" t="s">
        <v>22</v>
      </c>
      <c r="P703" s="2" t="s">
        <v>2368</v>
      </c>
      <c r="Q703" s="2">
        <v>4</v>
      </c>
      <c r="R703" s="2" t="s">
        <v>23</v>
      </c>
      <c r="S703" s="2" t="str">
        <f t="shared" si="104"/>
        <v>Rendah</v>
      </c>
      <c r="T703" s="2" t="str">
        <f t="shared" si="105"/>
        <v>FALSE</v>
      </c>
      <c r="U703" s="2" t="str">
        <f t="shared" si="106"/>
        <v>FALSE</v>
      </c>
      <c r="V703" s="2" t="b">
        <f t="shared" si="107"/>
        <v>0</v>
      </c>
      <c r="W703" s="2" t="b">
        <f t="shared" si="108"/>
        <v>0</v>
      </c>
      <c r="X703" s="2" t="b">
        <f t="shared" si="109"/>
        <v>0</v>
      </c>
    </row>
    <row r="704" spans="1:24" ht="10.5" customHeight="1">
      <c r="A704" s="2" t="s">
        <v>1047</v>
      </c>
      <c r="B704" s="3">
        <v>45795.897951388892</v>
      </c>
      <c r="C704" s="2" t="s">
        <v>628</v>
      </c>
      <c r="D704" s="2" t="s">
        <v>185</v>
      </c>
      <c r="E704" s="2" t="s">
        <v>75</v>
      </c>
      <c r="F704" s="4">
        <v>45000</v>
      </c>
      <c r="G704" s="5">
        <v>0.6</v>
      </c>
      <c r="H704" s="6">
        <v>0</v>
      </c>
      <c r="I704" s="7">
        <f t="shared" si="100"/>
        <v>27000</v>
      </c>
      <c r="J704" s="7">
        <f t="shared" si="101"/>
        <v>0</v>
      </c>
      <c r="K704" s="7">
        <f t="shared" si="102"/>
        <v>27000</v>
      </c>
      <c r="L704" s="4">
        <v>87000</v>
      </c>
      <c r="M704" s="7">
        <f t="shared" si="103"/>
        <v>114000</v>
      </c>
      <c r="N704" s="2" t="s">
        <v>33</v>
      </c>
      <c r="O704" t="s">
        <v>69</v>
      </c>
      <c r="P704" s="2" t="s">
        <v>2367</v>
      </c>
      <c r="Q704" s="2">
        <v>2</v>
      </c>
      <c r="R704" s="2" t="s">
        <v>34</v>
      </c>
      <c r="S704" s="2" t="str">
        <f t="shared" si="104"/>
        <v>Standar</v>
      </c>
      <c r="T704" s="2" t="str">
        <f t="shared" si="105"/>
        <v>FALSE</v>
      </c>
      <c r="U704" s="2" t="str">
        <f t="shared" si="106"/>
        <v>FALSE</v>
      </c>
      <c r="V704" s="2" t="b">
        <f t="shared" si="107"/>
        <v>0</v>
      </c>
      <c r="W704" s="2" t="b">
        <f t="shared" si="108"/>
        <v>1</v>
      </c>
      <c r="X704" s="2" t="b">
        <f t="shared" si="109"/>
        <v>0</v>
      </c>
    </row>
    <row r="705" spans="1:24" ht="10.5" customHeight="1">
      <c r="A705" s="2" t="s">
        <v>1048</v>
      </c>
      <c r="B705" s="3">
        <v>45796.763379629629</v>
      </c>
      <c r="C705" s="2" t="s">
        <v>246</v>
      </c>
      <c r="D705" s="2" t="s">
        <v>98</v>
      </c>
      <c r="E705" s="2" t="s">
        <v>80</v>
      </c>
      <c r="F705" s="4">
        <v>15000</v>
      </c>
      <c r="G705" s="5">
        <v>0.7</v>
      </c>
      <c r="H705" s="6">
        <v>0</v>
      </c>
      <c r="I705" s="7">
        <f t="shared" si="100"/>
        <v>10500</v>
      </c>
      <c r="J705" s="7">
        <f t="shared" si="101"/>
        <v>0</v>
      </c>
      <c r="K705" s="7">
        <f t="shared" si="102"/>
        <v>10500</v>
      </c>
      <c r="L705" s="4">
        <v>97000</v>
      </c>
      <c r="M705" s="7">
        <f t="shared" si="103"/>
        <v>107500</v>
      </c>
      <c r="N705" s="2" t="s">
        <v>33</v>
      </c>
      <c r="O705" t="s">
        <v>69</v>
      </c>
      <c r="P705" s="2" t="s">
        <v>2368</v>
      </c>
      <c r="Q705" s="2">
        <v>4</v>
      </c>
      <c r="R705" s="2" t="s">
        <v>23</v>
      </c>
      <c r="S705" s="2" t="str">
        <f t="shared" si="104"/>
        <v>Standar</v>
      </c>
      <c r="T705" s="2" t="str">
        <f t="shared" si="105"/>
        <v>FALSE</v>
      </c>
      <c r="U705" s="2" t="str">
        <f t="shared" si="106"/>
        <v>FALSE</v>
      </c>
      <c r="V705" s="2" t="b">
        <f t="shared" si="107"/>
        <v>0</v>
      </c>
      <c r="W705" s="2" t="b">
        <f t="shared" si="108"/>
        <v>0</v>
      </c>
      <c r="X705" s="2" t="b">
        <f t="shared" si="109"/>
        <v>0</v>
      </c>
    </row>
    <row r="706" spans="1:24" ht="10.5" customHeight="1">
      <c r="A706" s="2" t="s">
        <v>1049</v>
      </c>
      <c r="B706" s="3">
        <v>45797.419479166667</v>
      </c>
      <c r="C706" s="2" t="s">
        <v>505</v>
      </c>
      <c r="D706" s="2" t="s">
        <v>173</v>
      </c>
      <c r="E706" s="2" t="s">
        <v>182</v>
      </c>
      <c r="F706" s="4">
        <v>11000</v>
      </c>
      <c r="G706" s="5">
        <v>2.2000000000000002</v>
      </c>
      <c r="H706" s="6">
        <v>0</v>
      </c>
      <c r="I706" s="7">
        <f t="shared" si="100"/>
        <v>24200.000000000004</v>
      </c>
      <c r="J706" s="7">
        <f t="shared" si="101"/>
        <v>0</v>
      </c>
      <c r="K706" s="7">
        <f t="shared" si="102"/>
        <v>24200.000000000004</v>
      </c>
      <c r="L706" s="4">
        <v>48000</v>
      </c>
      <c r="M706" s="7">
        <f t="shared" si="103"/>
        <v>72200</v>
      </c>
      <c r="N706" s="2" t="s">
        <v>28</v>
      </c>
      <c r="O706" t="s">
        <v>22</v>
      </c>
      <c r="P706" s="2" t="s">
        <v>2367</v>
      </c>
      <c r="Q706" s="2">
        <v>5</v>
      </c>
      <c r="R706" s="2" t="s">
        <v>23</v>
      </c>
      <c r="S706" s="2" t="str">
        <f t="shared" si="104"/>
        <v>Rendah</v>
      </c>
      <c r="T706" s="2" t="str">
        <f t="shared" si="105"/>
        <v>FALSE</v>
      </c>
      <c r="U706" s="2" t="str">
        <f t="shared" si="106"/>
        <v>FALSE</v>
      </c>
      <c r="V706" s="2" t="b">
        <f t="shared" si="107"/>
        <v>0</v>
      </c>
      <c r="W706" s="2" t="b">
        <f t="shared" si="108"/>
        <v>1</v>
      </c>
      <c r="X706" s="2" t="b">
        <f t="shared" si="109"/>
        <v>0</v>
      </c>
    </row>
    <row r="707" spans="1:24" ht="10.5" customHeight="1">
      <c r="A707" s="2" t="s">
        <v>1050</v>
      </c>
      <c r="B707" s="3">
        <v>45798.024768518517</v>
      </c>
      <c r="C707" s="2" t="s">
        <v>1051</v>
      </c>
      <c r="D707" s="2" t="s">
        <v>40</v>
      </c>
      <c r="E707" s="2" t="s">
        <v>80</v>
      </c>
      <c r="F707" s="4">
        <v>15000</v>
      </c>
      <c r="G707" s="5">
        <v>1.9</v>
      </c>
      <c r="H707" s="6">
        <v>0</v>
      </c>
      <c r="I707" s="7">
        <f t="shared" si="100"/>
        <v>28500</v>
      </c>
      <c r="J707" s="7">
        <f t="shared" si="101"/>
        <v>0</v>
      </c>
      <c r="K707" s="7">
        <f t="shared" si="102"/>
        <v>28500</v>
      </c>
      <c r="L707" s="4">
        <v>93000</v>
      </c>
      <c r="M707" s="7">
        <f t="shared" si="103"/>
        <v>121500</v>
      </c>
      <c r="N707" s="2" t="s">
        <v>21</v>
      </c>
      <c r="O707" t="s">
        <v>22</v>
      </c>
      <c r="P707" s="2" t="s">
        <v>2365</v>
      </c>
      <c r="Q707" s="2">
        <v>1</v>
      </c>
      <c r="R707" s="2" t="s">
        <v>34</v>
      </c>
      <c r="S707" s="2" t="str">
        <f t="shared" si="104"/>
        <v>Standar</v>
      </c>
      <c r="T707" s="2" t="str">
        <f t="shared" si="105"/>
        <v>FALSE</v>
      </c>
      <c r="U707" s="2" t="str">
        <f t="shared" si="106"/>
        <v>FALSE</v>
      </c>
      <c r="V707" s="2" t="b">
        <f t="shared" si="107"/>
        <v>0</v>
      </c>
      <c r="W707" s="2" t="b">
        <f t="shared" si="108"/>
        <v>0</v>
      </c>
      <c r="X707" s="2" t="b">
        <f t="shared" si="109"/>
        <v>0</v>
      </c>
    </row>
    <row r="708" spans="1:24" ht="10.5" customHeight="1">
      <c r="A708" s="2" t="s">
        <v>1052</v>
      </c>
      <c r="B708" s="3">
        <v>45799.116516203707</v>
      </c>
      <c r="C708" s="2" t="s">
        <v>1053</v>
      </c>
      <c r="D708" s="2" t="s">
        <v>87</v>
      </c>
      <c r="E708" s="2" t="s">
        <v>102</v>
      </c>
      <c r="F708" s="4">
        <v>55000</v>
      </c>
      <c r="G708" s="5">
        <v>0.7</v>
      </c>
      <c r="H708" s="6">
        <v>0</v>
      </c>
      <c r="I708" s="7">
        <f t="shared" ref="I708:I771" si="110">F708*G708</f>
        <v>38500</v>
      </c>
      <c r="J708" s="7">
        <f t="shared" ref="J708:J771" si="111">I708*(H708/100)</f>
        <v>0</v>
      </c>
      <c r="K708" s="7">
        <f t="shared" ref="K708:K771" si="112">I708-J708</f>
        <v>38500</v>
      </c>
      <c r="L708" s="4">
        <v>49000</v>
      </c>
      <c r="M708" s="7">
        <f t="shared" ref="M708:M771" si="113">K708+L708</f>
        <v>87500</v>
      </c>
      <c r="N708" s="2" t="s">
        <v>21</v>
      </c>
      <c r="O708" t="s">
        <v>22</v>
      </c>
      <c r="P708" s="2" t="s">
        <v>2367</v>
      </c>
      <c r="Q708" s="2">
        <v>1</v>
      </c>
      <c r="R708" s="2" t="s">
        <v>23</v>
      </c>
      <c r="S708" s="2" t="str">
        <f t="shared" ref="S708:S771" si="114">IF(M708&lt;=50000,"Sangat Rendah",IF(M708&lt;=100000,"Rendah",IF(M708&lt;=150000,"Standar",IF(M708&lt;=200000,"Tinggi","Sangat Tinggi"))))</f>
        <v>Rendah</v>
      </c>
      <c r="T708" s="2" t="str">
        <f t="shared" ref="T708:T771" si="115">IF(AND(S708="Rendah",D708="Yogyakarta"),"TRUE","FALSE")</f>
        <v>FALSE</v>
      </c>
      <c r="U708" s="2" t="str">
        <f t="shared" ref="U708:U771" si="116">IF(OR(S708="Tinggi",E708="Bayam"),"TRUE","FALSE")</f>
        <v>FALSE</v>
      </c>
      <c r="V708" s="2" t="b">
        <f t="shared" ref="V708:V771" si="117">IF(AND(S708="Standar",N708="Transef Bank"),TRUE,FALSE)</f>
        <v>0</v>
      </c>
      <c r="W708" s="2" t="b">
        <f t="shared" ref="W708:W771" si="118">IF(OR(S708="Sangat Tinggi",P708="FoodMart"),TRUE,FALSE)</f>
        <v>1</v>
      </c>
      <c r="X708" s="2" t="b">
        <f t="shared" ref="X708:X771" si="119">IF(AND(S708="Sangat Rendah",R708="Perempuan"),TRUE,FALSE)</f>
        <v>0</v>
      </c>
    </row>
    <row r="709" spans="1:24" ht="10.5" customHeight="1">
      <c r="A709" s="2" t="s">
        <v>1054</v>
      </c>
      <c r="B709" s="3">
        <v>45800.730624999997</v>
      </c>
      <c r="C709" s="2" t="s">
        <v>211</v>
      </c>
      <c r="D709" s="2" t="s">
        <v>48</v>
      </c>
      <c r="E709" s="2" t="s">
        <v>170</v>
      </c>
      <c r="F709" s="4">
        <v>12000</v>
      </c>
      <c r="G709" s="5">
        <v>1.4</v>
      </c>
      <c r="H709" s="6">
        <v>0</v>
      </c>
      <c r="I709" s="7">
        <f t="shared" si="110"/>
        <v>16800</v>
      </c>
      <c r="J709" s="7">
        <f t="shared" si="111"/>
        <v>0</v>
      </c>
      <c r="K709" s="7">
        <f t="shared" si="112"/>
        <v>16800</v>
      </c>
      <c r="L709" s="4">
        <v>18000</v>
      </c>
      <c r="M709" s="7">
        <f t="shared" si="113"/>
        <v>34800</v>
      </c>
      <c r="N709" s="2" t="s">
        <v>58</v>
      </c>
      <c r="O709" t="s">
        <v>22</v>
      </c>
      <c r="P709" s="2" t="s">
        <v>2365</v>
      </c>
      <c r="Q709" s="2">
        <v>1</v>
      </c>
      <c r="R709" s="2" t="s">
        <v>23</v>
      </c>
      <c r="S709" s="2" t="str">
        <f t="shared" si="114"/>
        <v>Sangat Rendah</v>
      </c>
      <c r="T709" s="2" t="str">
        <f t="shared" si="115"/>
        <v>FALSE</v>
      </c>
      <c r="U709" s="2" t="str">
        <f t="shared" si="116"/>
        <v>FALSE</v>
      </c>
      <c r="V709" s="2" t="b">
        <f t="shared" si="117"/>
        <v>0</v>
      </c>
      <c r="W709" s="2" t="b">
        <f t="shared" si="118"/>
        <v>0</v>
      </c>
      <c r="X709" s="2" t="b">
        <f t="shared" si="119"/>
        <v>1</v>
      </c>
    </row>
    <row r="710" spans="1:24" ht="10.5" customHeight="1">
      <c r="A710" s="2" t="s">
        <v>1055</v>
      </c>
      <c r="B710" s="3">
        <v>45801.511712962973</v>
      </c>
      <c r="C710" s="2" t="s">
        <v>1056</v>
      </c>
      <c r="D710" s="2" t="s">
        <v>105</v>
      </c>
      <c r="E710" s="2" t="s">
        <v>45</v>
      </c>
      <c r="F710" s="4">
        <v>10500</v>
      </c>
      <c r="G710" s="5">
        <v>3.8</v>
      </c>
      <c r="H710" s="6">
        <v>0</v>
      </c>
      <c r="I710" s="7">
        <f t="shared" si="110"/>
        <v>39900</v>
      </c>
      <c r="J710" s="7">
        <f t="shared" si="111"/>
        <v>0</v>
      </c>
      <c r="K710" s="7">
        <f t="shared" si="112"/>
        <v>39900</v>
      </c>
      <c r="L710" s="4">
        <v>18000</v>
      </c>
      <c r="M710" s="7">
        <f t="shared" si="113"/>
        <v>57900</v>
      </c>
      <c r="N710" s="2" t="s">
        <v>33</v>
      </c>
      <c r="O710" t="s">
        <v>69</v>
      </c>
      <c r="P710" s="2" t="s">
        <v>2368</v>
      </c>
      <c r="Q710" s="2">
        <v>3</v>
      </c>
      <c r="R710" s="2" t="s">
        <v>23</v>
      </c>
      <c r="S710" s="2" t="str">
        <f t="shared" si="114"/>
        <v>Rendah</v>
      </c>
      <c r="T710" s="2" t="str">
        <f t="shared" si="115"/>
        <v>FALSE</v>
      </c>
      <c r="U710" s="2" t="str">
        <f t="shared" si="116"/>
        <v>FALSE</v>
      </c>
      <c r="V710" s="2" t="b">
        <f t="shared" si="117"/>
        <v>0</v>
      </c>
      <c r="W710" s="2" t="b">
        <f t="shared" si="118"/>
        <v>0</v>
      </c>
      <c r="X710" s="2" t="b">
        <f t="shared" si="119"/>
        <v>0</v>
      </c>
    </row>
    <row r="711" spans="1:24" ht="10.5" customHeight="1">
      <c r="A711" s="2" t="s">
        <v>1057</v>
      </c>
      <c r="B711" s="3">
        <v>45801.721516203703</v>
      </c>
      <c r="C711" s="2" t="s">
        <v>975</v>
      </c>
      <c r="D711" s="2" t="s">
        <v>48</v>
      </c>
      <c r="E711" s="2" t="s">
        <v>20</v>
      </c>
      <c r="F711" s="4">
        <v>10000</v>
      </c>
      <c r="G711" s="5">
        <v>1</v>
      </c>
      <c r="H711" s="6">
        <v>0</v>
      </c>
      <c r="I711" s="7">
        <f t="shared" si="110"/>
        <v>10000</v>
      </c>
      <c r="J711" s="7">
        <f t="shared" si="111"/>
        <v>0</v>
      </c>
      <c r="K711" s="7">
        <f t="shared" si="112"/>
        <v>10000</v>
      </c>
      <c r="L711" s="4">
        <v>18000</v>
      </c>
      <c r="M711" s="7">
        <f t="shared" si="113"/>
        <v>28000</v>
      </c>
      <c r="N711" s="2" t="s">
        <v>28</v>
      </c>
      <c r="O711" t="s">
        <v>22</v>
      </c>
      <c r="P711" s="2" t="s">
        <v>2365</v>
      </c>
      <c r="Q711" s="2">
        <v>3</v>
      </c>
      <c r="R711" s="2" t="s">
        <v>23</v>
      </c>
      <c r="S711" s="2" t="str">
        <f t="shared" si="114"/>
        <v>Sangat Rendah</v>
      </c>
      <c r="T711" s="2" t="str">
        <f t="shared" si="115"/>
        <v>FALSE</v>
      </c>
      <c r="U711" s="2" t="str">
        <f t="shared" si="116"/>
        <v>FALSE</v>
      </c>
      <c r="V711" s="2" t="b">
        <f t="shared" si="117"/>
        <v>0</v>
      </c>
      <c r="W711" s="2" t="b">
        <f t="shared" si="118"/>
        <v>0</v>
      </c>
      <c r="X711" s="2" t="b">
        <f t="shared" si="119"/>
        <v>1</v>
      </c>
    </row>
    <row r="712" spans="1:24" ht="10.5" customHeight="1">
      <c r="A712" s="2" t="s">
        <v>1058</v>
      </c>
      <c r="B712" s="3">
        <v>45802.038958333331</v>
      </c>
      <c r="C712" s="2" t="s">
        <v>1059</v>
      </c>
      <c r="D712" s="2" t="s">
        <v>179</v>
      </c>
      <c r="E712" s="2" t="s">
        <v>95</v>
      </c>
      <c r="F712" s="4">
        <v>9500</v>
      </c>
      <c r="G712" s="5">
        <v>1.4</v>
      </c>
      <c r="H712" s="6">
        <v>5</v>
      </c>
      <c r="I712" s="7">
        <f t="shared" si="110"/>
        <v>13300</v>
      </c>
      <c r="J712" s="7">
        <f t="shared" si="111"/>
        <v>665</v>
      </c>
      <c r="K712" s="7">
        <f t="shared" si="112"/>
        <v>12635</v>
      </c>
      <c r="L712" s="4">
        <v>57000</v>
      </c>
      <c r="M712" s="7">
        <f t="shared" si="113"/>
        <v>69635</v>
      </c>
      <c r="N712" s="2" t="s">
        <v>28</v>
      </c>
      <c r="O712" t="s">
        <v>69</v>
      </c>
      <c r="P712" s="2" t="s">
        <v>2366</v>
      </c>
      <c r="Q712" s="2">
        <v>1</v>
      </c>
      <c r="R712" s="2" t="s">
        <v>23</v>
      </c>
      <c r="S712" s="2" t="str">
        <f t="shared" si="114"/>
        <v>Rendah</v>
      </c>
      <c r="T712" s="2" t="str">
        <f t="shared" si="115"/>
        <v>FALSE</v>
      </c>
      <c r="U712" s="2" t="str">
        <f t="shared" si="116"/>
        <v>FALSE</v>
      </c>
      <c r="V712" s="2" t="b">
        <f t="shared" si="117"/>
        <v>0</v>
      </c>
      <c r="W712" s="2" t="b">
        <f t="shared" si="118"/>
        <v>0</v>
      </c>
      <c r="X712" s="2" t="b">
        <f t="shared" si="119"/>
        <v>0</v>
      </c>
    </row>
    <row r="713" spans="1:24" ht="10.5" customHeight="1">
      <c r="A713" s="2" t="s">
        <v>1060</v>
      </c>
      <c r="B713" s="3">
        <v>45802.136145833327</v>
      </c>
      <c r="C713" s="2" t="s">
        <v>562</v>
      </c>
      <c r="D713" s="2" t="s">
        <v>31</v>
      </c>
      <c r="E713" s="2" t="s">
        <v>32</v>
      </c>
      <c r="F713" s="4">
        <v>20000</v>
      </c>
      <c r="G713" s="5">
        <v>1.5</v>
      </c>
      <c r="H713" s="6">
        <v>5</v>
      </c>
      <c r="I713" s="7">
        <f t="shared" si="110"/>
        <v>30000</v>
      </c>
      <c r="J713" s="7">
        <f t="shared" si="111"/>
        <v>1500</v>
      </c>
      <c r="K713" s="7">
        <f t="shared" si="112"/>
        <v>28500</v>
      </c>
      <c r="L713" s="4">
        <v>76000</v>
      </c>
      <c r="M713" s="7">
        <f t="shared" si="113"/>
        <v>104500</v>
      </c>
      <c r="N713" s="2" t="s">
        <v>58</v>
      </c>
      <c r="O713" t="s">
        <v>22</v>
      </c>
      <c r="P713" s="2" t="s">
        <v>2365</v>
      </c>
      <c r="Q713" s="2">
        <v>5</v>
      </c>
      <c r="R713" s="2" t="s">
        <v>23</v>
      </c>
      <c r="S713" s="2" t="str">
        <f t="shared" si="114"/>
        <v>Standar</v>
      </c>
      <c r="T713" s="2" t="str">
        <f t="shared" si="115"/>
        <v>FALSE</v>
      </c>
      <c r="U713" s="2" t="str">
        <f t="shared" si="116"/>
        <v>FALSE</v>
      </c>
      <c r="V713" s="2" t="b">
        <f t="shared" si="117"/>
        <v>0</v>
      </c>
      <c r="W713" s="2" t="b">
        <f t="shared" si="118"/>
        <v>0</v>
      </c>
      <c r="X713" s="2" t="b">
        <f t="shared" si="119"/>
        <v>0</v>
      </c>
    </row>
    <row r="714" spans="1:24" ht="10.5" customHeight="1">
      <c r="A714" s="2" t="s">
        <v>1061</v>
      </c>
      <c r="B714" s="3">
        <v>45802.339050925933</v>
      </c>
      <c r="C714" s="2" t="s">
        <v>558</v>
      </c>
      <c r="D714" s="2" t="s">
        <v>425</v>
      </c>
      <c r="E714" s="2" t="s">
        <v>182</v>
      </c>
      <c r="F714" s="4">
        <v>11000</v>
      </c>
      <c r="G714" s="5">
        <v>2.8</v>
      </c>
      <c r="H714" s="6">
        <v>5</v>
      </c>
      <c r="I714" s="7">
        <f t="shared" si="110"/>
        <v>30799.999999999996</v>
      </c>
      <c r="J714" s="7">
        <f t="shared" si="111"/>
        <v>1540</v>
      </c>
      <c r="K714" s="7">
        <f t="shared" si="112"/>
        <v>29259.999999999996</v>
      </c>
      <c r="L714" s="4">
        <v>67000</v>
      </c>
      <c r="M714" s="7">
        <f t="shared" si="113"/>
        <v>96260</v>
      </c>
      <c r="N714" s="2" t="s">
        <v>33</v>
      </c>
      <c r="O714" t="s">
        <v>22</v>
      </c>
      <c r="P714" s="2" t="s">
        <v>2366</v>
      </c>
      <c r="Q714" s="2">
        <v>3</v>
      </c>
      <c r="R714" s="2" t="s">
        <v>23</v>
      </c>
      <c r="S714" s="2" t="str">
        <f t="shared" si="114"/>
        <v>Rendah</v>
      </c>
      <c r="T714" s="2" t="str">
        <f t="shared" si="115"/>
        <v>FALSE</v>
      </c>
      <c r="U714" s="2" t="str">
        <f t="shared" si="116"/>
        <v>FALSE</v>
      </c>
      <c r="V714" s="2" t="b">
        <f t="shared" si="117"/>
        <v>0</v>
      </c>
      <c r="W714" s="2" t="b">
        <f t="shared" si="118"/>
        <v>0</v>
      </c>
      <c r="X714" s="2" t="b">
        <f t="shared" si="119"/>
        <v>0</v>
      </c>
    </row>
    <row r="715" spans="1:24" ht="10.5" customHeight="1">
      <c r="A715" s="2" t="s">
        <v>1062</v>
      </c>
      <c r="B715" s="3">
        <v>45802.352013888893</v>
      </c>
      <c r="C715" s="2" t="s">
        <v>1063</v>
      </c>
      <c r="D715" s="2" t="s">
        <v>26</v>
      </c>
      <c r="E715" s="2" t="s">
        <v>41</v>
      </c>
      <c r="F715" s="4">
        <v>40000</v>
      </c>
      <c r="G715" s="5">
        <v>0.7</v>
      </c>
      <c r="H715" s="6">
        <v>5</v>
      </c>
      <c r="I715" s="7">
        <f t="shared" si="110"/>
        <v>28000</v>
      </c>
      <c r="J715" s="7">
        <f t="shared" si="111"/>
        <v>1400</v>
      </c>
      <c r="K715" s="7">
        <f t="shared" si="112"/>
        <v>26600</v>
      </c>
      <c r="L715" s="4">
        <v>17000</v>
      </c>
      <c r="M715" s="7">
        <f t="shared" si="113"/>
        <v>43600</v>
      </c>
      <c r="N715" s="2" t="s">
        <v>28</v>
      </c>
      <c r="O715" t="s">
        <v>22</v>
      </c>
      <c r="P715" s="2" t="s">
        <v>2366</v>
      </c>
      <c r="Q715" s="2">
        <v>1</v>
      </c>
      <c r="R715" s="2" t="s">
        <v>23</v>
      </c>
      <c r="S715" s="2" t="str">
        <f t="shared" si="114"/>
        <v>Sangat Rendah</v>
      </c>
      <c r="T715" s="2" t="str">
        <f t="shared" si="115"/>
        <v>FALSE</v>
      </c>
      <c r="U715" s="2" t="str">
        <f t="shared" si="116"/>
        <v>FALSE</v>
      </c>
      <c r="V715" s="2" t="b">
        <f t="shared" si="117"/>
        <v>0</v>
      </c>
      <c r="W715" s="2" t="b">
        <f t="shared" si="118"/>
        <v>0</v>
      </c>
      <c r="X715" s="2" t="b">
        <f t="shared" si="119"/>
        <v>1</v>
      </c>
    </row>
    <row r="716" spans="1:24" ht="10.5" customHeight="1">
      <c r="A716" s="2" t="s">
        <v>1064</v>
      </c>
      <c r="B716" s="3">
        <v>45802.415231481478</v>
      </c>
      <c r="C716" s="2" t="s">
        <v>798</v>
      </c>
      <c r="D716" s="2" t="s">
        <v>56</v>
      </c>
      <c r="E716" s="2" t="s">
        <v>45</v>
      </c>
      <c r="F716" s="4">
        <v>10500</v>
      </c>
      <c r="G716" s="5">
        <v>2.7</v>
      </c>
      <c r="H716" s="6">
        <v>5</v>
      </c>
      <c r="I716" s="7">
        <f t="shared" si="110"/>
        <v>28350.000000000004</v>
      </c>
      <c r="J716" s="7">
        <f t="shared" si="111"/>
        <v>1417.5000000000002</v>
      </c>
      <c r="K716" s="7">
        <f t="shared" si="112"/>
        <v>26932.500000000004</v>
      </c>
      <c r="L716" s="4">
        <v>26000</v>
      </c>
      <c r="M716" s="7">
        <f t="shared" si="113"/>
        <v>52932.5</v>
      </c>
      <c r="N716" s="2" t="s">
        <v>33</v>
      </c>
      <c r="O716" t="s">
        <v>22</v>
      </c>
      <c r="P716" s="2" t="s">
        <v>2366</v>
      </c>
      <c r="Q716" s="2">
        <v>5</v>
      </c>
      <c r="R716" s="2" t="s">
        <v>23</v>
      </c>
      <c r="S716" s="2" t="str">
        <f t="shared" si="114"/>
        <v>Rendah</v>
      </c>
      <c r="T716" s="2" t="str">
        <f t="shared" si="115"/>
        <v>FALSE</v>
      </c>
      <c r="U716" s="2" t="str">
        <f t="shared" si="116"/>
        <v>FALSE</v>
      </c>
      <c r="V716" s="2" t="b">
        <f t="shared" si="117"/>
        <v>0</v>
      </c>
      <c r="W716" s="2" t="b">
        <f t="shared" si="118"/>
        <v>0</v>
      </c>
      <c r="X716" s="2" t="b">
        <f t="shared" si="119"/>
        <v>0</v>
      </c>
    </row>
    <row r="717" spans="1:24" ht="10.5" customHeight="1">
      <c r="A717" s="2" t="s">
        <v>1065</v>
      </c>
      <c r="B717" s="3">
        <v>45802.486759259264</v>
      </c>
      <c r="C717" s="2" t="s">
        <v>130</v>
      </c>
      <c r="D717" s="2" t="s">
        <v>84</v>
      </c>
      <c r="E717" s="2" t="s">
        <v>45</v>
      </c>
      <c r="F717" s="4">
        <v>10500</v>
      </c>
      <c r="G717" s="5">
        <v>2.9</v>
      </c>
      <c r="H717" s="6">
        <v>5</v>
      </c>
      <c r="I717" s="7">
        <f t="shared" si="110"/>
        <v>30450</v>
      </c>
      <c r="J717" s="7">
        <f t="shared" si="111"/>
        <v>1522.5</v>
      </c>
      <c r="K717" s="7">
        <f t="shared" si="112"/>
        <v>28927.5</v>
      </c>
      <c r="L717" s="4">
        <v>30000</v>
      </c>
      <c r="M717" s="7">
        <f t="shared" si="113"/>
        <v>58927.5</v>
      </c>
      <c r="N717" s="2" t="s">
        <v>58</v>
      </c>
      <c r="O717" t="s">
        <v>22</v>
      </c>
      <c r="P717" s="2" t="s">
        <v>2367</v>
      </c>
      <c r="Q717" s="2">
        <v>1</v>
      </c>
      <c r="R717" s="2" t="s">
        <v>23</v>
      </c>
      <c r="S717" s="2" t="str">
        <f t="shared" si="114"/>
        <v>Rendah</v>
      </c>
      <c r="T717" s="2" t="str">
        <f t="shared" si="115"/>
        <v>FALSE</v>
      </c>
      <c r="U717" s="2" t="str">
        <f t="shared" si="116"/>
        <v>FALSE</v>
      </c>
      <c r="V717" s="2" t="b">
        <f t="shared" si="117"/>
        <v>0</v>
      </c>
      <c r="W717" s="2" t="b">
        <f t="shared" si="118"/>
        <v>1</v>
      </c>
      <c r="X717" s="2" t="b">
        <f t="shared" si="119"/>
        <v>0</v>
      </c>
    </row>
    <row r="718" spans="1:24" ht="10.5" customHeight="1">
      <c r="A718" s="2" t="s">
        <v>1066</v>
      </c>
      <c r="B718" s="3">
        <v>45802.582071759258</v>
      </c>
      <c r="C718" s="2" t="s">
        <v>1023</v>
      </c>
      <c r="D718" s="2" t="s">
        <v>114</v>
      </c>
      <c r="E718" s="2" t="s">
        <v>143</v>
      </c>
      <c r="F718" s="4">
        <v>10000</v>
      </c>
      <c r="G718" s="5">
        <v>1</v>
      </c>
      <c r="H718" s="6">
        <v>5</v>
      </c>
      <c r="I718" s="7">
        <f t="shared" si="110"/>
        <v>10000</v>
      </c>
      <c r="J718" s="7">
        <f t="shared" si="111"/>
        <v>500</v>
      </c>
      <c r="K718" s="7">
        <f t="shared" si="112"/>
        <v>9500</v>
      </c>
      <c r="L718" s="4">
        <v>78000</v>
      </c>
      <c r="M718" s="7">
        <f t="shared" si="113"/>
        <v>87500</v>
      </c>
      <c r="N718" s="2" t="s">
        <v>58</v>
      </c>
      <c r="O718" t="s">
        <v>22</v>
      </c>
      <c r="P718" s="2" t="s">
        <v>2366</v>
      </c>
      <c r="Q718" s="2">
        <v>3</v>
      </c>
      <c r="R718" s="2" t="s">
        <v>23</v>
      </c>
      <c r="S718" s="2" t="str">
        <f t="shared" si="114"/>
        <v>Rendah</v>
      </c>
      <c r="T718" s="2" t="str">
        <f t="shared" si="115"/>
        <v>TRUE</v>
      </c>
      <c r="U718" s="2" t="str">
        <f t="shared" si="116"/>
        <v>TRUE</v>
      </c>
      <c r="V718" s="2" t="b">
        <f t="shared" si="117"/>
        <v>0</v>
      </c>
      <c r="W718" s="2" t="b">
        <f t="shared" si="118"/>
        <v>0</v>
      </c>
      <c r="X718" s="2" t="b">
        <f t="shared" si="119"/>
        <v>0</v>
      </c>
    </row>
    <row r="719" spans="1:24" ht="10.5" customHeight="1">
      <c r="A719" s="2" t="s">
        <v>1067</v>
      </c>
      <c r="B719" s="3">
        <v>45802.588807870372</v>
      </c>
      <c r="C719" s="2" t="s">
        <v>353</v>
      </c>
      <c r="D719" s="2" t="s">
        <v>179</v>
      </c>
      <c r="E719" s="2" t="s">
        <v>41</v>
      </c>
      <c r="F719" s="4">
        <v>40000</v>
      </c>
      <c r="G719" s="5">
        <v>1.9</v>
      </c>
      <c r="H719" s="6">
        <v>5</v>
      </c>
      <c r="I719" s="7">
        <f t="shared" si="110"/>
        <v>76000</v>
      </c>
      <c r="J719" s="7">
        <f t="shared" si="111"/>
        <v>3800</v>
      </c>
      <c r="K719" s="7">
        <f t="shared" si="112"/>
        <v>72200</v>
      </c>
      <c r="L719" s="4">
        <v>57000</v>
      </c>
      <c r="M719" s="7">
        <f t="shared" si="113"/>
        <v>129200</v>
      </c>
      <c r="N719" s="2" t="s">
        <v>58</v>
      </c>
      <c r="O719" t="s">
        <v>22</v>
      </c>
      <c r="P719" s="2" t="s">
        <v>2366</v>
      </c>
      <c r="Q719" s="2">
        <v>4</v>
      </c>
      <c r="R719" s="2" t="s">
        <v>23</v>
      </c>
      <c r="S719" s="2" t="str">
        <f t="shared" si="114"/>
        <v>Standar</v>
      </c>
      <c r="T719" s="2" t="str">
        <f t="shared" si="115"/>
        <v>FALSE</v>
      </c>
      <c r="U719" s="2" t="str">
        <f t="shared" si="116"/>
        <v>FALSE</v>
      </c>
      <c r="V719" s="2" t="b">
        <f t="shared" si="117"/>
        <v>0</v>
      </c>
      <c r="W719" s="2" t="b">
        <f t="shared" si="118"/>
        <v>0</v>
      </c>
      <c r="X719" s="2" t="b">
        <f t="shared" si="119"/>
        <v>0</v>
      </c>
    </row>
    <row r="720" spans="1:24" ht="10.5" customHeight="1">
      <c r="A720" s="2" t="s">
        <v>1068</v>
      </c>
      <c r="B720" s="3">
        <v>45802.618298611109</v>
      </c>
      <c r="C720" s="2" t="s">
        <v>226</v>
      </c>
      <c r="D720" s="2" t="s">
        <v>179</v>
      </c>
      <c r="E720" s="2" t="s">
        <v>41</v>
      </c>
      <c r="F720" s="4">
        <v>40000</v>
      </c>
      <c r="G720" s="5">
        <v>0.6</v>
      </c>
      <c r="H720" s="6">
        <v>5</v>
      </c>
      <c r="I720" s="7">
        <f t="shared" si="110"/>
        <v>24000</v>
      </c>
      <c r="J720" s="7">
        <f t="shared" si="111"/>
        <v>1200</v>
      </c>
      <c r="K720" s="7">
        <f t="shared" si="112"/>
        <v>22800</v>
      </c>
      <c r="L720" s="4">
        <v>57000</v>
      </c>
      <c r="M720" s="7">
        <f t="shared" si="113"/>
        <v>79800</v>
      </c>
      <c r="N720" s="2" t="s">
        <v>21</v>
      </c>
      <c r="O720" t="s">
        <v>22</v>
      </c>
      <c r="P720" s="2" t="s">
        <v>2370</v>
      </c>
      <c r="Q720" s="2">
        <v>3</v>
      </c>
      <c r="R720" s="2" t="s">
        <v>34</v>
      </c>
      <c r="S720" s="2" t="str">
        <f t="shared" si="114"/>
        <v>Rendah</v>
      </c>
      <c r="T720" s="2" t="str">
        <f t="shared" si="115"/>
        <v>FALSE</v>
      </c>
      <c r="U720" s="2" t="str">
        <f t="shared" si="116"/>
        <v>FALSE</v>
      </c>
      <c r="V720" s="2" t="b">
        <f t="shared" si="117"/>
        <v>0</v>
      </c>
      <c r="W720" s="2" t="b">
        <f t="shared" si="118"/>
        <v>0</v>
      </c>
      <c r="X720" s="2" t="b">
        <f t="shared" si="119"/>
        <v>0</v>
      </c>
    </row>
    <row r="721" spans="1:24" ht="10.5" customHeight="1">
      <c r="A721" s="2" t="s">
        <v>1069</v>
      </c>
      <c r="B721" s="3">
        <v>45802.644733796304</v>
      </c>
      <c r="C721" s="2" t="s">
        <v>51</v>
      </c>
      <c r="D721" s="2" t="s">
        <v>52</v>
      </c>
      <c r="E721" s="2" t="s">
        <v>102</v>
      </c>
      <c r="F721" s="4">
        <v>55000</v>
      </c>
      <c r="G721" s="5">
        <v>0.8</v>
      </c>
      <c r="H721" s="6">
        <v>5</v>
      </c>
      <c r="I721" s="7">
        <f t="shared" si="110"/>
        <v>44000</v>
      </c>
      <c r="J721" s="7">
        <f t="shared" si="111"/>
        <v>2200</v>
      </c>
      <c r="K721" s="7">
        <f t="shared" si="112"/>
        <v>41800</v>
      </c>
      <c r="L721" s="4">
        <v>80000</v>
      </c>
      <c r="M721" s="7">
        <f t="shared" si="113"/>
        <v>121800</v>
      </c>
      <c r="N721" s="2" t="s">
        <v>28</v>
      </c>
      <c r="O721" t="s">
        <v>22</v>
      </c>
      <c r="P721" s="2" t="s">
        <v>2366</v>
      </c>
      <c r="Q721" s="2">
        <v>3</v>
      </c>
      <c r="R721" s="2" t="s">
        <v>23</v>
      </c>
      <c r="S721" s="2" t="str">
        <f t="shared" si="114"/>
        <v>Standar</v>
      </c>
      <c r="T721" s="2" t="str">
        <f t="shared" si="115"/>
        <v>FALSE</v>
      </c>
      <c r="U721" s="2" t="str">
        <f t="shared" si="116"/>
        <v>FALSE</v>
      </c>
      <c r="V721" s="2" t="b">
        <f t="shared" si="117"/>
        <v>0</v>
      </c>
      <c r="W721" s="2" t="b">
        <f t="shared" si="118"/>
        <v>0</v>
      </c>
      <c r="X721" s="2" t="b">
        <f t="shared" si="119"/>
        <v>0</v>
      </c>
    </row>
    <row r="722" spans="1:24" ht="10.5" customHeight="1">
      <c r="A722" s="2" t="s">
        <v>1070</v>
      </c>
      <c r="B722" s="3">
        <v>45802.660277777781</v>
      </c>
      <c r="C722" s="2" t="s">
        <v>572</v>
      </c>
      <c r="D722" s="2" t="s">
        <v>425</v>
      </c>
      <c r="E722" s="2" t="s">
        <v>65</v>
      </c>
      <c r="F722" s="4">
        <v>46000</v>
      </c>
      <c r="G722" s="5">
        <v>0.6</v>
      </c>
      <c r="H722" s="6">
        <v>5</v>
      </c>
      <c r="I722" s="7">
        <f t="shared" si="110"/>
        <v>27600</v>
      </c>
      <c r="J722" s="7">
        <f t="shared" si="111"/>
        <v>1380</v>
      </c>
      <c r="K722" s="7">
        <f t="shared" si="112"/>
        <v>26220</v>
      </c>
      <c r="L722" s="4">
        <v>67000</v>
      </c>
      <c r="M722" s="7">
        <f t="shared" si="113"/>
        <v>93220</v>
      </c>
      <c r="N722" s="2" t="s">
        <v>21</v>
      </c>
      <c r="O722" t="s">
        <v>22</v>
      </c>
      <c r="P722" s="2" t="s">
        <v>2366</v>
      </c>
      <c r="Q722" s="2">
        <v>4</v>
      </c>
      <c r="R722" s="2" t="s">
        <v>23</v>
      </c>
      <c r="S722" s="2" t="str">
        <f t="shared" si="114"/>
        <v>Rendah</v>
      </c>
      <c r="T722" s="2" t="str">
        <f t="shared" si="115"/>
        <v>FALSE</v>
      </c>
      <c r="U722" s="2" t="str">
        <f t="shared" si="116"/>
        <v>FALSE</v>
      </c>
      <c r="V722" s="2" t="b">
        <f t="shared" si="117"/>
        <v>0</v>
      </c>
      <c r="W722" s="2" t="b">
        <f t="shared" si="118"/>
        <v>0</v>
      </c>
      <c r="X722" s="2" t="b">
        <f t="shared" si="119"/>
        <v>0</v>
      </c>
    </row>
    <row r="723" spans="1:24" ht="10.5" customHeight="1">
      <c r="A723" s="2" t="s">
        <v>1071</v>
      </c>
      <c r="B723" s="3">
        <v>45802.819351851853</v>
      </c>
      <c r="C723" s="2" t="s">
        <v>184</v>
      </c>
      <c r="D723" s="2" t="s">
        <v>185</v>
      </c>
      <c r="E723" s="2" t="s">
        <v>65</v>
      </c>
      <c r="F723" s="4">
        <v>46000</v>
      </c>
      <c r="G723" s="5">
        <v>1</v>
      </c>
      <c r="H723" s="6">
        <v>5</v>
      </c>
      <c r="I723" s="7">
        <f t="shared" si="110"/>
        <v>46000</v>
      </c>
      <c r="J723" s="7">
        <f t="shared" si="111"/>
        <v>2300</v>
      </c>
      <c r="K723" s="7">
        <f t="shared" si="112"/>
        <v>43700</v>
      </c>
      <c r="L723" s="4">
        <v>87000</v>
      </c>
      <c r="M723" s="7">
        <f t="shared" si="113"/>
        <v>130700</v>
      </c>
      <c r="N723" s="2" t="s">
        <v>28</v>
      </c>
      <c r="O723" t="s">
        <v>22</v>
      </c>
      <c r="P723" s="2" t="s">
        <v>2365</v>
      </c>
      <c r="Q723" s="2">
        <v>5</v>
      </c>
      <c r="R723" s="2" t="s">
        <v>23</v>
      </c>
      <c r="S723" s="2" t="str">
        <f t="shared" si="114"/>
        <v>Standar</v>
      </c>
      <c r="T723" s="2" t="str">
        <f t="shared" si="115"/>
        <v>FALSE</v>
      </c>
      <c r="U723" s="2" t="str">
        <f t="shared" si="116"/>
        <v>FALSE</v>
      </c>
      <c r="V723" s="2" t="b">
        <f t="shared" si="117"/>
        <v>0</v>
      </c>
      <c r="W723" s="2" t="b">
        <f t="shared" si="118"/>
        <v>0</v>
      </c>
      <c r="X723" s="2" t="b">
        <f t="shared" si="119"/>
        <v>0</v>
      </c>
    </row>
    <row r="724" spans="1:24" ht="10.5" customHeight="1">
      <c r="A724" s="2" t="s">
        <v>1072</v>
      </c>
      <c r="B724" s="3">
        <v>45802.865381944437</v>
      </c>
      <c r="C724" s="2" t="s">
        <v>1073</v>
      </c>
      <c r="D724" s="2" t="s">
        <v>160</v>
      </c>
      <c r="E724" s="2" t="s">
        <v>57</v>
      </c>
      <c r="F724" s="4">
        <v>17500</v>
      </c>
      <c r="G724" s="5">
        <v>3.4</v>
      </c>
      <c r="H724" s="6">
        <v>5</v>
      </c>
      <c r="I724" s="7">
        <f t="shared" si="110"/>
        <v>59500</v>
      </c>
      <c r="J724" s="7">
        <f t="shared" si="111"/>
        <v>2975</v>
      </c>
      <c r="K724" s="7">
        <f t="shared" si="112"/>
        <v>56525</v>
      </c>
      <c r="L724" s="4">
        <v>46000</v>
      </c>
      <c r="M724" s="7">
        <f t="shared" si="113"/>
        <v>102525</v>
      </c>
      <c r="N724" s="2" t="s">
        <v>21</v>
      </c>
      <c r="O724" t="s">
        <v>22</v>
      </c>
      <c r="P724" s="2" t="s">
        <v>2370</v>
      </c>
      <c r="Q724" s="2">
        <v>2</v>
      </c>
      <c r="R724" s="2" t="s">
        <v>23</v>
      </c>
      <c r="S724" s="2" t="str">
        <f t="shared" si="114"/>
        <v>Standar</v>
      </c>
      <c r="T724" s="2" t="str">
        <f t="shared" si="115"/>
        <v>FALSE</v>
      </c>
      <c r="U724" s="2" t="str">
        <f t="shared" si="116"/>
        <v>FALSE</v>
      </c>
      <c r="V724" s="2" t="b">
        <f t="shared" si="117"/>
        <v>0</v>
      </c>
      <c r="W724" s="2" t="b">
        <f t="shared" si="118"/>
        <v>0</v>
      </c>
      <c r="X724" s="2" t="b">
        <f t="shared" si="119"/>
        <v>0</v>
      </c>
    </row>
    <row r="725" spans="1:24" ht="10.5" customHeight="1">
      <c r="A725" s="2" t="s">
        <v>1074</v>
      </c>
      <c r="B725" s="3">
        <v>45802.893171296288</v>
      </c>
      <c r="C725" s="2" t="s">
        <v>949</v>
      </c>
      <c r="D725" s="2" t="s">
        <v>173</v>
      </c>
      <c r="E725" s="2" t="s">
        <v>32</v>
      </c>
      <c r="F725" s="4">
        <v>20000</v>
      </c>
      <c r="G725" s="5">
        <v>3</v>
      </c>
      <c r="H725" s="6">
        <v>5</v>
      </c>
      <c r="I725" s="7">
        <f t="shared" si="110"/>
        <v>60000</v>
      </c>
      <c r="J725" s="7">
        <f t="shared" si="111"/>
        <v>3000</v>
      </c>
      <c r="K725" s="7">
        <f t="shared" si="112"/>
        <v>57000</v>
      </c>
      <c r="L725" s="4">
        <v>48000</v>
      </c>
      <c r="M725" s="7">
        <f t="shared" si="113"/>
        <v>105000</v>
      </c>
      <c r="N725" s="2" t="s">
        <v>33</v>
      </c>
      <c r="O725" t="s">
        <v>22</v>
      </c>
      <c r="P725" s="2" t="s">
        <v>2365</v>
      </c>
      <c r="Q725" s="2">
        <v>5</v>
      </c>
      <c r="R725" s="2" t="s">
        <v>23</v>
      </c>
      <c r="S725" s="2" t="str">
        <f t="shared" si="114"/>
        <v>Standar</v>
      </c>
      <c r="T725" s="2" t="str">
        <f t="shared" si="115"/>
        <v>FALSE</v>
      </c>
      <c r="U725" s="2" t="str">
        <f t="shared" si="116"/>
        <v>FALSE</v>
      </c>
      <c r="V725" s="2" t="b">
        <f t="shared" si="117"/>
        <v>0</v>
      </c>
      <c r="W725" s="2" t="b">
        <f t="shared" si="118"/>
        <v>0</v>
      </c>
      <c r="X725" s="2" t="b">
        <f t="shared" si="119"/>
        <v>0</v>
      </c>
    </row>
    <row r="726" spans="1:24" ht="10.5" customHeight="1">
      <c r="A726" s="2" t="s">
        <v>1075</v>
      </c>
      <c r="B726" s="3">
        <v>45802.962650462963</v>
      </c>
      <c r="C726" s="2" t="s">
        <v>398</v>
      </c>
      <c r="D726" s="2" t="s">
        <v>68</v>
      </c>
      <c r="E726" s="2" t="s">
        <v>20</v>
      </c>
      <c r="F726" s="4">
        <v>10000</v>
      </c>
      <c r="G726" s="5">
        <v>2</v>
      </c>
      <c r="H726" s="6">
        <v>5</v>
      </c>
      <c r="I726" s="7">
        <f t="shared" si="110"/>
        <v>20000</v>
      </c>
      <c r="J726" s="7">
        <f t="shared" si="111"/>
        <v>1000</v>
      </c>
      <c r="K726" s="7">
        <f t="shared" si="112"/>
        <v>19000</v>
      </c>
      <c r="L726" s="4">
        <v>87000</v>
      </c>
      <c r="M726" s="7">
        <f t="shared" si="113"/>
        <v>106000</v>
      </c>
      <c r="N726" s="2" t="s">
        <v>21</v>
      </c>
      <c r="O726" t="s">
        <v>22</v>
      </c>
      <c r="P726" s="2" t="s">
        <v>2368</v>
      </c>
      <c r="Q726" s="2">
        <v>3</v>
      </c>
      <c r="R726" s="2" t="s">
        <v>23</v>
      </c>
      <c r="S726" s="2" t="str">
        <f t="shared" si="114"/>
        <v>Standar</v>
      </c>
      <c r="T726" s="2" t="str">
        <f t="shared" si="115"/>
        <v>FALSE</v>
      </c>
      <c r="U726" s="2" t="str">
        <f t="shared" si="116"/>
        <v>FALSE</v>
      </c>
      <c r="V726" s="2" t="b">
        <f t="shared" si="117"/>
        <v>0</v>
      </c>
      <c r="W726" s="2" t="b">
        <f t="shared" si="118"/>
        <v>0</v>
      </c>
      <c r="X726" s="2" t="b">
        <f t="shared" si="119"/>
        <v>0</v>
      </c>
    </row>
    <row r="727" spans="1:24" ht="10.5" customHeight="1">
      <c r="A727" s="2" t="s">
        <v>1076</v>
      </c>
      <c r="B727" s="3">
        <v>45803.427210648151</v>
      </c>
      <c r="C727" s="2" t="s">
        <v>1077</v>
      </c>
      <c r="D727" s="2" t="s">
        <v>133</v>
      </c>
      <c r="E727" s="2" t="s">
        <v>57</v>
      </c>
      <c r="F727" s="4">
        <v>17500</v>
      </c>
      <c r="G727" s="5">
        <v>1.7</v>
      </c>
      <c r="H727" s="6">
        <v>0</v>
      </c>
      <c r="I727" s="7">
        <f t="shared" si="110"/>
        <v>29750</v>
      </c>
      <c r="J727" s="7">
        <f t="shared" si="111"/>
        <v>0</v>
      </c>
      <c r="K727" s="7">
        <f t="shared" si="112"/>
        <v>29750</v>
      </c>
      <c r="L727" s="4">
        <v>50000</v>
      </c>
      <c r="M727" s="7">
        <f t="shared" si="113"/>
        <v>79750</v>
      </c>
      <c r="N727" s="2" t="s">
        <v>28</v>
      </c>
      <c r="O727" t="s">
        <v>22</v>
      </c>
      <c r="P727" s="2" t="s">
        <v>2368</v>
      </c>
      <c r="Q727" s="2">
        <v>5</v>
      </c>
      <c r="R727" s="2" t="s">
        <v>23</v>
      </c>
      <c r="S727" s="2" t="str">
        <f t="shared" si="114"/>
        <v>Rendah</v>
      </c>
      <c r="T727" s="2" t="str">
        <f t="shared" si="115"/>
        <v>FALSE</v>
      </c>
      <c r="U727" s="2" t="str">
        <f t="shared" si="116"/>
        <v>FALSE</v>
      </c>
      <c r="V727" s="2" t="b">
        <f t="shared" si="117"/>
        <v>0</v>
      </c>
      <c r="W727" s="2" t="b">
        <f t="shared" si="118"/>
        <v>0</v>
      </c>
      <c r="X727" s="2" t="b">
        <f t="shared" si="119"/>
        <v>0</v>
      </c>
    </row>
    <row r="728" spans="1:24" ht="10.5" customHeight="1">
      <c r="A728" s="2" t="s">
        <v>1078</v>
      </c>
      <c r="B728" s="3">
        <v>45803.464837962973</v>
      </c>
      <c r="C728" s="2" t="s">
        <v>753</v>
      </c>
      <c r="D728" s="2" t="s">
        <v>68</v>
      </c>
      <c r="E728" s="2" t="s">
        <v>49</v>
      </c>
      <c r="F728" s="4">
        <v>26000</v>
      </c>
      <c r="G728" s="5">
        <v>1.1000000000000001</v>
      </c>
      <c r="H728" s="6">
        <v>0</v>
      </c>
      <c r="I728" s="7">
        <f t="shared" si="110"/>
        <v>28600.000000000004</v>
      </c>
      <c r="J728" s="7">
        <f t="shared" si="111"/>
        <v>0</v>
      </c>
      <c r="K728" s="7">
        <f t="shared" si="112"/>
        <v>28600.000000000004</v>
      </c>
      <c r="L728" s="4">
        <v>87000</v>
      </c>
      <c r="M728" s="7">
        <f t="shared" si="113"/>
        <v>115600</v>
      </c>
      <c r="N728" s="2" t="s">
        <v>58</v>
      </c>
      <c r="O728" t="s">
        <v>22</v>
      </c>
      <c r="P728" s="2" t="s">
        <v>2368</v>
      </c>
      <c r="Q728" s="2">
        <v>4</v>
      </c>
      <c r="R728" s="2" t="s">
        <v>23</v>
      </c>
      <c r="S728" s="2" t="str">
        <f t="shared" si="114"/>
        <v>Standar</v>
      </c>
      <c r="T728" s="2" t="str">
        <f t="shared" si="115"/>
        <v>FALSE</v>
      </c>
      <c r="U728" s="2" t="str">
        <f t="shared" si="116"/>
        <v>FALSE</v>
      </c>
      <c r="V728" s="2" t="b">
        <f t="shared" si="117"/>
        <v>0</v>
      </c>
      <c r="W728" s="2" t="b">
        <f t="shared" si="118"/>
        <v>0</v>
      </c>
      <c r="X728" s="2" t="b">
        <f t="shared" si="119"/>
        <v>0</v>
      </c>
    </row>
    <row r="729" spans="1:24" ht="10.5" customHeight="1">
      <c r="A729" s="2" t="s">
        <v>1079</v>
      </c>
      <c r="B729" s="3">
        <v>45803.516574074078</v>
      </c>
      <c r="C729" s="2" t="s">
        <v>402</v>
      </c>
      <c r="D729" s="2" t="s">
        <v>64</v>
      </c>
      <c r="E729" s="2" t="s">
        <v>190</v>
      </c>
      <c r="F729" s="4">
        <v>15500</v>
      </c>
      <c r="G729" s="5">
        <v>0.4</v>
      </c>
      <c r="H729" s="6">
        <v>0</v>
      </c>
      <c r="I729" s="7">
        <f t="shared" si="110"/>
        <v>6200</v>
      </c>
      <c r="J729" s="7">
        <f t="shared" si="111"/>
        <v>0</v>
      </c>
      <c r="K729" s="7">
        <f t="shared" si="112"/>
        <v>6200</v>
      </c>
      <c r="L729" s="4">
        <v>89000</v>
      </c>
      <c r="M729" s="7">
        <f t="shared" si="113"/>
        <v>95200</v>
      </c>
      <c r="N729" s="2" t="s">
        <v>21</v>
      </c>
      <c r="O729" t="s">
        <v>69</v>
      </c>
      <c r="P729" s="2" t="s">
        <v>2367</v>
      </c>
      <c r="Q729" s="2">
        <v>5</v>
      </c>
      <c r="R729" s="2" t="s">
        <v>23</v>
      </c>
      <c r="S729" s="2" t="str">
        <f t="shared" si="114"/>
        <v>Rendah</v>
      </c>
      <c r="T729" s="2" t="str">
        <f t="shared" si="115"/>
        <v>FALSE</v>
      </c>
      <c r="U729" s="2" t="str">
        <f t="shared" si="116"/>
        <v>FALSE</v>
      </c>
      <c r="V729" s="2" t="b">
        <f t="shared" si="117"/>
        <v>0</v>
      </c>
      <c r="W729" s="2" t="b">
        <f t="shared" si="118"/>
        <v>1</v>
      </c>
      <c r="X729" s="2" t="b">
        <f t="shared" si="119"/>
        <v>0</v>
      </c>
    </row>
    <row r="730" spans="1:24" ht="10.5" customHeight="1">
      <c r="A730" s="2" t="s">
        <v>1080</v>
      </c>
      <c r="B730" s="3">
        <v>45803.606041666673</v>
      </c>
      <c r="C730" s="2" t="s">
        <v>1081</v>
      </c>
      <c r="D730" s="2" t="s">
        <v>150</v>
      </c>
      <c r="E730" s="2" t="s">
        <v>80</v>
      </c>
      <c r="F730" s="4">
        <v>15000</v>
      </c>
      <c r="G730" s="5">
        <v>2.2999999999999998</v>
      </c>
      <c r="H730" s="6">
        <v>0</v>
      </c>
      <c r="I730" s="7">
        <f t="shared" si="110"/>
        <v>34500</v>
      </c>
      <c r="J730" s="7">
        <f t="shared" si="111"/>
        <v>0</v>
      </c>
      <c r="K730" s="7">
        <f t="shared" si="112"/>
        <v>34500</v>
      </c>
      <c r="L730" s="4">
        <v>68000</v>
      </c>
      <c r="M730" s="7">
        <f t="shared" si="113"/>
        <v>102500</v>
      </c>
      <c r="N730" s="2" t="s">
        <v>21</v>
      </c>
      <c r="O730" t="s">
        <v>22</v>
      </c>
      <c r="P730" s="2" t="s">
        <v>2366</v>
      </c>
      <c r="Q730" s="2">
        <v>4</v>
      </c>
      <c r="R730" s="2" t="s">
        <v>34</v>
      </c>
      <c r="S730" s="2" t="str">
        <f t="shared" si="114"/>
        <v>Standar</v>
      </c>
      <c r="T730" s="2" t="str">
        <f t="shared" si="115"/>
        <v>FALSE</v>
      </c>
      <c r="U730" s="2" t="str">
        <f t="shared" si="116"/>
        <v>FALSE</v>
      </c>
      <c r="V730" s="2" t="b">
        <f t="shared" si="117"/>
        <v>0</v>
      </c>
      <c r="W730" s="2" t="b">
        <f t="shared" si="118"/>
        <v>0</v>
      </c>
      <c r="X730" s="2" t="b">
        <f t="shared" si="119"/>
        <v>0</v>
      </c>
    </row>
    <row r="731" spans="1:24" ht="10.5" customHeight="1">
      <c r="A731" s="2" t="s">
        <v>1082</v>
      </c>
      <c r="B731" s="3">
        <v>45803.624039351853</v>
      </c>
      <c r="C731" s="2" t="s">
        <v>586</v>
      </c>
      <c r="D731" s="2" t="s">
        <v>64</v>
      </c>
      <c r="E731" s="2" t="s">
        <v>65</v>
      </c>
      <c r="F731" s="4">
        <v>46000</v>
      </c>
      <c r="G731" s="5">
        <v>1.2</v>
      </c>
      <c r="H731" s="6">
        <v>0</v>
      </c>
      <c r="I731" s="7">
        <f t="shared" si="110"/>
        <v>55200</v>
      </c>
      <c r="J731" s="7">
        <f t="shared" si="111"/>
        <v>0</v>
      </c>
      <c r="K731" s="7">
        <f t="shared" si="112"/>
        <v>55200</v>
      </c>
      <c r="L731" s="4">
        <v>89000</v>
      </c>
      <c r="M731" s="7">
        <f t="shared" si="113"/>
        <v>144200</v>
      </c>
      <c r="N731" s="2" t="s">
        <v>28</v>
      </c>
      <c r="O731" t="s">
        <v>22</v>
      </c>
      <c r="P731" s="2" t="s">
        <v>2366</v>
      </c>
      <c r="Q731" s="2">
        <v>4</v>
      </c>
      <c r="R731" s="2" t="s">
        <v>23</v>
      </c>
      <c r="S731" s="2" t="str">
        <f t="shared" si="114"/>
        <v>Standar</v>
      </c>
      <c r="T731" s="2" t="str">
        <f t="shared" si="115"/>
        <v>FALSE</v>
      </c>
      <c r="U731" s="2" t="str">
        <f t="shared" si="116"/>
        <v>FALSE</v>
      </c>
      <c r="V731" s="2" t="b">
        <f t="shared" si="117"/>
        <v>0</v>
      </c>
      <c r="W731" s="2" t="b">
        <f t="shared" si="118"/>
        <v>0</v>
      </c>
      <c r="X731" s="2" t="b">
        <f t="shared" si="119"/>
        <v>0</v>
      </c>
    </row>
    <row r="732" spans="1:24" ht="10.5" customHeight="1">
      <c r="A732" s="2" t="s">
        <v>1083</v>
      </c>
      <c r="B732" s="3">
        <v>45803.624791666669</v>
      </c>
      <c r="C732" s="2" t="s">
        <v>37</v>
      </c>
      <c r="D732" s="2" t="s">
        <v>26</v>
      </c>
      <c r="E732" s="2" t="s">
        <v>95</v>
      </c>
      <c r="F732" s="4">
        <v>9500</v>
      </c>
      <c r="G732" s="5">
        <v>0.8</v>
      </c>
      <c r="H732" s="6">
        <v>0</v>
      </c>
      <c r="I732" s="7">
        <f t="shared" si="110"/>
        <v>7600</v>
      </c>
      <c r="J732" s="7">
        <f t="shared" si="111"/>
        <v>0</v>
      </c>
      <c r="K732" s="7">
        <f t="shared" si="112"/>
        <v>7600</v>
      </c>
      <c r="L732" s="4">
        <v>17000</v>
      </c>
      <c r="M732" s="7">
        <f t="shared" si="113"/>
        <v>24600</v>
      </c>
      <c r="N732" s="2" t="s">
        <v>28</v>
      </c>
      <c r="O732" t="s">
        <v>22</v>
      </c>
      <c r="P732" s="2" t="s">
        <v>2365</v>
      </c>
      <c r="Q732" s="2">
        <v>4</v>
      </c>
      <c r="R732" s="2" t="s">
        <v>23</v>
      </c>
      <c r="S732" s="2" t="str">
        <f t="shared" si="114"/>
        <v>Sangat Rendah</v>
      </c>
      <c r="T732" s="2" t="str">
        <f t="shared" si="115"/>
        <v>FALSE</v>
      </c>
      <c r="U732" s="2" t="str">
        <f t="shared" si="116"/>
        <v>FALSE</v>
      </c>
      <c r="V732" s="2" t="b">
        <f t="shared" si="117"/>
        <v>0</v>
      </c>
      <c r="W732" s="2" t="b">
        <f t="shared" si="118"/>
        <v>0</v>
      </c>
      <c r="X732" s="2" t="b">
        <f t="shared" si="119"/>
        <v>1</v>
      </c>
    </row>
    <row r="733" spans="1:24" ht="10.5" customHeight="1">
      <c r="A733" s="2" t="s">
        <v>1084</v>
      </c>
      <c r="B733" s="3">
        <v>45803.651759259257</v>
      </c>
      <c r="C733" s="2" t="s">
        <v>1059</v>
      </c>
      <c r="D733" s="2" t="s">
        <v>179</v>
      </c>
      <c r="E733" s="2" t="s">
        <v>95</v>
      </c>
      <c r="F733" s="4">
        <v>9500</v>
      </c>
      <c r="G733" s="5">
        <v>0.4</v>
      </c>
      <c r="H733" s="6">
        <v>0</v>
      </c>
      <c r="I733" s="7">
        <f t="shared" si="110"/>
        <v>3800</v>
      </c>
      <c r="J733" s="7">
        <f t="shared" si="111"/>
        <v>0</v>
      </c>
      <c r="K733" s="7">
        <f t="shared" si="112"/>
        <v>3800</v>
      </c>
      <c r="L733" s="4">
        <v>57000</v>
      </c>
      <c r="M733" s="7">
        <f t="shared" si="113"/>
        <v>60800</v>
      </c>
      <c r="N733" s="2" t="s">
        <v>33</v>
      </c>
      <c r="O733" t="s">
        <v>22</v>
      </c>
      <c r="P733" s="2" t="s">
        <v>2367</v>
      </c>
      <c r="Q733" s="2">
        <v>2</v>
      </c>
      <c r="R733" s="2" t="s">
        <v>23</v>
      </c>
      <c r="S733" s="2" t="str">
        <f t="shared" si="114"/>
        <v>Rendah</v>
      </c>
      <c r="T733" s="2" t="str">
        <f t="shared" si="115"/>
        <v>FALSE</v>
      </c>
      <c r="U733" s="2" t="str">
        <f t="shared" si="116"/>
        <v>FALSE</v>
      </c>
      <c r="V733" s="2" t="b">
        <f t="shared" si="117"/>
        <v>0</v>
      </c>
      <c r="W733" s="2" t="b">
        <f t="shared" si="118"/>
        <v>1</v>
      </c>
      <c r="X733" s="2" t="b">
        <f t="shared" si="119"/>
        <v>0</v>
      </c>
    </row>
    <row r="734" spans="1:24" ht="10.5" customHeight="1">
      <c r="A734" s="2" t="s">
        <v>1085</v>
      </c>
      <c r="B734" s="3">
        <v>45803.694293981483</v>
      </c>
      <c r="C734" s="2" t="s">
        <v>865</v>
      </c>
      <c r="D734" s="2" t="s">
        <v>160</v>
      </c>
      <c r="E734" s="2" t="s">
        <v>20</v>
      </c>
      <c r="F734" s="4">
        <v>10000</v>
      </c>
      <c r="G734" s="5">
        <v>0.9</v>
      </c>
      <c r="H734" s="6">
        <v>0</v>
      </c>
      <c r="I734" s="7">
        <f t="shared" si="110"/>
        <v>9000</v>
      </c>
      <c r="J734" s="7">
        <f t="shared" si="111"/>
        <v>0</v>
      </c>
      <c r="K734" s="7">
        <f t="shared" si="112"/>
        <v>9000</v>
      </c>
      <c r="L734" s="4">
        <v>46000</v>
      </c>
      <c r="M734" s="7">
        <f t="shared" si="113"/>
        <v>55000</v>
      </c>
      <c r="N734" s="2" t="s">
        <v>58</v>
      </c>
      <c r="O734" t="s">
        <v>22</v>
      </c>
      <c r="P734" s="2" t="s">
        <v>2366</v>
      </c>
      <c r="Q734" s="2">
        <v>1</v>
      </c>
      <c r="R734" s="2" t="s">
        <v>23</v>
      </c>
      <c r="S734" s="2" t="str">
        <f t="shared" si="114"/>
        <v>Rendah</v>
      </c>
      <c r="T734" s="2" t="str">
        <f t="shared" si="115"/>
        <v>FALSE</v>
      </c>
      <c r="U734" s="2" t="str">
        <f t="shared" si="116"/>
        <v>FALSE</v>
      </c>
      <c r="V734" s="2" t="b">
        <f t="shared" si="117"/>
        <v>0</v>
      </c>
      <c r="W734" s="2" t="b">
        <f t="shared" si="118"/>
        <v>0</v>
      </c>
      <c r="X734" s="2" t="b">
        <f t="shared" si="119"/>
        <v>0</v>
      </c>
    </row>
    <row r="735" spans="1:24" ht="10.5" customHeight="1">
      <c r="A735" s="2" t="s">
        <v>1086</v>
      </c>
      <c r="B735" s="3">
        <v>45803.743368055562</v>
      </c>
      <c r="C735" s="2" t="s">
        <v>379</v>
      </c>
      <c r="D735" s="2" t="s">
        <v>173</v>
      </c>
      <c r="E735" s="2" t="s">
        <v>20</v>
      </c>
      <c r="F735" s="4">
        <v>10000</v>
      </c>
      <c r="G735" s="5">
        <v>1.6</v>
      </c>
      <c r="H735" s="6">
        <v>0</v>
      </c>
      <c r="I735" s="7">
        <f t="shared" si="110"/>
        <v>16000</v>
      </c>
      <c r="J735" s="7">
        <f t="shared" si="111"/>
        <v>0</v>
      </c>
      <c r="K735" s="7">
        <f t="shared" si="112"/>
        <v>16000</v>
      </c>
      <c r="L735" s="4">
        <v>48000</v>
      </c>
      <c r="M735" s="7">
        <f t="shared" si="113"/>
        <v>64000</v>
      </c>
      <c r="N735" s="2" t="s">
        <v>33</v>
      </c>
      <c r="O735" t="s">
        <v>22</v>
      </c>
      <c r="P735" s="2" t="s">
        <v>2365</v>
      </c>
      <c r="Q735" s="2">
        <v>4</v>
      </c>
      <c r="R735" s="2" t="s">
        <v>23</v>
      </c>
      <c r="S735" s="2" t="str">
        <f t="shared" si="114"/>
        <v>Rendah</v>
      </c>
      <c r="T735" s="2" t="str">
        <f t="shared" si="115"/>
        <v>FALSE</v>
      </c>
      <c r="U735" s="2" t="str">
        <f t="shared" si="116"/>
        <v>FALSE</v>
      </c>
      <c r="V735" s="2" t="b">
        <f t="shared" si="117"/>
        <v>0</v>
      </c>
      <c r="W735" s="2" t="b">
        <f t="shared" si="118"/>
        <v>0</v>
      </c>
      <c r="X735" s="2" t="b">
        <f t="shared" si="119"/>
        <v>0</v>
      </c>
    </row>
    <row r="736" spans="1:24" ht="10.5" customHeight="1">
      <c r="A736" s="2" t="s">
        <v>1087</v>
      </c>
      <c r="B736" s="3">
        <v>45803.796678240738</v>
      </c>
      <c r="C736" s="2" t="s">
        <v>1088</v>
      </c>
      <c r="D736" s="2" t="s">
        <v>118</v>
      </c>
      <c r="E736" s="2" t="s">
        <v>75</v>
      </c>
      <c r="F736" s="4">
        <v>45000</v>
      </c>
      <c r="G736" s="5">
        <v>1.6</v>
      </c>
      <c r="H736" s="6">
        <v>0</v>
      </c>
      <c r="I736" s="7">
        <f t="shared" si="110"/>
        <v>72000</v>
      </c>
      <c r="J736" s="7">
        <f t="shared" si="111"/>
        <v>0</v>
      </c>
      <c r="K736" s="7">
        <f t="shared" si="112"/>
        <v>72000</v>
      </c>
      <c r="L736" s="4">
        <v>84000</v>
      </c>
      <c r="M736" s="7">
        <f t="shared" si="113"/>
        <v>156000</v>
      </c>
      <c r="N736" s="2" t="s">
        <v>21</v>
      </c>
      <c r="O736" t="s">
        <v>22</v>
      </c>
      <c r="P736" s="2" t="s">
        <v>2368</v>
      </c>
      <c r="Q736" s="2">
        <v>2</v>
      </c>
      <c r="R736" s="2" t="s">
        <v>34</v>
      </c>
      <c r="S736" s="2" t="str">
        <f t="shared" si="114"/>
        <v>Tinggi</v>
      </c>
      <c r="T736" s="2" t="str">
        <f t="shared" si="115"/>
        <v>FALSE</v>
      </c>
      <c r="U736" s="2" t="str">
        <f t="shared" si="116"/>
        <v>TRUE</v>
      </c>
      <c r="V736" s="2" t="b">
        <f t="shared" si="117"/>
        <v>0</v>
      </c>
      <c r="W736" s="2" t="b">
        <f t="shared" si="118"/>
        <v>0</v>
      </c>
      <c r="X736" s="2" t="b">
        <f t="shared" si="119"/>
        <v>0</v>
      </c>
    </row>
    <row r="737" spans="1:24" ht="10.5" customHeight="1">
      <c r="A737" s="2" t="s">
        <v>1089</v>
      </c>
      <c r="B737" s="3">
        <v>45803.806319444448</v>
      </c>
      <c r="C737" s="2" t="s">
        <v>330</v>
      </c>
      <c r="D737" s="2" t="s">
        <v>118</v>
      </c>
      <c r="E737" s="2" t="s">
        <v>75</v>
      </c>
      <c r="F737" s="4">
        <v>45000</v>
      </c>
      <c r="G737" s="5">
        <v>0.6</v>
      </c>
      <c r="H737" s="6">
        <v>0</v>
      </c>
      <c r="I737" s="7">
        <f t="shared" si="110"/>
        <v>27000</v>
      </c>
      <c r="J737" s="7">
        <f t="shared" si="111"/>
        <v>0</v>
      </c>
      <c r="K737" s="7">
        <f t="shared" si="112"/>
        <v>27000</v>
      </c>
      <c r="L737" s="4">
        <v>84000</v>
      </c>
      <c r="M737" s="7">
        <f t="shared" si="113"/>
        <v>111000</v>
      </c>
      <c r="N737" s="2" t="s">
        <v>28</v>
      </c>
      <c r="O737" t="s">
        <v>22</v>
      </c>
      <c r="P737" s="2" t="s">
        <v>2367</v>
      </c>
      <c r="Q737" s="2">
        <v>4</v>
      </c>
      <c r="R737" s="2" t="s">
        <v>34</v>
      </c>
      <c r="S737" s="2" t="str">
        <f t="shared" si="114"/>
        <v>Standar</v>
      </c>
      <c r="T737" s="2" t="str">
        <f t="shared" si="115"/>
        <v>FALSE</v>
      </c>
      <c r="U737" s="2" t="str">
        <f t="shared" si="116"/>
        <v>FALSE</v>
      </c>
      <c r="V737" s="2" t="b">
        <f t="shared" si="117"/>
        <v>0</v>
      </c>
      <c r="W737" s="2" t="b">
        <f t="shared" si="118"/>
        <v>1</v>
      </c>
      <c r="X737" s="2" t="b">
        <f t="shared" si="119"/>
        <v>0</v>
      </c>
    </row>
    <row r="738" spans="1:24" ht="10.5" customHeight="1">
      <c r="A738" s="2" t="s">
        <v>1090</v>
      </c>
      <c r="B738" s="3">
        <v>45803.945821759262</v>
      </c>
      <c r="C738" s="2" t="s">
        <v>588</v>
      </c>
      <c r="D738" s="2" t="s">
        <v>56</v>
      </c>
      <c r="E738" s="2" t="s">
        <v>95</v>
      </c>
      <c r="F738" s="4">
        <v>9500</v>
      </c>
      <c r="G738" s="5">
        <v>1.2</v>
      </c>
      <c r="H738" s="6">
        <v>0</v>
      </c>
      <c r="I738" s="7">
        <f t="shared" si="110"/>
        <v>11400</v>
      </c>
      <c r="J738" s="7">
        <f t="shared" si="111"/>
        <v>0</v>
      </c>
      <c r="K738" s="7">
        <f t="shared" si="112"/>
        <v>11400</v>
      </c>
      <c r="L738" s="4">
        <v>26000</v>
      </c>
      <c r="M738" s="7">
        <f t="shared" si="113"/>
        <v>37400</v>
      </c>
      <c r="N738" s="2" t="s">
        <v>28</v>
      </c>
      <c r="O738" t="s">
        <v>22</v>
      </c>
      <c r="P738" s="2" t="s">
        <v>2367</v>
      </c>
      <c r="Q738" s="2">
        <v>1</v>
      </c>
      <c r="R738" s="2" t="s">
        <v>23</v>
      </c>
      <c r="S738" s="2" t="str">
        <f t="shared" si="114"/>
        <v>Sangat Rendah</v>
      </c>
      <c r="T738" s="2" t="str">
        <f t="shared" si="115"/>
        <v>FALSE</v>
      </c>
      <c r="U738" s="2" t="str">
        <f t="shared" si="116"/>
        <v>FALSE</v>
      </c>
      <c r="V738" s="2" t="b">
        <f t="shared" si="117"/>
        <v>0</v>
      </c>
      <c r="W738" s="2" t="b">
        <f t="shared" si="118"/>
        <v>1</v>
      </c>
      <c r="X738" s="2" t="b">
        <f t="shared" si="119"/>
        <v>1</v>
      </c>
    </row>
    <row r="739" spans="1:24" ht="10.5" customHeight="1">
      <c r="A739" s="2" t="s">
        <v>1090</v>
      </c>
      <c r="B739" s="3">
        <v>45803.945821759262</v>
      </c>
      <c r="C739" s="2" t="s">
        <v>588</v>
      </c>
      <c r="D739" s="2" t="s">
        <v>56</v>
      </c>
      <c r="E739" s="2" t="s">
        <v>41</v>
      </c>
      <c r="F739" s="4">
        <v>40000</v>
      </c>
      <c r="G739" s="5">
        <v>0.7</v>
      </c>
      <c r="H739" s="6">
        <v>0</v>
      </c>
      <c r="I739" s="7">
        <f t="shared" si="110"/>
        <v>28000</v>
      </c>
      <c r="J739" s="7">
        <f t="shared" si="111"/>
        <v>0</v>
      </c>
      <c r="K739" s="7">
        <f t="shared" si="112"/>
        <v>28000</v>
      </c>
      <c r="L739" s="4">
        <v>0</v>
      </c>
      <c r="M739" s="7">
        <f t="shared" si="113"/>
        <v>28000</v>
      </c>
      <c r="N739" s="2" t="s">
        <v>28</v>
      </c>
      <c r="O739" t="s">
        <v>22</v>
      </c>
      <c r="P739" s="2" t="s">
        <v>2367</v>
      </c>
      <c r="Q739" s="2">
        <v>1</v>
      </c>
      <c r="R739" s="2" t="s">
        <v>23</v>
      </c>
      <c r="S739" s="2" t="str">
        <f t="shared" si="114"/>
        <v>Sangat Rendah</v>
      </c>
      <c r="T739" s="2" t="str">
        <f t="shared" si="115"/>
        <v>FALSE</v>
      </c>
      <c r="U739" s="2" t="str">
        <f t="shared" si="116"/>
        <v>FALSE</v>
      </c>
      <c r="V739" s="2" t="b">
        <f t="shared" si="117"/>
        <v>0</v>
      </c>
      <c r="W739" s="2" t="b">
        <f t="shared" si="118"/>
        <v>1</v>
      </c>
      <c r="X739" s="2" t="b">
        <f t="shared" si="119"/>
        <v>1</v>
      </c>
    </row>
    <row r="740" spans="1:24" ht="10.5" customHeight="1">
      <c r="A740" s="2" t="s">
        <v>1091</v>
      </c>
      <c r="B740" s="3">
        <v>45804.05605324074</v>
      </c>
      <c r="C740" s="2" t="s">
        <v>47</v>
      </c>
      <c r="D740" s="2" t="s">
        <v>48</v>
      </c>
      <c r="E740" s="2" t="s">
        <v>35</v>
      </c>
      <c r="F740" s="4">
        <v>13500</v>
      </c>
      <c r="G740" s="5">
        <v>2.5</v>
      </c>
      <c r="H740" s="6">
        <v>0</v>
      </c>
      <c r="I740" s="7">
        <f t="shared" si="110"/>
        <v>33750</v>
      </c>
      <c r="J740" s="7">
        <f t="shared" si="111"/>
        <v>0</v>
      </c>
      <c r="K740" s="7">
        <f t="shared" si="112"/>
        <v>33750</v>
      </c>
      <c r="L740" s="4">
        <v>18000</v>
      </c>
      <c r="M740" s="7">
        <f t="shared" si="113"/>
        <v>51750</v>
      </c>
      <c r="N740" s="2" t="s">
        <v>28</v>
      </c>
      <c r="O740" t="s">
        <v>22</v>
      </c>
      <c r="P740" s="2" t="s">
        <v>2368</v>
      </c>
      <c r="Q740" s="2">
        <v>4</v>
      </c>
      <c r="R740" s="2" t="s">
        <v>23</v>
      </c>
      <c r="S740" s="2" t="str">
        <f t="shared" si="114"/>
        <v>Rendah</v>
      </c>
      <c r="T740" s="2" t="str">
        <f t="shared" si="115"/>
        <v>FALSE</v>
      </c>
      <c r="U740" s="2" t="str">
        <f t="shared" si="116"/>
        <v>FALSE</v>
      </c>
      <c r="V740" s="2" t="b">
        <f t="shared" si="117"/>
        <v>0</v>
      </c>
      <c r="W740" s="2" t="b">
        <f t="shared" si="118"/>
        <v>0</v>
      </c>
      <c r="X740" s="2" t="b">
        <f t="shared" si="119"/>
        <v>0</v>
      </c>
    </row>
    <row r="741" spans="1:24" ht="10.5" customHeight="1">
      <c r="A741" s="2" t="s">
        <v>1092</v>
      </c>
      <c r="B741" s="3">
        <v>45804.22315972222</v>
      </c>
      <c r="C741" s="2" t="s">
        <v>628</v>
      </c>
      <c r="D741" s="2" t="s">
        <v>185</v>
      </c>
      <c r="E741" s="2" t="s">
        <v>161</v>
      </c>
      <c r="F741" s="4">
        <v>115000</v>
      </c>
      <c r="G741" s="5">
        <v>0.3</v>
      </c>
      <c r="H741" s="6">
        <v>0</v>
      </c>
      <c r="I741" s="7">
        <f t="shared" si="110"/>
        <v>34500</v>
      </c>
      <c r="J741" s="7">
        <f t="shared" si="111"/>
        <v>0</v>
      </c>
      <c r="K741" s="7">
        <f t="shared" si="112"/>
        <v>34500</v>
      </c>
      <c r="L741" s="4">
        <v>87000</v>
      </c>
      <c r="M741" s="7">
        <f t="shared" si="113"/>
        <v>121500</v>
      </c>
      <c r="N741" s="2" t="s">
        <v>21</v>
      </c>
      <c r="O741" t="s">
        <v>22</v>
      </c>
      <c r="P741" s="2" t="s">
        <v>2370</v>
      </c>
      <c r="Q741" s="2">
        <v>3</v>
      </c>
      <c r="R741" s="2" t="s">
        <v>34</v>
      </c>
      <c r="S741" s="2" t="str">
        <f t="shared" si="114"/>
        <v>Standar</v>
      </c>
      <c r="T741" s="2" t="str">
        <f t="shared" si="115"/>
        <v>FALSE</v>
      </c>
      <c r="U741" s="2" t="str">
        <f t="shared" si="116"/>
        <v>FALSE</v>
      </c>
      <c r="V741" s="2" t="b">
        <f t="shared" si="117"/>
        <v>0</v>
      </c>
      <c r="W741" s="2" t="b">
        <f t="shared" si="118"/>
        <v>0</v>
      </c>
      <c r="X741" s="2" t="b">
        <f t="shared" si="119"/>
        <v>0</v>
      </c>
    </row>
    <row r="742" spans="1:24" ht="10.5" customHeight="1">
      <c r="A742" s="2" t="s">
        <v>1093</v>
      </c>
      <c r="B742" s="3">
        <v>45804.294305555559</v>
      </c>
      <c r="C742" s="2" t="s">
        <v>478</v>
      </c>
      <c r="D742" s="2" t="s">
        <v>44</v>
      </c>
      <c r="E742" s="2" t="s">
        <v>27</v>
      </c>
      <c r="F742" s="4">
        <v>15000</v>
      </c>
      <c r="G742" s="5">
        <v>0.3</v>
      </c>
      <c r="H742" s="6">
        <v>0</v>
      </c>
      <c r="I742" s="7">
        <f t="shared" si="110"/>
        <v>4500</v>
      </c>
      <c r="J742" s="7">
        <f t="shared" si="111"/>
        <v>0</v>
      </c>
      <c r="K742" s="7">
        <f t="shared" si="112"/>
        <v>4500</v>
      </c>
      <c r="L742" s="4">
        <v>43000</v>
      </c>
      <c r="M742" s="7">
        <f t="shared" si="113"/>
        <v>47500</v>
      </c>
      <c r="N742" s="2" t="s">
        <v>33</v>
      </c>
      <c r="O742" t="s">
        <v>22</v>
      </c>
      <c r="P742" s="2" t="s">
        <v>2370</v>
      </c>
      <c r="Q742" s="2">
        <v>4</v>
      </c>
      <c r="R742" s="2" t="s">
        <v>23</v>
      </c>
      <c r="S742" s="2" t="str">
        <f t="shared" si="114"/>
        <v>Sangat Rendah</v>
      </c>
      <c r="T742" s="2" t="str">
        <f t="shared" si="115"/>
        <v>FALSE</v>
      </c>
      <c r="U742" s="2" t="str">
        <f t="shared" si="116"/>
        <v>FALSE</v>
      </c>
      <c r="V742" s="2" t="b">
        <f t="shared" si="117"/>
        <v>0</v>
      </c>
      <c r="W742" s="2" t="b">
        <f t="shared" si="118"/>
        <v>0</v>
      </c>
      <c r="X742" s="2" t="b">
        <f t="shared" si="119"/>
        <v>1</v>
      </c>
    </row>
    <row r="743" spans="1:24" ht="10.5" customHeight="1">
      <c r="A743" s="2" t="s">
        <v>1094</v>
      </c>
      <c r="B743" s="3">
        <v>45804.382592592592</v>
      </c>
      <c r="C743" s="2" t="s">
        <v>639</v>
      </c>
      <c r="D743" s="2" t="s">
        <v>167</v>
      </c>
      <c r="E743" s="2" t="s">
        <v>57</v>
      </c>
      <c r="F743" s="4">
        <v>17500</v>
      </c>
      <c r="G743" s="5">
        <v>2.1</v>
      </c>
      <c r="H743" s="6">
        <v>0</v>
      </c>
      <c r="I743" s="7">
        <f t="shared" si="110"/>
        <v>36750</v>
      </c>
      <c r="J743" s="7">
        <f t="shared" si="111"/>
        <v>0</v>
      </c>
      <c r="K743" s="7">
        <f t="shared" si="112"/>
        <v>36750</v>
      </c>
      <c r="L743" s="4">
        <v>56000</v>
      </c>
      <c r="M743" s="7">
        <f t="shared" si="113"/>
        <v>92750</v>
      </c>
      <c r="N743" s="2" t="s">
        <v>28</v>
      </c>
      <c r="O743" t="s">
        <v>22</v>
      </c>
      <c r="P743" s="2" t="s">
        <v>2367</v>
      </c>
      <c r="Q743" s="2">
        <v>1</v>
      </c>
      <c r="R743" s="2" t="s">
        <v>23</v>
      </c>
      <c r="S743" s="2" t="str">
        <f t="shared" si="114"/>
        <v>Rendah</v>
      </c>
      <c r="T743" s="2" t="str">
        <f t="shared" si="115"/>
        <v>FALSE</v>
      </c>
      <c r="U743" s="2" t="str">
        <f t="shared" si="116"/>
        <v>FALSE</v>
      </c>
      <c r="V743" s="2" t="b">
        <f t="shared" si="117"/>
        <v>0</v>
      </c>
      <c r="W743" s="2" t="b">
        <f t="shared" si="118"/>
        <v>1</v>
      </c>
      <c r="X743" s="2" t="b">
        <f t="shared" si="119"/>
        <v>0</v>
      </c>
    </row>
    <row r="744" spans="1:24" ht="10.5" customHeight="1">
      <c r="A744" s="2" t="s">
        <v>1095</v>
      </c>
      <c r="B744" s="3">
        <v>45804.45553240741</v>
      </c>
      <c r="C744" s="2" t="s">
        <v>1096</v>
      </c>
      <c r="D744" s="2" t="s">
        <v>64</v>
      </c>
      <c r="E744" s="2" t="s">
        <v>75</v>
      </c>
      <c r="F744" s="4">
        <v>45000</v>
      </c>
      <c r="G744" s="5">
        <v>0.7</v>
      </c>
      <c r="H744" s="6">
        <v>0</v>
      </c>
      <c r="I744" s="7">
        <f t="shared" si="110"/>
        <v>31499.999999999996</v>
      </c>
      <c r="J744" s="7">
        <f t="shared" si="111"/>
        <v>0</v>
      </c>
      <c r="K744" s="7">
        <f t="shared" si="112"/>
        <v>31499.999999999996</v>
      </c>
      <c r="L744" s="4">
        <v>89000</v>
      </c>
      <c r="M744" s="7">
        <f t="shared" si="113"/>
        <v>120500</v>
      </c>
      <c r="N744" s="2" t="s">
        <v>58</v>
      </c>
      <c r="O744" t="s">
        <v>115</v>
      </c>
      <c r="P744" s="2" t="s">
        <v>2366</v>
      </c>
      <c r="Q744" s="2">
        <v>1</v>
      </c>
      <c r="R744" s="2" t="s">
        <v>23</v>
      </c>
      <c r="S744" s="2" t="str">
        <f t="shared" si="114"/>
        <v>Standar</v>
      </c>
      <c r="T744" s="2" t="str">
        <f t="shared" si="115"/>
        <v>FALSE</v>
      </c>
      <c r="U744" s="2" t="str">
        <f t="shared" si="116"/>
        <v>FALSE</v>
      </c>
      <c r="V744" s="2" t="b">
        <f t="shared" si="117"/>
        <v>0</v>
      </c>
      <c r="W744" s="2" t="b">
        <f t="shared" si="118"/>
        <v>0</v>
      </c>
      <c r="X744" s="2" t="b">
        <f t="shared" si="119"/>
        <v>0</v>
      </c>
    </row>
    <row r="745" spans="1:24" ht="10.5" customHeight="1">
      <c r="A745" s="2" t="s">
        <v>1097</v>
      </c>
      <c r="B745" s="3">
        <v>45804.476307870369</v>
      </c>
      <c r="C745" s="2" t="s">
        <v>299</v>
      </c>
      <c r="D745" s="2" t="s">
        <v>98</v>
      </c>
      <c r="E745" s="2" t="s">
        <v>80</v>
      </c>
      <c r="F745" s="4">
        <v>15000</v>
      </c>
      <c r="G745" s="5">
        <v>1.3</v>
      </c>
      <c r="H745" s="6">
        <v>0</v>
      </c>
      <c r="I745" s="7">
        <f t="shared" si="110"/>
        <v>19500</v>
      </c>
      <c r="J745" s="7">
        <f t="shared" si="111"/>
        <v>0</v>
      </c>
      <c r="K745" s="7">
        <f t="shared" si="112"/>
        <v>19500</v>
      </c>
      <c r="L745" s="4">
        <v>97000</v>
      </c>
      <c r="M745" s="7">
        <f t="shared" si="113"/>
        <v>116500</v>
      </c>
      <c r="N745" s="2" t="s">
        <v>33</v>
      </c>
      <c r="O745" t="s">
        <v>22</v>
      </c>
      <c r="P745" s="2" t="s">
        <v>2365</v>
      </c>
      <c r="Q745" s="2">
        <v>3</v>
      </c>
      <c r="R745" s="2" t="s">
        <v>34</v>
      </c>
      <c r="S745" s="2" t="str">
        <f t="shared" si="114"/>
        <v>Standar</v>
      </c>
      <c r="T745" s="2" t="str">
        <f t="shared" si="115"/>
        <v>FALSE</v>
      </c>
      <c r="U745" s="2" t="str">
        <f t="shared" si="116"/>
        <v>FALSE</v>
      </c>
      <c r="V745" s="2" t="b">
        <f t="shared" si="117"/>
        <v>0</v>
      </c>
      <c r="W745" s="2" t="b">
        <f t="shared" si="118"/>
        <v>0</v>
      </c>
      <c r="X745" s="2" t="b">
        <f t="shared" si="119"/>
        <v>0</v>
      </c>
    </row>
    <row r="746" spans="1:24" ht="10.5" customHeight="1">
      <c r="A746" s="2" t="s">
        <v>1098</v>
      </c>
      <c r="B746" s="3">
        <v>45804.487164351849</v>
      </c>
      <c r="C746" s="2" t="s">
        <v>659</v>
      </c>
      <c r="D746" s="2" t="s">
        <v>140</v>
      </c>
      <c r="E746" s="2" t="s">
        <v>170</v>
      </c>
      <c r="F746" s="4">
        <v>12000</v>
      </c>
      <c r="G746" s="5">
        <v>0.4</v>
      </c>
      <c r="H746" s="6">
        <v>0</v>
      </c>
      <c r="I746" s="7">
        <f t="shared" si="110"/>
        <v>4800</v>
      </c>
      <c r="J746" s="7">
        <f t="shared" si="111"/>
        <v>0</v>
      </c>
      <c r="K746" s="7">
        <f t="shared" si="112"/>
        <v>4800</v>
      </c>
      <c r="L746" s="4">
        <v>55000</v>
      </c>
      <c r="M746" s="7">
        <f t="shared" si="113"/>
        <v>59800</v>
      </c>
      <c r="N746" s="2" t="s">
        <v>58</v>
      </c>
      <c r="O746" t="s">
        <v>22</v>
      </c>
      <c r="P746" s="2" t="s">
        <v>2367</v>
      </c>
      <c r="Q746" s="2">
        <v>3</v>
      </c>
      <c r="R746" s="2" t="s">
        <v>23</v>
      </c>
      <c r="S746" s="2" t="str">
        <f t="shared" si="114"/>
        <v>Rendah</v>
      </c>
      <c r="T746" s="2" t="str">
        <f t="shared" si="115"/>
        <v>FALSE</v>
      </c>
      <c r="U746" s="2" t="str">
        <f t="shared" si="116"/>
        <v>FALSE</v>
      </c>
      <c r="V746" s="2" t="b">
        <f t="shared" si="117"/>
        <v>0</v>
      </c>
      <c r="W746" s="2" t="b">
        <f t="shared" si="118"/>
        <v>1</v>
      </c>
      <c r="X746" s="2" t="b">
        <f t="shared" si="119"/>
        <v>0</v>
      </c>
    </row>
    <row r="747" spans="1:24" ht="10.5" customHeight="1">
      <c r="A747" s="2" t="s">
        <v>1099</v>
      </c>
      <c r="B747" s="3">
        <v>45804.487870370373</v>
      </c>
      <c r="C747" s="2" t="s">
        <v>117</v>
      </c>
      <c r="D747" s="2" t="s">
        <v>118</v>
      </c>
      <c r="E747" s="2" t="s">
        <v>182</v>
      </c>
      <c r="F747" s="4">
        <v>11000</v>
      </c>
      <c r="G747" s="5">
        <v>1.3</v>
      </c>
      <c r="H747" s="6">
        <v>0</v>
      </c>
      <c r="I747" s="7">
        <f t="shared" si="110"/>
        <v>14300</v>
      </c>
      <c r="J747" s="7">
        <f t="shared" si="111"/>
        <v>0</v>
      </c>
      <c r="K747" s="7">
        <f t="shared" si="112"/>
        <v>14300</v>
      </c>
      <c r="L747" s="4">
        <v>84000</v>
      </c>
      <c r="M747" s="7">
        <f t="shared" si="113"/>
        <v>98300</v>
      </c>
      <c r="N747" s="2" t="s">
        <v>33</v>
      </c>
      <c r="O747" t="s">
        <v>22</v>
      </c>
      <c r="P747" s="2" t="s">
        <v>2367</v>
      </c>
      <c r="Q747" s="2">
        <v>2</v>
      </c>
      <c r="R747" s="2" t="s">
        <v>23</v>
      </c>
      <c r="S747" s="2" t="str">
        <f t="shared" si="114"/>
        <v>Rendah</v>
      </c>
      <c r="T747" s="2" t="str">
        <f t="shared" si="115"/>
        <v>FALSE</v>
      </c>
      <c r="U747" s="2" t="str">
        <f t="shared" si="116"/>
        <v>FALSE</v>
      </c>
      <c r="V747" s="2" t="b">
        <f t="shared" si="117"/>
        <v>0</v>
      </c>
      <c r="W747" s="2" t="b">
        <f t="shared" si="118"/>
        <v>1</v>
      </c>
      <c r="X747" s="2" t="b">
        <f t="shared" si="119"/>
        <v>0</v>
      </c>
    </row>
    <row r="748" spans="1:24" ht="10.5" customHeight="1">
      <c r="A748" s="2" t="s">
        <v>1100</v>
      </c>
      <c r="B748" s="3">
        <v>45804.52008101852</v>
      </c>
      <c r="C748" s="2" t="s">
        <v>1101</v>
      </c>
      <c r="D748" s="2" t="s">
        <v>140</v>
      </c>
      <c r="E748" s="2" t="s">
        <v>75</v>
      </c>
      <c r="F748" s="4">
        <v>45000</v>
      </c>
      <c r="G748" s="5">
        <v>0.6</v>
      </c>
      <c r="H748" s="6">
        <v>0</v>
      </c>
      <c r="I748" s="7">
        <f t="shared" si="110"/>
        <v>27000</v>
      </c>
      <c r="J748" s="7">
        <f t="shared" si="111"/>
        <v>0</v>
      </c>
      <c r="K748" s="7">
        <f t="shared" si="112"/>
        <v>27000</v>
      </c>
      <c r="L748" s="4">
        <v>55000</v>
      </c>
      <c r="M748" s="7">
        <f t="shared" si="113"/>
        <v>82000</v>
      </c>
      <c r="N748" s="2" t="s">
        <v>33</v>
      </c>
      <c r="O748" t="s">
        <v>22</v>
      </c>
      <c r="P748" s="2" t="s">
        <v>2366</v>
      </c>
      <c r="Q748" s="2">
        <v>2</v>
      </c>
      <c r="R748" s="2" t="s">
        <v>34</v>
      </c>
      <c r="S748" s="2" t="str">
        <f t="shared" si="114"/>
        <v>Rendah</v>
      </c>
      <c r="T748" s="2" t="str">
        <f t="shared" si="115"/>
        <v>FALSE</v>
      </c>
      <c r="U748" s="2" t="str">
        <f t="shared" si="116"/>
        <v>FALSE</v>
      </c>
      <c r="V748" s="2" t="b">
        <f t="shared" si="117"/>
        <v>0</v>
      </c>
      <c r="W748" s="2" t="b">
        <f t="shared" si="118"/>
        <v>0</v>
      </c>
      <c r="X748" s="2" t="b">
        <f t="shared" si="119"/>
        <v>0</v>
      </c>
    </row>
    <row r="749" spans="1:24" ht="10.5" customHeight="1">
      <c r="A749" s="2" t="s">
        <v>1102</v>
      </c>
      <c r="B749" s="3">
        <v>45804.521122685182</v>
      </c>
      <c r="C749" s="2" t="s">
        <v>473</v>
      </c>
      <c r="D749" s="2" t="s">
        <v>160</v>
      </c>
      <c r="E749" s="2" t="s">
        <v>75</v>
      </c>
      <c r="F749" s="4">
        <v>45000</v>
      </c>
      <c r="G749" s="5">
        <v>0.7</v>
      </c>
      <c r="H749" s="6">
        <v>0</v>
      </c>
      <c r="I749" s="7">
        <f t="shared" si="110"/>
        <v>31499.999999999996</v>
      </c>
      <c r="J749" s="7">
        <f t="shared" si="111"/>
        <v>0</v>
      </c>
      <c r="K749" s="7">
        <f t="shared" si="112"/>
        <v>31499.999999999996</v>
      </c>
      <c r="L749" s="4">
        <v>46000</v>
      </c>
      <c r="M749" s="7">
        <f t="shared" si="113"/>
        <v>77500</v>
      </c>
      <c r="N749" s="2" t="s">
        <v>21</v>
      </c>
      <c r="O749" t="s">
        <v>115</v>
      </c>
      <c r="P749" s="2" t="s">
        <v>2366</v>
      </c>
      <c r="Q749" s="2">
        <v>2</v>
      </c>
      <c r="R749" s="2" t="s">
        <v>23</v>
      </c>
      <c r="S749" s="2" t="str">
        <f t="shared" si="114"/>
        <v>Rendah</v>
      </c>
      <c r="T749" s="2" t="str">
        <f t="shared" si="115"/>
        <v>FALSE</v>
      </c>
      <c r="U749" s="2" t="str">
        <f t="shared" si="116"/>
        <v>FALSE</v>
      </c>
      <c r="V749" s="2" t="b">
        <f t="shared" si="117"/>
        <v>0</v>
      </c>
      <c r="W749" s="2" t="b">
        <f t="shared" si="118"/>
        <v>0</v>
      </c>
      <c r="X749" s="2" t="b">
        <f t="shared" si="119"/>
        <v>0</v>
      </c>
    </row>
    <row r="750" spans="1:24" ht="10.5" customHeight="1">
      <c r="A750" s="2" t="s">
        <v>1103</v>
      </c>
      <c r="B750" s="3">
        <v>45804.523263888892</v>
      </c>
      <c r="C750" s="2" t="s">
        <v>731</v>
      </c>
      <c r="D750" s="2" t="s">
        <v>179</v>
      </c>
      <c r="E750" s="2" t="s">
        <v>170</v>
      </c>
      <c r="F750" s="4">
        <v>12000</v>
      </c>
      <c r="G750" s="5">
        <v>0.7</v>
      </c>
      <c r="H750" s="6">
        <v>0</v>
      </c>
      <c r="I750" s="7">
        <f t="shared" si="110"/>
        <v>8400</v>
      </c>
      <c r="J750" s="7">
        <f t="shared" si="111"/>
        <v>0</v>
      </c>
      <c r="K750" s="7">
        <f t="shared" si="112"/>
        <v>8400</v>
      </c>
      <c r="L750" s="4">
        <v>57000</v>
      </c>
      <c r="M750" s="7">
        <f t="shared" si="113"/>
        <v>65400</v>
      </c>
      <c r="N750" s="2" t="s">
        <v>21</v>
      </c>
      <c r="O750" t="s">
        <v>22</v>
      </c>
      <c r="P750" s="2" t="s">
        <v>2366</v>
      </c>
      <c r="Q750" s="2">
        <v>3</v>
      </c>
      <c r="R750" s="2" t="s">
        <v>23</v>
      </c>
      <c r="S750" s="2" t="str">
        <f t="shared" si="114"/>
        <v>Rendah</v>
      </c>
      <c r="T750" s="2" t="str">
        <f t="shared" si="115"/>
        <v>FALSE</v>
      </c>
      <c r="U750" s="2" t="str">
        <f t="shared" si="116"/>
        <v>FALSE</v>
      </c>
      <c r="V750" s="2" t="b">
        <f t="shared" si="117"/>
        <v>0</v>
      </c>
      <c r="W750" s="2" t="b">
        <f t="shared" si="118"/>
        <v>0</v>
      </c>
      <c r="X750" s="2" t="b">
        <f t="shared" si="119"/>
        <v>0</v>
      </c>
    </row>
    <row r="751" spans="1:24" ht="10.5" customHeight="1">
      <c r="A751" s="2" t="s">
        <v>1104</v>
      </c>
      <c r="B751" s="3">
        <v>45804.557905092603</v>
      </c>
      <c r="C751" s="2" t="s">
        <v>451</v>
      </c>
      <c r="D751" s="2" t="s">
        <v>84</v>
      </c>
      <c r="E751" s="2" t="s">
        <v>35</v>
      </c>
      <c r="F751" s="4">
        <v>13500</v>
      </c>
      <c r="G751" s="5">
        <v>3.7</v>
      </c>
      <c r="H751" s="6">
        <v>0</v>
      </c>
      <c r="I751" s="7">
        <f t="shared" si="110"/>
        <v>49950</v>
      </c>
      <c r="J751" s="7">
        <f t="shared" si="111"/>
        <v>0</v>
      </c>
      <c r="K751" s="7">
        <f t="shared" si="112"/>
        <v>49950</v>
      </c>
      <c r="L751" s="4">
        <v>30000</v>
      </c>
      <c r="M751" s="7">
        <f t="shared" si="113"/>
        <v>79950</v>
      </c>
      <c r="N751" s="2" t="s">
        <v>28</v>
      </c>
      <c r="O751" t="s">
        <v>22</v>
      </c>
      <c r="P751" s="2" t="s">
        <v>2370</v>
      </c>
      <c r="Q751" s="2">
        <v>3</v>
      </c>
      <c r="R751" s="2" t="s">
        <v>34</v>
      </c>
      <c r="S751" s="2" t="str">
        <f t="shared" si="114"/>
        <v>Rendah</v>
      </c>
      <c r="T751" s="2" t="str">
        <f t="shared" si="115"/>
        <v>FALSE</v>
      </c>
      <c r="U751" s="2" t="str">
        <f t="shared" si="116"/>
        <v>FALSE</v>
      </c>
      <c r="V751" s="2" t="b">
        <f t="shared" si="117"/>
        <v>0</v>
      </c>
      <c r="W751" s="2" t="b">
        <f t="shared" si="118"/>
        <v>0</v>
      </c>
      <c r="X751" s="2" t="b">
        <f t="shared" si="119"/>
        <v>0</v>
      </c>
    </row>
    <row r="752" spans="1:24" ht="10.5" customHeight="1">
      <c r="A752" s="2" t="s">
        <v>1105</v>
      </c>
      <c r="B752" s="3">
        <v>45804.579502314817</v>
      </c>
      <c r="C752" s="2" t="s">
        <v>560</v>
      </c>
      <c r="D752" s="2" t="s">
        <v>74</v>
      </c>
      <c r="E752" s="2" t="s">
        <v>57</v>
      </c>
      <c r="F752" s="4">
        <v>17500</v>
      </c>
      <c r="G752" s="5">
        <v>1.4</v>
      </c>
      <c r="H752" s="6">
        <v>0</v>
      </c>
      <c r="I752" s="7">
        <f t="shared" si="110"/>
        <v>24500</v>
      </c>
      <c r="J752" s="7">
        <f t="shared" si="111"/>
        <v>0</v>
      </c>
      <c r="K752" s="7">
        <f t="shared" si="112"/>
        <v>24500</v>
      </c>
      <c r="L752" s="4">
        <v>74000</v>
      </c>
      <c r="M752" s="7">
        <f t="shared" si="113"/>
        <v>98500</v>
      </c>
      <c r="N752" s="2" t="s">
        <v>28</v>
      </c>
      <c r="O752" t="s">
        <v>22</v>
      </c>
      <c r="P752" s="2" t="s">
        <v>2370</v>
      </c>
      <c r="Q752" s="2">
        <v>2</v>
      </c>
      <c r="R752" s="2" t="s">
        <v>23</v>
      </c>
      <c r="S752" s="2" t="str">
        <f t="shared" si="114"/>
        <v>Rendah</v>
      </c>
      <c r="T752" s="2" t="str">
        <f t="shared" si="115"/>
        <v>FALSE</v>
      </c>
      <c r="U752" s="2" t="str">
        <f t="shared" si="116"/>
        <v>FALSE</v>
      </c>
      <c r="V752" s="2" t="b">
        <f t="shared" si="117"/>
        <v>0</v>
      </c>
      <c r="W752" s="2" t="b">
        <f t="shared" si="118"/>
        <v>0</v>
      </c>
      <c r="X752" s="2" t="b">
        <f t="shared" si="119"/>
        <v>0</v>
      </c>
    </row>
    <row r="753" spans="1:24" ht="10.5" customHeight="1">
      <c r="A753" s="2" t="s">
        <v>1106</v>
      </c>
      <c r="B753" s="3">
        <v>45804.618564814817</v>
      </c>
      <c r="C753" s="2" t="s">
        <v>1107</v>
      </c>
      <c r="D753" s="2" t="s">
        <v>118</v>
      </c>
      <c r="E753" s="2" t="s">
        <v>75</v>
      </c>
      <c r="F753" s="4">
        <v>45000</v>
      </c>
      <c r="G753" s="5">
        <v>1.6</v>
      </c>
      <c r="H753" s="6">
        <v>0</v>
      </c>
      <c r="I753" s="7">
        <f t="shared" si="110"/>
        <v>72000</v>
      </c>
      <c r="J753" s="7">
        <f t="shared" si="111"/>
        <v>0</v>
      </c>
      <c r="K753" s="7">
        <f t="shared" si="112"/>
        <v>72000</v>
      </c>
      <c r="L753" s="4">
        <v>84000</v>
      </c>
      <c r="M753" s="7">
        <f t="shared" si="113"/>
        <v>156000</v>
      </c>
      <c r="N753" s="2" t="s">
        <v>58</v>
      </c>
      <c r="O753" t="s">
        <v>69</v>
      </c>
      <c r="P753" s="2" t="s">
        <v>2368</v>
      </c>
      <c r="Q753" s="2">
        <v>1</v>
      </c>
      <c r="R753" s="2" t="s">
        <v>23</v>
      </c>
      <c r="S753" s="2" t="str">
        <f t="shared" si="114"/>
        <v>Tinggi</v>
      </c>
      <c r="T753" s="2" t="str">
        <f t="shared" si="115"/>
        <v>FALSE</v>
      </c>
      <c r="U753" s="2" t="str">
        <f t="shared" si="116"/>
        <v>TRUE</v>
      </c>
      <c r="V753" s="2" t="b">
        <f t="shared" si="117"/>
        <v>0</v>
      </c>
      <c r="W753" s="2" t="b">
        <f t="shared" si="118"/>
        <v>0</v>
      </c>
      <c r="X753" s="2" t="b">
        <f t="shared" si="119"/>
        <v>0</v>
      </c>
    </row>
    <row r="754" spans="1:24" ht="10.5" customHeight="1">
      <c r="A754" s="2" t="s">
        <v>1108</v>
      </c>
      <c r="B754" s="3">
        <v>45804.626157407409</v>
      </c>
      <c r="C754" s="2" t="s">
        <v>192</v>
      </c>
      <c r="D754" s="2" t="s">
        <v>98</v>
      </c>
      <c r="E754" s="2" t="s">
        <v>182</v>
      </c>
      <c r="F754" s="4">
        <v>11000</v>
      </c>
      <c r="G754" s="5">
        <v>1.3</v>
      </c>
      <c r="H754" s="6">
        <v>0</v>
      </c>
      <c r="I754" s="7">
        <f t="shared" si="110"/>
        <v>14300</v>
      </c>
      <c r="J754" s="7">
        <f t="shared" si="111"/>
        <v>0</v>
      </c>
      <c r="K754" s="7">
        <f t="shared" si="112"/>
        <v>14300</v>
      </c>
      <c r="L754" s="4">
        <v>97000</v>
      </c>
      <c r="M754" s="7">
        <f t="shared" si="113"/>
        <v>111300</v>
      </c>
      <c r="N754" s="2" t="s">
        <v>28</v>
      </c>
      <c r="O754" t="s">
        <v>22</v>
      </c>
      <c r="P754" s="2" t="s">
        <v>2367</v>
      </c>
      <c r="Q754" s="2">
        <v>3</v>
      </c>
      <c r="R754" s="2" t="s">
        <v>23</v>
      </c>
      <c r="S754" s="2" t="str">
        <f t="shared" si="114"/>
        <v>Standar</v>
      </c>
      <c r="T754" s="2" t="str">
        <f t="shared" si="115"/>
        <v>FALSE</v>
      </c>
      <c r="U754" s="2" t="str">
        <f t="shared" si="116"/>
        <v>FALSE</v>
      </c>
      <c r="V754" s="2" t="b">
        <f t="shared" si="117"/>
        <v>0</v>
      </c>
      <c r="W754" s="2" t="b">
        <f t="shared" si="118"/>
        <v>1</v>
      </c>
      <c r="X754" s="2" t="b">
        <f t="shared" si="119"/>
        <v>0</v>
      </c>
    </row>
    <row r="755" spans="1:24" ht="10.5" customHeight="1">
      <c r="A755" s="2" t="s">
        <v>1109</v>
      </c>
      <c r="B755" s="3">
        <v>45804.629432870373</v>
      </c>
      <c r="C755" s="2" t="s">
        <v>1110</v>
      </c>
      <c r="D755" s="2" t="s">
        <v>164</v>
      </c>
      <c r="E755" s="2" t="s">
        <v>170</v>
      </c>
      <c r="F755" s="4">
        <v>12000</v>
      </c>
      <c r="G755" s="5">
        <v>1</v>
      </c>
      <c r="H755" s="6">
        <v>0</v>
      </c>
      <c r="I755" s="7">
        <f t="shared" si="110"/>
        <v>12000</v>
      </c>
      <c r="J755" s="7">
        <f t="shared" si="111"/>
        <v>0</v>
      </c>
      <c r="K755" s="7">
        <f t="shared" si="112"/>
        <v>12000</v>
      </c>
      <c r="L755" s="4">
        <v>49000</v>
      </c>
      <c r="M755" s="7">
        <f t="shared" si="113"/>
        <v>61000</v>
      </c>
      <c r="N755" s="2" t="s">
        <v>58</v>
      </c>
      <c r="O755" t="s">
        <v>22</v>
      </c>
      <c r="P755" s="2" t="s">
        <v>2365</v>
      </c>
      <c r="Q755" s="2">
        <v>4</v>
      </c>
      <c r="R755" s="2" t="s">
        <v>23</v>
      </c>
      <c r="S755" s="2" t="str">
        <f t="shared" si="114"/>
        <v>Rendah</v>
      </c>
      <c r="T755" s="2" t="str">
        <f t="shared" si="115"/>
        <v>FALSE</v>
      </c>
      <c r="U755" s="2" t="str">
        <f t="shared" si="116"/>
        <v>FALSE</v>
      </c>
      <c r="V755" s="2" t="b">
        <f t="shared" si="117"/>
        <v>0</v>
      </c>
      <c r="W755" s="2" t="b">
        <f t="shared" si="118"/>
        <v>0</v>
      </c>
      <c r="X755" s="2" t="b">
        <f t="shared" si="119"/>
        <v>0</v>
      </c>
    </row>
    <row r="756" spans="1:24" ht="10.5" customHeight="1">
      <c r="A756" s="2" t="s">
        <v>1111</v>
      </c>
      <c r="B756" s="3">
        <v>45804.6641087963</v>
      </c>
      <c r="C756" s="2" t="s">
        <v>1112</v>
      </c>
      <c r="D756" s="2" t="s">
        <v>31</v>
      </c>
      <c r="E756" s="2" t="s">
        <v>102</v>
      </c>
      <c r="F756" s="4">
        <v>55000</v>
      </c>
      <c r="G756" s="5">
        <v>1.3</v>
      </c>
      <c r="H756" s="6">
        <v>0</v>
      </c>
      <c r="I756" s="7">
        <f t="shared" si="110"/>
        <v>71500</v>
      </c>
      <c r="J756" s="7">
        <f t="shared" si="111"/>
        <v>0</v>
      </c>
      <c r="K756" s="7">
        <f t="shared" si="112"/>
        <v>71500</v>
      </c>
      <c r="L756" s="4">
        <v>76000</v>
      </c>
      <c r="M756" s="7">
        <f t="shared" si="113"/>
        <v>147500</v>
      </c>
      <c r="N756" s="2" t="s">
        <v>33</v>
      </c>
      <c r="O756" t="s">
        <v>69</v>
      </c>
      <c r="P756" s="2" t="s">
        <v>2370</v>
      </c>
      <c r="Q756" s="2">
        <v>4</v>
      </c>
      <c r="R756" s="2" t="s">
        <v>23</v>
      </c>
      <c r="S756" s="2" t="str">
        <f t="shared" si="114"/>
        <v>Standar</v>
      </c>
      <c r="T756" s="2" t="str">
        <f t="shared" si="115"/>
        <v>FALSE</v>
      </c>
      <c r="U756" s="2" t="str">
        <f t="shared" si="116"/>
        <v>FALSE</v>
      </c>
      <c r="V756" s="2" t="b">
        <f t="shared" si="117"/>
        <v>0</v>
      </c>
      <c r="W756" s="2" t="b">
        <f t="shared" si="118"/>
        <v>0</v>
      </c>
      <c r="X756" s="2" t="b">
        <f t="shared" si="119"/>
        <v>0</v>
      </c>
    </row>
    <row r="757" spans="1:24" ht="10.5" customHeight="1">
      <c r="A757" s="2" t="s">
        <v>1111</v>
      </c>
      <c r="B757" s="3">
        <v>45804.6641087963</v>
      </c>
      <c r="C757" s="2" t="s">
        <v>1112</v>
      </c>
      <c r="D757" s="2" t="s">
        <v>31</v>
      </c>
      <c r="E757" s="2" t="s">
        <v>53</v>
      </c>
      <c r="F757" s="4">
        <v>14000</v>
      </c>
      <c r="G757" s="5">
        <v>0.6</v>
      </c>
      <c r="H757" s="6">
        <v>0</v>
      </c>
      <c r="I757" s="7">
        <f t="shared" si="110"/>
        <v>8400</v>
      </c>
      <c r="J757" s="7">
        <f t="shared" si="111"/>
        <v>0</v>
      </c>
      <c r="K757" s="7">
        <f t="shared" si="112"/>
        <v>8400</v>
      </c>
      <c r="L757" s="4">
        <v>0</v>
      </c>
      <c r="M757" s="7">
        <f t="shared" si="113"/>
        <v>8400</v>
      </c>
      <c r="N757" s="2" t="s">
        <v>33</v>
      </c>
      <c r="O757" t="s">
        <v>69</v>
      </c>
      <c r="P757" s="2" t="s">
        <v>2370</v>
      </c>
      <c r="Q757" s="2">
        <v>4</v>
      </c>
      <c r="R757" s="2" t="s">
        <v>23</v>
      </c>
      <c r="S757" s="2" t="str">
        <f t="shared" si="114"/>
        <v>Sangat Rendah</v>
      </c>
      <c r="T757" s="2" t="str">
        <f t="shared" si="115"/>
        <v>FALSE</v>
      </c>
      <c r="U757" s="2" t="str">
        <f t="shared" si="116"/>
        <v>FALSE</v>
      </c>
      <c r="V757" s="2" t="b">
        <f t="shared" si="117"/>
        <v>0</v>
      </c>
      <c r="W757" s="2" t="b">
        <f t="shared" si="118"/>
        <v>0</v>
      </c>
      <c r="X757" s="2" t="b">
        <f t="shared" si="119"/>
        <v>1</v>
      </c>
    </row>
    <row r="758" spans="1:24" ht="10.5" customHeight="1">
      <c r="A758" s="2" t="s">
        <v>1113</v>
      </c>
      <c r="B758" s="3">
        <v>45804.722199074073</v>
      </c>
      <c r="C758" s="2" t="s">
        <v>367</v>
      </c>
      <c r="D758" s="2" t="s">
        <v>173</v>
      </c>
      <c r="E758" s="2" t="s">
        <v>41</v>
      </c>
      <c r="F758" s="4">
        <v>40000</v>
      </c>
      <c r="G758" s="5">
        <v>1</v>
      </c>
      <c r="H758" s="6">
        <v>0</v>
      </c>
      <c r="I758" s="7">
        <f t="shared" si="110"/>
        <v>40000</v>
      </c>
      <c r="J758" s="7">
        <f t="shared" si="111"/>
        <v>0</v>
      </c>
      <c r="K758" s="7">
        <f t="shared" si="112"/>
        <v>40000</v>
      </c>
      <c r="L758" s="4">
        <v>48000</v>
      </c>
      <c r="M758" s="7">
        <f t="shared" si="113"/>
        <v>88000</v>
      </c>
      <c r="N758" s="2" t="s">
        <v>58</v>
      </c>
      <c r="O758" t="s">
        <v>22</v>
      </c>
      <c r="P758" s="2" t="s">
        <v>2365</v>
      </c>
      <c r="Q758" s="2">
        <v>4</v>
      </c>
      <c r="R758" s="2" t="s">
        <v>23</v>
      </c>
      <c r="S758" s="2" t="str">
        <f t="shared" si="114"/>
        <v>Rendah</v>
      </c>
      <c r="T758" s="2" t="str">
        <f t="shared" si="115"/>
        <v>FALSE</v>
      </c>
      <c r="U758" s="2" t="str">
        <f t="shared" si="116"/>
        <v>FALSE</v>
      </c>
      <c r="V758" s="2" t="b">
        <f t="shared" si="117"/>
        <v>0</v>
      </c>
      <c r="W758" s="2" t="b">
        <f t="shared" si="118"/>
        <v>0</v>
      </c>
      <c r="X758" s="2" t="b">
        <f t="shared" si="119"/>
        <v>0</v>
      </c>
    </row>
    <row r="759" spans="1:24" ht="10.5" customHeight="1">
      <c r="A759" s="2" t="s">
        <v>1114</v>
      </c>
      <c r="B759" s="3">
        <v>45804.732291666667</v>
      </c>
      <c r="C759" s="2" t="s">
        <v>1115</v>
      </c>
      <c r="D759" s="2" t="s">
        <v>160</v>
      </c>
      <c r="E759" s="2" t="s">
        <v>57</v>
      </c>
      <c r="F759" s="4">
        <v>17500</v>
      </c>
      <c r="G759" s="5">
        <v>2.8</v>
      </c>
      <c r="H759" s="6">
        <v>0</v>
      </c>
      <c r="I759" s="7">
        <f t="shared" si="110"/>
        <v>49000</v>
      </c>
      <c r="J759" s="7">
        <f t="shared" si="111"/>
        <v>0</v>
      </c>
      <c r="K759" s="7">
        <f t="shared" si="112"/>
        <v>49000</v>
      </c>
      <c r="L759" s="4">
        <v>46000</v>
      </c>
      <c r="M759" s="7">
        <f t="shared" si="113"/>
        <v>95000</v>
      </c>
      <c r="N759" s="2" t="s">
        <v>21</v>
      </c>
      <c r="O759" t="s">
        <v>22</v>
      </c>
      <c r="P759" s="2" t="s">
        <v>2370</v>
      </c>
      <c r="Q759" s="2">
        <v>1</v>
      </c>
      <c r="R759" s="2" t="s">
        <v>23</v>
      </c>
      <c r="S759" s="2" t="str">
        <f t="shared" si="114"/>
        <v>Rendah</v>
      </c>
      <c r="T759" s="2" t="str">
        <f t="shared" si="115"/>
        <v>FALSE</v>
      </c>
      <c r="U759" s="2" t="str">
        <f t="shared" si="116"/>
        <v>FALSE</v>
      </c>
      <c r="V759" s="2" t="b">
        <f t="shared" si="117"/>
        <v>0</v>
      </c>
      <c r="W759" s="2" t="b">
        <f t="shared" si="118"/>
        <v>0</v>
      </c>
      <c r="X759" s="2" t="b">
        <f t="shared" si="119"/>
        <v>0</v>
      </c>
    </row>
    <row r="760" spans="1:24" ht="10.5" customHeight="1">
      <c r="A760" s="2" t="s">
        <v>1116</v>
      </c>
      <c r="B760" s="3">
        <v>45804.752754629633</v>
      </c>
      <c r="C760" s="2" t="s">
        <v>275</v>
      </c>
      <c r="D760" s="2" t="s">
        <v>19</v>
      </c>
      <c r="E760" s="2" t="s">
        <v>27</v>
      </c>
      <c r="F760" s="4">
        <v>15000</v>
      </c>
      <c r="G760" s="5">
        <v>0.5</v>
      </c>
      <c r="H760" s="6">
        <v>0</v>
      </c>
      <c r="I760" s="7">
        <f t="shared" si="110"/>
        <v>7500</v>
      </c>
      <c r="J760" s="7">
        <f t="shared" si="111"/>
        <v>0</v>
      </c>
      <c r="K760" s="7">
        <f t="shared" si="112"/>
        <v>7500</v>
      </c>
      <c r="L760" s="4">
        <v>15000</v>
      </c>
      <c r="M760" s="7">
        <f t="shared" si="113"/>
        <v>22500</v>
      </c>
      <c r="N760" s="2" t="s">
        <v>28</v>
      </c>
      <c r="O760" t="s">
        <v>22</v>
      </c>
      <c r="P760" s="2" t="s">
        <v>2366</v>
      </c>
      <c r="Q760" s="2">
        <v>3</v>
      </c>
      <c r="R760" s="2" t="s">
        <v>34</v>
      </c>
      <c r="S760" s="2" t="str">
        <f t="shared" si="114"/>
        <v>Sangat Rendah</v>
      </c>
      <c r="T760" s="2" t="str">
        <f t="shared" si="115"/>
        <v>FALSE</v>
      </c>
      <c r="U760" s="2" t="str">
        <f t="shared" si="116"/>
        <v>FALSE</v>
      </c>
      <c r="V760" s="2" t="b">
        <f t="shared" si="117"/>
        <v>0</v>
      </c>
      <c r="W760" s="2" t="b">
        <f t="shared" si="118"/>
        <v>0</v>
      </c>
      <c r="X760" s="2" t="b">
        <f t="shared" si="119"/>
        <v>0</v>
      </c>
    </row>
    <row r="761" spans="1:24" ht="10.5" customHeight="1">
      <c r="A761" s="2" t="s">
        <v>1117</v>
      </c>
      <c r="B761" s="3">
        <v>45805.429097222222</v>
      </c>
      <c r="C761" s="2" t="s">
        <v>1118</v>
      </c>
      <c r="D761" s="2" t="s">
        <v>105</v>
      </c>
      <c r="E761" s="2" t="s">
        <v>170</v>
      </c>
      <c r="F761" s="4">
        <v>12000</v>
      </c>
      <c r="G761" s="5">
        <v>0.5</v>
      </c>
      <c r="H761" s="6">
        <v>0</v>
      </c>
      <c r="I761" s="7">
        <f t="shared" si="110"/>
        <v>6000</v>
      </c>
      <c r="J761" s="7">
        <f t="shared" si="111"/>
        <v>0</v>
      </c>
      <c r="K761" s="7">
        <f t="shared" si="112"/>
        <v>6000</v>
      </c>
      <c r="L761" s="4">
        <v>18000</v>
      </c>
      <c r="M761" s="7">
        <f t="shared" si="113"/>
        <v>24000</v>
      </c>
      <c r="N761" s="2" t="s">
        <v>21</v>
      </c>
      <c r="O761" t="s">
        <v>22</v>
      </c>
      <c r="P761" s="2" t="s">
        <v>2370</v>
      </c>
      <c r="Q761" s="2">
        <v>4</v>
      </c>
      <c r="R761" s="2" t="s">
        <v>23</v>
      </c>
      <c r="S761" s="2" t="str">
        <f t="shared" si="114"/>
        <v>Sangat Rendah</v>
      </c>
      <c r="T761" s="2" t="str">
        <f t="shared" si="115"/>
        <v>FALSE</v>
      </c>
      <c r="U761" s="2" t="str">
        <f t="shared" si="116"/>
        <v>FALSE</v>
      </c>
      <c r="V761" s="2" t="b">
        <f t="shared" si="117"/>
        <v>0</v>
      </c>
      <c r="W761" s="2" t="b">
        <f t="shared" si="118"/>
        <v>0</v>
      </c>
      <c r="X761" s="2" t="b">
        <f t="shared" si="119"/>
        <v>1</v>
      </c>
    </row>
    <row r="762" spans="1:24" ht="10.5" customHeight="1">
      <c r="A762" s="2" t="s">
        <v>1119</v>
      </c>
      <c r="B762" s="3">
        <v>45805.432986111111</v>
      </c>
      <c r="C762" s="2" t="s">
        <v>1120</v>
      </c>
      <c r="D762" s="2" t="s">
        <v>114</v>
      </c>
      <c r="E762" s="2" t="s">
        <v>65</v>
      </c>
      <c r="F762" s="4">
        <v>46000</v>
      </c>
      <c r="G762" s="5">
        <v>0.9</v>
      </c>
      <c r="H762" s="6">
        <v>0</v>
      </c>
      <c r="I762" s="7">
        <f t="shared" si="110"/>
        <v>41400</v>
      </c>
      <c r="J762" s="7">
        <f t="shared" si="111"/>
        <v>0</v>
      </c>
      <c r="K762" s="7">
        <f t="shared" si="112"/>
        <v>41400</v>
      </c>
      <c r="L762" s="4">
        <v>78000</v>
      </c>
      <c r="M762" s="7">
        <f t="shared" si="113"/>
        <v>119400</v>
      </c>
      <c r="N762" s="2" t="s">
        <v>33</v>
      </c>
      <c r="O762" t="s">
        <v>22</v>
      </c>
      <c r="P762" s="2" t="s">
        <v>2368</v>
      </c>
      <c r="Q762" s="2">
        <v>2</v>
      </c>
      <c r="R762" s="2" t="s">
        <v>23</v>
      </c>
      <c r="S762" s="2" t="str">
        <f t="shared" si="114"/>
        <v>Standar</v>
      </c>
      <c r="T762" s="2" t="str">
        <f t="shared" si="115"/>
        <v>FALSE</v>
      </c>
      <c r="U762" s="2" t="str">
        <f t="shared" si="116"/>
        <v>FALSE</v>
      </c>
      <c r="V762" s="2" t="b">
        <f t="shared" si="117"/>
        <v>0</v>
      </c>
      <c r="W762" s="2" t="b">
        <f t="shared" si="118"/>
        <v>0</v>
      </c>
      <c r="X762" s="2" t="b">
        <f t="shared" si="119"/>
        <v>0</v>
      </c>
    </row>
    <row r="763" spans="1:24" ht="10.5" customHeight="1">
      <c r="A763" s="2" t="s">
        <v>1121</v>
      </c>
      <c r="B763" s="3">
        <v>45805.48945601852</v>
      </c>
      <c r="C763" s="2" t="s">
        <v>447</v>
      </c>
      <c r="D763" s="2" t="s">
        <v>74</v>
      </c>
      <c r="E763" s="2" t="s">
        <v>45</v>
      </c>
      <c r="F763" s="4">
        <v>10500</v>
      </c>
      <c r="G763" s="5">
        <v>1.3</v>
      </c>
      <c r="H763" s="6">
        <v>0</v>
      </c>
      <c r="I763" s="7">
        <f t="shared" si="110"/>
        <v>13650</v>
      </c>
      <c r="J763" s="7">
        <f t="shared" si="111"/>
        <v>0</v>
      </c>
      <c r="K763" s="7">
        <f t="shared" si="112"/>
        <v>13650</v>
      </c>
      <c r="L763" s="4">
        <v>74000</v>
      </c>
      <c r="M763" s="7">
        <f t="shared" si="113"/>
        <v>87650</v>
      </c>
      <c r="N763" s="2" t="s">
        <v>58</v>
      </c>
      <c r="O763" t="s">
        <v>22</v>
      </c>
      <c r="P763" s="2" t="s">
        <v>2365</v>
      </c>
      <c r="Q763" s="2">
        <v>1</v>
      </c>
      <c r="R763" s="2" t="s">
        <v>23</v>
      </c>
      <c r="S763" s="2" t="str">
        <f t="shared" si="114"/>
        <v>Rendah</v>
      </c>
      <c r="T763" s="2" t="str">
        <f t="shared" si="115"/>
        <v>FALSE</v>
      </c>
      <c r="U763" s="2" t="str">
        <f t="shared" si="116"/>
        <v>FALSE</v>
      </c>
      <c r="V763" s="2" t="b">
        <f t="shared" si="117"/>
        <v>0</v>
      </c>
      <c r="W763" s="2" t="b">
        <f t="shared" si="118"/>
        <v>0</v>
      </c>
      <c r="X763" s="2" t="b">
        <f t="shared" si="119"/>
        <v>0</v>
      </c>
    </row>
    <row r="764" spans="1:24" ht="10.5" customHeight="1">
      <c r="A764" s="2" t="s">
        <v>1122</v>
      </c>
      <c r="B764" s="3">
        <v>45805.536817129629</v>
      </c>
      <c r="C764" s="2" t="s">
        <v>1123</v>
      </c>
      <c r="D764" s="2" t="s">
        <v>74</v>
      </c>
      <c r="E764" s="2" t="s">
        <v>99</v>
      </c>
      <c r="F764" s="4">
        <v>10000</v>
      </c>
      <c r="G764" s="5">
        <v>0.3</v>
      </c>
      <c r="H764" s="6">
        <v>0</v>
      </c>
      <c r="I764" s="7">
        <f t="shared" si="110"/>
        <v>3000</v>
      </c>
      <c r="J764" s="7">
        <f t="shared" si="111"/>
        <v>0</v>
      </c>
      <c r="K764" s="7">
        <f t="shared" si="112"/>
        <v>3000</v>
      </c>
      <c r="L764" s="4">
        <v>74000</v>
      </c>
      <c r="M764" s="7">
        <f t="shared" si="113"/>
        <v>77000</v>
      </c>
      <c r="N764" s="2" t="s">
        <v>33</v>
      </c>
      <c r="O764" t="s">
        <v>22</v>
      </c>
      <c r="P764" s="2" t="s">
        <v>2370</v>
      </c>
      <c r="Q764" s="2">
        <v>5</v>
      </c>
      <c r="R764" s="2" t="s">
        <v>23</v>
      </c>
      <c r="S764" s="2" t="str">
        <f t="shared" si="114"/>
        <v>Rendah</v>
      </c>
      <c r="T764" s="2" t="str">
        <f t="shared" si="115"/>
        <v>FALSE</v>
      </c>
      <c r="U764" s="2" t="str">
        <f t="shared" si="116"/>
        <v>FALSE</v>
      </c>
      <c r="V764" s="2" t="b">
        <f t="shared" si="117"/>
        <v>0</v>
      </c>
      <c r="W764" s="2" t="b">
        <f t="shared" si="118"/>
        <v>0</v>
      </c>
      <c r="X764" s="2" t="b">
        <f t="shared" si="119"/>
        <v>0</v>
      </c>
    </row>
    <row r="765" spans="1:24" ht="10.5" customHeight="1">
      <c r="A765" s="2" t="s">
        <v>1124</v>
      </c>
      <c r="B765" s="3">
        <v>45805.569097222222</v>
      </c>
      <c r="C765" s="2" t="s">
        <v>431</v>
      </c>
      <c r="D765" s="2" t="s">
        <v>108</v>
      </c>
      <c r="E765" s="2" t="s">
        <v>75</v>
      </c>
      <c r="F765" s="4">
        <v>45000</v>
      </c>
      <c r="G765" s="5">
        <v>1.2</v>
      </c>
      <c r="H765" s="6">
        <v>0</v>
      </c>
      <c r="I765" s="7">
        <f t="shared" si="110"/>
        <v>54000</v>
      </c>
      <c r="J765" s="7">
        <f t="shared" si="111"/>
        <v>0</v>
      </c>
      <c r="K765" s="7">
        <f t="shared" si="112"/>
        <v>54000</v>
      </c>
      <c r="L765" s="4">
        <v>72000</v>
      </c>
      <c r="M765" s="7">
        <f t="shared" si="113"/>
        <v>126000</v>
      </c>
      <c r="N765" s="2" t="s">
        <v>28</v>
      </c>
      <c r="O765" t="s">
        <v>22</v>
      </c>
      <c r="P765" s="2" t="s">
        <v>2367</v>
      </c>
      <c r="Q765" s="2">
        <v>3</v>
      </c>
      <c r="R765" s="2" t="s">
        <v>34</v>
      </c>
      <c r="S765" s="2" t="str">
        <f t="shared" si="114"/>
        <v>Standar</v>
      </c>
      <c r="T765" s="2" t="str">
        <f t="shared" si="115"/>
        <v>FALSE</v>
      </c>
      <c r="U765" s="2" t="str">
        <f t="shared" si="116"/>
        <v>FALSE</v>
      </c>
      <c r="V765" s="2" t="b">
        <f t="shared" si="117"/>
        <v>0</v>
      </c>
      <c r="W765" s="2" t="b">
        <f t="shared" si="118"/>
        <v>1</v>
      </c>
      <c r="X765" s="2" t="b">
        <f t="shared" si="119"/>
        <v>0</v>
      </c>
    </row>
    <row r="766" spans="1:24" ht="10.5" customHeight="1">
      <c r="A766" s="2" t="s">
        <v>1125</v>
      </c>
      <c r="B766" s="3">
        <v>45805.605474537027</v>
      </c>
      <c r="C766" s="2" t="s">
        <v>1126</v>
      </c>
      <c r="D766" s="2" t="s">
        <v>185</v>
      </c>
      <c r="E766" s="2" t="s">
        <v>75</v>
      </c>
      <c r="F766" s="4">
        <v>45000</v>
      </c>
      <c r="G766" s="5">
        <v>1.3</v>
      </c>
      <c r="H766" s="6">
        <v>0</v>
      </c>
      <c r="I766" s="7">
        <f t="shared" si="110"/>
        <v>58500</v>
      </c>
      <c r="J766" s="7">
        <f t="shared" si="111"/>
        <v>0</v>
      </c>
      <c r="K766" s="7">
        <f t="shared" si="112"/>
        <v>58500</v>
      </c>
      <c r="L766" s="4">
        <v>87000</v>
      </c>
      <c r="M766" s="7">
        <f t="shared" si="113"/>
        <v>145500</v>
      </c>
      <c r="N766" s="2" t="s">
        <v>58</v>
      </c>
      <c r="O766" t="s">
        <v>22</v>
      </c>
      <c r="P766" s="2" t="s">
        <v>2370</v>
      </c>
      <c r="Q766" s="2">
        <v>1</v>
      </c>
      <c r="R766" s="2" t="s">
        <v>23</v>
      </c>
      <c r="S766" s="2" t="str">
        <f t="shared" si="114"/>
        <v>Standar</v>
      </c>
      <c r="T766" s="2" t="str">
        <f t="shared" si="115"/>
        <v>FALSE</v>
      </c>
      <c r="U766" s="2" t="str">
        <f t="shared" si="116"/>
        <v>FALSE</v>
      </c>
      <c r="V766" s="2" t="b">
        <f t="shared" si="117"/>
        <v>0</v>
      </c>
      <c r="W766" s="2" t="b">
        <f t="shared" si="118"/>
        <v>0</v>
      </c>
      <c r="X766" s="2" t="b">
        <f t="shared" si="119"/>
        <v>0</v>
      </c>
    </row>
    <row r="767" spans="1:24" ht="10.5" customHeight="1">
      <c r="A767" s="2" t="s">
        <v>1127</v>
      </c>
      <c r="B767" s="3">
        <v>45805.623831018522</v>
      </c>
      <c r="C767" s="2" t="s">
        <v>588</v>
      </c>
      <c r="D767" s="2" t="s">
        <v>56</v>
      </c>
      <c r="E767" s="2" t="s">
        <v>49</v>
      </c>
      <c r="F767" s="4">
        <v>26000</v>
      </c>
      <c r="G767" s="5">
        <v>0.6</v>
      </c>
      <c r="H767" s="6">
        <v>0</v>
      </c>
      <c r="I767" s="7">
        <f t="shared" si="110"/>
        <v>15600</v>
      </c>
      <c r="J767" s="7">
        <f t="shared" si="111"/>
        <v>0</v>
      </c>
      <c r="K767" s="7">
        <f t="shared" si="112"/>
        <v>15600</v>
      </c>
      <c r="L767" s="4">
        <v>26000</v>
      </c>
      <c r="M767" s="7">
        <f t="shared" si="113"/>
        <v>41600</v>
      </c>
      <c r="N767" s="2" t="s">
        <v>28</v>
      </c>
      <c r="O767" t="s">
        <v>115</v>
      </c>
      <c r="P767" s="2" t="s">
        <v>2366</v>
      </c>
      <c r="Q767" s="2">
        <v>1</v>
      </c>
      <c r="R767" s="2" t="s">
        <v>23</v>
      </c>
      <c r="S767" s="2" t="str">
        <f t="shared" si="114"/>
        <v>Sangat Rendah</v>
      </c>
      <c r="T767" s="2" t="str">
        <f t="shared" si="115"/>
        <v>FALSE</v>
      </c>
      <c r="U767" s="2" t="str">
        <f t="shared" si="116"/>
        <v>FALSE</v>
      </c>
      <c r="V767" s="2" t="b">
        <f t="shared" si="117"/>
        <v>0</v>
      </c>
      <c r="W767" s="2" t="b">
        <f t="shared" si="118"/>
        <v>0</v>
      </c>
      <c r="X767" s="2" t="b">
        <f t="shared" si="119"/>
        <v>1</v>
      </c>
    </row>
    <row r="768" spans="1:24" ht="10.5" customHeight="1">
      <c r="A768" s="2" t="s">
        <v>1127</v>
      </c>
      <c r="B768" s="3">
        <v>45805.623831018522</v>
      </c>
      <c r="C768" s="2" t="s">
        <v>588</v>
      </c>
      <c r="D768" s="2" t="s">
        <v>56</v>
      </c>
      <c r="E768" s="2" t="s">
        <v>80</v>
      </c>
      <c r="F768" s="4">
        <v>15000</v>
      </c>
      <c r="G768" s="5">
        <v>0.7</v>
      </c>
      <c r="H768" s="6">
        <v>0</v>
      </c>
      <c r="I768" s="7">
        <f t="shared" si="110"/>
        <v>10500</v>
      </c>
      <c r="J768" s="7">
        <f t="shared" si="111"/>
        <v>0</v>
      </c>
      <c r="K768" s="7">
        <f t="shared" si="112"/>
        <v>10500</v>
      </c>
      <c r="L768" s="4">
        <v>0</v>
      </c>
      <c r="M768" s="7">
        <f t="shared" si="113"/>
        <v>10500</v>
      </c>
      <c r="N768" s="2" t="s">
        <v>28</v>
      </c>
      <c r="O768" t="s">
        <v>115</v>
      </c>
      <c r="P768" s="2" t="s">
        <v>2366</v>
      </c>
      <c r="Q768" s="2">
        <v>1</v>
      </c>
      <c r="R768" s="2" t="s">
        <v>23</v>
      </c>
      <c r="S768" s="2" t="str">
        <f t="shared" si="114"/>
        <v>Sangat Rendah</v>
      </c>
      <c r="T768" s="2" t="str">
        <f t="shared" si="115"/>
        <v>FALSE</v>
      </c>
      <c r="U768" s="2" t="str">
        <f t="shared" si="116"/>
        <v>FALSE</v>
      </c>
      <c r="V768" s="2" t="b">
        <f t="shared" si="117"/>
        <v>0</v>
      </c>
      <c r="W768" s="2" t="b">
        <f t="shared" si="118"/>
        <v>0</v>
      </c>
      <c r="X768" s="2" t="b">
        <f t="shared" si="119"/>
        <v>1</v>
      </c>
    </row>
    <row r="769" spans="1:24" ht="10.5" customHeight="1">
      <c r="A769" s="2" t="s">
        <v>1128</v>
      </c>
      <c r="B769" s="3">
        <v>45805.663368055553</v>
      </c>
      <c r="C769" s="2" t="s">
        <v>1129</v>
      </c>
      <c r="D769" s="2" t="s">
        <v>48</v>
      </c>
      <c r="E769" s="2" t="s">
        <v>41</v>
      </c>
      <c r="F769" s="4">
        <v>40000</v>
      </c>
      <c r="G769" s="5">
        <v>1.6</v>
      </c>
      <c r="H769" s="6">
        <v>0</v>
      </c>
      <c r="I769" s="7">
        <f t="shared" si="110"/>
        <v>64000</v>
      </c>
      <c r="J769" s="7">
        <f t="shared" si="111"/>
        <v>0</v>
      </c>
      <c r="K769" s="7">
        <f t="shared" si="112"/>
        <v>64000</v>
      </c>
      <c r="L769" s="4">
        <v>18000</v>
      </c>
      <c r="M769" s="7">
        <f t="shared" si="113"/>
        <v>82000</v>
      </c>
      <c r="N769" s="2" t="s">
        <v>33</v>
      </c>
      <c r="O769" t="s">
        <v>22</v>
      </c>
      <c r="P769" s="2" t="s">
        <v>2370</v>
      </c>
      <c r="Q769" s="2">
        <v>3</v>
      </c>
      <c r="R769" s="2" t="s">
        <v>34</v>
      </c>
      <c r="S769" s="2" t="str">
        <f t="shared" si="114"/>
        <v>Rendah</v>
      </c>
      <c r="T769" s="2" t="str">
        <f t="shared" si="115"/>
        <v>FALSE</v>
      </c>
      <c r="U769" s="2" t="str">
        <f t="shared" si="116"/>
        <v>FALSE</v>
      </c>
      <c r="V769" s="2" t="b">
        <f t="shared" si="117"/>
        <v>0</v>
      </c>
      <c r="W769" s="2" t="b">
        <f t="shared" si="118"/>
        <v>0</v>
      </c>
      <c r="X769" s="2" t="b">
        <f t="shared" si="119"/>
        <v>0</v>
      </c>
    </row>
    <row r="770" spans="1:24" ht="10.5" customHeight="1">
      <c r="A770" s="2" t="s">
        <v>1130</v>
      </c>
      <c r="B770" s="3">
        <v>45805.751331018517</v>
      </c>
      <c r="C770" s="2" t="s">
        <v>473</v>
      </c>
      <c r="D770" s="2" t="s">
        <v>160</v>
      </c>
      <c r="E770" s="2" t="s">
        <v>75</v>
      </c>
      <c r="F770" s="4">
        <v>45000</v>
      </c>
      <c r="G770" s="5">
        <v>0.2</v>
      </c>
      <c r="H770" s="6">
        <v>0</v>
      </c>
      <c r="I770" s="7">
        <f t="shared" si="110"/>
        <v>9000</v>
      </c>
      <c r="J770" s="7">
        <f t="shared" si="111"/>
        <v>0</v>
      </c>
      <c r="K770" s="7">
        <f t="shared" si="112"/>
        <v>9000</v>
      </c>
      <c r="L770" s="4">
        <v>46000</v>
      </c>
      <c r="M770" s="7">
        <f t="shared" si="113"/>
        <v>55000</v>
      </c>
      <c r="N770" s="2" t="s">
        <v>58</v>
      </c>
      <c r="O770" t="s">
        <v>22</v>
      </c>
      <c r="P770" s="2" t="s">
        <v>2367</v>
      </c>
      <c r="Q770" s="2">
        <v>2</v>
      </c>
      <c r="R770" s="2" t="s">
        <v>23</v>
      </c>
      <c r="S770" s="2" t="str">
        <f t="shared" si="114"/>
        <v>Rendah</v>
      </c>
      <c r="T770" s="2" t="str">
        <f t="shared" si="115"/>
        <v>FALSE</v>
      </c>
      <c r="U770" s="2" t="str">
        <f t="shared" si="116"/>
        <v>FALSE</v>
      </c>
      <c r="V770" s="2" t="b">
        <f t="shared" si="117"/>
        <v>0</v>
      </c>
      <c r="W770" s="2" t="b">
        <f t="shared" si="118"/>
        <v>1</v>
      </c>
      <c r="X770" s="2" t="b">
        <f t="shared" si="119"/>
        <v>0</v>
      </c>
    </row>
    <row r="771" spans="1:24" ht="10.5" customHeight="1">
      <c r="A771" s="2" t="s">
        <v>1131</v>
      </c>
      <c r="B771" s="3">
        <v>45805.773865740739</v>
      </c>
      <c r="C771" s="2" t="s">
        <v>308</v>
      </c>
      <c r="D771" s="2" t="s">
        <v>235</v>
      </c>
      <c r="E771" s="2" t="s">
        <v>57</v>
      </c>
      <c r="F771" s="4">
        <v>17500</v>
      </c>
      <c r="G771" s="5">
        <v>1.9</v>
      </c>
      <c r="H771" s="6">
        <v>0</v>
      </c>
      <c r="I771" s="7">
        <f t="shared" si="110"/>
        <v>33250</v>
      </c>
      <c r="J771" s="7">
        <f t="shared" si="111"/>
        <v>0</v>
      </c>
      <c r="K771" s="7">
        <f t="shared" si="112"/>
        <v>33250</v>
      </c>
      <c r="L771" s="4">
        <v>80000</v>
      </c>
      <c r="M771" s="7">
        <f t="shared" si="113"/>
        <v>113250</v>
      </c>
      <c r="N771" s="2" t="s">
        <v>28</v>
      </c>
      <c r="O771" t="s">
        <v>22</v>
      </c>
      <c r="P771" s="2" t="s">
        <v>2366</v>
      </c>
      <c r="Q771" s="2">
        <v>3</v>
      </c>
      <c r="R771" s="2" t="s">
        <v>34</v>
      </c>
      <c r="S771" s="2" t="str">
        <f t="shared" si="114"/>
        <v>Standar</v>
      </c>
      <c r="T771" s="2" t="str">
        <f t="shared" si="115"/>
        <v>FALSE</v>
      </c>
      <c r="U771" s="2" t="str">
        <f t="shared" si="116"/>
        <v>FALSE</v>
      </c>
      <c r="V771" s="2" t="b">
        <f t="shared" si="117"/>
        <v>0</v>
      </c>
      <c r="W771" s="2" t="b">
        <f t="shared" si="118"/>
        <v>0</v>
      </c>
      <c r="X771" s="2" t="b">
        <f t="shared" si="119"/>
        <v>0</v>
      </c>
    </row>
    <row r="772" spans="1:24" ht="10.5" customHeight="1">
      <c r="A772" s="2" t="s">
        <v>1132</v>
      </c>
      <c r="B772" s="3">
        <v>45805.905451388891</v>
      </c>
      <c r="C772" s="2" t="s">
        <v>772</v>
      </c>
      <c r="D772" s="2" t="s">
        <v>167</v>
      </c>
      <c r="E772" s="2" t="s">
        <v>32</v>
      </c>
      <c r="F772" s="4">
        <v>20000</v>
      </c>
      <c r="G772" s="5">
        <v>2.6</v>
      </c>
      <c r="H772" s="6">
        <v>0</v>
      </c>
      <c r="I772" s="7">
        <f t="shared" ref="I772:I835" si="120">F772*G772</f>
        <v>52000</v>
      </c>
      <c r="J772" s="7">
        <f t="shared" ref="J772:J835" si="121">I772*(H772/100)</f>
        <v>0</v>
      </c>
      <c r="K772" s="7">
        <f t="shared" ref="K772:K835" si="122">I772-J772</f>
        <v>52000</v>
      </c>
      <c r="L772" s="4">
        <v>56000</v>
      </c>
      <c r="M772" s="7">
        <f t="shared" ref="M772:M835" si="123">K772+L772</f>
        <v>108000</v>
      </c>
      <c r="N772" s="2" t="s">
        <v>21</v>
      </c>
      <c r="O772" t="s">
        <v>22</v>
      </c>
      <c r="P772" s="2" t="s">
        <v>2366</v>
      </c>
      <c r="Q772" s="2">
        <v>5</v>
      </c>
      <c r="R772" s="2" t="s">
        <v>23</v>
      </c>
      <c r="S772" s="2" t="str">
        <f t="shared" ref="S772:S835" si="124">IF(M772&lt;=50000,"Sangat Rendah",IF(M772&lt;=100000,"Rendah",IF(M772&lt;=150000,"Standar",IF(M772&lt;=200000,"Tinggi","Sangat Tinggi"))))</f>
        <v>Standar</v>
      </c>
      <c r="T772" s="2" t="str">
        <f t="shared" ref="T772:T835" si="125">IF(AND(S772="Rendah",D772="Yogyakarta"),"TRUE","FALSE")</f>
        <v>FALSE</v>
      </c>
      <c r="U772" s="2" t="str">
        <f t="shared" ref="U772:U835" si="126">IF(OR(S772="Tinggi",E772="Bayam"),"TRUE","FALSE")</f>
        <v>FALSE</v>
      </c>
      <c r="V772" s="2" t="b">
        <f t="shared" ref="V772:V835" si="127">IF(AND(S772="Standar",N772="Transef Bank"),TRUE,FALSE)</f>
        <v>0</v>
      </c>
      <c r="W772" s="2" t="b">
        <f t="shared" ref="W772:W835" si="128">IF(OR(S772="Sangat Tinggi",P772="FoodMart"),TRUE,FALSE)</f>
        <v>0</v>
      </c>
      <c r="X772" s="2" t="b">
        <f t="shared" ref="X772:X835" si="129">IF(AND(S772="Sangat Rendah",R772="Perempuan"),TRUE,FALSE)</f>
        <v>0</v>
      </c>
    </row>
    <row r="773" spans="1:24" ht="10.5" customHeight="1">
      <c r="A773" s="2" t="s">
        <v>1133</v>
      </c>
      <c r="B773" s="3">
        <v>45805.933263888888</v>
      </c>
      <c r="C773" s="2" t="s">
        <v>843</v>
      </c>
      <c r="D773" s="2" t="s">
        <v>140</v>
      </c>
      <c r="E773" s="2" t="s">
        <v>99</v>
      </c>
      <c r="F773" s="4">
        <v>10000</v>
      </c>
      <c r="G773" s="5">
        <v>0.7</v>
      </c>
      <c r="H773" s="6">
        <v>0</v>
      </c>
      <c r="I773" s="7">
        <f t="shared" si="120"/>
        <v>7000</v>
      </c>
      <c r="J773" s="7">
        <f t="shared" si="121"/>
        <v>0</v>
      </c>
      <c r="K773" s="7">
        <f t="shared" si="122"/>
        <v>7000</v>
      </c>
      <c r="L773" s="4">
        <v>55000</v>
      </c>
      <c r="M773" s="7">
        <f t="shared" si="123"/>
        <v>62000</v>
      </c>
      <c r="N773" s="2" t="s">
        <v>33</v>
      </c>
      <c r="O773" t="s">
        <v>22</v>
      </c>
      <c r="P773" s="2" t="s">
        <v>2368</v>
      </c>
      <c r="Q773" s="2">
        <v>1</v>
      </c>
      <c r="R773" s="2" t="s">
        <v>23</v>
      </c>
      <c r="S773" s="2" t="str">
        <f t="shared" si="124"/>
        <v>Rendah</v>
      </c>
      <c r="T773" s="2" t="str">
        <f t="shared" si="125"/>
        <v>FALSE</v>
      </c>
      <c r="U773" s="2" t="str">
        <f t="shared" si="126"/>
        <v>FALSE</v>
      </c>
      <c r="V773" s="2" t="b">
        <f t="shared" si="127"/>
        <v>0</v>
      </c>
      <c r="W773" s="2" t="b">
        <f t="shared" si="128"/>
        <v>0</v>
      </c>
      <c r="X773" s="2" t="b">
        <f t="shared" si="129"/>
        <v>0</v>
      </c>
    </row>
    <row r="774" spans="1:24" ht="10.5" customHeight="1">
      <c r="A774" s="2" t="s">
        <v>1134</v>
      </c>
      <c r="B774" s="3">
        <v>45806.155798611107</v>
      </c>
      <c r="C774" s="2" t="s">
        <v>436</v>
      </c>
      <c r="D774" s="2" t="s">
        <v>286</v>
      </c>
      <c r="E774" s="2" t="s">
        <v>45</v>
      </c>
      <c r="F774" s="4">
        <v>10500</v>
      </c>
      <c r="G774" s="5">
        <v>2.2999999999999998</v>
      </c>
      <c r="H774" s="6">
        <v>0</v>
      </c>
      <c r="I774" s="7">
        <f t="shared" si="120"/>
        <v>24149.999999999996</v>
      </c>
      <c r="J774" s="7">
        <f t="shared" si="121"/>
        <v>0</v>
      </c>
      <c r="K774" s="7">
        <f t="shared" si="122"/>
        <v>24149.999999999996</v>
      </c>
      <c r="L774" s="4">
        <v>79000</v>
      </c>
      <c r="M774" s="7">
        <f t="shared" si="123"/>
        <v>103150</v>
      </c>
      <c r="N774" s="2" t="s">
        <v>21</v>
      </c>
      <c r="O774" t="s">
        <v>69</v>
      </c>
      <c r="P774" s="2" t="s">
        <v>2370</v>
      </c>
      <c r="Q774" s="2">
        <v>3</v>
      </c>
      <c r="R774" s="2" t="s">
        <v>34</v>
      </c>
      <c r="S774" s="2" t="str">
        <f t="shared" si="124"/>
        <v>Standar</v>
      </c>
      <c r="T774" s="2" t="str">
        <f t="shared" si="125"/>
        <v>FALSE</v>
      </c>
      <c r="U774" s="2" t="str">
        <f t="shared" si="126"/>
        <v>FALSE</v>
      </c>
      <c r="V774" s="2" t="b">
        <f t="shared" si="127"/>
        <v>0</v>
      </c>
      <c r="W774" s="2" t="b">
        <f t="shared" si="128"/>
        <v>0</v>
      </c>
      <c r="X774" s="2" t="b">
        <f t="shared" si="129"/>
        <v>0</v>
      </c>
    </row>
    <row r="775" spans="1:24" ht="10.5" customHeight="1">
      <c r="A775" s="2" t="s">
        <v>1135</v>
      </c>
      <c r="B775" s="3">
        <v>45806.224826388891</v>
      </c>
      <c r="C775" s="2" t="s">
        <v>1136</v>
      </c>
      <c r="D775" s="2" t="s">
        <v>108</v>
      </c>
      <c r="E775" s="2" t="s">
        <v>190</v>
      </c>
      <c r="F775" s="4">
        <v>15500</v>
      </c>
      <c r="G775" s="5">
        <v>0.2</v>
      </c>
      <c r="H775" s="6">
        <v>0</v>
      </c>
      <c r="I775" s="7">
        <f t="shared" si="120"/>
        <v>3100</v>
      </c>
      <c r="J775" s="7">
        <f t="shared" si="121"/>
        <v>0</v>
      </c>
      <c r="K775" s="7">
        <f t="shared" si="122"/>
        <v>3100</v>
      </c>
      <c r="L775" s="4">
        <v>72000</v>
      </c>
      <c r="M775" s="7">
        <f t="shared" si="123"/>
        <v>75100</v>
      </c>
      <c r="N775" s="2" t="s">
        <v>33</v>
      </c>
      <c r="O775" t="s">
        <v>22</v>
      </c>
      <c r="P775" s="2" t="s">
        <v>2365</v>
      </c>
      <c r="Q775" s="2">
        <v>3</v>
      </c>
      <c r="R775" s="2" t="s">
        <v>23</v>
      </c>
      <c r="S775" s="2" t="str">
        <f t="shared" si="124"/>
        <v>Rendah</v>
      </c>
      <c r="T775" s="2" t="str">
        <f t="shared" si="125"/>
        <v>FALSE</v>
      </c>
      <c r="U775" s="2" t="str">
        <f t="shared" si="126"/>
        <v>FALSE</v>
      </c>
      <c r="V775" s="2" t="b">
        <f t="shared" si="127"/>
        <v>0</v>
      </c>
      <c r="W775" s="2" t="b">
        <f t="shared" si="128"/>
        <v>0</v>
      </c>
      <c r="X775" s="2" t="b">
        <f t="shared" si="129"/>
        <v>0</v>
      </c>
    </row>
    <row r="776" spans="1:24" ht="10.5" customHeight="1">
      <c r="A776" s="2" t="s">
        <v>1137</v>
      </c>
      <c r="B776" s="3">
        <v>45806.412523148138</v>
      </c>
      <c r="C776" s="2" t="s">
        <v>458</v>
      </c>
      <c r="D776" s="2" t="s">
        <v>153</v>
      </c>
      <c r="E776" s="2" t="s">
        <v>99</v>
      </c>
      <c r="F776" s="4">
        <v>10000</v>
      </c>
      <c r="G776" s="5">
        <v>0.4</v>
      </c>
      <c r="H776" s="6">
        <v>0</v>
      </c>
      <c r="I776" s="7">
        <f t="shared" si="120"/>
        <v>4000</v>
      </c>
      <c r="J776" s="7">
        <f t="shared" si="121"/>
        <v>0</v>
      </c>
      <c r="K776" s="7">
        <f t="shared" si="122"/>
        <v>4000</v>
      </c>
      <c r="L776" s="4">
        <v>50000</v>
      </c>
      <c r="M776" s="7">
        <f t="shared" si="123"/>
        <v>54000</v>
      </c>
      <c r="N776" s="2" t="s">
        <v>28</v>
      </c>
      <c r="O776" t="s">
        <v>22</v>
      </c>
      <c r="P776" s="2" t="s">
        <v>2370</v>
      </c>
      <c r="Q776" s="2">
        <v>1</v>
      </c>
      <c r="R776" s="2" t="s">
        <v>23</v>
      </c>
      <c r="S776" s="2" t="str">
        <f t="shared" si="124"/>
        <v>Rendah</v>
      </c>
      <c r="T776" s="2" t="str">
        <f t="shared" si="125"/>
        <v>FALSE</v>
      </c>
      <c r="U776" s="2" t="str">
        <f t="shared" si="126"/>
        <v>FALSE</v>
      </c>
      <c r="V776" s="2" t="b">
        <f t="shared" si="127"/>
        <v>0</v>
      </c>
      <c r="W776" s="2" t="b">
        <f t="shared" si="128"/>
        <v>0</v>
      </c>
      <c r="X776" s="2" t="b">
        <f t="shared" si="129"/>
        <v>0</v>
      </c>
    </row>
    <row r="777" spans="1:24" ht="10.5" customHeight="1">
      <c r="A777" s="2" t="s">
        <v>1138</v>
      </c>
      <c r="B777" s="3">
        <v>45806.414189814823</v>
      </c>
      <c r="C777" s="2" t="s">
        <v>595</v>
      </c>
      <c r="D777" s="2" t="s">
        <v>140</v>
      </c>
      <c r="E777" s="2" t="s">
        <v>27</v>
      </c>
      <c r="F777" s="4">
        <v>15000</v>
      </c>
      <c r="G777" s="5">
        <v>1.1000000000000001</v>
      </c>
      <c r="H777" s="6">
        <v>0</v>
      </c>
      <c r="I777" s="7">
        <f t="shared" si="120"/>
        <v>16500</v>
      </c>
      <c r="J777" s="7">
        <f t="shared" si="121"/>
        <v>0</v>
      </c>
      <c r="K777" s="7">
        <f t="shared" si="122"/>
        <v>16500</v>
      </c>
      <c r="L777" s="4">
        <v>55000</v>
      </c>
      <c r="M777" s="7">
        <f t="shared" si="123"/>
        <v>71500</v>
      </c>
      <c r="N777" s="2" t="s">
        <v>28</v>
      </c>
      <c r="O777" t="s">
        <v>69</v>
      </c>
      <c r="P777" s="2" t="s">
        <v>2365</v>
      </c>
      <c r="Q777" s="2">
        <v>1</v>
      </c>
      <c r="R777" s="2" t="s">
        <v>23</v>
      </c>
      <c r="S777" s="2" t="str">
        <f t="shared" si="124"/>
        <v>Rendah</v>
      </c>
      <c r="T777" s="2" t="str">
        <f t="shared" si="125"/>
        <v>FALSE</v>
      </c>
      <c r="U777" s="2" t="str">
        <f t="shared" si="126"/>
        <v>FALSE</v>
      </c>
      <c r="V777" s="2" t="b">
        <f t="shared" si="127"/>
        <v>0</v>
      </c>
      <c r="W777" s="2" t="b">
        <f t="shared" si="128"/>
        <v>0</v>
      </c>
      <c r="X777" s="2" t="b">
        <f t="shared" si="129"/>
        <v>0</v>
      </c>
    </row>
    <row r="778" spans="1:24" ht="10.5" customHeight="1">
      <c r="A778" s="2" t="s">
        <v>1139</v>
      </c>
      <c r="B778" s="3">
        <v>45806.42690972222</v>
      </c>
      <c r="C778" s="2" t="s">
        <v>181</v>
      </c>
      <c r="D778" s="2" t="s">
        <v>98</v>
      </c>
      <c r="E778" s="2" t="s">
        <v>75</v>
      </c>
      <c r="F778" s="4">
        <v>45000</v>
      </c>
      <c r="G778" s="5">
        <v>1.1000000000000001</v>
      </c>
      <c r="H778" s="6">
        <v>0</v>
      </c>
      <c r="I778" s="7">
        <f t="shared" si="120"/>
        <v>49500.000000000007</v>
      </c>
      <c r="J778" s="7">
        <f t="shared" si="121"/>
        <v>0</v>
      </c>
      <c r="K778" s="7">
        <f t="shared" si="122"/>
        <v>49500.000000000007</v>
      </c>
      <c r="L778" s="4">
        <v>97000</v>
      </c>
      <c r="M778" s="7">
        <f t="shared" si="123"/>
        <v>146500</v>
      </c>
      <c r="N778" s="2" t="s">
        <v>21</v>
      </c>
      <c r="O778" t="s">
        <v>22</v>
      </c>
      <c r="P778" s="2" t="s">
        <v>2368</v>
      </c>
      <c r="Q778" s="2">
        <v>3</v>
      </c>
      <c r="R778" s="2" t="s">
        <v>23</v>
      </c>
      <c r="S778" s="2" t="str">
        <f t="shared" si="124"/>
        <v>Standar</v>
      </c>
      <c r="T778" s="2" t="str">
        <f t="shared" si="125"/>
        <v>FALSE</v>
      </c>
      <c r="U778" s="2" t="str">
        <f t="shared" si="126"/>
        <v>FALSE</v>
      </c>
      <c r="V778" s="2" t="b">
        <f t="shared" si="127"/>
        <v>0</v>
      </c>
      <c r="W778" s="2" t="b">
        <f t="shared" si="128"/>
        <v>0</v>
      </c>
      <c r="X778" s="2" t="b">
        <f t="shared" si="129"/>
        <v>0</v>
      </c>
    </row>
    <row r="779" spans="1:24" ht="10.5" customHeight="1">
      <c r="A779" s="2" t="s">
        <v>1140</v>
      </c>
      <c r="B779" s="3">
        <v>45806.575486111113</v>
      </c>
      <c r="C779" s="2" t="s">
        <v>969</v>
      </c>
      <c r="D779" s="2" t="s">
        <v>44</v>
      </c>
      <c r="E779" s="2" t="s">
        <v>143</v>
      </c>
      <c r="F779" s="4">
        <v>10000</v>
      </c>
      <c r="G779" s="5">
        <v>0.9</v>
      </c>
      <c r="H779" s="6">
        <v>0</v>
      </c>
      <c r="I779" s="7">
        <f t="shared" si="120"/>
        <v>9000</v>
      </c>
      <c r="J779" s="7">
        <f t="shared" si="121"/>
        <v>0</v>
      </c>
      <c r="K779" s="7">
        <f t="shared" si="122"/>
        <v>9000</v>
      </c>
      <c r="L779" s="4">
        <v>43000</v>
      </c>
      <c r="M779" s="7">
        <f t="shared" si="123"/>
        <v>52000</v>
      </c>
      <c r="N779" s="2" t="s">
        <v>21</v>
      </c>
      <c r="O779" t="s">
        <v>22</v>
      </c>
      <c r="P779" s="2" t="s">
        <v>2365</v>
      </c>
      <c r="Q779" s="2">
        <v>4</v>
      </c>
      <c r="R779" s="2" t="s">
        <v>23</v>
      </c>
      <c r="S779" s="2" t="str">
        <f t="shared" si="124"/>
        <v>Rendah</v>
      </c>
      <c r="T779" s="2" t="str">
        <f t="shared" si="125"/>
        <v>FALSE</v>
      </c>
      <c r="U779" s="2" t="str">
        <f t="shared" si="126"/>
        <v>TRUE</v>
      </c>
      <c r="V779" s="2" t="b">
        <f t="shared" si="127"/>
        <v>0</v>
      </c>
      <c r="W779" s="2" t="b">
        <f t="shared" si="128"/>
        <v>0</v>
      </c>
      <c r="X779" s="2" t="b">
        <f t="shared" si="129"/>
        <v>0</v>
      </c>
    </row>
    <row r="780" spans="1:24" ht="10.5" customHeight="1">
      <c r="A780" s="2" t="s">
        <v>1141</v>
      </c>
      <c r="B780" s="3">
        <v>45806.5940162037</v>
      </c>
      <c r="C780" s="2" t="s">
        <v>97</v>
      </c>
      <c r="D780" s="2" t="s">
        <v>98</v>
      </c>
      <c r="E780" s="2" t="s">
        <v>57</v>
      </c>
      <c r="F780" s="4">
        <v>17500</v>
      </c>
      <c r="G780" s="5">
        <v>1.9</v>
      </c>
      <c r="H780" s="6">
        <v>0</v>
      </c>
      <c r="I780" s="7">
        <f t="shared" si="120"/>
        <v>33250</v>
      </c>
      <c r="J780" s="7">
        <f t="shared" si="121"/>
        <v>0</v>
      </c>
      <c r="K780" s="7">
        <f t="shared" si="122"/>
        <v>33250</v>
      </c>
      <c r="L780" s="4">
        <v>97000</v>
      </c>
      <c r="M780" s="7">
        <f t="shared" si="123"/>
        <v>130250</v>
      </c>
      <c r="N780" s="2" t="s">
        <v>28</v>
      </c>
      <c r="O780" t="s">
        <v>22</v>
      </c>
      <c r="P780" s="2" t="s">
        <v>2365</v>
      </c>
      <c r="Q780" s="2">
        <v>1</v>
      </c>
      <c r="R780" s="2" t="s">
        <v>23</v>
      </c>
      <c r="S780" s="2" t="str">
        <f t="shared" si="124"/>
        <v>Standar</v>
      </c>
      <c r="T780" s="2" t="str">
        <f t="shared" si="125"/>
        <v>FALSE</v>
      </c>
      <c r="U780" s="2" t="str">
        <f t="shared" si="126"/>
        <v>FALSE</v>
      </c>
      <c r="V780" s="2" t="b">
        <f t="shared" si="127"/>
        <v>0</v>
      </c>
      <c r="W780" s="2" t="b">
        <f t="shared" si="128"/>
        <v>0</v>
      </c>
      <c r="X780" s="2" t="b">
        <f t="shared" si="129"/>
        <v>0</v>
      </c>
    </row>
    <row r="781" spans="1:24" ht="10.5" customHeight="1">
      <c r="A781" s="2" t="s">
        <v>1142</v>
      </c>
      <c r="B781" s="3">
        <v>45806.60292824074</v>
      </c>
      <c r="C781" s="2" t="s">
        <v>147</v>
      </c>
      <c r="D781" s="2" t="s">
        <v>19</v>
      </c>
      <c r="E781" s="2" t="s">
        <v>65</v>
      </c>
      <c r="F781" s="4">
        <v>46000</v>
      </c>
      <c r="G781" s="5">
        <v>0.5</v>
      </c>
      <c r="H781" s="6">
        <v>0</v>
      </c>
      <c r="I781" s="7">
        <f t="shared" si="120"/>
        <v>23000</v>
      </c>
      <c r="J781" s="7">
        <f t="shared" si="121"/>
        <v>0</v>
      </c>
      <c r="K781" s="7">
        <f t="shared" si="122"/>
        <v>23000</v>
      </c>
      <c r="L781" s="4">
        <v>15000</v>
      </c>
      <c r="M781" s="7">
        <f t="shared" si="123"/>
        <v>38000</v>
      </c>
      <c r="N781" s="2" t="s">
        <v>33</v>
      </c>
      <c r="O781" t="s">
        <v>22</v>
      </c>
      <c r="P781" s="2" t="s">
        <v>2365</v>
      </c>
      <c r="Q781" s="2">
        <v>4</v>
      </c>
      <c r="R781" s="2" t="s">
        <v>23</v>
      </c>
      <c r="S781" s="2" t="str">
        <f t="shared" si="124"/>
        <v>Sangat Rendah</v>
      </c>
      <c r="T781" s="2" t="str">
        <f t="shared" si="125"/>
        <v>FALSE</v>
      </c>
      <c r="U781" s="2" t="str">
        <f t="shared" si="126"/>
        <v>FALSE</v>
      </c>
      <c r="V781" s="2" t="b">
        <f t="shared" si="127"/>
        <v>0</v>
      </c>
      <c r="W781" s="2" t="b">
        <f t="shared" si="128"/>
        <v>0</v>
      </c>
      <c r="X781" s="2" t="b">
        <f t="shared" si="129"/>
        <v>1</v>
      </c>
    </row>
    <row r="782" spans="1:24" ht="10.5" customHeight="1">
      <c r="A782" s="2" t="s">
        <v>1143</v>
      </c>
      <c r="B782" s="3">
        <v>45806.708981481483</v>
      </c>
      <c r="C782" s="2" t="s">
        <v>228</v>
      </c>
      <c r="D782" s="2" t="s">
        <v>229</v>
      </c>
      <c r="E782" s="2" t="s">
        <v>45</v>
      </c>
      <c r="F782" s="4">
        <v>10500</v>
      </c>
      <c r="G782" s="5">
        <v>2.2000000000000002</v>
      </c>
      <c r="H782" s="6">
        <v>0</v>
      </c>
      <c r="I782" s="7">
        <f t="shared" si="120"/>
        <v>23100.000000000004</v>
      </c>
      <c r="J782" s="7">
        <f t="shared" si="121"/>
        <v>0</v>
      </c>
      <c r="K782" s="7">
        <f t="shared" si="122"/>
        <v>23100.000000000004</v>
      </c>
      <c r="L782" s="4">
        <v>28000</v>
      </c>
      <c r="M782" s="7">
        <f t="shared" si="123"/>
        <v>51100</v>
      </c>
      <c r="N782" s="2" t="s">
        <v>28</v>
      </c>
      <c r="O782" t="s">
        <v>22</v>
      </c>
      <c r="P782" s="2" t="s">
        <v>2370</v>
      </c>
      <c r="Q782" s="2">
        <v>1</v>
      </c>
      <c r="R782" s="2" t="s">
        <v>23</v>
      </c>
      <c r="S782" s="2" t="str">
        <f t="shared" si="124"/>
        <v>Rendah</v>
      </c>
      <c r="T782" s="2" t="str">
        <f t="shared" si="125"/>
        <v>FALSE</v>
      </c>
      <c r="U782" s="2" t="str">
        <f t="shared" si="126"/>
        <v>FALSE</v>
      </c>
      <c r="V782" s="2" t="b">
        <f t="shared" si="127"/>
        <v>0</v>
      </c>
      <c r="W782" s="2" t="b">
        <f t="shared" si="128"/>
        <v>0</v>
      </c>
      <c r="X782" s="2" t="b">
        <f t="shared" si="129"/>
        <v>0</v>
      </c>
    </row>
    <row r="783" spans="1:24" ht="10.5" customHeight="1">
      <c r="A783" s="2" t="s">
        <v>1144</v>
      </c>
      <c r="B783" s="3">
        <v>45806.711481481478</v>
      </c>
      <c r="C783" s="2" t="s">
        <v>890</v>
      </c>
      <c r="D783" s="2" t="s">
        <v>26</v>
      </c>
      <c r="E783" s="2" t="s">
        <v>99</v>
      </c>
      <c r="F783" s="4">
        <v>10000</v>
      </c>
      <c r="G783" s="5">
        <v>0.7</v>
      </c>
      <c r="H783" s="6">
        <v>0</v>
      </c>
      <c r="I783" s="7">
        <f t="shared" si="120"/>
        <v>7000</v>
      </c>
      <c r="J783" s="7">
        <f t="shared" si="121"/>
        <v>0</v>
      </c>
      <c r="K783" s="7">
        <f t="shared" si="122"/>
        <v>7000</v>
      </c>
      <c r="L783" s="4">
        <v>17000</v>
      </c>
      <c r="M783" s="7">
        <f t="shared" si="123"/>
        <v>24000</v>
      </c>
      <c r="N783" s="2" t="s">
        <v>21</v>
      </c>
      <c r="O783" t="s">
        <v>22</v>
      </c>
      <c r="P783" s="2" t="s">
        <v>2367</v>
      </c>
      <c r="Q783" s="2">
        <v>3</v>
      </c>
      <c r="R783" s="2" t="s">
        <v>23</v>
      </c>
      <c r="S783" s="2" t="str">
        <f t="shared" si="124"/>
        <v>Sangat Rendah</v>
      </c>
      <c r="T783" s="2" t="str">
        <f t="shared" si="125"/>
        <v>FALSE</v>
      </c>
      <c r="U783" s="2" t="str">
        <f t="shared" si="126"/>
        <v>FALSE</v>
      </c>
      <c r="V783" s="2" t="b">
        <f t="shared" si="127"/>
        <v>0</v>
      </c>
      <c r="W783" s="2" t="b">
        <f t="shared" si="128"/>
        <v>1</v>
      </c>
      <c r="X783" s="2" t="b">
        <f t="shared" si="129"/>
        <v>1</v>
      </c>
    </row>
    <row r="784" spans="1:24" ht="10.5" customHeight="1">
      <c r="A784" s="2" t="s">
        <v>1145</v>
      </c>
      <c r="B784" s="3">
        <v>45806.725960648153</v>
      </c>
      <c r="C784" s="2" t="s">
        <v>117</v>
      </c>
      <c r="D784" s="2" t="s">
        <v>118</v>
      </c>
      <c r="E784" s="2" t="s">
        <v>27</v>
      </c>
      <c r="F784" s="4">
        <v>15000</v>
      </c>
      <c r="G784" s="5">
        <v>0.2</v>
      </c>
      <c r="H784" s="6">
        <v>0</v>
      </c>
      <c r="I784" s="7">
        <f t="shared" si="120"/>
        <v>3000</v>
      </c>
      <c r="J784" s="7">
        <f t="shared" si="121"/>
        <v>0</v>
      </c>
      <c r="K784" s="7">
        <f t="shared" si="122"/>
        <v>3000</v>
      </c>
      <c r="L784" s="4">
        <v>84000</v>
      </c>
      <c r="M784" s="7">
        <f t="shared" si="123"/>
        <v>87000</v>
      </c>
      <c r="N784" s="2" t="s">
        <v>21</v>
      </c>
      <c r="O784" t="s">
        <v>69</v>
      </c>
      <c r="P784" s="2" t="s">
        <v>2366</v>
      </c>
      <c r="Q784" s="2">
        <v>5</v>
      </c>
      <c r="R784" s="2" t="s">
        <v>23</v>
      </c>
      <c r="S784" s="2" t="str">
        <f t="shared" si="124"/>
        <v>Rendah</v>
      </c>
      <c r="T784" s="2" t="str">
        <f t="shared" si="125"/>
        <v>FALSE</v>
      </c>
      <c r="U784" s="2" t="str">
        <f t="shared" si="126"/>
        <v>FALSE</v>
      </c>
      <c r="V784" s="2" t="b">
        <f t="shared" si="127"/>
        <v>0</v>
      </c>
      <c r="W784" s="2" t="b">
        <f t="shared" si="128"/>
        <v>0</v>
      </c>
      <c r="X784" s="2" t="b">
        <f t="shared" si="129"/>
        <v>0</v>
      </c>
    </row>
    <row r="785" spans="1:24" ht="10.5" customHeight="1">
      <c r="A785" s="2" t="s">
        <v>1146</v>
      </c>
      <c r="B785" s="3">
        <v>45806.734131944453</v>
      </c>
      <c r="C785" s="2" t="s">
        <v>572</v>
      </c>
      <c r="D785" s="2" t="s">
        <v>425</v>
      </c>
      <c r="E785" s="2" t="s">
        <v>80</v>
      </c>
      <c r="F785" s="4">
        <v>15000</v>
      </c>
      <c r="G785" s="5">
        <v>0.6</v>
      </c>
      <c r="H785" s="6">
        <v>0</v>
      </c>
      <c r="I785" s="7">
        <f t="shared" si="120"/>
        <v>9000</v>
      </c>
      <c r="J785" s="7">
        <f t="shared" si="121"/>
        <v>0</v>
      </c>
      <c r="K785" s="7">
        <f t="shared" si="122"/>
        <v>9000</v>
      </c>
      <c r="L785" s="4">
        <v>67000</v>
      </c>
      <c r="M785" s="7">
        <f t="shared" si="123"/>
        <v>76000</v>
      </c>
      <c r="N785" s="2" t="s">
        <v>21</v>
      </c>
      <c r="O785" t="s">
        <v>22</v>
      </c>
      <c r="P785" s="2" t="s">
        <v>2368</v>
      </c>
      <c r="Q785" s="2">
        <v>1</v>
      </c>
      <c r="R785" s="2" t="s">
        <v>23</v>
      </c>
      <c r="S785" s="2" t="str">
        <f t="shared" si="124"/>
        <v>Rendah</v>
      </c>
      <c r="T785" s="2" t="str">
        <f t="shared" si="125"/>
        <v>FALSE</v>
      </c>
      <c r="U785" s="2" t="str">
        <f t="shared" si="126"/>
        <v>FALSE</v>
      </c>
      <c r="V785" s="2" t="b">
        <f t="shared" si="127"/>
        <v>0</v>
      </c>
      <c r="W785" s="2" t="b">
        <f t="shared" si="128"/>
        <v>0</v>
      </c>
      <c r="X785" s="2" t="b">
        <f t="shared" si="129"/>
        <v>0</v>
      </c>
    </row>
    <row r="786" spans="1:24" ht="10.5" customHeight="1">
      <c r="A786" s="2" t="s">
        <v>1147</v>
      </c>
      <c r="B786" s="3">
        <v>45806.747407407413</v>
      </c>
      <c r="C786" s="2" t="s">
        <v>683</v>
      </c>
      <c r="D786" s="2" t="s">
        <v>111</v>
      </c>
      <c r="E786" s="2" t="s">
        <v>41</v>
      </c>
      <c r="F786" s="4">
        <v>40000</v>
      </c>
      <c r="G786" s="5">
        <v>1</v>
      </c>
      <c r="H786" s="6">
        <v>0</v>
      </c>
      <c r="I786" s="7">
        <f t="shared" si="120"/>
        <v>40000</v>
      </c>
      <c r="J786" s="7">
        <f t="shared" si="121"/>
        <v>0</v>
      </c>
      <c r="K786" s="7">
        <f t="shared" si="122"/>
        <v>40000</v>
      </c>
      <c r="L786" s="4">
        <v>0</v>
      </c>
      <c r="M786" s="7">
        <f t="shared" si="123"/>
        <v>40000</v>
      </c>
      <c r="N786" s="2" t="s">
        <v>21</v>
      </c>
      <c r="O786" t="s">
        <v>22</v>
      </c>
      <c r="P786" s="2" t="s">
        <v>2368</v>
      </c>
      <c r="Q786" s="2">
        <v>1</v>
      </c>
      <c r="R786" s="2" t="s">
        <v>23</v>
      </c>
      <c r="S786" s="2" t="str">
        <f t="shared" si="124"/>
        <v>Sangat Rendah</v>
      </c>
      <c r="T786" s="2" t="str">
        <f t="shared" si="125"/>
        <v>FALSE</v>
      </c>
      <c r="U786" s="2" t="str">
        <f t="shared" si="126"/>
        <v>FALSE</v>
      </c>
      <c r="V786" s="2" t="b">
        <f t="shared" si="127"/>
        <v>0</v>
      </c>
      <c r="W786" s="2" t="b">
        <f t="shared" si="128"/>
        <v>0</v>
      </c>
      <c r="X786" s="2" t="b">
        <f t="shared" si="129"/>
        <v>1</v>
      </c>
    </row>
    <row r="787" spans="1:24" ht="10.5" customHeight="1">
      <c r="A787" s="2" t="s">
        <v>1148</v>
      </c>
      <c r="B787" s="3">
        <v>45806.811631944453</v>
      </c>
      <c r="C787" s="2" t="s">
        <v>234</v>
      </c>
      <c r="D787" s="2" t="s">
        <v>235</v>
      </c>
      <c r="E787" s="2" t="s">
        <v>95</v>
      </c>
      <c r="F787" s="4">
        <v>9500</v>
      </c>
      <c r="G787" s="5">
        <v>2.7</v>
      </c>
      <c r="H787" s="6">
        <v>0</v>
      </c>
      <c r="I787" s="7">
        <f t="shared" si="120"/>
        <v>25650</v>
      </c>
      <c r="J787" s="7">
        <f t="shared" si="121"/>
        <v>0</v>
      </c>
      <c r="K787" s="7">
        <f t="shared" si="122"/>
        <v>25650</v>
      </c>
      <c r="L787" s="4">
        <v>80000</v>
      </c>
      <c r="M787" s="7">
        <f t="shared" si="123"/>
        <v>105650</v>
      </c>
      <c r="N787" s="2" t="s">
        <v>28</v>
      </c>
      <c r="O787" t="s">
        <v>22</v>
      </c>
      <c r="P787" s="2" t="s">
        <v>2367</v>
      </c>
      <c r="Q787" s="2">
        <v>3</v>
      </c>
      <c r="R787" s="2" t="s">
        <v>34</v>
      </c>
      <c r="S787" s="2" t="str">
        <f t="shared" si="124"/>
        <v>Standar</v>
      </c>
      <c r="T787" s="2" t="str">
        <f t="shared" si="125"/>
        <v>FALSE</v>
      </c>
      <c r="U787" s="2" t="str">
        <f t="shared" si="126"/>
        <v>FALSE</v>
      </c>
      <c r="V787" s="2" t="b">
        <f t="shared" si="127"/>
        <v>0</v>
      </c>
      <c r="W787" s="2" t="b">
        <f t="shared" si="128"/>
        <v>1</v>
      </c>
      <c r="X787" s="2" t="b">
        <f t="shared" si="129"/>
        <v>0</v>
      </c>
    </row>
    <row r="788" spans="1:24" ht="10.5" customHeight="1">
      <c r="A788" s="2" t="s">
        <v>1149</v>
      </c>
      <c r="B788" s="3">
        <v>45806.880300925928</v>
      </c>
      <c r="C788" s="2" t="s">
        <v>1150</v>
      </c>
      <c r="D788" s="2" t="s">
        <v>87</v>
      </c>
      <c r="E788" s="2" t="s">
        <v>99</v>
      </c>
      <c r="F788" s="4">
        <v>10000</v>
      </c>
      <c r="G788" s="5">
        <v>0.9</v>
      </c>
      <c r="H788" s="6">
        <v>0</v>
      </c>
      <c r="I788" s="7">
        <f t="shared" si="120"/>
        <v>9000</v>
      </c>
      <c r="J788" s="7">
        <f t="shared" si="121"/>
        <v>0</v>
      </c>
      <c r="K788" s="7">
        <f t="shared" si="122"/>
        <v>9000</v>
      </c>
      <c r="L788" s="4">
        <v>49000</v>
      </c>
      <c r="M788" s="7">
        <f t="shared" si="123"/>
        <v>58000</v>
      </c>
      <c r="N788" s="2" t="s">
        <v>58</v>
      </c>
      <c r="O788" t="s">
        <v>69</v>
      </c>
      <c r="P788" s="2" t="s">
        <v>2368</v>
      </c>
      <c r="Q788" s="2">
        <v>3</v>
      </c>
      <c r="R788" s="2" t="s">
        <v>23</v>
      </c>
      <c r="S788" s="2" t="str">
        <f t="shared" si="124"/>
        <v>Rendah</v>
      </c>
      <c r="T788" s="2" t="str">
        <f t="shared" si="125"/>
        <v>FALSE</v>
      </c>
      <c r="U788" s="2" t="str">
        <f t="shared" si="126"/>
        <v>FALSE</v>
      </c>
      <c r="V788" s="2" t="b">
        <f t="shared" si="127"/>
        <v>0</v>
      </c>
      <c r="W788" s="2" t="b">
        <f t="shared" si="128"/>
        <v>0</v>
      </c>
      <c r="X788" s="2" t="b">
        <f t="shared" si="129"/>
        <v>0</v>
      </c>
    </row>
    <row r="789" spans="1:24" ht="10.5" customHeight="1">
      <c r="A789" s="2" t="s">
        <v>1151</v>
      </c>
      <c r="B789" s="3">
        <v>45806.948171296302</v>
      </c>
      <c r="C789" s="2" t="s">
        <v>826</v>
      </c>
      <c r="D789" s="2" t="s">
        <v>31</v>
      </c>
      <c r="E789" s="2" t="s">
        <v>80</v>
      </c>
      <c r="F789" s="4">
        <v>15000</v>
      </c>
      <c r="G789" s="5">
        <v>0.9</v>
      </c>
      <c r="H789" s="6">
        <v>0</v>
      </c>
      <c r="I789" s="7">
        <f t="shared" si="120"/>
        <v>13500</v>
      </c>
      <c r="J789" s="7">
        <f t="shared" si="121"/>
        <v>0</v>
      </c>
      <c r="K789" s="7">
        <f t="shared" si="122"/>
        <v>13500</v>
      </c>
      <c r="L789" s="4">
        <v>76000</v>
      </c>
      <c r="M789" s="7">
        <f t="shared" si="123"/>
        <v>89500</v>
      </c>
      <c r="N789" s="2" t="s">
        <v>28</v>
      </c>
      <c r="O789" t="s">
        <v>22</v>
      </c>
      <c r="P789" s="2" t="s">
        <v>2370</v>
      </c>
      <c r="Q789" s="2">
        <v>2</v>
      </c>
      <c r="R789" s="2" t="s">
        <v>34</v>
      </c>
      <c r="S789" s="2" t="str">
        <f t="shared" si="124"/>
        <v>Rendah</v>
      </c>
      <c r="T789" s="2" t="str">
        <f t="shared" si="125"/>
        <v>FALSE</v>
      </c>
      <c r="U789" s="2" t="str">
        <f t="shared" si="126"/>
        <v>FALSE</v>
      </c>
      <c r="V789" s="2" t="b">
        <f t="shared" si="127"/>
        <v>0</v>
      </c>
      <c r="W789" s="2" t="b">
        <f t="shared" si="128"/>
        <v>0</v>
      </c>
      <c r="X789" s="2" t="b">
        <f t="shared" si="129"/>
        <v>0</v>
      </c>
    </row>
    <row r="790" spans="1:24" ht="10.5" customHeight="1">
      <c r="A790" s="2" t="s">
        <v>1152</v>
      </c>
      <c r="B790" s="3">
        <v>45807.089583333327</v>
      </c>
      <c r="C790" s="2" t="s">
        <v>1056</v>
      </c>
      <c r="D790" s="2" t="s">
        <v>105</v>
      </c>
      <c r="E790" s="2" t="s">
        <v>41</v>
      </c>
      <c r="F790" s="4">
        <v>40000</v>
      </c>
      <c r="G790" s="5">
        <v>1.1000000000000001</v>
      </c>
      <c r="H790" s="6">
        <v>0</v>
      </c>
      <c r="I790" s="7">
        <f t="shared" si="120"/>
        <v>44000</v>
      </c>
      <c r="J790" s="7">
        <f t="shared" si="121"/>
        <v>0</v>
      </c>
      <c r="K790" s="7">
        <f t="shared" si="122"/>
        <v>44000</v>
      </c>
      <c r="L790" s="4">
        <v>18000</v>
      </c>
      <c r="M790" s="7">
        <f t="shared" si="123"/>
        <v>62000</v>
      </c>
      <c r="N790" s="2" t="s">
        <v>58</v>
      </c>
      <c r="O790" t="s">
        <v>115</v>
      </c>
      <c r="P790" s="2" t="s">
        <v>2367</v>
      </c>
      <c r="Q790" s="2">
        <v>3</v>
      </c>
      <c r="R790" s="2" t="s">
        <v>23</v>
      </c>
      <c r="S790" s="2" t="str">
        <f t="shared" si="124"/>
        <v>Rendah</v>
      </c>
      <c r="T790" s="2" t="str">
        <f t="shared" si="125"/>
        <v>FALSE</v>
      </c>
      <c r="U790" s="2" t="str">
        <f t="shared" si="126"/>
        <v>FALSE</v>
      </c>
      <c r="V790" s="2" t="b">
        <f t="shared" si="127"/>
        <v>0</v>
      </c>
      <c r="W790" s="2" t="b">
        <f t="shared" si="128"/>
        <v>1</v>
      </c>
      <c r="X790" s="2" t="b">
        <f t="shared" si="129"/>
        <v>0</v>
      </c>
    </row>
    <row r="791" spans="1:24" ht="10.5" customHeight="1">
      <c r="A791" s="2" t="s">
        <v>1153</v>
      </c>
      <c r="B791" s="3">
        <v>45807.213217592587</v>
      </c>
      <c r="C791" s="2" t="s">
        <v>644</v>
      </c>
      <c r="D791" s="2" t="s">
        <v>365</v>
      </c>
      <c r="E791" s="2" t="s">
        <v>49</v>
      </c>
      <c r="F791" s="4">
        <v>26000</v>
      </c>
      <c r="G791" s="5">
        <v>1.1000000000000001</v>
      </c>
      <c r="H791" s="6">
        <v>0</v>
      </c>
      <c r="I791" s="7">
        <f t="shared" si="120"/>
        <v>28600.000000000004</v>
      </c>
      <c r="J791" s="7">
        <f t="shared" si="121"/>
        <v>0</v>
      </c>
      <c r="K791" s="7">
        <f t="shared" si="122"/>
        <v>28600.000000000004</v>
      </c>
      <c r="L791" s="4">
        <v>21000</v>
      </c>
      <c r="M791" s="7">
        <f t="shared" si="123"/>
        <v>49600</v>
      </c>
      <c r="N791" s="2" t="s">
        <v>58</v>
      </c>
      <c r="O791" t="s">
        <v>22</v>
      </c>
      <c r="P791" s="2" t="s">
        <v>2365</v>
      </c>
      <c r="Q791" s="2">
        <v>5</v>
      </c>
      <c r="R791" s="2" t="s">
        <v>23</v>
      </c>
      <c r="S791" s="2" t="str">
        <f t="shared" si="124"/>
        <v>Sangat Rendah</v>
      </c>
      <c r="T791" s="2" t="str">
        <f t="shared" si="125"/>
        <v>FALSE</v>
      </c>
      <c r="U791" s="2" t="str">
        <f t="shared" si="126"/>
        <v>FALSE</v>
      </c>
      <c r="V791" s="2" t="b">
        <f t="shared" si="127"/>
        <v>0</v>
      </c>
      <c r="W791" s="2" t="b">
        <f t="shared" si="128"/>
        <v>0</v>
      </c>
      <c r="X791" s="2" t="b">
        <f t="shared" si="129"/>
        <v>1</v>
      </c>
    </row>
    <row r="792" spans="1:24" ht="10.5" customHeight="1">
      <c r="A792" s="2" t="s">
        <v>1154</v>
      </c>
      <c r="B792" s="3">
        <v>45807.301608796297</v>
      </c>
      <c r="C792" s="2" t="s">
        <v>301</v>
      </c>
      <c r="D792" s="2" t="s">
        <v>108</v>
      </c>
      <c r="E792" s="2" t="s">
        <v>182</v>
      </c>
      <c r="F792" s="4">
        <v>11000</v>
      </c>
      <c r="G792" s="5">
        <v>1.3</v>
      </c>
      <c r="H792" s="6">
        <v>0</v>
      </c>
      <c r="I792" s="7">
        <f t="shared" si="120"/>
        <v>14300</v>
      </c>
      <c r="J792" s="7">
        <f t="shared" si="121"/>
        <v>0</v>
      </c>
      <c r="K792" s="7">
        <f t="shared" si="122"/>
        <v>14300</v>
      </c>
      <c r="L792" s="4">
        <v>72000</v>
      </c>
      <c r="M792" s="7">
        <f t="shared" si="123"/>
        <v>86300</v>
      </c>
      <c r="N792" s="2" t="s">
        <v>58</v>
      </c>
      <c r="O792" t="s">
        <v>22</v>
      </c>
      <c r="P792" s="2" t="s">
        <v>2370</v>
      </c>
      <c r="Q792" s="2">
        <v>3</v>
      </c>
      <c r="R792" s="2" t="s">
        <v>23</v>
      </c>
      <c r="S792" s="2" t="str">
        <f t="shared" si="124"/>
        <v>Rendah</v>
      </c>
      <c r="T792" s="2" t="str">
        <f t="shared" si="125"/>
        <v>FALSE</v>
      </c>
      <c r="U792" s="2" t="str">
        <f t="shared" si="126"/>
        <v>FALSE</v>
      </c>
      <c r="V792" s="2" t="b">
        <f t="shared" si="127"/>
        <v>0</v>
      </c>
      <c r="W792" s="2" t="b">
        <f t="shared" si="128"/>
        <v>0</v>
      </c>
      <c r="X792" s="2" t="b">
        <f t="shared" si="129"/>
        <v>0</v>
      </c>
    </row>
    <row r="793" spans="1:24" ht="10.5" customHeight="1">
      <c r="A793" s="2" t="s">
        <v>1155</v>
      </c>
      <c r="B793" s="3">
        <v>45807.422893518517</v>
      </c>
      <c r="C793" s="2" t="s">
        <v>1037</v>
      </c>
      <c r="D793" s="2" t="s">
        <v>150</v>
      </c>
      <c r="E793" s="2" t="s">
        <v>80</v>
      </c>
      <c r="F793" s="4">
        <v>15000</v>
      </c>
      <c r="G793" s="5">
        <v>2</v>
      </c>
      <c r="H793" s="6">
        <v>0</v>
      </c>
      <c r="I793" s="7">
        <f t="shared" si="120"/>
        <v>30000</v>
      </c>
      <c r="J793" s="7">
        <f t="shared" si="121"/>
        <v>0</v>
      </c>
      <c r="K793" s="7">
        <f t="shared" si="122"/>
        <v>30000</v>
      </c>
      <c r="L793" s="4">
        <v>68000</v>
      </c>
      <c r="M793" s="7">
        <f t="shared" si="123"/>
        <v>98000</v>
      </c>
      <c r="N793" s="2" t="s">
        <v>58</v>
      </c>
      <c r="O793" t="s">
        <v>22</v>
      </c>
      <c r="P793" s="2" t="s">
        <v>2368</v>
      </c>
      <c r="Q793" s="2">
        <v>4</v>
      </c>
      <c r="R793" s="2" t="s">
        <v>23</v>
      </c>
      <c r="S793" s="2" t="str">
        <f t="shared" si="124"/>
        <v>Rendah</v>
      </c>
      <c r="T793" s="2" t="str">
        <f t="shared" si="125"/>
        <v>FALSE</v>
      </c>
      <c r="U793" s="2" t="str">
        <f t="shared" si="126"/>
        <v>FALSE</v>
      </c>
      <c r="V793" s="2" t="b">
        <f t="shared" si="127"/>
        <v>0</v>
      </c>
      <c r="W793" s="2" t="b">
        <f t="shared" si="128"/>
        <v>0</v>
      </c>
      <c r="X793" s="2" t="b">
        <f t="shared" si="129"/>
        <v>0</v>
      </c>
    </row>
    <row r="794" spans="1:24" ht="10.5" customHeight="1">
      <c r="A794" s="2" t="s">
        <v>1156</v>
      </c>
      <c r="B794" s="3">
        <v>45807.462673611109</v>
      </c>
      <c r="C794" s="2" t="s">
        <v>406</v>
      </c>
      <c r="D794" s="2" t="s">
        <v>123</v>
      </c>
      <c r="E794" s="2" t="s">
        <v>99</v>
      </c>
      <c r="F794" s="4">
        <v>10000</v>
      </c>
      <c r="G794" s="5">
        <v>0.4</v>
      </c>
      <c r="H794" s="6">
        <v>0</v>
      </c>
      <c r="I794" s="7">
        <f t="shared" si="120"/>
        <v>4000</v>
      </c>
      <c r="J794" s="7">
        <f t="shared" si="121"/>
        <v>0</v>
      </c>
      <c r="K794" s="7">
        <f t="shared" si="122"/>
        <v>4000</v>
      </c>
      <c r="L794" s="4">
        <v>59000</v>
      </c>
      <c r="M794" s="7">
        <f t="shared" si="123"/>
        <v>63000</v>
      </c>
      <c r="N794" s="2" t="s">
        <v>58</v>
      </c>
      <c r="O794" t="s">
        <v>22</v>
      </c>
      <c r="P794" s="2" t="s">
        <v>2367</v>
      </c>
      <c r="Q794" s="2">
        <v>4</v>
      </c>
      <c r="R794" s="2" t="s">
        <v>23</v>
      </c>
      <c r="S794" s="2" t="str">
        <f t="shared" si="124"/>
        <v>Rendah</v>
      </c>
      <c r="T794" s="2" t="str">
        <f t="shared" si="125"/>
        <v>FALSE</v>
      </c>
      <c r="U794" s="2" t="str">
        <f t="shared" si="126"/>
        <v>FALSE</v>
      </c>
      <c r="V794" s="2" t="b">
        <f t="shared" si="127"/>
        <v>0</v>
      </c>
      <c r="W794" s="2" t="b">
        <f t="shared" si="128"/>
        <v>1</v>
      </c>
      <c r="X794" s="2" t="b">
        <f t="shared" si="129"/>
        <v>0</v>
      </c>
    </row>
    <row r="795" spans="1:24" ht="10.5" customHeight="1">
      <c r="A795" s="2" t="s">
        <v>1157</v>
      </c>
      <c r="B795" s="3">
        <v>45807.490277777782</v>
      </c>
      <c r="C795" s="2" t="s">
        <v>547</v>
      </c>
      <c r="D795" s="2" t="s">
        <v>164</v>
      </c>
      <c r="E795" s="2" t="s">
        <v>20</v>
      </c>
      <c r="F795" s="4">
        <v>10000</v>
      </c>
      <c r="G795" s="5">
        <v>1.5</v>
      </c>
      <c r="H795" s="6">
        <v>0</v>
      </c>
      <c r="I795" s="7">
        <f t="shared" si="120"/>
        <v>15000</v>
      </c>
      <c r="J795" s="7">
        <f t="shared" si="121"/>
        <v>0</v>
      </c>
      <c r="K795" s="7">
        <f t="shared" si="122"/>
        <v>15000</v>
      </c>
      <c r="L795" s="4">
        <v>49000</v>
      </c>
      <c r="M795" s="7">
        <f t="shared" si="123"/>
        <v>64000</v>
      </c>
      <c r="N795" s="2" t="s">
        <v>33</v>
      </c>
      <c r="O795" t="s">
        <v>69</v>
      </c>
      <c r="P795" s="2" t="s">
        <v>2365</v>
      </c>
      <c r="Q795" s="2">
        <v>3</v>
      </c>
      <c r="R795" s="2" t="s">
        <v>23</v>
      </c>
      <c r="S795" s="2" t="str">
        <f t="shared" si="124"/>
        <v>Rendah</v>
      </c>
      <c r="T795" s="2" t="str">
        <f t="shared" si="125"/>
        <v>FALSE</v>
      </c>
      <c r="U795" s="2" t="str">
        <f t="shared" si="126"/>
        <v>FALSE</v>
      </c>
      <c r="V795" s="2" t="b">
        <f t="shared" si="127"/>
        <v>0</v>
      </c>
      <c r="W795" s="2" t="b">
        <f t="shared" si="128"/>
        <v>0</v>
      </c>
      <c r="X795" s="2" t="b">
        <f t="shared" si="129"/>
        <v>0</v>
      </c>
    </row>
    <row r="796" spans="1:24" ht="10.5" customHeight="1">
      <c r="A796" s="2" t="s">
        <v>1158</v>
      </c>
      <c r="B796" s="3">
        <v>45807.525185185194</v>
      </c>
      <c r="C796" s="2" t="s">
        <v>588</v>
      </c>
      <c r="D796" s="2" t="s">
        <v>56</v>
      </c>
      <c r="E796" s="2" t="s">
        <v>41</v>
      </c>
      <c r="F796" s="4">
        <v>40000</v>
      </c>
      <c r="G796" s="5">
        <v>1.2</v>
      </c>
      <c r="H796" s="6">
        <v>0</v>
      </c>
      <c r="I796" s="7">
        <f t="shared" si="120"/>
        <v>48000</v>
      </c>
      <c r="J796" s="7">
        <f t="shared" si="121"/>
        <v>0</v>
      </c>
      <c r="K796" s="7">
        <f t="shared" si="122"/>
        <v>48000</v>
      </c>
      <c r="L796" s="4">
        <v>26000</v>
      </c>
      <c r="M796" s="7">
        <f t="shared" si="123"/>
        <v>74000</v>
      </c>
      <c r="N796" s="2" t="s">
        <v>33</v>
      </c>
      <c r="O796" t="s">
        <v>22</v>
      </c>
      <c r="P796" s="2" t="s">
        <v>2366</v>
      </c>
      <c r="Q796" s="2">
        <v>3</v>
      </c>
      <c r="R796" s="2" t="s">
        <v>23</v>
      </c>
      <c r="S796" s="2" t="str">
        <f t="shared" si="124"/>
        <v>Rendah</v>
      </c>
      <c r="T796" s="2" t="str">
        <f t="shared" si="125"/>
        <v>FALSE</v>
      </c>
      <c r="U796" s="2" t="str">
        <f t="shared" si="126"/>
        <v>FALSE</v>
      </c>
      <c r="V796" s="2" t="b">
        <f t="shared" si="127"/>
        <v>0</v>
      </c>
      <c r="W796" s="2" t="b">
        <f t="shared" si="128"/>
        <v>0</v>
      </c>
      <c r="X796" s="2" t="b">
        <f t="shared" si="129"/>
        <v>0</v>
      </c>
    </row>
    <row r="797" spans="1:24" ht="10.5" customHeight="1">
      <c r="A797" s="2" t="s">
        <v>1159</v>
      </c>
      <c r="B797" s="3">
        <v>45807.526180555556</v>
      </c>
      <c r="C797" s="2" t="s">
        <v>634</v>
      </c>
      <c r="D797" s="2" t="s">
        <v>235</v>
      </c>
      <c r="E797" s="2" t="s">
        <v>80</v>
      </c>
      <c r="F797" s="4">
        <v>15000</v>
      </c>
      <c r="G797" s="5">
        <v>2.2999999999999998</v>
      </c>
      <c r="H797" s="6">
        <v>0</v>
      </c>
      <c r="I797" s="7">
        <f t="shared" si="120"/>
        <v>34500</v>
      </c>
      <c r="J797" s="7">
        <f t="shared" si="121"/>
        <v>0</v>
      </c>
      <c r="K797" s="7">
        <f t="shared" si="122"/>
        <v>34500</v>
      </c>
      <c r="L797" s="4">
        <v>80000</v>
      </c>
      <c r="M797" s="7">
        <f t="shared" si="123"/>
        <v>114500</v>
      </c>
      <c r="N797" s="2" t="s">
        <v>28</v>
      </c>
      <c r="O797" t="s">
        <v>22</v>
      </c>
      <c r="P797" s="2" t="s">
        <v>2370</v>
      </c>
      <c r="Q797" s="2">
        <v>1</v>
      </c>
      <c r="R797" s="2" t="s">
        <v>23</v>
      </c>
      <c r="S797" s="2" t="str">
        <f t="shared" si="124"/>
        <v>Standar</v>
      </c>
      <c r="T797" s="2" t="str">
        <f t="shared" si="125"/>
        <v>FALSE</v>
      </c>
      <c r="U797" s="2" t="str">
        <f t="shared" si="126"/>
        <v>FALSE</v>
      </c>
      <c r="V797" s="2" t="b">
        <f t="shared" si="127"/>
        <v>0</v>
      </c>
      <c r="W797" s="2" t="b">
        <f t="shared" si="128"/>
        <v>0</v>
      </c>
      <c r="X797" s="2" t="b">
        <f t="shared" si="129"/>
        <v>0</v>
      </c>
    </row>
    <row r="798" spans="1:24" ht="10.5" customHeight="1">
      <c r="A798" s="2" t="s">
        <v>1160</v>
      </c>
      <c r="B798" s="3">
        <v>45807.533113425918</v>
      </c>
      <c r="C798" s="2" t="s">
        <v>343</v>
      </c>
      <c r="D798" s="2" t="s">
        <v>61</v>
      </c>
      <c r="E798" s="2" t="s">
        <v>20</v>
      </c>
      <c r="F798" s="4">
        <v>10000</v>
      </c>
      <c r="G798" s="5">
        <v>1.7</v>
      </c>
      <c r="H798" s="6">
        <v>0</v>
      </c>
      <c r="I798" s="7">
        <f t="shared" si="120"/>
        <v>17000</v>
      </c>
      <c r="J798" s="7">
        <f t="shared" si="121"/>
        <v>0</v>
      </c>
      <c r="K798" s="7">
        <f t="shared" si="122"/>
        <v>17000</v>
      </c>
      <c r="L798" s="4">
        <v>59000</v>
      </c>
      <c r="M798" s="7">
        <f t="shared" si="123"/>
        <v>76000</v>
      </c>
      <c r="N798" s="2" t="s">
        <v>33</v>
      </c>
      <c r="O798" t="s">
        <v>22</v>
      </c>
      <c r="P798" s="2" t="s">
        <v>2365</v>
      </c>
      <c r="Q798" s="2">
        <v>5</v>
      </c>
      <c r="R798" s="2" t="s">
        <v>23</v>
      </c>
      <c r="S798" s="2" t="str">
        <f t="shared" si="124"/>
        <v>Rendah</v>
      </c>
      <c r="T798" s="2" t="str">
        <f t="shared" si="125"/>
        <v>FALSE</v>
      </c>
      <c r="U798" s="2" t="str">
        <f t="shared" si="126"/>
        <v>FALSE</v>
      </c>
      <c r="V798" s="2" t="b">
        <f t="shared" si="127"/>
        <v>0</v>
      </c>
      <c r="W798" s="2" t="b">
        <f t="shared" si="128"/>
        <v>0</v>
      </c>
      <c r="X798" s="2" t="b">
        <f t="shared" si="129"/>
        <v>0</v>
      </c>
    </row>
    <row r="799" spans="1:24" ht="10.5" customHeight="1">
      <c r="A799" s="2" t="s">
        <v>1161</v>
      </c>
      <c r="B799" s="3">
        <v>45807.57240740741</v>
      </c>
      <c r="C799" s="2" t="s">
        <v>427</v>
      </c>
      <c r="D799" s="2" t="s">
        <v>365</v>
      </c>
      <c r="E799" s="2" t="s">
        <v>182</v>
      </c>
      <c r="F799" s="4">
        <v>11000</v>
      </c>
      <c r="G799" s="5">
        <v>1</v>
      </c>
      <c r="H799" s="6">
        <v>0</v>
      </c>
      <c r="I799" s="7">
        <f t="shared" si="120"/>
        <v>11000</v>
      </c>
      <c r="J799" s="7">
        <f t="shared" si="121"/>
        <v>0</v>
      </c>
      <c r="K799" s="7">
        <f t="shared" si="122"/>
        <v>11000</v>
      </c>
      <c r="L799" s="4">
        <v>21000</v>
      </c>
      <c r="M799" s="7">
        <f t="shared" si="123"/>
        <v>32000</v>
      </c>
      <c r="N799" s="2" t="s">
        <v>33</v>
      </c>
      <c r="O799" t="s">
        <v>22</v>
      </c>
      <c r="P799" s="2" t="s">
        <v>2368</v>
      </c>
      <c r="Q799" s="2">
        <v>2</v>
      </c>
      <c r="R799" s="2" t="s">
        <v>23</v>
      </c>
      <c r="S799" s="2" t="str">
        <f t="shared" si="124"/>
        <v>Sangat Rendah</v>
      </c>
      <c r="T799" s="2" t="str">
        <f t="shared" si="125"/>
        <v>FALSE</v>
      </c>
      <c r="U799" s="2" t="str">
        <f t="shared" si="126"/>
        <v>FALSE</v>
      </c>
      <c r="V799" s="2" t="b">
        <f t="shared" si="127"/>
        <v>0</v>
      </c>
      <c r="W799" s="2" t="b">
        <f t="shared" si="128"/>
        <v>0</v>
      </c>
      <c r="X799" s="2" t="b">
        <f t="shared" si="129"/>
        <v>1</v>
      </c>
    </row>
    <row r="800" spans="1:24" ht="10.5" customHeight="1">
      <c r="A800" s="2" t="s">
        <v>1162</v>
      </c>
      <c r="B800" s="3">
        <v>45807.581770833327</v>
      </c>
      <c r="C800" s="2" t="s">
        <v>1163</v>
      </c>
      <c r="D800" s="2" t="s">
        <v>160</v>
      </c>
      <c r="E800" s="2" t="s">
        <v>20</v>
      </c>
      <c r="F800" s="4">
        <v>10000</v>
      </c>
      <c r="G800" s="5">
        <v>1.8</v>
      </c>
      <c r="H800" s="6">
        <v>0</v>
      </c>
      <c r="I800" s="7">
        <f t="shared" si="120"/>
        <v>18000</v>
      </c>
      <c r="J800" s="7">
        <f t="shared" si="121"/>
        <v>0</v>
      </c>
      <c r="K800" s="7">
        <f t="shared" si="122"/>
        <v>18000</v>
      </c>
      <c r="L800" s="4">
        <v>46000</v>
      </c>
      <c r="M800" s="7">
        <f t="shared" si="123"/>
        <v>64000</v>
      </c>
      <c r="N800" s="2" t="s">
        <v>33</v>
      </c>
      <c r="O800" t="s">
        <v>22</v>
      </c>
      <c r="P800" s="2" t="s">
        <v>2368</v>
      </c>
      <c r="Q800" s="2">
        <v>2</v>
      </c>
      <c r="R800" s="2" t="s">
        <v>23</v>
      </c>
      <c r="S800" s="2" t="str">
        <f t="shared" si="124"/>
        <v>Rendah</v>
      </c>
      <c r="T800" s="2" t="str">
        <f t="shared" si="125"/>
        <v>FALSE</v>
      </c>
      <c r="U800" s="2" t="str">
        <f t="shared" si="126"/>
        <v>FALSE</v>
      </c>
      <c r="V800" s="2" t="b">
        <f t="shared" si="127"/>
        <v>0</v>
      </c>
      <c r="W800" s="2" t="b">
        <f t="shared" si="128"/>
        <v>0</v>
      </c>
      <c r="X800" s="2" t="b">
        <f t="shared" si="129"/>
        <v>0</v>
      </c>
    </row>
    <row r="801" spans="1:24" ht="10.5" customHeight="1">
      <c r="A801" s="2" t="s">
        <v>1164</v>
      </c>
      <c r="B801" s="3">
        <v>45807.624131944453</v>
      </c>
      <c r="C801" s="2" t="s">
        <v>220</v>
      </c>
      <c r="D801" s="2" t="s">
        <v>185</v>
      </c>
      <c r="E801" s="2" t="s">
        <v>32</v>
      </c>
      <c r="F801" s="4">
        <v>20000</v>
      </c>
      <c r="G801" s="5">
        <v>0.9</v>
      </c>
      <c r="H801" s="6">
        <v>0</v>
      </c>
      <c r="I801" s="7">
        <f t="shared" si="120"/>
        <v>18000</v>
      </c>
      <c r="J801" s="7">
        <f t="shared" si="121"/>
        <v>0</v>
      </c>
      <c r="K801" s="7">
        <f t="shared" si="122"/>
        <v>18000</v>
      </c>
      <c r="L801" s="4">
        <v>87000</v>
      </c>
      <c r="M801" s="7">
        <f t="shared" si="123"/>
        <v>105000</v>
      </c>
      <c r="N801" s="2" t="s">
        <v>21</v>
      </c>
      <c r="O801" t="s">
        <v>115</v>
      </c>
      <c r="P801" s="2" t="s">
        <v>2365</v>
      </c>
      <c r="Q801" s="2">
        <v>1</v>
      </c>
      <c r="R801" s="2" t="s">
        <v>23</v>
      </c>
      <c r="S801" s="2" t="str">
        <f t="shared" si="124"/>
        <v>Standar</v>
      </c>
      <c r="T801" s="2" t="str">
        <f t="shared" si="125"/>
        <v>FALSE</v>
      </c>
      <c r="U801" s="2" t="str">
        <f t="shared" si="126"/>
        <v>FALSE</v>
      </c>
      <c r="V801" s="2" t="b">
        <f t="shared" si="127"/>
        <v>0</v>
      </c>
      <c r="W801" s="2" t="b">
        <f t="shared" si="128"/>
        <v>0</v>
      </c>
      <c r="X801" s="2" t="b">
        <f t="shared" si="129"/>
        <v>0</v>
      </c>
    </row>
    <row r="802" spans="1:24" ht="10.5" customHeight="1">
      <c r="A802" s="2" t="s">
        <v>1165</v>
      </c>
      <c r="B802" s="3">
        <v>45807.62605324074</v>
      </c>
      <c r="C802" s="2" t="s">
        <v>731</v>
      </c>
      <c r="D802" s="2" t="s">
        <v>179</v>
      </c>
      <c r="E802" s="2" t="s">
        <v>20</v>
      </c>
      <c r="F802" s="4">
        <v>10000</v>
      </c>
      <c r="G802" s="5">
        <v>1.7</v>
      </c>
      <c r="H802" s="6">
        <v>0</v>
      </c>
      <c r="I802" s="7">
        <f t="shared" si="120"/>
        <v>17000</v>
      </c>
      <c r="J802" s="7">
        <f t="shared" si="121"/>
        <v>0</v>
      </c>
      <c r="K802" s="7">
        <f t="shared" si="122"/>
        <v>17000</v>
      </c>
      <c r="L802" s="4">
        <v>57000</v>
      </c>
      <c r="M802" s="7">
        <f t="shared" si="123"/>
        <v>74000</v>
      </c>
      <c r="N802" s="2" t="s">
        <v>21</v>
      </c>
      <c r="O802" t="s">
        <v>22</v>
      </c>
      <c r="P802" s="2" t="s">
        <v>2365</v>
      </c>
      <c r="Q802" s="2">
        <v>5</v>
      </c>
      <c r="R802" s="2" t="s">
        <v>23</v>
      </c>
      <c r="S802" s="2" t="str">
        <f t="shared" si="124"/>
        <v>Rendah</v>
      </c>
      <c r="T802" s="2" t="str">
        <f t="shared" si="125"/>
        <v>FALSE</v>
      </c>
      <c r="U802" s="2" t="str">
        <f t="shared" si="126"/>
        <v>FALSE</v>
      </c>
      <c r="V802" s="2" t="b">
        <f t="shared" si="127"/>
        <v>0</v>
      </c>
      <c r="W802" s="2" t="b">
        <f t="shared" si="128"/>
        <v>0</v>
      </c>
      <c r="X802" s="2" t="b">
        <f t="shared" si="129"/>
        <v>0</v>
      </c>
    </row>
    <row r="803" spans="1:24" ht="10.5" customHeight="1">
      <c r="A803" s="2" t="s">
        <v>1166</v>
      </c>
      <c r="B803" s="3">
        <v>45807.713807870372</v>
      </c>
      <c r="C803" s="2" t="s">
        <v>794</v>
      </c>
      <c r="D803" s="2" t="s">
        <v>44</v>
      </c>
      <c r="E803" s="2" t="s">
        <v>75</v>
      </c>
      <c r="F803" s="4">
        <v>45000</v>
      </c>
      <c r="G803" s="5">
        <v>1.8</v>
      </c>
      <c r="H803" s="6">
        <v>0</v>
      </c>
      <c r="I803" s="7">
        <f t="shared" si="120"/>
        <v>81000</v>
      </c>
      <c r="J803" s="7">
        <f t="shared" si="121"/>
        <v>0</v>
      </c>
      <c r="K803" s="7">
        <f t="shared" si="122"/>
        <v>81000</v>
      </c>
      <c r="L803" s="4">
        <v>43000</v>
      </c>
      <c r="M803" s="7">
        <f t="shared" si="123"/>
        <v>124000</v>
      </c>
      <c r="N803" s="2" t="s">
        <v>28</v>
      </c>
      <c r="O803" t="s">
        <v>69</v>
      </c>
      <c r="P803" s="2" t="s">
        <v>2368</v>
      </c>
      <c r="Q803" s="2">
        <v>4</v>
      </c>
      <c r="R803" s="2" t="s">
        <v>23</v>
      </c>
      <c r="S803" s="2" t="str">
        <f t="shared" si="124"/>
        <v>Standar</v>
      </c>
      <c r="T803" s="2" t="str">
        <f t="shared" si="125"/>
        <v>FALSE</v>
      </c>
      <c r="U803" s="2" t="str">
        <f t="shared" si="126"/>
        <v>FALSE</v>
      </c>
      <c r="V803" s="2" t="b">
        <f t="shared" si="127"/>
        <v>0</v>
      </c>
      <c r="W803" s="2" t="b">
        <f t="shared" si="128"/>
        <v>0</v>
      </c>
      <c r="X803" s="2" t="b">
        <f t="shared" si="129"/>
        <v>0</v>
      </c>
    </row>
    <row r="804" spans="1:24" ht="10.5" customHeight="1">
      <c r="A804" s="2" t="s">
        <v>1167</v>
      </c>
      <c r="B804" s="3">
        <v>45807.790937500002</v>
      </c>
      <c r="C804" s="2" t="s">
        <v>213</v>
      </c>
      <c r="D804" s="2" t="s">
        <v>44</v>
      </c>
      <c r="E804" s="2" t="s">
        <v>49</v>
      </c>
      <c r="F804" s="4">
        <v>26000</v>
      </c>
      <c r="G804" s="5">
        <v>1.6</v>
      </c>
      <c r="H804" s="6">
        <v>0</v>
      </c>
      <c r="I804" s="7">
        <f t="shared" si="120"/>
        <v>41600</v>
      </c>
      <c r="J804" s="7">
        <f t="shared" si="121"/>
        <v>0</v>
      </c>
      <c r="K804" s="7">
        <f t="shared" si="122"/>
        <v>41600</v>
      </c>
      <c r="L804" s="4">
        <v>43000</v>
      </c>
      <c r="M804" s="7">
        <f t="shared" si="123"/>
        <v>84600</v>
      </c>
      <c r="N804" s="2" t="s">
        <v>21</v>
      </c>
      <c r="O804" t="s">
        <v>115</v>
      </c>
      <c r="P804" s="2" t="s">
        <v>2368</v>
      </c>
      <c r="Q804" s="2">
        <v>2</v>
      </c>
      <c r="R804" s="2" t="s">
        <v>23</v>
      </c>
      <c r="S804" s="2" t="str">
        <f t="shared" si="124"/>
        <v>Rendah</v>
      </c>
      <c r="T804" s="2" t="str">
        <f t="shared" si="125"/>
        <v>FALSE</v>
      </c>
      <c r="U804" s="2" t="str">
        <f t="shared" si="126"/>
        <v>FALSE</v>
      </c>
      <c r="V804" s="2" t="b">
        <f t="shared" si="127"/>
        <v>0</v>
      </c>
      <c r="W804" s="2" t="b">
        <f t="shared" si="128"/>
        <v>0</v>
      </c>
      <c r="X804" s="2" t="b">
        <f t="shared" si="129"/>
        <v>0</v>
      </c>
    </row>
    <row r="805" spans="1:24" ht="10.5" customHeight="1">
      <c r="A805" s="2" t="s">
        <v>1167</v>
      </c>
      <c r="B805" s="3">
        <v>45807.790937500002</v>
      </c>
      <c r="C805" s="2" t="s">
        <v>213</v>
      </c>
      <c r="D805" s="2" t="s">
        <v>44</v>
      </c>
      <c r="E805" s="2" t="s">
        <v>65</v>
      </c>
      <c r="F805" s="4">
        <v>46000</v>
      </c>
      <c r="G805" s="5">
        <v>0.3</v>
      </c>
      <c r="H805" s="6">
        <v>0</v>
      </c>
      <c r="I805" s="7">
        <f t="shared" si="120"/>
        <v>13800</v>
      </c>
      <c r="J805" s="7">
        <f t="shared" si="121"/>
        <v>0</v>
      </c>
      <c r="K805" s="7">
        <f t="shared" si="122"/>
        <v>13800</v>
      </c>
      <c r="L805" s="4">
        <v>0</v>
      </c>
      <c r="M805" s="7">
        <f t="shared" si="123"/>
        <v>13800</v>
      </c>
      <c r="N805" s="2" t="s">
        <v>21</v>
      </c>
      <c r="O805" t="s">
        <v>115</v>
      </c>
      <c r="P805" s="2" t="s">
        <v>2368</v>
      </c>
      <c r="Q805" s="2">
        <v>2</v>
      </c>
      <c r="R805" s="2" t="s">
        <v>23</v>
      </c>
      <c r="S805" s="2" t="str">
        <f t="shared" si="124"/>
        <v>Sangat Rendah</v>
      </c>
      <c r="T805" s="2" t="str">
        <f t="shared" si="125"/>
        <v>FALSE</v>
      </c>
      <c r="U805" s="2" t="str">
        <f t="shared" si="126"/>
        <v>FALSE</v>
      </c>
      <c r="V805" s="2" t="b">
        <f t="shared" si="127"/>
        <v>0</v>
      </c>
      <c r="W805" s="2" t="b">
        <f t="shared" si="128"/>
        <v>0</v>
      </c>
      <c r="X805" s="2" t="b">
        <f t="shared" si="129"/>
        <v>1</v>
      </c>
    </row>
    <row r="806" spans="1:24" ht="10.5" customHeight="1">
      <c r="A806" s="2" t="s">
        <v>1168</v>
      </c>
      <c r="B806" s="3">
        <v>45807.807500000003</v>
      </c>
      <c r="C806" s="2" t="s">
        <v>1169</v>
      </c>
      <c r="D806" s="2" t="s">
        <v>160</v>
      </c>
      <c r="E806" s="2" t="s">
        <v>75</v>
      </c>
      <c r="F806" s="4">
        <v>45000</v>
      </c>
      <c r="G806" s="5">
        <v>0.5</v>
      </c>
      <c r="H806" s="6">
        <v>0</v>
      </c>
      <c r="I806" s="7">
        <f t="shared" si="120"/>
        <v>22500</v>
      </c>
      <c r="J806" s="7">
        <f t="shared" si="121"/>
        <v>0</v>
      </c>
      <c r="K806" s="7">
        <f t="shared" si="122"/>
        <v>22500</v>
      </c>
      <c r="L806" s="4">
        <v>46000</v>
      </c>
      <c r="M806" s="7">
        <f t="shared" si="123"/>
        <v>68500</v>
      </c>
      <c r="N806" s="2" t="s">
        <v>28</v>
      </c>
      <c r="O806" t="s">
        <v>22</v>
      </c>
      <c r="P806" s="2" t="s">
        <v>2365</v>
      </c>
      <c r="Q806" s="2">
        <v>2</v>
      </c>
      <c r="R806" s="2" t="s">
        <v>23</v>
      </c>
      <c r="S806" s="2" t="str">
        <f t="shared" si="124"/>
        <v>Rendah</v>
      </c>
      <c r="T806" s="2" t="str">
        <f t="shared" si="125"/>
        <v>FALSE</v>
      </c>
      <c r="U806" s="2" t="str">
        <f t="shared" si="126"/>
        <v>FALSE</v>
      </c>
      <c r="V806" s="2" t="b">
        <f t="shared" si="127"/>
        <v>0</v>
      </c>
      <c r="W806" s="2" t="b">
        <f t="shared" si="128"/>
        <v>0</v>
      </c>
      <c r="X806" s="2" t="b">
        <f t="shared" si="129"/>
        <v>0</v>
      </c>
    </row>
    <row r="807" spans="1:24" ht="10.5" customHeight="1">
      <c r="A807" s="2" t="s">
        <v>1170</v>
      </c>
      <c r="B807" s="3">
        <v>45807.819224537037</v>
      </c>
      <c r="C807" s="2" t="s">
        <v>202</v>
      </c>
      <c r="D807" s="2" t="s">
        <v>44</v>
      </c>
      <c r="E807" s="2" t="s">
        <v>57</v>
      </c>
      <c r="F807" s="4">
        <v>17500</v>
      </c>
      <c r="G807" s="5">
        <v>1.7</v>
      </c>
      <c r="H807" s="6">
        <v>0</v>
      </c>
      <c r="I807" s="7">
        <f t="shared" si="120"/>
        <v>29750</v>
      </c>
      <c r="J807" s="7">
        <f t="shared" si="121"/>
        <v>0</v>
      </c>
      <c r="K807" s="7">
        <f t="shared" si="122"/>
        <v>29750</v>
      </c>
      <c r="L807" s="4">
        <v>43000</v>
      </c>
      <c r="M807" s="7">
        <f t="shared" si="123"/>
        <v>72750</v>
      </c>
      <c r="N807" s="2" t="s">
        <v>21</v>
      </c>
      <c r="O807" t="s">
        <v>69</v>
      </c>
      <c r="P807" s="2" t="s">
        <v>2366</v>
      </c>
      <c r="Q807" s="2">
        <v>3</v>
      </c>
      <c r="R807" s="2" t="s">
        <v>23</v>
      </c>
      <c r="S807" s="2" t="str">
        <f t="shared" si="124"/>
        <v>Rendah</v>
      </c>
      <c r="T807" s="2" t="str">
        <f t="shared" si="125"/>
        <v>FALSE</v>
      </c>
      <c r="U807" s="2" t="str">
        <f t="shared" si="126"/>
        <v>FALSE</v>
      </c>
      <c r="V807" s="2" t="b">
        <f t="shared" si="127"/>
        <v>0</v>
      </c>
      <c r="W807" s="2" t="b">
        <f t="shared" si="128"/>
        <v>0</v>
      </c>
      <c r="X807" s="2" t="b">
        <f t="shared" si="129"/>
        <v>0</v>
      </c>
    </row>
    <row r="808" spans="1:24" ht="10.5" customHeight="1">
      <c r="A808" s="2" t="s">
        <v>1171</v>
      </c>
      <c r="B808" s="3">
        <v>45807.915937500002</v>
      </c>
      <c r="C808" s="2" t="s">
        <v>1081</v>
      </c>
      <c r="D808" s="2" t="s">
        <v>150</v>
      </c>
      <c r="E808" s="2" t="s">
        <v>65</v>
      </c>
      <c r="F808" s="4">
        <v>46000</v>
      </c>
      <c r="G808" s="5">
        <v>0.4</v>
      </c>
      <c r="H808" s="6">
        <v>0</v>
      </c>
      <c r="I808" s="7">
        <f t="shared" si="120"/>
        <v>18400</v>
      </c>
      <c r="J808" s="7">
        <f t="shared" si="121"/>
        <v>0</v>
      </c>
      <c r="K808" s="7">
        <f t="shared" si="122"/>
        <v>18400</v>
      </c>
      <c r="L808" s="4">
        <v>68000</v>
      </c>
      <c r="M808" s="7">
        <f t="shared" si="123"/>
        <v>86400</v>
      </c>
      <c r="N808" s="2" t="s">
        <v>33</v>
      </c>
      <c r="O808" t="s">
        <v>22</v>
      </c>
      <c r="P808" s="2" t="s">
        <v>2370</v>
      </c>
      <c r="Q808" s="2">
        <v>5</v>
      </c>
      <c r="R808" s="2" t="s">
        <v>34</v>
      </c>
      <c r="S808" s="2" t="str">
        <f t="shared" si="124"/>
        <v>Rendah</v>
      </c>
      <c r="T808" s="2" t="str">
        <f t="shared" si="125"/>
        <v>FALSE</v>
      </c>
      <c r="U808" s="2" t="str">
        <f t="shared" si="126"/>
        <v>FALSE</v>
      </c>
      <c r="V808" s="2" t="b">
        <f t="shared" si="127"/>
        <v>0</v>
      </c>
      <c r="W808" s="2" t="b">
        <f t="shared" si="128"/>
        <v>0</v>
      </c>
      <c r="X808" s="2" t="b">
        <f t="shared" si="129"/>
        <v>0</v>
      </c>
    </row>
    <row r="809" spans="1:24" ht="10.5" customHeight="1">
      <c r="A809" s="2" t="s">
        <v>1172</v>
      </c>
      <c r="B809" s="3">
        <v>45808.350416666668</v>
      </c>
      <c r="C809" s="2" t="s">
        <v>125</v>
      </c>
      <c r="D809" s="2" t="s">
        <v>31</v>
      </c>
      <c r="E809" s="2" t="s">
        <v>170</v>
      </c>
      <c r="F809" s="4">
        <v>12000</v>
      </c>
      <c r="G809" s="5">
        <v>0.9</v>
      </c>
      <c r="H809" s="6">
        <v>0</v>
      </c>
      <c r="I809" s="7">
        <f t="shared" si="120"/>
        <v>10800</v>
      </c>
      <c r="J809" s="7">
        <f t="shared" si="121"/>
        <v>0</v>
      </c>
      <c r="K809" s="7">
        <f t="shared" si="122"/>
        <v>10800</v>
      </c>
      <c r="L809" s="4">
        <v>76000</v>
      </c>
      <c r="M809" s="7">
        <f t="shared" si="123"/>
        <v>86800</v>
      </c>
      <c r="N809" s="2" t="s">
        <v>21</v>
      </c>
      <c r="O809" t="s">
        <v>22</v>
      </c>
      <c r="P809" s="2" t="s">
        <v>2366</v>
      </c>
      <c r="Q809" s="2">
        <v>2</v>
      </c>
      <c r="R809" s="2" t="s">
        <v>23</v>
      </c>
      <c r="S809" s="2" t="str">
        <f t="shared" si="124"/>
        <v>Rendah</v>
      </c>
      <c r="T809" s="2" t="str">
        <f t="shared" si="125"/>
        <v>FALSE</v>
      </c>
      <c r="U809" s="2" t="str">
        <f t="shared" si="126"/>
        <v>FALSE</v>
      </c>
      <c r="V809" s="2" t="b">
        <f t="shared" si="127"/>
        <v>0</v>
      </c>
      <c r="W809" s="2" t="b">
        <f t="shared" si="128"/>
        <v>0</v>
      </c>
      <c r="X809" s="2" t="b">
        <f t="shared" si="129"/>
        <v>0</v>
      </c>
    </row>
    <row r="810" spans="1:24" ht="10.5" customHeight="1">
      <c r="A810" s="2" t="s">
        <v>1173</v>
      </c>
      <c r="B810" s="3">
        <v>45808.447708333333</v>
      </c>
      <c r="C810" s="2" t="s">
        <v>712</v>
      </c>
      <c r="D810" s="2" t="s">
        <v>52</v>
      </c>
      <c r="E810" s="2" t="s">
        <v>95</v>
      </c>
      <c r="F810" s="4">
        <v>9500</v>
      </c>
      <c r="G810" s="5">
        <v>1.2</v>
      </c>
      <c r="H810" s="6">
        <v>0</v>
      </c>
      <c r="I810" s="7">
        <f t="shared" si="120"/>
        <v>11400</v>
      </c>
      <c r="J810" s="7">
        <f t="shared" si="121"/>
        <v>0</v>
      </c>
      <c r="K810" s="7">
        <f t="shared" si="122"/>
        <v>11400</v>
      </c>
      <c r="L810" s="4">
        <v>80000</v>
      </c>
      <c r="M810" s="7">
        <f t="shared" si="123"/>
        <v>91400</v>
      </c>
      <c r="N810" s="2" t="s">
        <v>21</v>
      </c>
      <c r="O810" t="s">
        <v>22</v>
      </c>
      <c r="P810" s="2" t="s">
        <v>2365</v>
      </c>
      <c r="Q810" s="2">
        <v>1</v>
      </c>
      <c r="R810" s="2" t="s">
        <v>23</v>
      </c>
      <c r="S810" s="2" t="str">
        <f t="shared" si="124"/>
        <v>Rendah</v>
      </c>
      <c r="T810" s="2" t="str">
        <f t="shared" si="125"/>
        <v>FALSE</v>
      </c>
      <c r="U810" s="2" t="str">
        <f t="shared" si="126"/>
        <v>FALSE</v>
      </c>
      <c r="V810" s="2" t="b">
        <f t="shared" si="127"/>
        <v>0</v>
      </c>
      <c r="W810" s="2" t="b">
        <f t="shared" si="128"/>
        <v>0</v>
      </c>
      <c r="X810" s="2" t="b">
        <f t="shared" si="129"/>
        <v>0</v>
      </c>
    </row>
    <row r="811" spans="1:24" ht="10.5" customHeight="1">
      <c r="A811" s="2" t="s">
        <v>1174</v>
      </c>
      <c r="B811" s="3">
        <v>45808.44935185185</v>
      </c>
      <c r="C811" s="2" t="s">
        <v>157</v>
      </c>
      <c r="D811" s="2" t="s">
        <v>40</v>
      </c>
      <c r="E811" s="2" t="s">
        <v>143</v>
      </c>
      <c r="F811" s="4">
        <v>10000</v>
      </c>
      <c r="G811" s="5">
        <v>1</v>
      </c>
      <c r="H811" s="6">
        <v>0</v>
      </c>
      <c r="I811" s="7">
        <f t="shared" si="120"/>
        <v>10000</v>
      </c>
      <c r="J811" s="7">
        <f t="shared" si="121"/>
        <v>0</v>
      </c>
      <c r="K811" s="7">
        <f t="shared" si="122"/>
        <v>10000</v>
      </c>
      <c r="L811" s="4">
        <v>93000</v>
      </c>
      <c r="M811" s="7">
        <f t="shared" si="123"/>
        <v>103000</v>
      </c>
      <c r="N811" s="2" t="s">
        <v>21</v>
      </c>
      <c r="O811" t="s">
        <v>115</v>
      </c>
      <c r="P811" s="2" t="s">
        <v>2370</v>
      </c>
      <c r="Q811" s="2">
        <v>2</v>
      </c>
      <c r="R811" s="2" t="s">
        <v>23</v>
      </c>
      <c r="S811" s="2" t="str">
        <f t="shared" si="124"/>
        <v>Standar</v>
      </c>
      <c r="T811" s="2" t="str">
        <f t="shared" si="125"/>
        <v>FALSE</v>
      </c>
      <c r="U811" s="2" t="str">
        <f t="shared" si="126"/>
        <v>TRUE</v>
      </c>
      <c r="V811" s="2" t="b">
        <f t="shared" si="127"/>
        <v>0</v>
      </c>
      <c r="W811" s="2" t="b">
        <f t="shared" si="128"/>
        <v>0</v>
      </c>
      <c r="X811" s="2" t="b">
        <f t="shared" si="129"/>
        <v>0</v>
      </c>
    </row>
    <row r="812" spans="1:24" ht="10.5" customHeight="1">
      <c r="A812" s="2" t="s">
        <v>1175</v>
      </c>
      <c r="B812" s="3">
        <v>45808.464502314811</v>
      </c>
      <c r="C812" s="2" t="s">
        <v>460</v>
      </c>
      <c r="D812" s="2" t="s">
        <v>108</v>
      </c>
      <c r="E812" s="2" t="s">
        <v>53</v>
      </c>
      <c r="F812" s="4">
        <v>14000</v>
      </c>
      <c r="G812" s="5">
        <v>1.4</v>
      </c>
      <c r="H812" s="6">
        <v>0</v>
      </c>
      <c r="I812" s="7">
        <f t="shared" si="120"/>
        <v>19600</v>
      </c>
      <c r="J812" s="7">
        <f t="shared" si="121"/>
        <v>0</v>
      </c>
      <c r="K812" s="7">
        <f t="shared" si="122"/>
        <v>19600</v>
      </c>
      <c r="L812" s="4">
        <v>72000</v>
      </c>
      <c r="M812" s="7">
        <f t="shared" si="123"/>
        <v>91600</v>
      </c>
      <c r="N812" s="2" t="s">
        <v>33</v>
      </c>
      <c r="O812" t="s">
        <v>22</v>
      </c>
      <c r="P812" s="2" t="s">
        <v>2367</v>
      </c>
      <c r="Q812" s="2">
        <v>2</v>
      </c>
      <c r="R812" s="2" t="s">
        <v>23</v>
      </c>
      <c r="S812" s="2" t="str">
        <f t="shared" si="124"/>
        <v>Rendah</v>
      </c>
      <c r="T812" s="2" t="str">
        <f t="shared" si="125"/>
        <v>FALSE</v>
      </c>
      <c r="U812" s="2" t="str">
        <f t="shared" si="126"/>
        <v>FALSE</v>
      </c>
      <c r="V812" s="2" t="b">
        <f t="shared" si="127"/>
        <v>0</v>
      </c>
      <c r="W812" s="2" t="b">
        <f t="shared" si="128"/>
        <v>1</v>
      </c>
      <c r="X812" s="2" t="b">
        <f t="shared" si="129"/>
        <v>0</v>
      </c>
    </row>
    <row r="813" spans="1:24" ht="10.5" customHeight="1">
      <c r="A813" s="2" t="s">
        <v>1176</v>
      </c>
      <c r="B813" s="3">
        <v>45808.485567129632</v>
      </c>
      <c r="C813" s="2" t="s">
        <v>734</v>
      </c>
      <c r="D813" s="2" t="s">
        <v>365</v>
      </c>
      <c r="E813" s="2" t="s">
        <v>99</v>
      </c>
      <c r="F813" s="4">
        <v>10000</v>
      </c>
      <c r="G813" s="5">
        <v>0.6</v>
      </c>
      <c r="H813" s="6">
        <v>0</v>
      </c>
      <c r="I813" s="7">
        <f t="shared" si="120"/>
        <v>6000</v>
      </c>
      <c r="J813" s="7">
        <f t="shared" si="121"/>
        <v>0</v>
      </c>
      <c r="K813" s="7">
        <f t="shared" si="122"/>
        <v>6000</v>
      </c>
      <c r="L813" s="4">
        <v>21000</v>
      </c>
      <c r="M813" s="7">
        <f t="shared" si="123"/>
        <v>27000</v>
      </c>
      <c r="N813" s="2" t="s">
        <v>33</v>
      </c>
      <c r="O813" t="s">
        <v>22</v>
      </c>
      <c r="P813" s="2" t="s">
        <v>2366</v>
      </c>
      <c r="Q813" s="2">
        <v>4</v>
      </c>
      <c r="R813" s="2" t="s">
        <v>23</v>
      </c>
      <c r="S813" s="2" t="str">
        <f t="shared" si="124"/>
        <v>Sangat Rendah</v>
      </c>
      <c r="T813" s="2" t="str">
        <f t="shared" si="125"/>
        <v>FALSE</v>
      </c>
      <c r="U813" s="2" t="str">
        <f t="shared" si="126"/>
        <v>FALSE</v>
      </c>
      <c r="V813" s="2" t="b">
        <f t="shared" si="127"/>
        <v>0</v>
      </c>
      <c r="W813" s="2" t="b">
        <f t="shared" si="128"/>
        <v>0</v>
      </c>
      <c r="X813" s="2" t="b">
        <f t="shared" si="129"/>
        <v>1</v>
      </c>
    </row>
    <row r="814" spans="1:24" ht="10.5" customHeight="1">
      <c r="A814" s="2" t="s">
        <v>1177</v>
      </c>
      <c r="B814" s="3">
        <v>45808.502106481479</v>
      </c>
      <c r="C814" s="2" t="s">
        <v>534</v>
      </c>
      <c r="D814" s="2" t="s">
        <v>153</v>
      </c>
      <c r="E814" s="2" t="s">
        <v>41</v>
      </c>
      <c r="F814" s="4">
        <v>40000</v>
      </c>
      <c r="G814" s="5">
        <v>0.4</v>
      </c>
      <c r="H814" s="6">
        <v>0</v>
      </c>
      <c r="I814" s="7">
        <f t="shared" si="120"/>
        <v>16000</v>
      </c>
      <c r="J814" s="7">
        <f t="shared" si="121"/>
        <v>0</v>
      </c>
      <c r="K814" s="7">
        <f t="shared" si="122"/>
        <v>16000</v>
      </c>
      <c r="L814" s="4">
        <v>50000</v>
      </c>
      <c r="M814" s="7">
        <f t="shared" si="123"/>
        <v>66000</v>
      </c>
      <c r="N814" s="2" t="s">
        <v>33</v>
      </c>
      <c r="O814" t="s">
        <v>22</v>
      </c>
      <c r="P814" s="2" t="s">
        <v>2365</v>
      </c>
      <c r="Q814" s="2">
        <v>3</v>
      </c>
      <c r="R814" s="2" t="s">
        <v>23</v>
      </c>
      <c r="S814" s="2" t="str">
        <f t="shared" si="124"/>
        <v>Rendah</v>
      </c>
      <c r="T814" s="2" t="str">
        <f t="shared" si="125"/>
        <v>FALSE</v>
      </c>
      <c r="U814" s="2" t="str">
        <f t="shared" si="126"/>
        <v>FALSE</v>
      </c>
      <c r="V814" s="2" t="b">
        <f t="shared" si="127"/>
        <v>0</v>
      </c>
      <c r="W814" s="2" t="b">
        <f t="shared" si="128"/>
        <v>0</v>
      </c>
      <c r="X814" s="2" t="b">
        <f t="shared" si="129"/>
        <v>0</v>
      </c>
    </row>
    <row r="815" spans="1:24" ht="10.5" customHeight="1">
      <c r="A815" s="2" t="s">
        <v>1178</v>
      </c>
      <c r="B815" s="3">
        <v>45808.547511574077</v>
      </c>
      <c r="C815" s="2" t="s">
        <v>392</v>
      </c>
      <c r="D815" s="2" t="s">
        <v>153</v>
      </c>
      <c r="E815" s="2" t="s">
        <v>102</v>
      </c>
      <c r="F815" s="4">
        <v>55000</v>
      </c>
      <c r="G815" s="5">
        <v>0.6</v>
      </c>
      <c r="H815" s="6">
        <v>0</v>
      </c>
      <c r="I815" s="7">
        <f t="shared" si="120"/>
        <v>33000</v>
      </c>
      <c r="J815" s="7">
        <f t="shared" si="121"/>
        <v>0</v>
      </c>
      <c r="K815" s="7">
        <f t="shared" si="122"/>
        <v>33000</v>
      </c>
      <c r="L815" s="4">
        <v>50000</v>
      </c>
      <c r="M815" s="7">
        <f t="shared" si="123"/>
        <v>83000</v>
      </c>
      <c r="N815" s="2" t="s">
        <v>28</v>
      </c>
      <c r="O815" t="s">
        <v>22</v>
      </c>
      <c r="P815" s="2" t="s">
        <v>2366</v>
      </c>
      <c r="Q815" s="2">
        <v>2</v>
      </c>
      <c r="R815" s="2" t="s">
        <v>23</v>
      </c>
      <c r="S815" s="2" t="str">
        <f t="shared" si="124"/>
        <v>Rendah</v>
      </c>
      <c r="T815" s="2" t="str">
        <f t="shared" si="125"/>
        <v>FALSE</v>
      </c>
      <c r="U815" s="2" t="str">
        <f t="shared" si="126"/>
        <v>FALSE</v>
      </c>
      <c r="V815" s="2" t="b">
        <f t="shared" si="127"/>
        <v>0</v>
      </c>
      <c r="W815" s="2" t="b">
        <f t="shared" si="128"/>
        <v>0</v>
      </c>
      <c r="X815" s="2" t="b">
        <f t="shared" si="129"/>
        <v>0</v>
      </c>
    </row>
    <row r="816" spans="1:24" ht="10.5" customHeight="1">
      <c r="A816" s="2" t="s">
        <v>1179</v>
      </c>
      <c r="B816" s="3">
        <v>45808.581597222219</v>
      </c>
      <c r="C816" s="2" t="s">
        <v>572</v>
      </c>
      <c r="D816" s="2" t="s">
        <v>425</v>
      </c>
      <c r="E816" s="2" t="s">
        <v>80</v>
      </c>
      <c r="F816" s="4">
        <v>15000</v>
      </c>
      <c r="G816" s="5">
        <v>1.9</v>
      </c>
      <c r="H816" s="6">
        <v>0</v>
      </c>
      <c r="I816" s="7">
        <f t="shared" si="120"/>
        <v>28500</v>
      </c>
      <c r="J816" s="7">
        <f t="shared" si="121"/>
        <v>0</v>
      </c>
      <c r="K816" s="7">
        <f t="shared" si="122"/>
        <v>28500</v>
      </c>
      <c r="L816" s="4">
        <v>67000</v>
      </c>
      <c r="M816" s="7">
        <f t="shared" si="123"/>
        <v>95500</v>
      </c>
      <c r="N816" s="2" t="s">
        <v>28</v>
      </c>
      <c r="O816" t="s">
        <v>22</v>
      </c>
      <c r="P816" s="2" t="s">
        <v>2365</v>
      </c>
      <c r="Q816" s="2">
        <v>5</v>
      </c>
      <c r="R816" s="2" t="s">
        <v>23</v>
      </c>
      <c r="S816" s="2" t="str">
        <f t="shared" si="124"/>
        <v>Rendah</v>
      </c>
      <c r="T816" s="2" t="str">
        <f t="shared" si="125"/>
        <v>FALSE</v>
      </c>
      <c r="U816" s="2" t="str">
        <f t="shared" si="126"/>
        <v>FALSE</v>
      </c>
      <c r="V816" s="2" t="b">
        <f t="shared" si="127"/>
        <v>0</v>
      </c>
      <c r="W816" s="2" t="b">
        <f t="shared" si="128"/>
        <v>0</v>
      </c>
      <c r="X816" s="2" t="b">
        <f t="shared" si="129"/>
        <v>0</v>
      </c>
    </row>
    <row r="817" spans="1:24" ht="10.5" customHeight="1">
      <c r="A817" s="2" t="s">
        <v>1180</v>
      </c>
      <c r="B817" s="3">
        <v>45808.65185185185</v>
      </c>
      <c r="C817" s="2" t="s">
        <v>18</v>
      </c>
      <c r="D817" s="2" t="s">
        <v>19</v>
      </c>
      <c r="E817" s="2" t="s">
        <v>75</v>
      </c>
      <c r="F817" s="4">
        <v>45000</v>
      </c>
      <c r="G817" s="5">
        <v>0.6</v>
      </c>
      <c r="H817" s="6">
        <v>0</v>
      </c>
      <c r="I817" s="7">
        <f t="shared" si="120"/>
        <v>27000</v>
      </c>
      <c r="J817" s="7">
        <f t="shared" si="121"/>
        <v>0</v>
      </c>
      <c r="K817" s="7">
        <f t="shared" si="122"/>
        <v>27000</v>
      </c>
      <c r="L817" s="4">
        <v>15000</v>
      </c>
      <c r="M817" s="7">
        <f t="shared" si="123"/>
        <v>42000</v>
      </c>
      <c r="N817" s="2" t="s">
        <v>33</v>
      </c>
      <c r="O817" t="s">
        <v>22</v>
      </c>
      <c r="P817" s="2" t="s">
        <v>2366</v>
      </c>
      <c r="Q817" s="2">
        <v>3</v>
      </c>
      <c r="R817" s="2" t="s">
        <v>23</v>
      </c>
      <c r="S817" s="2" t="str">
        <f t="shared" si="124"/>
        <v>Sangat Rendah</v>
      </c>
      <c r="T817" s="2" t="str">
        <f t="shared" si="125"/>
        <v>FALSE</v>
      </c>
      <c r="U817" s="2" t="str">
        <f t="shared" si="126"/>
        <v>FALSE</v>
      </c>
      <c r="V817" s="2" t="b">
        <f t="shared" si="127"/>
        <v>0</v>
      </c>
      <c r="W817" s="2" t="b">
        <f t="shared" si="128"/>
        <v>0</v>
      </c>
      <c r="X817" s="2" t="b">
        <f t="shared" si="129"/>
        <v>1</v>
      </c>
    </row>
    <row r="818" spans="1:24" ht="10.5" customHeight="1">
      <c r="A818" s="2" t="s">
        <v>1181</v>
      </c>
      <c r="B818" s="3">
        <v>45808.680625000001</v>
      </c>
      <c r="C818" s="2" t="s">
        <v>770</v>
      </c>
      <c r="D818" s="2" t="s">
        <v>105</v>
      </c>
      <c r="E818" s="2" t="s">
        <v>80</v>
      </c>
      <c r="F818" s="4">
        <v>15000</v>
      </c>
      <c r="G818" s="5">
        <v>0.3</v>
      </c>
      <c r="H818" s="6">
        <v>0</v>
      </c>
      <c r="I818" s="7">
        <f t="shared" si="120"/>
        <v>4500</v>
      </c>
      <c r="J818" s="7">
        <f t="shared" si="121"/>
        <v>0</v>
      </c>
      <c r="K818" s="7">
        <f t="shared" si="122"/>
        <v>4500</v>
      </c>
      <c r="L818" s="4">
        <v>18000</v>
      </c>
      <c r="M818" s="7">
        <f t="shared" si="123"/>
        <v>22500</v>
      </c>
      <c r="N818" s="2" t="s">
        <v>21</v>
      </c>
      <c r="O818" t="s">
        <v>115</v>
      </c>
      <c r="P818" s="2" t="s">
        <v>2365</v>
      </c>
      <c r="Q818" s="2">
        <v>2</v>
      </c>
      <c r="R818" s="2" t="s">
        <v>23</v>
      </c>
      <c r="S818" s="2" t="str">
        <f t="shared" si="124"/>
        <v>Sangat Rendah</v>
      </c>
      <c r="T818" s="2" t="str">
        <f t="shared" si="125"/>
        <v>FALSE</v>
      </c>
      <c r="U818" s="2" t="str">
        <f t="shared" si="126"/>
        <v>FALSE</v>
      </c>
      <c r="V818" s="2" t="b">
        <f t="shared" si="127"/>
        <v>0</v>
      </c>
      <c r="W818" s="2" t="b">
        <f t="shared" si="128"/>
        <v>0</v>
      </c>
      <c r="X818" s="2" t="b">
        <f t="shared" si="129"/>
        <v>1</v>
      </c>
    </row>
    <row r="819" spans="1:24" ht="10.5" customHeight="1">
      <c r="A819" s="2" t="s">
        <v>1182</v>
      </c>
      <c r="B819" s="3">
        <v>45808.770243055558</v>
      </c>
      <c r="C819" s="2" t="s">
        <v>113</v>
      </c>
      <c r="D819" s="2" t="s">
        <v>114</v>
      </c>
      <c r="E819" s="2" t="s">
        <v>99</v>
      </c>
      <c r="F819" s="4">
        <v>10000</v>
      </c>
      <c r="G819" s="5">
        <v>0.8</v>
      </c>
      <c r="H819" s="6">
        <v>0</v>
      </c>
      <c r="I819" s="7">
        <f t="shared" si="120"/>
        <v>8000</v>
      </c>
      <c r="J819" s="7">
        <f t="shared" si="121"/>
        <v>0</v>
      </c>
      <c r="K819" s="7">
        <f t="shared" si="122"/>
        <v>8000</v>
      </c>
      <c r="L819" s="4">
        <v>78000</v>
      </c>
      <c r="M819" s="7">
        <f t="shared" si="123"/>
        <v>86000</v>
      </c>
      <c r="N819" s="2" t="s">
        <v>33</v>
      </c>
      <c r="O819" t="s">
        <v>22</v>
      </c>
      <c r="P819" s="2" t="s">
        <v>2365</v>
      </c>
      <c r="Q819" s="2">
        <v>2</v>
      </c>
      <c r="R819" s="2" t="s">
        <v>23</v>
      </c>
      <c r="S819" s="2" t="str">
        <f t="shared" si="124"/>
        <v>Rendah</v>
      </c>
      <c r="T819" s="2" t="str">
        <f t="shared" si="125"/>
        <v>TRUE</v>
      </c>
      <c r="U819" s="2" t="str">
        <f t="shared" si="126"/>
        <v>FALSE</v>
      </c>
      <c r="V819" s="2" t="b">
        <f t="shared" si="127"/>
        <v>0</v>
      </c>
      <c r="W819" s="2" t="b">
        <f t="shared" si="128"/>
        <v>0</v>
      </c>
      <c r="X819" s="2" t="b">
        <f t="shared" si="129"/>
        <v>0</v>
      </c>
    </row>
    <row r="820" spans="1:24" ht="10.5" customHeight="1">
      <c r="A820" s="2" t="s">
        <v>1183</v>
      </c>
      <c r="B820" s="3">
        <v>45809.78087962963</v>
      </c>
      <c r="C820" s="2" t="s">
        <v>591</v>
      </c>
      <c r="D820" s="2" t="s">
        <v>111</v>
      </c>
      <c r="E820" s="2" t="s">
        <v>143</v>
      </c>
      <c r="F820" s="4">
        <v>10000</v>
      </c>
      <c r="G820" s="5">
        <v>0.9</v>
      </c>
      <c r="H820" s="6">
        <v>0</v>
      </c>
      <c r="I820" s="7">
        <f t="shared" si="120"/>
        <v>9000</v>
      </c>
      <c r="J820" s="7">
        <f t="shared" si="121"/>
        <v>0</v>
      </c>
      <c r="K820" s="7">
        <f t="shared" si="122"/>
        <v>9000</v>
      </c>
      <c r="L820" s="4">
        <v>0</v>
      </c>
      <c r="M820" s="7">
        <f t="shared" si="123"/>
        <v>9000</v>
      </c>
      <c r="N820" s="2" t="s">
        <v>33</v>
      </c>
      <c r="O820" t="s">
        <v>22</v>
      </c>
      <c r="P820" s="2" t="s">
        <v>2365</v>
      </c>
      <c r="Q820" s="2">
        <v>1</v>
      </c>
      <c r="R820" s="2" t="s">
        <v>23</v>
      </c>
      <c r="S820" s="2" t="str">
        <f t="shared" si="124"/>
        <v>Sangat Rendah</v>
      </c>
      <c r="T820" s="2" t="str">
        <f t="shared" si="125"/>
        <v>FALSE</v>
      </c>
      <c r="U820" s="2" t="str">
        <f t="shared" si="126"/>
        <v>TRUE</v>
      </c>
      <c r="V820" s="2" t="b">
        <f t="shared" si="127"/>
        <v>0</v>
      </c>
      <c r="W820" s="2" t="b">
        <f t="shared" si="128"/>
        <v>0</v>
      </c>
      <c r="X820" s="2" t="b">
        <f t="shared" si="129"/>
        <v>1</v>
      </c>
    </row>
    <row r="821" spans="1:24" ht="10.5" customHeight="1">
      <c r="A821" s="2" t="s">
        <v>1184</v>
      </c>
      <c r="B821" s="3">
        <v>45810.365937499999</v>
      </c>
      <c r="C821" s="2" t="s">
        <v>289</v>
      </c>
      <c r="D821" s="2" t="s">
        <v>153</v>
      </c>
      <c r="E821" s="2" t="s">
        <v>75</v>
      </c>
      <c r="F821" s="4">
        <v>45000</v>
      </c>
      <c r="G821" s="5">
        <v>1.2</v>
      </c>
      <c r="H821" s="6">
        <v>0</v>
      </c>
      <c r="I821" s="7">
        <f t="shared" si="120"/>
        <v>54000</v>
      </c>
      <c r="J821" s="7">
        <f t="shared" si="121"/>
        <v>0</v>
      </c>
      <c r="K821" s="7">
        <f t="shared" si="122"/>
        <v>54000</v>
      </c>
      <c r="L821" s="4">
        <v>50000</v>
      </c>
      <c r="M821" s="7">
        <f t="shared" si="123"/>
        <v>104000</v>
      </c>
      <c r="N821" s="2" t="s">
        <v>28</v>
      </c>
      <c r="O821" t="s">
        <v>69</v>
      </c>
      <c r="P821" s="2" t="s">
        <v>2365</v>
      </c>
      <c r="Q821" s="2">
        <v>1</v>
      </c>
      <c r="R821" s="2" t="s">
        <v>23</v>
      </c>
      <c r="S821" s="2" t="str">
        <f t="shared" si="124"/>
        <v>Standar</v>
      </c>
      <c r="T821" s="2" t="str">
        <f t="shared" si="125"/>
        <v>FALSE</v>
      </c>
      <c r="U821" s="2" t="str">
        <f t="shared" si="126"/>
        <v>FALSE</v>
      </c>
      <c r="V821" s="2" t="b">
        <f t="shared" si="127"/>
        <v>0</v>
      </c>
      <c r="W821" s="2" t="b">
        <f t="shared" si="128"/>
        <v>0</v>
      </c>
      <c r="X821" s="2" t="b">
        <f t="shared" si="129"/>
        <v>0</v>
      </c>
    </row>
    <row r="822" spans="1:24" ht="10.5" customHeight="1">
      <c r="A822" s="2" t="s">
        <v>1185</v>
      </c>
      <c r="B822" s="3">
        <v>45810.432824074072</v>
      </c>
      <c r="C822" s="2" t="s">
        <v>226</v>
      </c>
      <c r="D822" s="2" t="s">
        <v>179</v>
      </c>
      <c r="E822" s="2" t="s">
        <v>57</v>
      </c>
      <c r="F822" s="4">
        <v>17500</v>
      </c>
      <c r="G822" s="5">
        <v>2</v>
      </c>
      <c r="H822" s="6">
        <v>0</v>
      </c>
      <c r="I822" s="7">
        <f t="shared" si="120"/>
        <v>35000</v>
      </c>
      <c r="J822" s="7">
        <f t="shared" si="121"/>
        <v>0</v>
      </c>
      <c r="K822" s="7">
        <f t="shared" si="122"/>
        <v>35000</v>
      </c>
      <c r="L822" s="4">
        <v>57000</v>
      </c>
      <c r="M822" s="7">
        <f t="shared" si="123"/>
        <v>92000</v>
      </c>
      <c r="N822" s="2" t="s">
        <v>58</v>
      </c>
      <c r="O822" t="s">
        <v>115</v>
      </c>
      <c r="P822" s="2" t="s">
        <v>2368</v>
      </c>
      <c r="Q822" s="2">
        <v>4</v>
      </c>
      <c r="R822" s="2" t="s">
        <v>34</v>
      </c>
      <c r="S822" s="2" t="str">
        <f t="shared" si="124"/>
        <v>Rendah</v>
      </c>
      <c r="T822" s="2" t="str">
        <f t="shared" si="125"/>
        <v>FALSE</v>
      </c>
      <c r="U822" s="2" t="str">
        <f t="shared" si="126"/>
        <v>FALSE</v>
      </c>
      <c r="V822" s="2" t="b">
        <f t="shared" si="127"/>
        <v>0</v>
      </c>
      <c r="W822" s="2" t="b">
        <f t="shared" si="128"/>
        <v>0</v>
      </c>
      <c r="X822" s="2" t="b">
        <f t="shared" si="129"/>
        <v>0</v>
      </c>
    </row>
    <row r="823" spans="1:24" ht="10.5" customHeight="1">
      <c r="A823" s="2" t="s">
        <v>1186</v>
      </c>
      <c r="B823" s="3">
        <v>45811.494756944441</v>
      </c>
      <c r="C823" s="2" t="s">
        <v>1053</v>
      </c>
      <c r="D823" s="2" t="s">
        <v>87</v>
      </c>
      <c r="E823" s="2" t="s">
        <v>182</v>
      </c>
      <c r="F823" s="4">
        <v>11000</v>
      </c>
      <c r="G823" s="5">
        <v>1.2</v>
      </c>
      <c r="H823" s="6">
        <v>0</v>
      </c>
      <c r="I823" s="7">
        <f t="shared" si="120"/>
        <v>13200</v>
      </c>
      <c r="J823" s="7">
        <f t="shared" si="121"/>
        <v>0</v>
      </c>
      <c r="K823" s="7">
        <f t="shared" si="122"/>
        <v>13200</v>
      </c>
      <c r="L823" s="4">
        <v>49000</v>
      </c>
      <c r="M823" s="7">
        <f t="shared" si="123"/>
        <v>62200</v>
      </c>
      <c r="N823" s="2" t="s">
        <v>21</v>
      </c>
      <c r="O823" t="s">
        <v>69</v>
      </c>
      <c r="P823" s="2" t="s">
        <v>2370</v>
      </c>
      <c r="Q823" s="2">
        <v>1</v>
      </c>
      <c r="R823" s="2" t="s">
        <v>23</v>
      </c>
      <c r="S823" s="2" t="str">
        <f t="shared" si="124"/>
        <v>Rendah</v>
      </c>
      <c r="T823" s="2" t="str">
        <f t="shared" si="125"/>
        <v>FALSE</v>
      </c>
      <c r="U823" s="2" t="str">
        <f t="shared" si="126"/>
        <v>FALSE</v>
      </c>
      <c r="V823" s="2" t="b">
        <f t="shared" si="127"/>
        <v>0</v>
      </c>
      <c r="W823" s="2" t="b">
        <f t="shared" si="128"/>
        <v>0</v>
      </c>
      <c r="X823" s="2" t="b">
        <f t="shared" si="129"/>
        <v>0</v>
      </c>
    </row>
    <row r="824" spans="1:24" ht="10.5" customHeight="1">
      <c r="A824" s="2" t="s">
        <v>1187</v>
      </c>
      <c r="B824" s="3">
        <v>45812.405150462961</v>
      </c>
      <c r="C824" s="2" t="s">
        <v>386</v>
      </c>
      <c r="D824" s="2" t="s">
        <v>61</v>
      </c>
      <c r="E824" s="2" t="s">
        <v>170</v>
      </c>
      <c r="F824" s="4">
        <v>12000</v>
      </c>
      <c r="G824" s="5">
        <v>1.5</v>
      </c>
      <c r="H824" s="6">
        <v>0</v>
      </c>
      <c r="I824" s="7">
        <f t="shared" si="120"/>
        <v>18000</v>
      </c>
      <c r="J824" s="7">
        <f t="shared" si="121"/>
        <v>0</v>
      </c>
      <c r="K824" s="7">
        <f t="shared" si="122"/>
        <v>18000</v>
      </c>
      <c r="L824" s="4">
        <v>59000</v>
      </c>
      <c r="M824" s="7">
        <f t="shared" si="123"/>
        <v>77000</v>
      </c>
      <c r="N824" s="2" t="s">
        <v>33</v>
      </c>
      <c r="O824" t="s">
        <v>69</v>
      </c>
      <c r="P824" s="2" t="s">
        <v>2368</v>
      </c>
      <c r="Q824" s="2">
        <v>1</v>
      </c>
      <c r="R824" s="2" t="s">
        <v>34</v>
      </c>
      <c r="S824" s="2" t="str">
        <f t="shared" si="124"/>
        <v>Rendah</v>
      </c>
      <c r="T824" s="2" t="str">
        <f t="shared" si="125"/>
        <v>FALSE</v>
      </c>
      <c r="U824" s="2" t="str">
        <f t="shared" si="126"/>
        <v>FALSE</v>
      </c>
      <c r="V824" s="2" t="b">
        <f t="shared" si="127"/>
        <v>0</v>
      </c>
      <c r="W824" s="2" t="b">
        <f t="shared" si="128"/>
        <v>0</v>
      </c>
      <c r="X824" s="2" t="b">
        <f t="shared" si="129"/>
        <v>0</v>
      </c>
    </row>
    <row r="825" spans="1:24" ht="10.5" customHeight="1">
      <c r="A825" s="2" t="s">
        <v>1188</v>
      </c>
      <c r="B825" s="3">
        <v>45812.916493055563</v>
      </c>
      <c r="C825" s="2" t="s">
        <v>1189</v>
      </c>
      <c r="D825" s="2" t="s">
        <v>365</v>
      </c>
      <c r="E825" s="2" t="s">
        <v>32</v>
      </c>
      <c r="F825" s="4">
        <v>20000</v>
      </c>
      <c r="G825" s="5">
        <v>1.3</v>
      </c>
      <c r="H825" s="6">
        <v>0</v>
      </c>
      <c r="I825" s="7">
        <f t="shared" si="120"/>
        <v>26000</v>
      </c>
      <c r="J825" s="7">
        <f t="shared" si="121"/>
        <v>0</v>
      </c>
      <c r="K825" s="7">
        <f t="shared" si="122"/>
        <v>26000</v>
      </c>
      <c r="L825" s="4">
        <v>21000</v>
      </c>
      <c r="M825" s="7">
        <f t="shared" si="123"/>
        <v>47000</v>
      </c>
      <c r="N825" s="2" t="s">
        <v>21</v>
      </c>
      <c r="O825" t="s">
        <v>69</v>
      </c>
      <c r="P825" s="2" t="s">
        <v>2367</v>
      </c>
      <c r="Q825" s="2">
        <v>5</v>
      </c>
      <c r="R825" s="2" t="s">
        <v>23</v>
      </c>
      <c r="S825" s="2" t="str">
        <f t="shared" si="124"/>
        <v>Sangat Rendah</v>
      </c>
      <c r="T825" s="2" t="str">
        <f t="shared" si="125"/>
        <v>FALSE</v>
      </c>
      <c r="U825" s="2" t="str">
        <f t="shared" si="126"/>
        <v>FALSE</v>
      </c>
      <c r="V825" s="2" t="b">
        <f t="shared" si="127"/>
        <v>0</v>
      </c>
      <c r="W825" s="2" t="b">
        <f t="shared" si="128"/>
        <v>1</v>
      </c>
      <c r="X825" s="2" t="b">
        <f t="shared" si="129"/>
        <v>1</v>
      </c>
    </row>
    <row r="826" spans="1:24" ht="10.5" customHeight="1">
      <c r="A826" s="2" t="s">
        <v>1190</v>
      </c>
      <c r="B826" s="3">
        <v>45814.092638888891</v>
      </c>
      <c r="C826" s="2" t="s">
        <v>125</v>
      </c>
      <c r="D826" s="2" t="s">
        <v>31</v>
      </c>
      <c r="E826" s="2" t="s">
        <v>65</v>
      </c>
      <c r="F826" s="4">
        <v>46000</v>
      </c>
      <c r="G826" s="5">
        <v>0.9</v>
      </c>
      <c r="H826" s="6">
        <v>5</v>
      </c>
      <c r="I826" s="7">
        <f t="shared" si="120"/>
        <v>41400</v>
      </c>
      <c r="J826" s="7">
        <f t="shared" si="121"/>
        <v>2070</v>
      </c>
      <c r="K826" s="7">
        <f t="shared" si="122"/>
        <v>39330</v>
      </c>
      <c r="L826" s="4">
        <v>76000</v>
      </c>
      <c r="M826" s="7">
        <f t="shared" si="123"/>
        <v>115330</v>
      </c>
      <c r="N826" s="2" t="s">
        <v>21</v>
      </c>
      <c r="O826" t="s">
        <v>22</v>
      </c>
      <c r="P826" s="2" t="s">
        <v>2368</v>
      </c>
      <c r="Q826" s="2">
        <v>5</v>
      </c>
      <c r="R826" s="2" t="s">
        <v>23</v>
      </c>
      <c r="S826" s="2" t="str">
        <f t="shared" si="124"/>
        <v>Standar</v>
      </c>
      <c r="T826" s="2" t="str">
        <f t="shared" si="125"/>
        <v>FALSE</v>
      </c>
      <c r="U826" s="2" t="str">
        <f t="shared" si="126"/>
        <v>FALSE</v>
      </c>
      <c r="V826" s="2" t="b">
        <f t="shared" si="127"/>
        <v>0</v>
      </c>
      <c r="W826" s="2" t="b">
        <f t="shared" si="128"/>
        <v>0</v>
      </c>
      <c r="X826" s="2" t="b">
        <f t="shared" si="129"/>
        <v>0</v>
      </c>
    </row>
    <row r="827" spans="1:24" ht="10.5" customHeight="1">
      <c r="A827" s="2" t="s">
        <v>1191</v>
      </c>
      <c r="B827" s="3">
        <v>45814.180046296293</v>
      </c>
      <c r="C827" s="2" t="s">
        <v>43</v>
      </c>
      <c r="D827" s="2" t="s">
        <v>44</v>
      </c>
      <c r="E827" s="2" t="s">
        <v>75</v>
      </c>
      <c r="F827" s="4">
        <v>45000</v>
      </c>
      <c r="G827" s="5">
        <v>0.5</v>
      </c>
      <c r="H827" s="6">
        <v>5</v>
      </c>
      <c r="I827" s="7">
        <f t="shared" si="120"/>
        <v>22500</v>
      </c>
      <c r="J827" s="7">
        <f t="shared" si="121"/>
        <v>1125</v>
      </c>
      <c r="K827" s="7">
        <f t="shared" si="122"/>
        <v>21375</v>
      </c>
      <c r="L827" s="4">
        <v>43000</v>
      </c>
      <c r="M827" s="7">
        <f t="shared" si="123"/>
        <v>64375</v>
      </c>
      <c r="N827" s="2" t="s">
        <v>21</v>
      </c>
      <c r="O827" t="s">
        <v>22</v>
      </c>
      <c r="P827" s="2" t="s">
        <v>2370</v>
      </c>
      <c r="Q827" s="2">
        <v>3</v>
      </c>
      <c r="R827" s="2" t="s">
        <v>23</v>
      </c>
      <c r="S827" s="2" t="str">
        <f t="shared" si="124"/>
        <v>Rendah</v>
      </c>
      <c r="T827" s="2" t="str">
        <f t="shared" si="125"/>
        <v>FALSE</v>
      </c>
      <c r="U827" s="2" t="str">
        <f t="shared" si="126"/>
        <v>FALSE</v>
      </c>
      <c r="V827" s="2" t="b">
        <f t="shared" si="127"/>
        <v>0</v>
      </c>
      <c r="W827" s="2" t="b">
        <f t="shared" si="128"/>
        <v>0</v>
      </c>
      <c r="X827" s="2" t="b">
        <f t="shared" si="129"/>
        <v>0</v>
      </c>
    </row>
    <row r="828" spans="1:24" ht="10.5" customHeight="1">
      <c r="A828" s="2" t="s">
        <v>1192</v>
      </c>
      <c r="B828" s="3">
        <v>45814.425983796304</v>
      </c>
      <c r="C828" s="2" t="s">
        <v>906</v>
      </c>
      <c r="D828" s="2" t="s">
        <v>87</v>
      </c>
      <c r="E828" s="2" t="s">
        <v>27</v>
      </c>
      <c r="F828" s="4">
        <v>15000</v>
      </c>
      <c r="G828" s="5">
        <v>0.2</v>
      </c>
      <c r="H828" s="6">
        <v>5</v>
      </c>
      <c r="I828" s="7">
        <f t="shared" si="120"/>
        <v>3000</v>
      </c>
      <c r="J828" s="7">
        <f t="shared" si="121"/>
        <v>150</v>
      </c>
      <c r="K828" s="7">
        <f t="shared" si="122"/>
        <v>2850</v>
      </c>
      <c r="L828" s="4">
        <v>49000</v>
      </c>
      <c r="M828" s="7">
        <f t="shared" si="123"/>
        <v>51850</v>
      </c>
      <c r="N828" s="2" t="s">
        <v>33</v>
      </c>
      <c r="O828" t="s">
        <v>69</v>
      </c>
      <c r="P828" s="2" t="s">
        <v>2368</v>
      </c>
      <c r="Q828" s="2">
        <v>3</v>
      </c>
      <c r="R828" s="2" t="s">
        <v>23</v>
      </c>
      <c r="S828" s="2" t="str">
        <f t="shared" si="124"/>
        <v>Rendah</v>
      </c>
      <c r="T828" s="2" t="str">
        <f t="shared" si="125"/>
        <v>FALSE</v>
      </c>
      <c r="U828" s="2" t="str">
        <f t="shared" si="126"/>
        <v>FALSE</v>
      </c>
      <c r="V828" s="2" t="b">
        <f t="shared" si="127"/>
        <v>0</v>
      </c>
      <c r="W828" s="2" t="b">
        <f t="shared" si="128"/>
        <v>0</v>
      </c>
      <c r="X828" s="2" t="b">
        <f t="shared" si="129"/>
        <v>0</v>
      </c>
    </row>
    <row r="829" spans="1:24" ht="10.5" customHeight="1">
      <c r="A829" s="2" t="s">
        <v>1193</v>
      </c>
      <c r="B829" s="3">
        <v>45814.690763888888</v>
      </c>
      <c r="C829" s="2" t="s">
        <v>251</v>
      </c>
      <c r="D829" s="2" t="s">
        <v>252</v>
      </c>
      <c r="E829" s="2" t="s">
        <v>65</v>
      </c>
      <c r="F829" s="4">
        <v>46000</v>
      </c>
      <c r="G829" s="5">
        <v>0.9</v>
      </c>
      <c r="H829" s="6">
        <v>5</v>
      </c>
      <c r="I829" s="7">
        <f t="shared" si="120"/>
        <v>41400</v>
      </c>
      <c r="J829" s="7">
        <f t="shared" si="121"/>
        <v>2070</v>
      </c>
      <c r="K829" s="7">
        <f t="shared" si="122"/>
        <v>39330</v>
      </c>
      <c r="L829" s="4">
        <v>18000</v>
      </c>
      <c r="M829" s="7">
        <f t="shared" si="123"/>
        <v>57330</v>
      </c>
      <c r="N829" s="2" t="s">
        <v>28</v>
      </c>
      <c r="O829" t="s">
        <v>22</v>
      </c>
      <c r="P829" s="2" t="s">
        <v>2370</v>
      </c>
      <c r="Q829" s="2">
        <v>5</v>
      </c>
      <c r="R829" s="2" t="s">
        <v>23</v>
      </c>
      <c r="S829" s="2" t="str">
        <f t="shared" si="124"/>
        <v>Rendah</v>
      </c>
      <c r="T829" s="2" t="str">
        <f t="shared" si="125"/>
        <v>FALSE</v>
      </c>
      <c r="U829" s="2" t="str">
        <f t="shared" si="126"/>
        <v>FALSE</v>
      </c>
      <c r="V829" s="2" t="b">
        <f t="shared" si="127"/>
        <v>0</v>
      </c>
      <c r="W829" s="2" t="b">
        <f t="shared" si="128"/>
        <v>0</v>
      </c>
      <c r="X829" s="2" t="b">
        <f t="shared" si="129"/>
        <v>0</v>
      </c>
    </row>
    <row r="830" spans="1:24" ht="10.5" customHeight="1">
      <c r="A830" s="2" t="s">
        <v>1193</v>
      </c>
      <c r="B830" s="3">
        <v>45814.690763888888</v>
      </c>
      <c r="C830" s="2" t="s">
        <v>251</v>
      </c>
      <c r="D830" s="2" t="s">
        <v>252</v>
      </c>
      <c r="E830" s="2" t="s">
        <v>53</v>
      </c>
      <c r="F830" s="4">
        <v>14000</v>
      </c>
      <c r="G830" s="5">
        <v>1.1000000000000001</v>
      </c>
      <c r="H830" s="6">
        <v>5</v>
      </c>
      <c r="I830" s="7">
        <f t="shared" si="120"/>
        <v>15400.000000000002</v>
      </c>
      <c r="J830" s="7">
        <f t="shared" si="121"/>
        <v>770.00000000000011</v>
      </c>
      <c r="K830" s="7">
        <f t="shared" si="122"/>
        <v>14630.000000000002</v>
      </c>
      <c r="L830" s="4">
        <v>0</v>
      </c>
      <c r="M830" s="7">
        <f t="shared" si="123"/>
        <v>14630.000000000002</v>
      </c>
      <c r="N830" s="2" t="s">
        <v>28</v>
      </c>
      <c r="O830" t="s">
        <v>22</v>
      </c>
      <c r="P830" s="2" t="s">
        <v>2370</v>
      </c>
      <c r="Q830" s="2">
        <v>5</v>
      </c>
      <c r="R830" s="2" t="s">
        <v>23</v>
      </c>
      <c r="S830" s="2" t="str">
        <f t="shared" si="124"/>
        <v>Sangat Rendah</v>
      </c>
      <c r="T830" s="2" t="str">
        <f t="shared" si="125"/>
        <v>FALSE</v>
      </c>
      <c r="U830" s="2" t="str">
        <f t="shared" si="126"/>
        <v>FALSE</v>
      </c>
      <c r="V830" s="2" t="b">
        <f t="shared" si="127"/>
        <v>0</v>
      </c>
      <c r="W830" s="2" t="b">
        <f t="shared" si="128"/>
        <v>0</v>
      </c>
      <c r="X830" s="2" t="b">
        <f t="shared" si="129"/>
        <v>1</v>
      </c>
    </row>
    <row r="831" spans="1:24" ht="10.5" customHeight="1">
      <c r="A831" s="2" t="s">
        <v>1194</v>
      </c>
      <c r="B831" s="3">
        <v>45815.154918981483</v>
      </c>
      <c r="C831" s="2" t="s">
        <v>817</v>
      </c>
      <c r="D831" s="2" t="s">
        <v>19</v>
      </c>
      <c r="E831" s="2" t="s">
        <v>99</v>
      </c>
      <c r="F831" s="4">
        <v>10000</v>
      </c>
      <c r="G831" s="5">
        <v>1.2</v>
      </c>
      <c r="H831" s="6">
        <v>0</v>
      </c>
      <c r="I831" s="7">
        <f t="shared" si="120"/>
        <v>12000</v>
      </c>
      <c r="J831" s="7">
        <f t="shared" si="121"/>
        <v>0</v>
      </c>
      <c r="K831" s="7">
        <f t="shared" si="122"/>
        <v>12000</v>
      </c>
      <c r="L831" s="4">
        <v>15000</v>
      </c>
      <c r="M831" s="7">
        <f t="shared" si="123"/>
        <v>27000</v>
      </c>
      <c r="N831" s="2" t="s">
        <v>58</v>
      </c>
      <c r="O831" t="s">
        <v>22</v>
      </c>
      <c r="P831" s="2" t="s">
        <v>2365</v>
      </c>
      <c r="Q831" s="2">
        <v>5</v>
      </c>
      <c r="R831" s="2" t="s">
        <v>23</v>
      </c>
      <c r="S831" s="2" t="str">
        <f t="shared" si="124"/>
        <v>Sangat Rendah</v>
      </c>
      <c r="T831" s="2" t="str">
        <f t="shared" si="125"/>
        <v>FALSE</v>
      </c>
      <c r="U831" s="2" t="str">
        <f t="shared" si="126"/>
        <v>FALSE</v>
      </c>
      <c r="V831" s="2" t="b">
        <f t="shared" si="127"/>
        <v>0</v>
      </c>
      <c r="W831" s="2" t="b">
        <f t="shared" si="128"/>
        <v>0</v>
      </c>
      <c r="X831" s="2" t="b">
        <f t="shared" si="129"/>
        <v>1</v>
      </c>
    </row>
    <row r="832" spans="1:24" ht="10.5" customHeight="1">
      <c r="A832" s="2" t="s">
        <v>1195</v>
      </c>
      <c r="B832" s="3">
        <v>45815.937025462961</v>
      </c>
      <c r="C832" s="2" t="s">
        <v>277</v>
      </c>
      <c r="D832" s="2" t="s">
        <v>252</v>
      </c>
      <c r="E832" s="2" t="s">
        <v>57</v>
      </c>
      <c r="F832" s="4">
        <v>17500</v>
      </c>
      <c r="G832" s="5">
        <v>1.3</v>
      </c>
      <c r="H832" s="6">
        <v>0</v>
      </c>
      <c r="I832" s="7">
        <f t="shared" si="120"/>
        <v>22750</v>
      </c>
      <c r="J832" s="7">
        <f t="shared" si="121"/>
        <v>0</v>
      </c>
      <c r="K832" s="7">
        <f t="shared" si="122"/>
        <v>22750</v>
      </c>
      <c r="L832" s="4">
        <v>18000</v>
      </c>
      <c r="M832" s="7">
        <f t="shared" si="123"/>
        <v>40750</v>
      </c>
      <c r="N832" s="2" t="s">
        <v>33</v>
      </c>
      <c r="O832" t="s">
        <v>22</v>
      </c>
      <c r="P832" s="2" t="s">
        <v>2367</v>
      </c>
      <c r="Q832" s="2">
        <v>5</v>
      </c>
      <c r="R832" s="2" t="s">
        <v>23</v>
      </c>
      <c r="S832" s="2" t="str">
        <f t="shared" si="124"/>
        <v>Sangat Rendah</v>
      </c>
      <c r="T832" s="2" t="str">
        <f t="shared" si="125"/>
        <v>FALSE</v>
      </c>
      <c r="U832" s="2" t="str">
        <f t="shared" si="126"/>
        <v>FALSE</v>
      </c>
      <c r="V832" s="2" t="b">
        <f t="shared" si="127"/>
        <v>0</v>
      </c>
      <c r="W832" s="2" t="b">
        <f t="shared" si="128"/>
        <v>1</v>
      </c>
      <c r="X832" s="2" t="b">
        <f t="shared" si="129"/>
        <v>1</v>
      </c>
    </row>
    <row r="833" spans="1:24" ht="10.5" customHeight="1">
      <c r="A833" s="2" t="s">
        <v>1196</v>
      </c>
      <c r="B833" s="3">
        <v>45816.675509259258</v>
      </c>
      <c r="C833" s="2" t="s">
        <v>515</v>
      </c>
      <c r="D833" s="2" t="s">
        <v>87</v>
      </c>
      <c r="E833" s="2" t="s">
        <v>161</v>
      </c>
      <c r="F833" s="4">
        <v>115000</v>
      </c>
      <c r="G833" s="5">
        <v>1</v>
      </c>
      <c r="H833" s="6">
        <v>0</v>
      </c>
      <c r="I833" s="7">
        <f t="shared" si="120"/>
        <v>115000</v>
      </c>
      <c r="J833" s="7">
        <f t="shared" si="121"/>
        <v>0</v>
      </c>
      <c r="K833" s="7">
        <f t="shared" si="122"/>
        <v>115000</v>
      </c>
      <c r="L833" s="4">
        <v>49000</v>
      </c>
      <c r="M833" s="7">
        <f t="shared" si="123"/>
        <v>164000</v>
      </c>
      <c r="N833" s="2" t="s">
        <v>33</v>
      </c>
      <c r="O833" t="s">
        <v>22</v>
      </c>
      <c r="P833" s="2" t="s">
        <v>2370</v>
      </c>
      <c r="Q833" s="2">
        <v>5</v>
      </c>
      <c r="R833" s="2" t="s">
        <v>23</v>
      </c>
      <c r="S833" s="2" t="str">
        <f t="shared" si="124"/>
        <v>Tinggi</v>
      </c>
      <c r="T833" s="2" t="str">
        <f t="shared" si="125"/>
        <v>FALSE</v>
      </c>
      <c r="U833" s="2" t="str">
        <f t="shared" si="126"/>
        <v>TRUE</v>
      </c>
      <c r="V833" s="2" t="b">
        <f t="shared" si="127"/>
        <v>0</v>
      </c>
      <c r="W833" s="2" t="b">
        <f t="shared" si="128"/>
        <v>0</v>
      </c>
      <c r="X833" s="2" t="b">
        <f t="shared" si="129"/>
        <v>0</v>
      </c>
    </row>
    <row r="834" spans="1:24" ht="10.5" customHeight="1">
      <c r="A834" s="2" t="s">
        <v>1197</v>
      </c>
      <c r="B834" s="3">
        <v>45817.443599537037</v>
      </c>
      <c r="C834" s="2" t="s">
        <v>719</v>
      </c>
      <c r="D834" s="2" t="s">
        <v>68</v>
      </c>
      <c r="E834" s="2" t="s">
        <v>32</v>
      </c>
      <c r="F834" s="4">
        <v>20000</v>
      </c>
      <c r="G834" s="5">
        <v>1.5</v>
      </c>
      <c r="H834" s="6">
        <v>0</v>
      </c>
      <c r="I834" s="7">
        <f t="shared" si="120"/>
        <v>30000</v>
      </c>
      <c r="J834" s="7">
        <f t="shared" si="121"/>
        <v>0</v>
      </c>
      <c r="K834" s="7">
        <f t="shared" si="122"/>
        <v>30000</v>
      </c>
      <c r="L834" s="4">
        <v>87000</v>
      </c>
      <c r="M834" s="7">
        <f t="shared" si="123"/>
        <v>117000</v>
      </c>
      <c r="N834" s="2" t="s">
        <v>28</v>
      </c>
      <c r="O834" t="s">
        <v>22</v>
      </c>
      <c r="P834" s="2" t="s">
        <v>2365</v>
      </c>
      <c r="Q834" s="2">
        <v>3</v>
      </c>
      <c r="R834" s="2" t="s">
        <v>23</v>
      </c>
      <c r="S834" s="2" t="str">
        <f t="shared" si="124"/>
        <v>Standar</v>
      </c>
      <c r="T834" s="2" t="str">
        <f t="shared" si="125"/>
        <v>FALSE</v>
      </c>
      <c r="U834" s="2" t="str">
        <f t="shared" si="126"/>
        <v>FALSE</v>
      </c>
      <c r="V834" s="2" t="b">
        <f t="shared" si="127"/>
        <v>0</v>
      </c>
      <c r="W834" s="2" t="b">
        <f t="shared" si="128"/>
        <v>0</v>
      </c>
      <c r="X834" s="2" t="b">
        <f t="shared" si="129"/>
        <v>0</v>
      </c>
    </row>
    <row r="835" spans="1:24" ht="10.5" customHeight="1">
      <c r="A835" s="2" t="s">
        <v>1198</v>
      </c>
      <c r="B835" s="3">
        <v>45817.531851851847</v>
      </c>
      <c r="C835" s="2" t="s">
        <v>634</v>
      </c>
      <c r="D835" s="2" t="s">
        <v>235</v>
      </c>
      <c r="E835" s="2" t="s">
        <v>99</v>
      </c>
      <c r="F835" s="4">
        <v>10000</v>
      </c>
      <c r="G835" s="5">
        <v>0.8</v>
      </c>
      <c r="H835" s="6">
        <v>0</v>
      </c>
      <c r="I835" s="7">
        <f t="shared" si="120"/>
        <v>8000</v>
      </c>
      <c r="J835" s="7">
        <f t="shared" si="121"/>
        <v>0</v>
      </c>
      <c r="K835" s="7">
        <f t="shared" si="122"/>
        <v>8000</v>
      </c>
      <c r="L835" s="4">
        <v>80000</v>
      </c>
      <c r="M835" s="7">
        <f t="shared" si="123"/>
        <v>88000</v>
      </c>
      <c r="N835" s="2" t="s">
        <v>58</v>
      </c>
      <c r="O835" t="s">
        <v>22</v>
      </c>
      <c r="P835" s="2" t="s">
        <v>2365</v>
      </c>
      <c r="Q835" s="2">
        <v>4</v>
      </c>
      <c r="R835" s="2" t="s">
        <v>23</v>
      </c>
      <c r="S835" s="2" t="str">
        <f t="shared" si="124"/>
        <v>Rendah</v>
      </c>
      <c r="T835" s="2" t="str">
        <f t="shared" si="125"/>
        <v>FALSE</v>
      </c>
      <c r="U835" s="2" t="str">
        <f t="shared" si="126"/>
        <v>FALSE</v>
      </c>
      <c r="V835" s="2" t="b">
        <f t="shared" si="127"/>
        <v>0</v>
      </c>
      <c r="W835" s="2" t="b">
        <f t="shared" si="128"/>
        <v>0</v>
      </c>
      <c r="X835" s="2" t="b">
        <f t="shared" si="129"/>
        <v>0</v>
      </c>
    </row>
    <row r="836" spans="1:24" ht="10.5" customHeight="1">
      <c r="A836" s="2" t="s">
        <v>1199</v>
      </c>
      <c r="B836" s="3">
        <v>45817.704710648148</v>
      </c>
      <c r="C836" s="2" t="s">
        <v>1200</v>
      </c>
      <c r="D836" s="2" t="s">
        <v>105</v>
      </c>
      <c r="E836" s="2" t="s">
        <v>32</v>
      </c>
      <c r="F836" s="4">
        <v>20000</v>
      </c>
      <c r="G836" s="5">
        <v>3.2</v>
      </c>
      <c r="H836" s="6">
        <v>0</v>
      </c>
      <c r="I836" s="7">
        <f t="shared" ref="I836:I899" si="130">F836*G836</f>
        <v>64000</v>
      </c>
      <c r="J836" s="7">
        <f t="shared" ref="J836:J899" si="131">I836*(H836/100)</f>
        <v>0</v>
      </c>
      <c r="K836" s="7">
        <f t="shared" ref="K836:K899" si="132">I836-J836</f>
        <v>64000</v>
      </c>
      <c r="L836" s="4">
        <v>18000</v>
      </c>
      <c r="M836" s="7">
        <f t="shared" ref="M836:M899" si="133">K836+L836</f>
        <v>82000</v>
      </c>
      <c r="N836" s="2" t="s">
        <v>28</v>
      </c>
      <c r="O836" t="s">
        <v>69</v>
      </c>
      <c r="P836" s="2" t="s">
        <v>2370</v>
      </c>
      <c r="Q836" s="2">
        <v>3</v>
      </c>
      <c r="R836" s="2" t="s">
        <v>23</v>
      </c>
      <c r="S836" s="2" t="str">
        <f t="shared" ref="S836:S899" si="134">IF(M836&lt;=50000,"Sangat Rendah",IF(M836&lt;=100000,"Rendah",IF(M836&lt;=150000,"Standar",IF(M836&lt;=200000,"Tinggi","Sangat Tinggi"))))</f>
        <v>Rendah</v>
      </c>
      <c r="T836" s="2" t="str">
        <f t="shared" ref="T836:T899" si="135">IF(AND(S836="Rendah",D836="Yogyakarta"),"TRUE","FALSE")</f>
        <v>FALSE</v>
      </c>
      <c r="U836" s="2" t="str">
        <f t="shared" ref="U836:U899" si="136">IF(OR(S836="Tinggi",E836="Bayam"),"TRUE","FALSE")</f>
        <v>FALSE</v>
      </c>
      <c r="V836" s="2" t="b">
        <f t="shared" ref="V836:V899" si="137">IF(AND(S836="Standar",N836="Transef Bank"),TRUE,FALSE)</f>
        <v>0</v>
      </c>
      <c r="W836" s="2" t="b">
        <f t="shared" ref="W836:W899" si="138">IF(OR(S836="Sangat Tinggi",P836="FoodMart"),TRUE,FALSE)</f>
        <v>0</v>
      </c>
      <c r="X836" s="2" t="b">
        <f t="shared" ref="X836:X899" si="139">IF(AND(S836="Sangat Rendah",R836="Perempuan"),TRUE,FALSE)</f>
        <v>0</v>
      </c>
    </row>
    <row r="837" spans="1:24" ht="10.5" customHeight="1">
      <c r="A837" s="2" t="s">
        <v>1201</v>
      </c>
      <c r="B837" s="3">
        <v>45819.843171296299</v>
      </c>
      <c r="C837" s="2" t="s">
        <v>364</v>
      </c>
      <c r="D837" s="2" t="s">
        <v>365</v>
      </c>
      <c r="E837" s="2" t="s">
        <v>45</v>
      </c>
      <c r="F837" s="4">
        <v>10500</v>
      </c>
      <c r="G837" s="5">
        <v>2.2000000000000002</v>
      </c>
      <c r="H837" s="6">
        <v>0</v>
      </c>
      <c r="I837" s="7">
        <f t="shared" si="130"/>
        <v>23100.000000000004</v>
      </c>
      <c r="J837" s="7">
        <f t="shared" si="131"/>
        <v>0</v>
      </c>
      <c r="K837" s="7">
        <f t="shared" si="132"/>
        <v>23100.000000000004</v>
      </c>
      <c r="L837" s="4">
        <v>21000</v>
      </c>
      <c r="M837" s="7">
        <f t="shared" si="133"/>
        <v>44100</v>
      </c>
      <c r="N837" s="2" t="s">
        <v>58</v>
      </c>
      <c r="O837" t="s">
        <v>22</v>
      </c>
      <c r="P837" s="2" t="s">
        <v>2365</v>
      </c>
      <c r="Q837" s="2">
        <v>3</v>
      </c>
      <c r="R837" s="2" t="s">
        <v>34</v>
      </c>
      <c r="S837" s="2" t="str">
        <f t="shared" si="134"/>
        <v>Sangat Rendah</v>
      </c>
      <c r="T837" s="2" t="str">
        <f t="shared" si="135"/>
        <v>FALSE</v>
      </c>
      <c r="U837" s="2" t="str">
        <f t="shared" si="136"/>
        <v>FALSE</v>
      </c>
      <c r="V837" s="2" t="b">
        <f t="shared" si="137"/>
        <v>0</v>
      </c>
      <c r="W837" s="2" t="b">
        <f t="shared" si="138"/>
        <v>0</v>
      </c>
      <c r="X837" s="2" t="b">
        <f t="shared" si="139"/>
        <v>0</v>
      </c>
    </row>
    <row r="838" spans="1:24" ht="10.5" customHeight="1">
      <c r="A838" s="2" t="s">
        <v>1202</v>
      </c>
      <c r="B838" s="3">
        <v>45821.283900462957</v>
      </c>
      <c r="C838" s="2" t="s">
        <v>625</v>
      </c>
      <c r="D838" s="2" t="s">
        <v>94</v>
      </c>
      <c r="E838" s="2" t="s">
        <v>80</v>
      </c>
      <c r="F838" s="4">
        <v>15000</v>
      </c>
      <c r="G838" s="5">
        <v>0.9</v>
      </c>
      <c r="H838" s="6">
        <v>0</v>
      </c>
      <c r="I838" s="7">
        <f t="shared" si="130"/>
        <v>13500</v>
      </c>
      <c r="J838" s="7">
        <f t="shared" si="131"/>
        <v>0</v>
      </c>
      <c r="K838" s="7">
        <f t="shared" si="132"/>
        <v>13500</v>
      </c>
      <c r="L838" s="4">
        <v>85000</v>
      </c>
      <c r="M838" s="7">
        <f t="shared" si="133"/>
        <v>98500</v>
      </c>
      <c r="N838" s="2" t="s">
        <v>21</v>
      </c>
      <c r="O838" t="s">
        <v>22</v>
      </c>
      <c r="P838" s="2" t="s">
        <v>2368</v>
      </c>
      <c r="Q838" s="2">
        <v>1</v>
      </c>
      <c r="R838" s="2" t="s">
        <v>23</v>
      </c>
      <c r="S838" s="2" t="str">
        <f t="shared" si="134"/>
        <v>Rendah</v>
      </c>
      <c r="T838" s="2" t="str">
        <f t="shared" si="135"/>
        <v>FALSE</v>
      </c>
      <c r="U838" s="2" t="str">
        <f t="shared" si="136"/>
        <v>FALSE</v>
      </c>
      <c r="V838" s="2" t="b">
        <f t="shared" si="137"/>
        <v>0</v>
      </c>
      <c r="W838" s="2" t="b">
        <f t="shared" si="138"/>
        <v>0</v>
      </c>
      <c r="X838" s="2" t="b">
        <f t="shared" si="139"/>
        <v>0</v>
      </c>
    </row>
    <row r="839" spans="1:24" ht="10.5" customHeight="1">
      <c r="A839" s="2" t="s">
        <v>1203</v>
      </c>
      <c r="B839" s="3">
        <v>45821.490289351852</v>
      </c>
      <c r="C839" s="2" t="s">
        <v>605</v>
      </c>
      <c r="D839" s="2" t="s">
        <v>84</v>
      </c>
      <c r="E839" s="2" t="s">
        <v>41</v>
      </c>
      <c r="F839" s="4">
        <v>40000</v>
      </c>
      <c r="G839" s="5">
        <v>1.5</v>
      </c>
      <c r="H839" s="6">
        <v>0</v>
      </c>
      <c r="I839" s="7">
        <f t="shared" si="130"/>
        <v>60000</v>
      </c>
      <c r="J839" s="7">
        <f t="shared" si="131"/>
        <v>0</v>
      </c>
      <c r="K839" s="7">
        <f t="shared" si="132"/>
        <v>60000</v>
      </c>
      <c r="L839" s="4">
        <v>30000</v>
      </c>
      <c r="M839" s="7">
        <f t="shared" si="133"/>
        <v>90000</v>
      </c>
      <c r="N839" s="2" t="s">
        <v>28</v>
      </c>
      <c r="O839" t="s">
        <v>69</v>
      </c>
      <c r="P839" s="2" t="s">
        <v>2365</v>
      </c>
      <c r="Q839" s="2">
        <v>1</v>
      </c>
      <c r="R839" s="2" t="s">
        <v>23</v>
      </c>
      <c r="S839" s="2" t="str">
        <f t="shared" si="134"/>
        <v>Rendah</v>
      </c>
      <c r="T839" s="2" t="str">
        <f t="shared" si="135"/>
        <v>FALSE</v>
      </c>
      <c r="U839" s="2" t="str">
        <f t="shared" si="136"/>
        <v>FALSE</v>
      </c>
      <c r="V839" s="2" t="b">
        <f t="shared" si="137"/>
        <v>0</v>
      </c>
      <c r="W839" s="2" t="b">
        <f t="shared" si="138"/>
        <v>0</v>
      </c>
      <c r="X839" s="2" t="b">
        <f t="shared" si="139"/>
        <v>0</v>
      </c>
    </row>
    <row r="840" spans="1:24" ht="10.5" customHeight="1">
      <c r="A840" s="2" t="s">
        <v>1204</v>
      </c>
      <c r="B840" s="3">
        <v>45821.739212962973</v>
      </c>
      <c r="C840" s="2" t="s">
        <v>402</v>
      </c>
      <c r="D840" s="2" t="s">
        <v>64</v>
      </c>
      <c r="E840" s="2" t="s">
        <v>32</v>
      </c>
      <c r="F840" s="4">
        <v>20000</v>
      </c>
      <c r="G840" s="5">
        <v>1.2</v>
      </c>
      <c r="H840" s="6">
        <v>0</v>
      </c>
      <c r="I840" s="7">
        <f t="shared" si="130"/>
        <v>24000</v>
      </c>
      <c r="J840" s="7">
        <f t="shared" si="131"/>
        <v>0</v>
      </c>
      <c r="K840" s="7">
        <f t="shared" si="132"/>
        <v>24000</v>
      </c>
      <c r="L840" s="4">
        <v>89000</v>
      </c>
      <c r="M840" s="7">
        <f t="shared" si="133"/>
        <v>113000</v>
      </c>
      <c r="N840" s="2" t="s">
        <v>33</v>
      </c>
      <c r="O840" t="s">
        <v>22</v>
      </c>
      <c r="P840" s="2" t="s">
        <v>2365</v>
      </c>
      <c r="Q840" s="2">
        <v>4</v>
      </c>
      <c r="R840" s="2" t="s">
        <v>23</v>
      </c>
      <c r="S840" s="2" t="str">
        <f t="shared" si="134"/>
        <v>Standar</v>
      </c>
      <c r="T840" s="2" t="str">
        <f t="shared" si="135"/>
        <v>FALSE</v>
      </c>
      <c r="U840" s="2" t="str">
        <f t="shared" si="136"/>
        <v>FALSE</v>
      </c>
      <c r="V840" s="2" t="b">
        <f t="shared" si="137"/>
        <v>0</v>
      </c>
      <c r="W840" s="2" t="b">
        <f t="shared" si="138"/>
        <v>0</v>
      </c>
      <c r="X840" s="2" t="b">
        <f t="shared" si="139"/>
        <v>0</v>
      </c>
    </row>
    <row r="841" spans="1:24" ht="10.5" customHeight="1">
      <c r="A841" s="2" t="s">
        <v>1205</v>
      </c>
      <c r="B841" s="3">
        <v>45823.212685185194</v>
      </c>
      <c r="C841" s="2" t="s">
        <v>409</v>
      </c>
      <c r="D841" s="2" t="s">
        <v>94</v>
      </c>
      <c r="E841" s="2" t="s">
        <v>57</v>
      </c>
      <c r="F841" s="4">
        <v>17500</v>
      </c>
      <c r="G841" s="5">
        <v>1.2</v>
      </c>
      <c r="H841" s="6">
        <v>0</v>
      </c>
      <c r="I841" s="7">
        <f t="shared" si="130"/>
        <v>21000</v>
      </c>
      <c r="J841" s="7">
        <f t="shared" si="131"/>
        <v>0</v>
      </c>
      <c r="K841" s="7">
        <f t="shared" si="132"/>
        <v>21000</v>
      </c>
      <c r="L841" s="4">
        <v>85000</v>
      </c>
      <c r="M841" s="7">
        <f t="shared" si="133"/>
        <v>106000</v>
      </c>
      <c r="N841" s="2" t="s">
        <v>58</v>
      </c>
      <c r="O841" t="s">
        <v>115</v>
      </c>
      <c r="P841" s="2" t="s">
        <v>2368</v>
      </c>
      <c r="Q841" s="2">
        <v>5</v>
      </c>
      <c r="R841" s="2" t="s">
        <v>34</v>
      </c>
      <c r="S841" s="2" t="str">
        <f t="shared" si="134"/>
        <v>Standar</v>
      </c>
      <c r="T841" s="2" t="str">
        <f t="shared" si="135"/>
        <v>FALSE</v>
      </c>
      <c r="U841" s="2" t="str">
        <f t="shared" si="136"/>
        <v>FALSE</v>
      </c>
      <c r="V841" s="2" t="b">
        <f t="shared" si="137"/>
        <v>0</v>
      </c>
      <c r="W841" s="2" t="b">
        <f t="shared" si="138"/>
        <v>0</v>
      </c>
      <c r="X841" s="2" t="b">
        <f t="shared" si="139"/>
        <v>0</v>
      </c>
    </row>
    <row r="842" spans="1:24" ht="10.5" customHeight="1">
      <c r="A842" s="2" t="s">
        <v>1206</v>
      </c>
      <c r="B842" s="3">
        <v>45823.311041666668</v>
      </c>
      <c r="C842" s="2" t="s">
        <v>398</v>
      </c>
      <c r="D842" s="2" t="s">
        <v>68</v>
      </c>
      <c r="E842" s="2" t="s">
        <v>65</v>
      </c>
      <c r="F842" s="4">
        <v>46000</v>
      </c>
      <c r="G842" s="5">
        <v>1.1000000000000001</v>
      </c>
      <c r="H842" s="6">
        <v>0</v>
      </c>
      <c r="I842" s="7">
        <f t="shared" si="130"/>
        <v>50600.000000000007</v>
      </c>
      <c r="J842" s="7">
        <f t="shared" si="131"/>
        <v>0</v>
      </c>
      <c r="K842" s="7">
        <f t="shared" si="132"/>
        <v>50600.000000000007</v>
      </c>
      <c r="L842" s="4">
        <v>87000</v>
      </c>
      <c r="M842" s="7">
        <f t="shared" si="133"/>
        <v>137600</v>
      </c>
      <c r="N842" s="2" t="s">
        <v>28</v>
      </c>
      <c r="O842" t="s">
        <v>22</v>
      </c>
      <c r="P842" s="2" t="s">
        <v>2365</v>
      </c>
      <c r="Q842" s="2">
        <v>5</v>
      </c>
      <c r="R842" s="2" t="s">
        <v>23</v>
      </c>
      <c r="S842" s="2" t="str">
        <f t="shared" si="134"/>
        <v>Standar</v>
      </c>
      <c r="T842" s="2" t="str">
        <f t="shared" si="135"/>
        <v>FALSE</v>
      </c>
      <c r="U842" s="2" t="str">
        <f t="shared" si="136"/>
        <v>FALSE</v>
      </c>
      <c r="V842" s="2" t="b">
        <f t="shared" si="137"/>
        <v>0</v>
      </c>
      <c r="W842" s="2" t="b">
        <f t="shared" si="138"/>
        <v>0</v>
      </c>
      <c r="X842" s="2" t="b">
        <f t="shared" si="139"/>
        <v>0</v>
      </c>
    </row>
    <row r="843" spans="1:24" ht="10.5" customHeight="1">
      <c r="A843" s="2" t="s">
        <v>1207</v>
      </c>
      <c r="B843" s="3">
        <v>45825.433541666673</v>
      </c>
      <c r="C843" s="2" t="s">
        <v>993</v>
      </c>
      <c r="D843" s="2" t="s">
        <v>252</v>
      </c>
      <c r="E843" s="2" t="s">
        <v>95</v>
      </c>
      <c r="F843" s="4">
        <v>9500</v>
      </c>
      <c r="G843" s="5">
        <v>1.8</v>
      </c>
      <c r="H843" s="6">
        <v>0</v>
      </c>
      <c r="I843" s="7">
        <f t="shared" si="130"/>
        <v>17100</v>
      </c>
      <c r="J843" s="7">
        <f t="shared" si="131"/>
        <v>0</v>
      </c>
      <c r="K843" s="7">
        <f t="shared" si="132"/>
        <v>17100</v>
      </c>
      <c r="L843" s="4">
        <v>18000</v>
      </c>
      <c r="M843" s="7">
        <f t="shared" si="133"/>
        <v>35100</v>
      </c>
      <c r="N843" s="2" t="s">
        <v>58</v>
      </c>
      <c r="O843" t="s">
        <v>22</v>
      </c>
      <c r="P843" s="2" t="s">
        <v>2370</v>
      </c>
      <c r="Q843" s="2">
        <v>2</v>
      </c>
      <c r="R843" s="2" t="s">
        <v>23</v>
      </c>
      <c r="S843" s="2" t="str">
        <f t="shared" si="134"/>
        <v>Sangat Rendah</v>
      </c>
      <c r="T843" s="2" t="str">
        <f t="shared" si="135"/>
        <v>FALSE</v>
      </c>
      <c r="U843" s="2" t="str">
        <f t="shared" si="136"/>
        <v>FALSE</v>
      </c>
      <c r="V843" s="2" t="b">
        <f t="shared" si="137"/>
        <v>0</v>
      </c>
      <c r="W843" s="2" t="b">
        <f t="shared" si="138"/>
        <v>0</v>
      </c>
      <c r="X843" s="2" t="b">
        <f t="shared" si="139"/>
        <v>1</v>
      </c>
    </row>
    <row r="844" spans="1:24" ht="10.5" customHeight="1">
      <c r="A844" s="2" t="s">
        <v>1208</v>
      </c>
      <c r="B844" s="3">
        <v>45825.473495370366</v>
      </c>
      <c r="C844" s="2" t="s">
        <v>285</v>
      </c>
      <c r="D844" s="2" t="s">
        <v>286</v>
      </c>
      <c r="E844" s="2" t="s">
        <v>35</v>
      </c>
      <c r="F844" s="4">
        <v>13500</v>
      </c>
      <c r="G844" s="5">
        <v>2.2999999999999998</v>
      </c>
      <c r="H844" s="6">
        <v>0</v>
      </c>
      <c r="I844" s="7">
        <f t="shared" si="130"/>
        <v>31049.999999999996</v>
      </c>
      <c r="J844" s="7">
        <f t="shared" si="131"/>
        <v>0</v>
      </c>
      <c r="K844" s="7">
        <f t="shared" si="132"/>
        <v>31049.999999999996</v>
      </c>
      <c r="L844" s="4">
        <v>79000</v>
      </c>
      <c r="M844" s="7">
        <f t="shared" si="133"/>
        <v>110050</v>
      </c>
      <c r="N844" s="2" t="s">
        <v>28</v>
      </c>
      <c r="O844" t="s">
        <v>22</v>
      </c>
      <c r="P844" s="2" t="s">
        <v>2367</v>
      </c>
      <c r="Q844" s="2">
        <v>2</v>
      </c>
      <c r="R844" s="2" t="s">
        <v>23</v>
      </c>
      <c r="S844" s="2" t="str">
        <f t="shared" si="134"/>
        <v>Standar</v>
      </c>
      <c r="T844" s="2" t="str">
        <f t="shared" si="135"/>
        <v>FALSE</v>
      </c>
      <c r="U844" s="2" t="str">
        <f t="shared" si="136"/>
        <v>FALSE</v>
      </c>
      <c r="V844" s="2" t="b">
        <f t="shared" si="137"/>
        <v>0</v>
      </c>
      <c r="W844" s="2" t="b">
        <f t="shared" si="138"/>
        <v>1</v>
      </c>
      <c r="X844" s="2" t="b">
        <f t="shared" si="139"/>
        <v>0</v>
      </c>
    </row>
    <row r="845" spans="1:24" ht="10.5" customHeight="1">
      <c r="A845" s="2" t="s">
        <v>1209</v>
      </c>
      <c r="B845" s="3">
        <v>45827.428287037037</v>
      </c>
      <c r="C845" s="2" t="s">
        <v>634</v>
      </c>
      <c r="D845" s="2" t="s">
        <v>235</v>
      </c>
      <c r="E845" s="2" t="s">
        <v>53</v>
      </c>
      <c r="F845" s="4">
        <v>14000</v>
      </c>
      <c r="G845" s="5">
        <v>0.9</v>
      </c>
      <c r="H845" s="6">
        <v>0</v>
      </c>
      <c r="I845" s="7">
        <f t="shared" si="130"/>
        <v>12600</v>
      </c>
      <c r="J845" s="7">
        <f t="shared" si="131"/>
        <v>0</v>
      </c>
      <c r="K845" s="7">
        <f t="shared" si="132"/>
        <v>12600</v>
      </c>
      <c r="L845" s="4">
        <v>80000</v>
      </c>
      <c r="M845" s="7">
        <f t="shared" si="133"/>
        <v>92600</v>
      </c>
      <c r="N845" s="2" t="s">
        <v>58</v>
      </c>
      <c r="O845" t="s">
        <v>69</v>
      </c>
      <c r="P845" s="2" t="s">
        <v>2368</v>
      </c>
      <c r="Q845" s="2">
        <v>5</v>
      </c>
      <c r="R845" s="2" t="s">
        <v>23</v>
      </c>
      <c r="S845" s="2" t="str">
        <f t="shared" si="134"/>
        <v>Rendah</v>
      </c>
      <c r="T845" s="2" t="str">
        <f t="shared" si="135"/>
        <v>FALSE</v>
      </c>
      <c r="U845" s="2" t="str">
        <f t="shared" si="136"/>
        <v>FALSE</v>
      </c>
      <c r="V845" s="2" t="b">
        <f t="shared" si="137"/>
        <v>0</v>
      </c>
      <c r="W845" s="2" t="b">
        <f t="shared" si="138"/>
        <v>0</v>
      </c>
      <c r="X845" s="2" t="b">
        <f t="shared" si="139"/>
        <v>0</v>
      </c>
    </row>
    <row r="846" spans="1:24" ht="10.5" customHeight="1">
      <c r="A846" s="2" t="s">
        <v>1210</v>
      </c>
      <c r="B846" s="3">
        <v>45827.593287037038</v>
      </c>
      <c r="C846" s="2" t="s">
        <v>218</v>
      </c>
      <c r="D846" s="2" t="s">
        <v>64</v>
      </c>
      <c r="E846" s="2" t="s">
        <v>57</v>
      </c>
      <c r="F846" s="4">
        <v>17500</v>
      </c>
      <c r="G846" s="5">
        <v>1.8</v>
      </c>
      <c r="H846" s="6">
        <v>0</v>
      </c>
      <c r="I846" s="7">
        <f t="shared" si="130"/>
        <v>31500</v>
      </c>
      <c r="J846" s="7">
        <f t="shared" si="131"/>
        <v>0</v>
      </c>
      <c r="K846" s="7">
        <f t="shared" si="132"/>
        <v>31500</v>
      </c>
      <c r="L846" s="4">
        <v>89000</v>
      </c>
      <c r="M846" s="7">
        <f t="shared" si="133"/>
        <v>120500</v>
      </c>
      <c r="N846" s="2" t="s">
        <v>28</v>
      </c>
      <c r="O846" t="s">
        <v>69</v>
      </c>
      <c r="P846" s="2" t="s">
        <v>2365</v>
      </c>
      <c r="Q846" s="2">
        <v>4</v>
      </c>
      <c r="R846" s="2" t="s">
        <v>23</v>
      </c>
      <c r="S846" s="2" t="str">
        <f t="shared" si="134"/>
        <v>Standar</v>
      </c>
      <c r="T846" s="2" t="str">
        <f t="shared" si="135"/>
        <v>FALSE</v>
      </c>
      <c r="U846" s="2" t="str">
        <f t="shared" si="136"/>
        <v>FALSE</v>
      </c>
      <c r="V846" s="2" t="b">
        <f t="shared" si="137"/>
        <v>0</v>
      </c>
      <c r="W846" s="2" t="b">
        <f t="shared" si="138"/>
        <v>0</v>
      </c>
      <c r="X846" s="2" t="b">
        <f t="shared" si="139"/>
        <v>0</v>
      </c>
    </row>
    <row r="847" spans="1:24" ht="10.5" customHeight="1">
      <c r="A847" s="2" t="s">
        <v>1211</v>
      </c>
      <c r="B847" s="3">
        <v>45827.820208333331</v>
      </c>
      <c r="C847" s="2" t="s">
        <v>716</v>
      </c>
      <c r="D847" s="2" t="s">
        <v>48</v>
      </c>
      <c r="E847" s="2" t="s">
        <v>41</v>
      </c>
      <c r="F847" s="4">
        <v>40000</v>
      </c>
      <c r="G847" s="5">
        <v>1.3</v>
      </c>
      <c r="H847" s="6">
        <v>0</v>
      </c>
      <c r="I847" s="7">
        <f t="shared" si="130"/>
        <v>52000</v>
      </c>
      <c r="J847" s="7">
        <f t="shared" si="131"/>
        <v>0</v>
      </c>
      <c r="K847" s="7">
        <f t="shared" si="132"/>
        <v>52000</v>
      </c>
      <c r="L847" s="4">
        <v>18000</v>
      </c>
      <c r="M847" s="7">
        <f t="shared" si="133"/>
        <v>70000</v>
      </c>
      <c r="N847" s="2" t="s">
        <v>21</v>
      </c>
      <c r="O847" t="s">
        <v>22</v>
      </c>
      <c r="P847" s="2" t="s">
        <v>2366</v>
      </c>
      <c r="Q847" s="2">
        <v>4</v>
      </c>
      <c r="R847" s="2" t="s">
        <v>34</v>
      </c>
      <c r="S847" s="2" t="str">
        <f t="shared" si="134"/>
        <v>Rendah</v>
      </c>
      <c r="T847" s="2" t="str">
        <f t="shared" si="135"/>
        <v>FALSE</v>
      </c>
      <c r="U847" s="2" t="str">
        <f t="shared" si="136"/>
        <v>FALSE</v>
      </c>
      <c r="V847" s="2" t="b">
        <f t="shared" si="137"/>
        <v>0</v>
      </c>
      <c r="W847" s="2" t="b">
        <f t="shared" si="138"/>
        <v>0</v>
      </c>
      <c r="X847" s="2" t="b">
        <f t="shared" si="139"/>
        <v>0</v>
      </c>
    </row>
    <row r="848" spans="1:24" ht="10.5" customHeight="1">
      <c r="A848" s="2" t="s">
        <v>1212</v>
      </c>
      <c r="B848" s="3">
        <v>45828.394259259258</v>
      </c>
      <c r="C848" s="2" t="s">
        <v>379</v>
      </c>
      <c r="D848" s="2" t="s">
        <v>173</v>
      </c>
      <c r="E848" s="2" t="s">
        <v>170</v>
      </c>
      <c r="F848" s="4">
        <v>12000</v>
      </c>
      <c r="G848" s="5">
        <v>0.8</v>
      </c>
      <c r="H848" s="6">
        <v>0</v>
      </c>
      <c r="I848" s="7">
        <f t="shared" si="130"/>
        <v>9600</v>
      </c>
      <c r="J848" s="7">
        <f t="shared" si="131"/>
        <v>0</v>
      </c>
      <c r="K848" s="7">
        <f t="shared" si="132"/>
        <v>9600</v>
      </c>
      <c r="L848" s="4">
        <v>48000</v>
      </c>
      <c r="M848" s="7">
        <f t="shared" si="133"/>
        <v>57600</v>
      </c>
      <c r="N848" s="2" t="s">
        <v>33</v>
      </c>
      <c r="O848" t="s">
        <v>22</v>
      </c>
      <c r="P848" s="2" t="s">
        <v>2366</v>
      </c>
      <c r="Q848" s="2">
        <v>2</v>
      </c>
      <c r="R848" s="2" t="s">
        <v>23</v>
      </c>
      <c r="S848" s="2" t="str">
        <f t="shared" si="134"/>
        <v>Rendah</v>
      </c>
      <c r="T848" s="2" t="str">
        <f t="shared" si="135"/>
        <v>FALSE</v>
      </c>
      <c r="U848" s="2" t="str">
        <f t="shared" si="136"/>
        <v>FALSE</v>
      </c>
      <c r="V848" s="2" t="b">
        <f t="shared" si="137"/>
        <v>0</v>
      </c>
      <c r="W848" s="2" t="b">
        <f t="shared" si="138"/>
        <v>0</v>
      </c>
      <c r="X848" s="2" t="b">
        <f t="shared" si="139"/>
        <v>0</v>
      </c>
    </row>
    <row r="849" spans="1:24" ht="10.5" customHeight="1">
      <c r="A849" s="2" t="s">
        <v>1213</v>
      </c>
      <c r="B849" s="3">
        <v>45828.547638888893</v>
      </c>
      <c r="C849" s="2" t="s">
        <v>388</v>
      </c>
      <c r="D849" s="2" t="s">
        <v>173</v>
      </c>
      <c r="E849" s="2" t="s">
        <v>95</v>
      </c>
      <c r="F849" s="4">
        <v>9500</v>
      </c>
      <c r="G849" s="5">
        <v>0.8</v>
      </c>
      <c r="H849" s="6">
        <v>0</v>
      </c>
      <c r="I849" s="7">
        <f t="shared" si="130"/>
        <v>7600</v>
      </c>
      <c r="J849" s="7">
        <f t="shared" si="131"/>
        <v>0</v>
      </c>
      <c r="K849" s="7">
        <f t="shared" si="132"/>
        <v>7600</v>
      </c>
      <c r="L849" s="4">
        <v>48000</v>
      </c>
      <c r="M849" s="7">
        <f t="shared" si="133"/>
        <v>55600</v>
      </c>
      <c r="N849" s="2" t="s">
        <v>21</v>
      </c>
      <c r="O849" t="s">
        <v>22</v>
      </c>
      <c r="P849" s="2" t="s">
        <v>2370</v>
      </c>
      <c r="Q849" s="2">
        <v>4</v>
      </c>
      <c r="R849" s="2" t="s">
        <v>23</v>
      </c>
      <c r="S849" s="2" t="str">
        <f t="shared" si="134"/>
        <v>Rendah</v>
      </c>
      <c r="T849" s="2" t="str">
        <f t="shared" si="135"/>
        <v>FALSE</v>
      </c>
      <c r="U849" s="2" t="str">
        <f t="shared" si="136"/>
        <v>FALSE</v>
      </c>
      <c r="V849" s="2" t="b">
        <f t="shared" si="137"/>
        <v>0</v>
      </c>
      <c r="W849" s="2" t="b">
        <f t="shared" si="138"/>
        <v>0</v>
      </c>
      <c r="X849" s="2" t="b">
        <f t="shared" si="139"/>
        <v>0</v>
      </c>
    </row>
    <row r="850" spans="1:24" ht="10.5" customHeight="1">
      <c r="A850" s="2" t="s">
        <v>1214</v>
      </c>
      <c r="B850" s="3">
        <v>45829.024178240739</v>
      </c>
      <c r="C850" s="2" t="s">
        <v>503</v>
      </c>
      <c r="D850" s="2" t="s">
        <v>173</v>
      </c>
      <c r="E850" s="2" t="s">
        <v>20</v>
      </c>
      <c r="F850" s="4">
        <v>10000</v>
      </c>
      <c r="G850" s="5">
        <v>1.4</v>
      </c>
      <c r="H850" s="6">
        <v>0</v>
      </c>
      <c r="I850" s="7">
        <f t="shared" si="130"/>
        <v>14000</v>
      </c>
      <c r="J850" s="7">
        <f t="shared" si="131"/>
        <v>0</v>
      </c>
      <c r="K850" s="7">
        <f t="shared" si="132"/>
        <v>14000</v>
      </c>
      <c r="L850" s="4">
        <v>48000</v>
      </c>
      <c r="M850" s="7">
        <f t="shared" si="133"/>
        <v>62000</v>
      </c>
      <c r="N850" s="2" t="s">
        <v>33</v>
      </c>
      <c r="O850" t="s">
        <v>22</v>
      </c>
      <c r="P850" s="2" t="s">
        <v>2365</v>
      </c>
      <c r="Q850" s="2">
        <v>1</v>
      </c>
      <c r="R850" s="2" t="s">
        <v>23</v>
      </c>
      <c r="S850" s="2" t="str">
        <f t="shared" si="134"/>
        <v>Rendah</v>
      </c>
      <c r="T850" s="2" t="str">
        <f t="shared" si="135"/>
        <v>FALSE</v>
      </c>
      <c r="U850" s="2" t="str">
        <f t="shared" si="136"/>
        <v>FALSE</v>
      </c>
      <c r="V850" s="2" t="b">
        <f t="shared" si="137"/>
        <v>0</v>
      </c>
      <c r="W850" s="2" t="b">
        <f t="shared" si="138"/>
        <v>0</v>
      </c>
      <c r="X850" s="2" t="b">
        <f t="shared" si="139"/>
        <v>0</v>
      </c>
    </row>
    <row r="851" spans="1:24" ht="10.5" customHeight="1">
      <c r="A851" s="2" t="s">
        <v>1215</v>
      </c>
      <c r="B851" s="3">
        <v>45829.131307870368</v>
      </c>
      <c r="C851" s="2" t="s">
        <v>1077</v>
      </c>
      <c r="D851" s="2" t="s">
        <v>133</v>
      </c>
      <c r="E851" s="2" t="s">
        <v>32</v>
      </c>
      <c r="F851" s="4">
        <v>20000</v>
      </c>
      <c r="G851" s="5">
        <v>1.1000000000000001</v>
      </c>
      <c r="H851" s="6">
        <v>0</v>
      </c>
      <c r="I851" s="7">
        <f t="shared" si="130"/>
        <v>22000</v>
      </c>
      <c r="J851" s="7">
        <f t="shared" si="131"/>
        <v>0</v>
      </c>
      <c r="K851" s="7">
        <f t="shared" si="132"/>
        <v>22000</v>
      </c>
      <c r="L851" s="4">
        <v>50000</v>
      </c>
      <c r="M851" s="7">
        <f t="shared" si="133"/>
        <v>72000</v>
      </c>
      <c r="N851" s="2" t="s">
        <v>21</v>
      </c>
      <c r="O851" t="s">
        <v>22</v>
      </c>
      <c r="P851" s="2" t="s">
        <v>2367</v>
      </c>
      <c r="Q851" s="2">
        <v>2</v>
      </c>
      <c r="R851" s="2" t="s">
        <v>23</v>
      </c>
      <c r="S851" s="2" t="str">
        <f t="shared" si="134"/>
        <v>Rendah</v>
      </c>
      <c r="T851" s="2" t="str">
        <f t="shared" si="135"/>
        <v>FALSE</v>
      </c>
      <c r="U851" s="2" t="str">
        <f t="shared" si="136"/>
        <v>FALSE</v>
      </c>
      <c r="V851" s="2" t="b">
        <f t="shared" si="137"/>
        <v>0</v>
      </c>
      <c r="W851" s="2" t="b">
        <f t="shared" si="138"/>
        <v>1</v>
      </c>
      <c r="X851" s="2" t="b">
        <f t="shared" si="139"/>
        <v>0</v>
      </c>
    </row>
    <row r="852" spans="1:24" ht="10.5" customHeight="1">
      <c r="A852" s="2" t="s">
        <v>1216</v>
      </c>
      <c r="B852" s="3">
        <v>45829.77103009259</v>
      </c>
      <c r="C852" s="2" t="s">
        <v>625</v>
      </c>
      <c r="D852" s="2" t="s">
        <v>94</v>
      </c>
      <c r="E852" s="2" t="s">
        <v>27</v>
      </c>
      <c r="F852" s="4">
        <v>15000</v>
      </c>
      <c r="G852" s="5">
        <v>0.8</v>
      </c>
      <c r="H852" s="6">
        <v>0</v>
      </c>
      <c r="I852" s="7">
        <f t="shared" si="130"/>
        <v>12000</v>
      </c>
      <c r="J852" s="7">
        <f t="shared" si="131"/>
        <v>0</v>
      </c>
      <c r="K852" s="7">
        <f t="shared" si="132"/>
        <v>12000</v>
      </c>
      <c r="L852" s="4">
        <v>85000</v>
      </c>
      <c r="M852" s="7">
        <f t="shared" si="133"/>
        <v>97000</v>
      </c>
      <c r="N852" s="2" t="s">
        <v>58</v>
      </c>
      <c r="O852" t="s">
        <v>22</v>
      </c>
      <c r="P852" s="2" t="s">
        <v>2366</v>
      </c>
      <c r="Q852" s="2">
        <v>4</v>
      </c>
      <c r="R852" s="2" t="s">
        <v>23</v>
      </c>
      <c r="S852" s="2" t="str">
        <f t="shared" si="134"/>
        <v>Rendah</v>
      </c>
      <c r="T852" s="2" t="str">
        <f t="shared" si="135"/>
        <v>FALSE</v>
      </c>
      <c r="U852" s="2" t="str">
        <f t="shared" si="136"/>
        <v>FALSE</v>
      </c>
      <c r="V852" s="2" t="b">
        <f t="shared" si="137"/>
        <v>0</v>
      </c>
      <c r="W852" s="2" t="b">
        <f t="shared" si="138"/>
        <v>0</v>
      </c>
      <c r="X852" s="2" t="b">
        <f t="shared" si="139"/>
        <v>0</v>
      </c>
    </row>
    <row r="853" spans="1:24" ht="10.5" customHeight="1">
      <c r="A853" s="2" t="s">
        <v>1217</v>
      </c>
      <c r="B853" s="3">
        <v>45830.493807870371</v>
      </c>
      <c r="C853" s="2" t="s">
        <v>1218</v>
      </c>
      <c r="D853" s="2" t="s">
        <v>31</v>
      </c>
      <c r="E853" s="2" t="s">
        <v>75</v>
      </c>
      <c r="F853" s="4">
        <v>45000</v>
      </c>
      <c r="G853" s="5">
        <v>1.6</v>
      </c>
      <c r="H853" s="6">
        <v>0</v>
      </c>
      <c r="I853" s="7">
        <f t="shared" si="130"/>
        <v>72000</v>
      </c>
      <c r="J853" s="7">
        <f t="shared" si="131"/>
        <v>0</v>
      </c>
      <c r="K853" s="7">
        <f t="shared" si="132"/>
        <v>72000</v>
      </c>
      <c r="L853" s="4">
        <v>76000</v>
      </c>
      <c r="M853" s="7">
        <f t="shared" si="133"/>
        <v>148000</v>
      </c>
      <c r="N853" s="2" t="s">
        <v>21</v>
      </c>
      <c r="O853" t="s">
        <v>22</v>
      </c>
      <c r="P853" s="2" t="s">
        <v>2368</v>
      </c>
      <c r="Q853" s="2">
        <v>4</v>
      </c>
      <c r="R853" s="2" t="s">
        <v>23</v>
      </c>
      <c r="S853" s="2" t="str">
        <f t="shared" si="134"/>
        <v>Standar</v>
      </c>
      <c r="T853" s="2" t="str">
        <f t="shared" si="135"/>
        <v>FALSE</v>
      </c>
      <c r="U853" s="2" t="str">
        <f t="shared" si="136"/>
        <v>FALSE</v>
      </c>
      <c r="V853" s="2" t="b">
        <f t="shared" si="137"/>
        <v>0</v>
      </c>
      <c r="W853" s="2" t="b">
        <f t="shared" si="138"/>
        <v>0</v>
      </c>
      <c r="X853" s="2" t="b">
        <f t="shared" si="139"/>
        <v>0</v>
      </c>
    </row>
    <row r="854" spans="1:24" ht="10.5" customHeight="1">
      <c r="A854" s="2" t="s">
        <v>1219</v>
      </c>
      <c r="B854" s="3">
        <v>45830.739745370367</v>
      </c>
      <c r="C854" s="2" t="s">
        <v>671</v>
      </c>
      <c r="D854" s="2" t="s">
        <v>252</v>
      </c>
      <c r="E854" s="2" t="s">
        <v>57</v>
      </c>
      <c r="F854" s="4">
        <v>17500</v>
      </c>
      <c r="G854" s="5">
        <v>2.2999999999999998</v>
      </c>
      <c r="H854" s="6">
        <v>0</v>
      </c>
      <c r="I854" s="7">
        <f t="shared" si="130"/>
        <v>40250</v>
      </c>
      <c r="J854" s="7">
        <f t="shared" si="131"/>
        <v>0</v>
      </c>
      <c r="K854" s="7">
        <f t="shared" si="132"/>
        <v>40250</v>
      </c>
      <c r="L854" s="4">
        <v>18000</v>
      </c>
      <c r="M854" s="7">
        <f t="shared" si="133"/>
        <v>58250</v>
      </c>
      <c r="N854" s="2" t="s">
        <v>28</v>
      </c>
      <c r="O854" t="s">
        <v>22</v>
      </c>
      <c r="P854" s="2" t="s">
        <v>2367</v>
      </c>
      <c r="Q854" s="2">
        <v>4</v>
      </c>
      <c r="R854" s="2" t="s">
        <v>23</v>
      </c>
      <c r="S854" s="2" t="str">
        <f t="shared" si="134"/>
        <v>Rendah</v>
      </c>
      <c r="T854" s="2" t="str">
        <f t="shared" si="135"/>
        <v>FALSE</v>
      </c>
      <c r="U854" s="2" t="str">
        <f t="shared" si="136"/>
        <v>FALSE</v>
      </c>
      <c r="V854" s="2" t="b">
        <f t="shared" si="137"/>
        <v>0</v>
      </c>
      <c r="W854" s="2" t="b">
        <f t="shared" si="138"/>
        <v>1</v>
      </c>
      <c r="X854" s="2" t="b">
        <f t="shared" si="139"/>
        <v>0</v>
      </c>
    </row>
    <row r="855" spans="1:24" ht="10.5" customHeight="1">
      <c r="A855" s="2" t="s">
        <v>1220</v>
      </c>
      <c r="B855" s="3">
        <v>45832.799062500002</v>
      </c>
      <c r="C855" s="2" t="s">
        <v>683</v>
      </c>
      <c r="D855" s="2" t="s">
        <v>111</v>
      </c>
      <c r="E855" s="2" t="s">
        <v>57</v>
      </c>
      <c r="F855" s="4">
        <v>17500</v>
      </c>
      <c r="G855" s="5">
        <v>2.6</v>
      </c>
      <c r="H855" s="6">
        <v>0</v>
      </c>
      <c r="I855" s="7">
        <f t="shared" si="130"/>
        <v>45500</v>
      </c>
      <c r="J855" s="7">
        <f t="shared" si="131"/>
        <v>0</v>
      </c>
      <c r="K855" s="7">
        <f t="shared" si="132"/>
        <v>45500</v>
      </c>
      <c r="L855" s="4">
        <v>0</v>
      </c>
      <c r="M855" s="7">
        <f t="shared" si="133"/>
        <v>45500</v>
      </c>
      <c r="N855" s="2" t="s">
        <v>58</v>
      </c>
      <c r="O855" t="s">
        <v>22</v>
      </c>
      <c r="P855" s="2" t="s">
        <v>2367</v>
      </c>
      <c r="Q855" s="2">
        <v>3</v>
      </c>
      <c r="R855" s="2" t="s">
        <v>23</v>
      </c>
      <c r="S855" s="2" t="str">
        <f t="shared" si="134"/>
        <v>Sangat Rendah</v>
      </c>
      <c r="T855" s="2" t="str">
        <f t="shared" si="135"/>
        <v>FALSE</v>
      </c>
      <c r="U855" s="2" t="str">
        <f t="shared" si="136"/>
        <v>FALSE</v>
      </c>
      <c r="V855" s="2" t="b">
        <f t="shared" si="137"/>
        <v>0</v>
      </c>
      <c r="W855" s="2" t="b">
        <f t="shared" si="138"/>
        <v>1</v>
      </c>
      <c r="X855" s="2" t="b">
        <f t="shared" si="139"/>
        <v>1</v>
      </c>
    </row>
    <row r="856" spans="1:24" ht="10.5" customHeight="1">
      <c r="A856" s="2" t="s">
        <v>1221</v>
      </c>
      <c r="B856" s="3">
        <v>45833.144583333327</v>
      </c>
      <c r="C856" s="2" t="s">
        <v>194</v>
      </c>
      <c r="D856" s="2" t="s">
        <v>19</v>
      </c>
      <c r="E856" s="2" t="s">
        <v>161</v>
      </c>
      <c r="F856" s="4">
        <v>115000</v>
      </c>
      <c r="G856" s="5">
        <v>0.9</v>
      </c>
      <c r="H856" s="6">
        <v>5</v>
      </c>
      <c r="I856" s="7">
        <f t="shared" si="130"/>
        <v>103500</v>
      </c>
      <c r="J856" s="7">
        <f t="shared" si="131"/>
        <v>5175</v>
      </c>
      <c r="K856" s="7">
        <f t="shared" si="132"/>
        <v>98325</v>
      </c>
      <c r="L856" s="4">
        <v>15000</v>
      </c>
      <c r="M856" s="7">
        <f t="shared" si="133"/>
        <v>113325</v>
      </c>
      <c r="N856" s="2" t="s">
        <v>28</v>
      </c>
      <c r="O856" t="s">
        <v>115</v>
      </c>
      <c r="P856" s="2" t="s">
        <v>2367</v>
      </c>
      <c r="Q856" s="2">
        <v>2</v>
      </c>
      <c r="R856" s="2" t="s">
        <v>23</v>
      </c>
      <c r="S856" s="2" t="str">
        <f t="shared" si="134"/>
        <v>Standar</v>
      </c>
      <c r="T856" s="2" t="str">
        <f t="shared" si="135"/>
        <v>FALSE</v>
      </c>
      <c r="U856" s="2" t="str">
        <f t="shared" si="136"/>
        <v>FALSE</v>
      </c>
      <c r="V856" s="2" t="b">
        <f t="shared" si="137"/>
        <v>0</v>
      </c>
      <c r="W856" s="2" t="b">
        <f t="shared" si="138"/>
        <v>1</v>
      </c>
      <c r="X856" s="2" t="b">
        <f t="shared" si="139"/>
        <v>0</v>
      </c>
    </row>
    <row r="857" spans="1:24" ht="10.5" customHeight="1">
      <c r="A857" s="2" t="s">
        <v>1222</v>
      </c>
      <c r="B857" s="3">
        <v>45833.212708333333</v>
      </c>
      <c r="C857" s="2" t="s">
        <v>228</v>
      </c>
      <c r="D857" s="2" t="s">
        <v>229</v>
      </c>
      <c r="E857" s="2" t="s">
        <v>32</v>
      </c>
      <c r="F857" s="4">
        <v>20000</v>
      </c>
      <c r="G857" s="5">
        <v>2.5</v>
      </c>
      <c r="H857" s="6">
        <v>5</v>
      </c>
      <c r="I857" s="7">
        <f t="shared" si="130"/>
        <v>50000</v>
      </c>
      <c r="J857" s="7">
        <f t="shared" si="131"/>
        <v>2500</v>
      </c>
      <c r="K857" s="7">
        <f t="shared" si="132"/>
        <v>47500</v>
      </c>
      <c r="L857" s="4">
        <v>28000</v>
      </c>
      <c r="M857" s="7">
        <f t="shared" si="133"/>
        <v>75500</v>
      </c>
      <c r="N857" s="2" t="s">
        <v>58</v>
      </c>
      <c r="O857" t="s">
        <v>22</v>
      </c>
      <c r="P857" s="2" t="s">
        <v>2367</v>
      </c>
      <c r="Q857" s="2">
        <v>4</v>
      </c>
      <c r="R857" s="2" t="s">
        <v>23</v>
      </c>
      <c r="S857" s="2" t="str">
        <f t="shared" si="134"/>
        <v>Rendah</v>
      </c>
      <c r="T857" s="2" t="str">
        <f t="shared" si="135"/>
        <v>FALSE</v>
      </c>
      <c r="U857" s="2" t="str">
        <f t="shared" si="136"/>
        <v>FALSE</v>
      </c>
      <c r="V857" s="2" t="b">
        <f t="shared" si="137"/>
        <v>0</v>
      </c>
      <c r="W857" s="2" t="b">
        <f t="shared" si="138"/>
        <v>1</v>
      </c>
      <c r="X857" s="2" t="b">
        <f t="shared" si="139"/>
        <v>0</v>
      </c>
    </row>
    <row r="858" spans="1:24" ht="10.5" customHeight="1">
      <c r="A858" s="2" t="s">
        <v>1223</v>
      </c>
      <c r="B858" s="3">
        <v>45833.222500000003</v>
      </c>
      <c r="C858" s="2" t="s">
        <v>766</v>
      </c>
      <c r="D858" s="2" t="s">
        <v>94</v>
      </c>
      <c r="E858" s="2" t="s">
        <v>41</v>
      </c>
      <c r="F858" s="4">
        <v>40000</v>
      </c>
      <c r="G858" s="5">
        <v>0.4</v>
      </c>
      <c r="H858" s="6">
        <v>5</v>
      </c>
      <c r="I858" s="7">
        <f t="shared" si="130"/>
        <v>16000</v>
      </c>
      <c r="J858" s="7">
        <f t="shared" si="131"/>
        <v>800</v>
      </c>
      <c r="K858" s="7">
        <f t="shared" si="132"/>
        <v>15200</v>
      </c>
      <c r="L858" s="4">
        <v>85000</v>
      </c>
      <c r="M858" s="7">
        <f t="shared" si="133"/>
        <v>100200</v>
      </c>
      <c r="N858" s="2" t="s">
        <v>21</v>
      </c>
      <c r="O858" t="s">
        <v>22</v>
      </c>
      <c r="P858" s="2" t="s">
        <v>2368</v>
      </c>
      <c r="Q858" s="2">
        <v>5</v>
      </c>
      <c r="R858" s="2" t="s">
        <v>23</v>
      </c>
      <c r="S858" s="2" t="str">
        <f t="shared" si="134"/>
        <v>Standar</v>
      </c>
      <c r="T858" s="2" t="str">
        <f t="shared" si="135"/>
        <v>FALSE</v>
      </c>
      <c r="U858" s="2" t="str">
        <f t="shared" si="136"/>
        <v>FALSE</v>
      </c>
      <c r="V858" s="2" t="b">
        <f t="shared" si="137"/>
        <v>0</v>
      </c>
      <c r="W858" s="2" t="b">
        <f t="shared" si="138"/>
        <v>0</v>
      </c>
      <c r="X858" s="2" t="b">
        <f t="shared" si="139"/>
        <v>0</v>
      </c>
    </row>
    <row r="859" spans="1:24" ht="10.5" customHeight="1">
      <c r="A859" s="2" t="s">
        <v>1224</v>
      </c>
      <c r="B859" s="3">
        <v>45833.263078703712</v>
      </c>
      <c r="C859" s="2" t="s">
        <v>159</v>
      </c>
      <c r="D859" s="2" t="s">
        <v>160</v>
      </c>
      <c r="E859" s="2" t="s">
        <v>161</v>
      </c>
      <c r="F859" s="4">
        <v>115000</v>
      </c>
      <c r="G859" s="5">
        <v>0.7</v>
      </c>
      <c r="H859" s="6">
        <v>5</v>
      </c>
      <c r="I859" s="7">
        <f t="shared" si="130"/>
        <v>80500</v>
      </c>
      <c r="J859" s="7">
        <f t="shared" si="131"/>
        <v>4025</v>
      </c>
      <c r="K859" s="7">
        <f t="shared" si="132"/>
        <v>76475</v>
      </c>
      <c r="L859" s="4">
        <v>46000</v>
      </c>
      <c r="M859" s="7">
        <f t="shared" si="133"/>
        <v>122475</v>
      </c>
      <c r="N859" s="2" t="s">
        <v>21</v>
      </c>
      <c r="O859" t="s">
        <v>69</v>
      </c>
      <c r="P859" s="2" t="s">
        <v>2366</v>
      </c>
      <c r="Q859" s="2">
        <v>3</v>
      </c>
      <c r="R859" s="2" t="s">
        <v>23</v>
      </c>
      <c r="S859" s="2" t="str">
        <f t="shared" si="134"/>
        <v>Standar</v>
      </c>
      <c r="T859" s="2" t="str">
        <f t="shared" si="135"/>
        <v>FALSE</v>
      </c>
      <c r="U859" s="2" t="str">
        <f t="shared" si="136"/>
        <v>FALSE</v>
      </c>
      <c r="V859" s="2" t="b">
        <f t="shared" si="137"/>
        <v>0</v>
      </c>
      <c r="W859" s="2" t="b">
        <f t="shared" si="138"/>
        <v>0</v>
      </c>
      <c r="X859" s="2" t="b">
        <f t="shared" si="139"/>
        <v>0</v>
      </c>
    </row>
    <row r="860" spans="1:24" ht="10.5" customHeight="1">
      <c r="A860" s="2" t="s">
        <v>1225</v>
      </c>
      <c r="B860" s="3">
        <v>45833.323796296303</v>
      </c>
      <c r="C860" s="2" t="s">
        <v>547</v>
      </c>
      <c r="D860" s="2" t="s">
        <v>164</v>
      </c>
      <c r="E860" s="2" t="s">
        <v>41</v>
      </c>
      <c r="F860" s="4">
        <v>40000</v>
      </c>
      <c r="G860" s="5">
        <v>0.4</v>
      </c>
      <c r="H860" s="6">
        <v>5</v>
      </c>
      <c r="I860" s="7">
        <f t="shared" si="130"/>
        <v>16000</v>
      </c>
      <c r="J860" s="7">
        <f t="shared" si="131"/>
        <v>800</v>
      </c>
      <c r="K860" s="7">
        <f t="shared" si="132"/>
        <v>15200</v>
      </c>
      <c r="L860" s="4">
        <v>49000</v>
      </c>
      <c r="M860" s="7">
        <f t="shared" si="133"/>
        <v>64200</v>
      </c>
      <c r="N860" s="2" t="s">
        <v>58</v>
      </c>
      <c r="O860" t="s">
        <v>22</v>
      </c>
      <c r="P860" s="2" t="s">
        <v>2370</v>
      </c>
      <c r="Q860" s="2">
        <v>1</v>
      </c>
      <c r="R860" s="2" t="s">
        <v>23</v>
      </c>
      <c r="S860" s="2" t="str">
        <f t="shared" si="134"/>
        <v>Rendah</v>
      </c>
      <c r="T860" s="2" t="str">
        <f t="shared" si="135"/>
        <v>FALSE</v>
      </c>
      <c r="U860" s="2" t="str">
        <f t="shared" si="136"/>
        <v>FALSE</v>
      </c>
      <c r="V860" s="2" t="b">
        <f t="shared" si="137"/>
        <v>0</v>
      </c>
      <c r="W860" s="2" t="b">
        <f t="shared" si="138"/>
        <v>0</v>
      </c>
      <c r="X860" s="2" t="b">
        <f t="shared" si="139"/>
        <v>0</v>
      </c>
    </row>
    <row r="861" spans="1:24" ht="10.5" customHeight="1">
      <c r="A861" s="2" t="s">
        <v>1226</v>
      </c>
      <c r="B861" s="3">
        <v>45833.343981481477</v>
      </c>
      <c r="C861" s="2" t="s">
        <v>1227</v>
      </c>
      <c r="D861" s="2" t="s">
        <v>84</v>
      </c>
      <c r="E861" s="2" t="s">
        <v>35</v>
      </c>
      <c r="F861" s="4">
        <v>13500</v>
      </c>
      <c r="G861" s="5">
        <v>1.9</v>
      </c>
      <c r="H861" s="6">
        <v>5</v>
      </c>
      <c r="I861" s="7">
        <f t="shared" si="130"/>
        <v>25650</v>
      </c>
      <c r="J861" s="7">
        <f t="shared" si="131"/>
        <v>1282.5</v>
      </c>
      <c r="K861" s="7">
        <f t="shared" si="132"/>
        <v>24367.5</v>
      </c>
      <c r="L861" s="4">
        <v>30000</v>
      </c>
      <c r="M861" s="7">
        <f t="shared" si="133"/>
        <v>54367.5</v>
      </c>
      <c r="N861" s="2" t="s">
        <v>21</v>
      </c>
      <c r="O861" t="s">
        <v>22</v>
      </c>
      <c r="P861" s="2" t="s">
        <v>2366</v>
      </c>
      <c r="Q861" s="2">
        <v>1</v>
      </c>
      <c r="R861" s="2" t="s">
        <v>23</v>
      </c>
      <c r="S861" s="2" t="str">
        <f t="shared" si="134"/>
        <v>Rendah</v>
      </c>
      <c r="T861" s="2" t="str">
        <f t="shared" si="135"/>
        <v>FALSE</v>
      </c>
      <c r="U861" s="2" t="str">
        <f t="shared" si="136"/>
        <v>FALSE</v>
      </c>
      <c r="V861" s="2" t="b">
        <f t="shared" si="137"/>
        <v>0</v>
      </c>
      <c r="W861" s="2" t="b">
        <f t="shared" si="138"/>
        <v>0</v>
      </c>
      <c r="X861" s="2" t="b">
        <f t="shared" si="139"/>
        <v>0</v>
      </c>
    </row>
    <row r="862" spans="1:24" ht="10.5" customHeight="1">
      <c r="A862" s="2" t="s">
        <v>1228</v>
      </c>
      <c r="B862" s="3">
        <v>45833.383449074077</v>
      </c>
      <c r="C862" s="2" t="s">
        <v>802</v>
      </c>
      <c r="D862" s="2" t="s">
        <v>31</v>
      </c>
      <c r="E862" s="2" t="s">
        <v>161</v>
      </c>
      <c r="F862" s="4">
        <v>115000</v>
      </c>
      <c r="G862" s="5">
        <v>0.5</v>
      </c>
      <c r="H862" s="6">
        <v>5</v>
      </c>
      <c r="I862" s="7">
        <f t="shared" si="130"/>
        <v>57500</v>
      </c>
      <c r="J862" s="7">
        <f t="shared" si="131"/>
        <v>2875</v>
      </c>
      <c r="K862" s="7">
        <f t="shared" si="132"/>
        <v>54625</v>
      </c>
      <c r="L862" s="4">
        <v>76000</v>
      </c>
      <c r="M862" s="7">
        <f t="shared" si="133"/>
        <v>130625</v>
      </c>
      <c r="N862" s="2" t="s">
        <v>21</v>
      </c>
      <c r="O862" t="s">
        <v>69</v>
      </c>
      <c r="P862" s="2" t="s">
        <v>2370</v>
      </c>
      <c r="Q862" s="2">
        <v>4</v>
      </c>
      <c r="R862" s="2" t="s">
        <v>23</v>
      </c>
      <c r="S862" s="2" t="str">
        <f t="shared" si="134"/>
        <v>Standar</v>
      </c>
      <c r="T862" s="2" t="str">
        <f t="shared" si="135"/>
        <v>FALSE</v>
      </c>
      <c r="U862" s="2" t="str">
        <f t="shared" si="136"/>
        <v>FALSE</v>
      </c>
      <c r="V862" s="2" t="b">
        <f t="shared" si="137"/>
        <v>0</v>
      </c>
      <c r="W862" s="2" t="b">
        <f t="shared" si="138"/>
        <v>0</v>
      </c>
      <c r="X862" s="2" t="b">
        <f t="shared" si="139"/>
        <v>0</v>
      </c>
    </row>
    <row r="863" spans="1:24" ht="10.5" customHeight="1">
      <c r="A863" s="2" t="s">
        <v>1229</v>
      </c>
      <c r="B863" s="3">
        <v>45833.433506944442</v>
      </c>
      <c r="C863" s="2" t="s">
        <v>390</v>
      </c>
      <c r="D863" s="2" t="s">
        <v>26</v>
      </c>
      <c r="E863" s="2" t="s">
        <v>75</v>
      </c>
      <c r="F863" s="4">
        <v>45000</v>
      </c>
      <c r="G863" s="5">
        <v>0.6</v>
      </c>
      <c r="H863" s="6">
        <v>5</v>
      </c>
      <c r="I863" s="7">
        <f t="shared" si="130"/>
        <v>27000</v>
      </c>
      <c r="J863" s="7">
        <f t="shared" si="131"/>
        <v>1350</v>
      </c>
      <c r="K863" s="7">
        <f t="shared" si="132"/>
        <v>25650</v>
      </c>
      <c r="L863" s="4">
        <v>17000</v>
      </c>
      <c r="M863" s="7">
        <f t="shared" si="133"/>
        <v>42650</v>
      </c>
      <c r="N863" s="2" t="s">
        <v>33</v>
      </c>
      <c r="O863" t="s">
        <v>22</v>
      </c>
      <c r="P863" s="2" t="s">
        <v>2365</v>
      </c>
      <c r="Q863" s="2">
        <v>4</v>
      </c>
      <c r="R863" s="2" t="s">
        <v>23</v>
      </c>
      <c r="S863" s="2" t="str">
        <f t="shared" si="134"/>
        <v>Sangat Rendah</v>
      </c>
      <c r="T863" s="2" t="str">
        <f t="shared" si="135"/>
        <v>FALSE</v>
      </c>
      <c r="U863" s="2" t="str">
        <f t="shared" si="136"/>
        <v>FALSE</v>
      </c>
      <c r="V863" s="2" t="b">
        <f t="shared" si="137"/>
        <v>0</v>
      </c>
      <c r="W863" s="2" t="b">
        <f t="shared" si="138"/>
        <v>0</v>
      </c>
      <c r="X863" s="2" t="b">
        <f t="shared" si="139"/>
        <v>1</v>
      </c>
    </row>
    <row r="864" spans="1:24" ht="10.5" customHeight="1">
      <c r="A864" s="2" t="s">
        <v>1230</v>
      </c>
      <c r="B864" s="3">
        <v>45833.44059027778</v>
      </c>
      <c r="C864" s="2" t="s">
        <v>1231</v>
      </c>
      <c r="D864" s="2" t="s">
        <v>74</v>
      </c>
      <c r="E864" s="2" t="s">
        <v>95</v>
      </c>
      <c r="F864" s="4">
        <v>9500</v>
      </c>
      <c r="G864" s="5">
        <v>1.1000000000000001</v>
      </c>
      <c r="H864" s="6">
        <v>5</v>
      </c>
      <c r="I864" s="7">
        <f t="shared" si="130"/>
        <v>10450</v>
      </c>
      <c r="J864" s="7">
        <f t="shared" si="131"/>
        <v>522.5</v>
      </c>
      <c r="K864" s="7">
        <f t="shared" si="132"/>
        <v>9927.5</v>
      </c>
      <c r="L864" s="4">
        <v>74000</v>
      </c>
      <c r="M864" s="7">
        <f t="shared" si="133"/>
        <v>83927.5</v>
      </c>
      <c r="N864" s="2" t="s">
        <v>33</v>
      </c>
      <c r="O864" t="s">
        <v>22</v>
      </c>
      <c r="P864" s="2" t="s">
        <v>2367</v>
      </c>
      <c r="Q864" s="2">
        <v>4</v>
      </c>
      <c r="R864" s="2" t="s">
        <v>23</v>
      </c>
      <c r="S864" s="2" t="str">
        <f t="shared" si="134"/>
        <v>Rendah</v>
      </c>
      <c r="T864" s="2" t="str">
        <f t="shared" si="135"/>
        <v>FALSE</v>
      </c>
      <c r="U864" s="2" t="str">
        <f t="shared" si="136"/>
        <v>FALSE</v>
      </c>
      <c r="V864" s="2" t="b">
        <f t="shared" si="137"/>
        <v>0</v>
      </c>
      <c r="W864" s="2" t="b">
        <f t="shared" si="138"/>
        <v>1</v>
      </c>
      <c r="X864" s="2" t="b">
        <f t="shared" si="139"/>
        <v>0</v>
      </c>
    </row>
    <row r="865" spans="1:24" ht="10.5" customHeight="1">
      <c r="A865" s="2" t="s">
        <v>1230</v>
      </c>
      <c r="B865" s="3">
        <v>45833.44059027778</v>
      </c>
      <c r="C865" s="2" t="s">
        <v>1231</v>
      </c>
      <c r="D865" s="2" t="s">
        <v>74</v>
      </c>
      <c r="E865" s="2" t="s">
        <v>32</v>
      </c>
      <c r="F865" s="4">
        <v>20000</v>
      </c>
      <c r="G865" s="5">
        <v>1.5</v>
      </c>
      <c r="H865" s="6">
        <v>5</v>
      </c>
      <c r="I865" s="7">
        <f t="shared" si="130"/>
        <v>30000</v>
      </c>
      <c r="J865" s="7">
        <f t="shared" si="131"/>
        <v>1500</v>
      </c>
      <c r="K865" s="7">
        <f t="shared" si="132"/>
        <v>28500</v>
      </c>
      <c r="L865" s="4">
        <v>0</v>
      </c>
      <c r="M865" s="7">
        <f t="shared" si="133"/>
        <v>28500</v>
      </c>
      <c r="N865" s="2" t="s">
        <v>33</v>
      </c>
      <c r="O865" t="s">
        <v>22</v>
      </c>
      <c r="P865" s="2" t="s">
        <v>2367</v>
      </c>
      <c r="Q865" s="2">
        <v>4</v>
      </c>
      <c r="R865" s="2" t="s">
        <v>23</v>
      </c>
      <c r="S865" s="2" t="str">
        <f t="shared" si="134"/>
        <v>Sangat Rendah</v>
      </c>
      <c r="T865" s="2" t="str">
        <f t="shared" si="135"/>
        <v>FALSE</v>
      </c>
      <c r="U865" s="2" t="str">
        <f t="shared" si="136"/>
        <v>FALSE</v>
      </c>
      <c r="V865" s="2" t="b">
        <f t="shared" si="137"/>
        <v>0</v>
      </c>
      <c r="W865" s="2" t="b">
        <f t="shared" si="138"/>
        <v>1</v>
      </c>
      <c r="X865" s="2" t="b">
        <f t="shared" si="139"/>
        <v>1</v>
      </c>
    </row>
    <row r="866" spans="1:24" ht="10.5" customHeight="1">
      <c r="A866" s="2" t="s">
        <v>1232</v>
      </c>
      <c r="B866" s="3">
        <v>45833.447928240741</v>
      </c>
      <c r="C866" s="2" t="s">
        <v>555</v>
      </c>
      <c r="D866" s="2" t="s">
        <v>153</v>
      </c>
      <c r="E866" s="2" t="s">
        <v>143</v>
      </c>
      <c r="F866" s="4">
        <v>10000</v>
      </c>
      <c r="G866" s="5">
        <v>1.2</v>
      </c>
      <c r="H866" s="6">
        <v>5</v>
      </c>
      <c r="I866" s="7">
        <f t="shared" si="130"/>
        <v>12000</v>
      </c>
      <c r="J866" s="7">
        <f t="shared" si="131"/>
        <v>600</v>
      </c>
      <c r="K866" s="7">
        <f t="shared" si="132"/>
        <v>11400</v>
      </c>
      <c r="L866" s="4">
        <v>50000</v>
      </c>
      <c r="M866" s="7">
        <f t="shared" si="133"/>
        <v>61400</v>
      </c>
      <c r="N866" s="2" t="s">
        <v>33</v>
      </c>
      <c r="O866" t="s">
        <v>22</v>
      </c>
      <c r="P866" s="2" t="s">
        <v>2366</v>
      </c>
      <c r="Q866" s="2">
        <v>4</v>
      </c>
      <c r="R866" s="2" t="s">
        <v>23</v>
      </c>
      <c r="S866" s="2" t="str">
        <f t="shared" si="134"/>
        <v>Rendah</v>
      </c>
      <c r="T866" s="2" t="str">
        <f t="shared" si="135"/>
        <v>FALSE</v>
      </c>
      <c r="U866" s="2" t="str">
        <f t="shared" si="136"/>
        <v>TRUE</v>
      </c>
      <c r="V866" s="2" t="b">
        <f t="shared" si="137"/>
        <v>0</v>
      </c>
      <c r="W866" s="2" t="b">
        <f t="shared" si="138"/>
        <v>0</v>
      </c>
      <c r="X866" s="2" t="b">
        <f t="shared" si="139"/>
        <v>0</v>
      </c>
    </row>
    <row r="867" spans="1:24" ht="10.5" customHeight="1">
      <c r="A867" s="2" t="s">
        <v>1233</v>
      </c>
      <c r="B867" s="3">
        <v>45833.489618055559</v>
      </c>
      <c r="C867" s="2" t="s">
        <v>1012</v>
      </c>
      <c r="D867" s="2" t="s">
        <v>167</v>
      </c>
      <c r="E867" s="2" t="s">
        <v>182</v>
      </c>
      <c r="F867" s="4">
        <v>11000</v>
      </c>
      <c r="G867" s="5">
        <v>0.7</v>
      </c>
      <c r="H867" s="6">
        <v>5</v>
      </c>
      <c r="I867" s="7">
        <f t="shared" si="130"/>
        <v>7699.9999999999991</v>
      </c>
      <c r="J867" s="7">
        <f t="shared" si="131"/>
        <v>385</v>
      </c>
      <c r="K867" s="7">
        <f t="shared" si="132"/>
        <v>7314.9999999999991</v>
      </c>
      <c r="L867" s="4">
        <v>56000</v>
      </c>
      <c r="M867" s="7">
        <f t="shared" si="133"/>
        <v>63315</v>
      </c>
      <c r="N867" s="2" t="s">
        <v>28</v>
      </c>
      <c r="O867" t="s">
        <v>22</v>
      </c>
      <c r="P867" s="2" t="s">
        <v>2368</v>
      </c>
      <c r="Q867" s="2">
        <v>1</v>
      </c>
      <c r="R867" s="2" t="s">
        <v>23</v>
      </c>
      <c r="S867" s="2" t="str">
        <f t="shared" si="134"/>
        <v>Rendah</v>
      </c>
      <c r="T867" s="2" t="str">
        <f t="shared" si="135"/>
        <v>FALSE</v>
      </c>
      <c r="U867" s="2" t="str">
        <f t="shared" si="136"/>
        <v>FALSE</v>
      </c>
      <c r="V867" s="2" t="b">
        <f t="shared" si="137"/>
        <v>0</v>
      </c>
      <c r="W867" s="2" t="b">
        <f t="shared" si="138"/>
        <v>0</v>
      </c>
      <c r="X867" s="2" t="b">
        <f t="shared" si="139"/>
        <v>0</v>
      </c>
    </row>
    <row r="868" spans="1:24" ht="10.5" customHeight="1">
      <c r="A868" s="2" t="s">
        <v>1234</v>
      </c>
      <c r="B868" s="3">
        <v>45833.517974537041</v>
      </c>
      <c r="C868" s="2" t="s">
        <v>515</v>
      </c>
      <c r="D868" s="2" t="s">
        <v>87</v>
      </c>
      <c r="E868" s="2" t="s">
        <v>182</v>
      </c>
      <c r="F868" s="4">
        <v>11000</v>
      </c>
      <c r="G868" s="5">
        <v>0.7</v>
      </c>
      <c r="H868" s="6">
        <v>5</v>
      </c>
      <c r="I868" s="7">
        <f t="shared" si="130"/>
        <v>7699.9999999999991</v>
      </c>
      <c r="J868" s="7">
        <f t="shared" si="131"/>
        <v>385</v>
      </c>
      <c r="K868" s="7">
        <f t="shared" si="132"/>
        <v>7314.9999999999991</v>
      </c>
      <c r="L868" s="4">
        <v>49000</v>
      </c>
      <c r="M868" s="7">
        <f t="shared" si="133"/>
        <v>56315</v>
      </c>
      <c r="N868" s="2" t="s">
        <v>28</v>
      </c>
      <c r="O868" t="s">
        <v>22</v>
      </c>
      <c r="P868" s="2" t="s">
        <v>2367</v>
      </c>
      <c r="Q868" s="2">
        <v>1</v>
      </c>
      <c r="R868" s="2" t="s">
        <v>23</v>
      </c>
      <c r="S868" s="2" t="str">
        <f t="shared" si="134"/>
        <v>Rendah</v>
      </c>
      <c r="T868" s="2" t="str">
        <f t="shared" si="135"/>
        <v>FALSE</v>
      </c>
      <c r="U868" s="2" t="str">
        <f t="shared" si="136"/>
        <v>FALSE</v>
      </c>
      <c r="V868" s="2" t="b">
        <f t="shared" si="137"/>
        <v>0</v>
      </c>
      <c r="W868" s="2" t="b">
        <f t="shared" si="138"/>
        <v>1</v>
      </c>
      <c r="X868" s="2" t="b">
        <f t="shared" si="139"/>
        <v>0</v>
      </c>
    </row>
    <row r="869" spans="1:24" ht="10.5" customHeight="1">
      <c r="A869" s="2" t="s">
        <v>1235</v>
      </c>
      <c r="B869" s="3">
        <v>45833.607118055559</v>
      </c>
      <c r="C869" s="2" t="s">
        <v>1136</v>
      </c>
      <c r="D869" s="2" t="s">
        <v>108</v>
      </c>
      <c r="E869" s="2" t="s">
        <v>65</v>
      </c>
      <c r="F869" s="4">
        <v>46000</v>
      </c>
      <c r="G869" s="5">
        <v>1</v>
      </c>
      <c r="H869" s="6">
        <v>5</v>
      </c>
      <c r="I869" s="7">
        <f t="shared" si="130"/>
        <v>46000</v>
      </c>
      <c r="J869" s="7">
        <f t="shared" si="131"/>
        <v>2300</v>
      </c>
      <c r="K869" s="7">
        <f t="shared" si="132"/>
        <v>43700</v>
      </c>
      <c r="L869" s="4">
        <v>72000</v>
      </c>
      <c r="M869" s="7">
        <f t="shared" si="133"/>
        <v>115700</v>
      </c>
      <c r="N869" s="2" t="s">
        <v>33</v>
      </c>
      <c r="O869" t="s">
        <v>69</v>
      </c>
      <c r="P869" s="2" t="s">
        <v>2365</v>
      </c>
      <c r="Q869" s="2">
        <v>3</v>
      </c>
      <c r="R869" s="2" t="s">
        <v>23</v>
      </c>
      <c r="S869" s="2" t="str">
        <f t="shared" si="134"/>
        <v>Standar</v>
      </c>
      <c r="T869" s="2" t="str">
        <f t="shared" si="135"/>
        <v>FALSE</v>
      </c>
      <c r="U869" s="2" t="str">
        <f t="shared" si="136"/>
        <v>FALSE</v>
      </c>
      <c r="V869" s="2" t="b">
        <f t="shared" si="137"/>
        <v>0</v>
      </c>
      <c r="W869" s="2" t="b">
        <f t="shared" si="138"/>
        <v>0</v>
      </c>
      <c r="X869" s="2" t="b">
        <f t="shared" si="139"/>
        <v>0</v>
      </c>
    </row>
    <row r="870" spans="1:24" ht="10.5" customHeight="1">
      <c r="A870" s="2" t="s">
        <v>1236</v>
      </c>
      <c r="B870" s="3">
        <v>45833.609768518523</v>
      </c>
      <c r="C870" s="2" t="s">
        <v>572</v>
      </c>
      <c r="D870" s="2" t="s">
        <v>425</v>
      </c>
      <c r="E870" s="2" t="s">
        <v>57</v>
      </c>
      <c r="F870" s="4">
        <v>17500</v>
      </c>
      <c r="G870" s="5">
        <v>2.1</v>
      </c>
      <c r="H870" s="6">
        <v>5</v>
      </c>
      <c r="I870" s="7">
        <f t="shared" si="130"/>
        <v>36750</v>
      </c>
      <c r="J870" s="7">
        <f t="shared" si="131"/>
        <v>1837.5</v>
      </c>
      <c r="K870" s="7">
        <f t="shared" si="132"/>
        <v>34912.5</v>
      </c>
      <c r="L870" s="4">
        <v>67000</v>
      </c>
      <c r="M870" s="7">
        <f t="shared" si="133"/>
        <v>101912.5</v>
      </c>
      <c r="N870" s="2" t="s">
        <v>33</v>
      </c>
      <c r="O870" t="s">
        <v>22</v>
      </c>
      <c r="P870" s="2" t="s">
        <v>2367</v>
      </c>
      <c r="Q870" s="2">
        <v>4</v>
      </c>
      <c r="R870" s="2" t="s">
        <v>23</v>
      </c>
      <c r="S870" s="2" t="str">
        <f t="shared" si="134"/>
        <v>Standar</v>
      </c>
      <c r="T870" s="2" t="str">
        <f t="shared" si="135"/>
        <v>FALSE</v>
      </c>
      <c r="U870" s="2" t="str">
        <f t="shared" si="136"/>
        <v>FALSE</v>
      </c>
      <c r="V870" s="2" t="b">
        <f t="shared" si="137"/>
        <v>0</v>
      </c>
      <c r="W870" s="2" t="b">
        <f t="shared" si="138"/>
        <v>1</v>
      </c>
      <c r="X870" s="2" t="b">
        <f t="shared" si="139"/>
        <v>0</v>
      </c>
    </row>
    <row r="871" spans="1:24" ht="10.5" customHeight="1">
      <c r="A871" s="2" t="s">
        <v>1237</v>
      </c>
      <c r="B871" s="3">
        <v>45833.614479166667</v>
      </c>
      <c r="C871" s="2" t="s">
        <v>1023</v>
      </c>
      <c r="D871" s="2" t="s">
        <v>114</v>
      </c>
      <c r="E871" s="2" t="s">
        <v>75</v>
      </c>
      <c r="F871" s="4">
        <v>45000</v>
      </c>
      <c r="G871" s="5">
        <v>1.7</v>
      </c>
      <c r="H871" s="6">
        <v>5</v>
      </c>
      <c r="I871" s="7">
        <f t="shared" si="130"/>
        <v>76500</v>
      </c>
      <c r="J871" s="7">
        <f t="shared" si="131"/>
        <v>3825</v>
      </c>
      <c r="K871" s="7">
        <f t="shared" si="132"/>
        <v>72675</v>
      </c>
      <c r="L871" s="4">
        <v>78000</v>
      </c>
      <c r="M871" s="7">
        <f t="shared" si="133"/>
        <v>150675</v>
      </c>
      <c r="N871" s="2" t="s">
        <v>21</v>
      </c>
      <c r="O871" t="s">
        <v>22</v>
      </c>
      <c r="P871" s="2" t="s">
        <v>2365</v>
      </c>
      <c r="Q871" s="2">
        <v>5</v>
      </c>
      <c r="R871" s="2" t="s">
        <v>23</v>
      </c>
      <c r="S871" s="2" t="str">
        <f t="shared" si="134"/>
        <v>Tinggi</v>
      </c>
      <c r="T871" s="2" t="str">
        <f t="shared" si="135"/>
        <v>FALSE</v>
      </c>
      <c r="U871" s="2" t="str">
        <f t="shared" si="136"/>
        <v>TRUE</v>
      </c>
      <c r="V871" s="2" t="b">
        <f t="shared" si="137"/>
        <v>0</v>
      </c>
      <c r="W871" s="2" t="b">
        <f t="shared" si="138"/>
        <v>0</v>
      </c>
      <c r="X871" s="2" t="b">
        <f t="shared" si="139"/>
        <v>0</v>
      </c>
    </row>
    <row r="872" spans="1:24" ht="10.5" customHeight="1">
      <c r="A872" s="2" t="s">
        <v>1238</v>
      </c>
      <c r="B872" s="3">
        <v>45833.649456018517</v>
      </c>
      <c r="C872" s="2" t="s">
        <v>51</v>
      </c>
      <c r="D872" s="2" t="s">
        <v>52</v>
      </c>
      <c r="E872" s="2" t="s">
        <v>102</v>
      </c>
      <c r="F872" s="4">
        <v>55000</v>
      </c>
      <c r="G872" s="5">
        <v>0.5</v>
      </c>
      <c r="H872" s="6">
        <v>5</v>
      </c>
      <c r="I872" s="7">
        <f t="shared" si="130"/>
        <v>27500</v>
      </c>
      <c r="J872" s="7">
        <f t="shared" si="131"/>
        <v>1375</v>
      </c>
      <c r="K872" s="7">
        <f t="shared" si="132"/>
        <v>26125</v>
      </c>
      <c r="L872" s="4">
        <v>80000</v>
      </c>
      <c r="M872" s="7">
        <f t="shared" si="133"/>
        <v>106125</v>
      </c>
      <c r="N872" s="2" t="s">
        <v>21</v>
      </c>
      <c r="O872" t="s">
        <v>22</v>
      </c>
      <c r="P872" s="2" t="s">
        <v>2365</v>
      </c>
      <c r="Q872" s="2">
        <v>2</v>
      </c>
      <c r="R872" s="2" t="s">
        <v>23</v>
      </c>
      <c r="S872" s="2" t="str">
        <f t="shared" si="134"/>
        <v>Standar</v>
      </c>
      <c r="T872" s="2" t="str">
        <f t="shared" si="135"/>
        <v>FALSE</v>
      </c>
      <c r="U872" s="2" t="str">
        <f t="shared" si="136"/>
        <v>FALSE</v>
      </c>
      <c r="V872" s="2" t="b">
        <f t="shared" si="137"/>
        <v>0</v>
      </c>
      <c r="W872" s="2" t="b">
        <f t="shared" si="138"/>
        <v>0</v>
      </c>
      <c r="X872" s="2" t="b">
        <f t="shared" si="139"/>
        <v>0</v>
      </c>
    </row>
    <row r="873" spans="1:24" ht="10.5" customHeight="1">
      <c r="A873" s="2" t="s">
        <v>1239</v>
      </c>
      <c r="B873" s="3">
        <v>45833.652118055557</v>
      </c>
      <c r="C873" s="2" t="s">
        <v>1240</v>
      </c>
      <c r="D873" s="2" t="s">
        <v>185</v>
      </c>
      <c r="E873" s="2" t="s">
        <v>161</v>
      </c>
      <c r="F873" s="4">
        <v>115000</v>
      </c>
      <c r="G873" s="5">
        <v>0.2</v>
      </c>
      <c r="H873" s="6">
        <v>5</v>
      </c>
      <c r="I873" s="7">
        <f t="shared" si="130"/>
        <v>23000</v>
      </c>
      <c r="J873" s="7">
        <f t="shared" si="131"/>
        <v>1150</v>
      </c>
      <c r="K873" s="7">
        <f t="shared" si="132"/>
        <v>21850</v>
      </c>
      <c r="L873" s="4">
        <v>87000</v>
      </c>
      <c r="M873" s="7">
        <f t="shared" si="133"/>
        <v>108850</v>
      </c>
      <c r="N873" s="2" t="s">
        <v>33</v>
      </c>
      <c r="O873" t="s">
        <v>22</v>
      </c>
      <c r="P873" s="2" t="s">
        <v>2366</v>
      </c>
      <c r="Q873" s="2">
        <v>4</v>
      </c>
      <c r="R873" s="2" t="s">
        <v>23</v>
      </c>
      <c r="S873" s="2" t="str">
        <f t="shared" si="134"/>
        <v>Standar</v>
      </c>
      <c r="T873" s="2" t="str">
        <f t="shared" si="135"/>
        <v>FALSE</v>
      </c>
      <c r="U873" s="2" t="str">
        <f t="shared" si="136"/>
        <v>FALSE</v>
      </c>
      <c r="V873" s="2" t="b">
        <f t="shared" si="137"/>
        <v>0</v>
      </c>
      <c r="W873" s="2" t="b">
        <f t="shared" si="138"/>
        <v>0</v>
      </c>
      <c r="X873" s="2" t="b">
        <f t="shared" si="139"/>
        <v>0</v>
      </c>
    </row>
    <row r="874" spans="1:24" ht="10.5" customHeight="1">
      <c r="A874" s="2" t="s">
        <v>1241</v>
      </c>
      <c r="B874" s="3">
        <v>45833.661597222221</v>
      </c>
      <c r="C874" s="2" t="s">
        <v>1120</v>
      </c>
      <c r="D874" s="2" t="s">
        <v>114</v>
      </c>
      <c r="E874" s="2" t="s">
        <v>190</v>
      </c>
      <c r="F874" s="4">
        <v>15500</v>
      </c>
      <c r="G874" s="5">
        <v>0.6</v>
      </c>
      <c r="H874" s="6">
        <v>5</v>
      </c>
      <c r="I874" s="7">
        <f t="shared" si="130"/>
        <v>9300</v>
      </c>
      <c r="J874" s="7">
        <f t="shared" si="131"/>
        <v>465</v>
      </c>
      <c r="K874" s="7">
        <f t="shared" si="132"/>
        <v>8835</v>
      </c>
      <c r="L874" s="4">
        <v>78000</v>
      </c>
      <c r="M874" s="7">
        <f t="shared" si="133"/>
        <v>86835</v>
      </c>
      <c r="N874" s="2" t="s">
        <v>21</v>
      </c>
      <c r="O874" t="s">
        <v>22</v>
      </c>
      <c r="P874" s="2" t="s">
        <v>2365</v>
      </c>
      <c r="Q874" s="2">
        <v>5</v>
      </c>
      <c r="R874" s="2" t="s">
        <v>23</v>
      </c>
      <c r="S874" s="2" t="str">
        <f t="shared" si="134"/>
        <v>Rendah</v>
      </c>
      <c r="T874" s="2" t="str">
        <f t="shared" si="135"/>
        <v>TRUE</v>
      </c>
      <c r="U874" s="2" t="str">
        <f t="shared" si="136"/>
        <v>FALSE</v>
      </c>
      <c r="V874" s="2" t="b">
        <f t="shared" si="137"/>
        <v>0</v>
      </c>
      <c r="W874" s="2" t="b">
        <f t="shared" si="138"/>
        <v>0</v>
      </c>
      <c r="X874" s="2" t="b">
        <f t="shared" si="139"/>
        <v>0</v>
      </c>
    </row>
    <row r="875" spans="1:24" ht="10.5" customHeight="1">
      <c r="A875" s="2" t="s">
        <v>1242</v>
      </c>
      <c r="B875" s="3">
        <v>45833.673460648148</v>
      </c>
      <c r="C875" s="2" t="s">
        <v>441</v>
      </c>
      <c r="D875" s="2" t="s">
        <v>108</v>
      </c>
      <c r="E875" s="2" t="s">
        <v>143</v>
      </c>
      <c r="F875" s="4">
        <v>10000</v>
      </c>
      <c r="G875" s="5">
        <v>0.2</v>
      </c>
      <c r="H875" s="6">
        <v>5</v>
      </c>
      <c r="I875" s="7">
        <f t="shared" si="130"/>
        <v>2000</v>
      </c>
      <c r="J875" s="7">
        <f t="shared" si="131"/>
        <v>100</v>
      </c>
      <c r="K875" s="7">
        <f t="shared" si="132"/>
        <v>1900</v>
      </c>
      <c r="L875" s="4">
        <v>72000</v>
      </c>
      <c r="M875" s="7">
        <f t="shared" si="133"/>
        <v>73900</v>
      </c>
      <c r="N875" s="2" t="s">
        <v>28</v>
      </c>
      <c r="O875" t="s">
        <v>22</v>
      </c>
      <c r="P875" s="2" t="s">
        <v>2365</v>
      </c>
      <c r="Q875" s="2">
        <v>1</v>
      </c>
      <c r="R875" s="2" t="s">
        <v>23</v>
      </c>
      <c r="S875" s="2" t="str">
        <f t="shared" si="134"/>
        <v>Rendah</v>
      </c>
      <c r="T875" s="2" t="str">
        <f t="shared" si="135"/>
        <v>FALSE</v>
      </c>
      <c r="U875" s="2" t="str">
        <f t="shared" si="136"/>
        <v>TRUE</v>
      </c>
      <c r="V875" s="2" t="b">
        <f t="shared" si="137"/>
        <v>0</v>
      </c>
      <c r="W875" s="2" t="b">
        <f t="shared" si="138"/>
        <v>0</v>
      </c>
      <c r="X875" s="2" t="b">
        <f t="shared" si="139"/>
        <v>0</v>
      </c>
    </row>
    <row r="876" spans="1:24" ht="10.5" customHeight="1">
      <c r="A876" s="2" t="s">
        <v>1243</v>
      </c>
      <c r="B876" s="3">
        <v>45833.673472222217</v>
      </c>
      <c r="C876" s="2" t="s">
        <v>698</v>
      </c>
      <c r="D876" s="2" t="s">
        <v>108</v>
      </c>
      <c r="E876" s="2" t="s">
        <v>20</v>
      </c>
      <c r="F876" s="4">
        <v>10000</v>
      </c>
      <c r="G876" s="5">
        <v>3.8</v>
      </c>
      <c r="H876" s="6">
        <v>5</v>
      </c>
      <c r="I876" s="7">
        <f t="shared" si="130"/>
        <v>38000</v>
      </c>
      <c r="J876" s="7">
        <f t="shared" si="131"/>
        <v>1900</v>
      </c>
      <c r="K876" s="7">
        <f t="shared" si="132"/>
        <v>36100</v>
      </c>
      <c r="L876" s="4">
        <v>72000</v>
      </c>
      <c r="M876" s="7">
        <f t="shared" si="133"/>
        <v>108100</v>
      </c>
      <c r="N876" s="2" t="s">
        <v>58</v>
      </c>
      <c r="O876" t="s">
        <v>115</v>
      </c>
      <c r="P876" s="2" t="s">
        <v>2365</v>
      </c>
      <c r="Q876" s="2">
        <v>4</v>
      </c>
      <c r="R876" s="2" t="s">
        <v>23</v>
      </c>
      <c r="S876" s="2" t="str">
        <f t="shared" si="134"/>
        <v>Standar</v>
      </c>
      <c r="T876" s="2" t="str">
        <f t="shared" si="135"/>
        <v>FALSE</v>
      </c>
      <c r="U876" s="2" t="str">
        <f t="shared" si="136"/>
        <v>FALSE</v>
      </c>
      <c r="V876" s="2" t="b">
        <f t="shared" si="137"/>
        <v>0</v>
      </c>
      <c r="W876" s="2" t="b">
        <f t="shared" si="138"/>
        <v>0</v>
      </c>
      <c r="X876" s="2" t="b">
        <f t="shared" si="139"/>
        <v>0</v>
      </c>
    </row>
    <row r="877" spans="1:24" ht="10.5" customHeight="1">
      <c r="A877" s="2" t="s">
        <v>1244</v>
      </c>
      <c r="B877" s="3">
        <v>45833.687395833331</v>
      </c>
      <c r="C877" s="2" t="s">
        <v>91</v>
      </c>
      <c r="D877" s="2" t="s">
        <v>61</v>
      </c>
      <c r="E877" s="2" t="s">
        <v>170</v>
      </c>
      <c r="F877" s="4">
        <v>12000</v>
      </c>
      <c r="G877" s="5">
        <v>0.6</v>
      </c>
      <c r="H877" s="6">
        <v>5</v>
      </c>
      <c r="I877" s="7">
        <f t="shared" si="130"/>
        <v>7200</v>
      </c>
      <c r="J877" s="7">
        <f t="shared" si="131"/>
        <v>360</v>
      </c>
      <c r="K877" s="7">
        <f t="shared" si="132"/>
        <v>6840</v>
      </c>
      <c r="L877" s="4">
        <v>59000</v>
      </c>
      <c r="M877" s="7">
        <f t="shared" si="133"/>
        <v>65840</v>
      </c>
      <c r="N877" s="2" t="s">
        <v>28</v>
      </c>
      <c r="O877" t="s">
        <v>22</v>
      </c>
      <c r="P877" s="2" t="s">
        <v>2365</v>
      </c>
      <c r="Q877" s="2">
        <v>1</v>
      </c>
      <c r="R877" s="2" t="s">
        <v>23</v>
      </c>
      <c r="S877" s="2" t="str">
        <f t="shared" si="134"/>
        <v>Rendah</v>
      </c>
      <c r="T877" s="2" t="str">
        <f t="shared" si="135"/>
        <v>FALSE</v>
      </c>
      <c r="U877" s="2" t="str">
        <f t="shared" si="136"/>
        <v>FALSE</v>
      </c>
      <c r="V877" s="2" t="b">
        <f t="shared" si="137"/>
        <v>0</v>
      </c>
      <c r="W877" s="2" t="b">
        <f t="shared" si="138"/>
        <v>0</v>
      </c>
      <c r="X877" s="2" t="b">
        <f t="shared" si="139"/>
        <v>0</v>
      </c>
    </row>
    <row r="878" spans="1:24" ht="10.5" customHeight="1">
      <c r="A878" s="2" t="s">
        <v>1245</v>
      </c>
      <c r="B878" s="3">
        <v>45833.706701388888</v>
      </c>
      <c r="C878" s="2" t="s">
        <v>632</v>
      </c>
      <c r="D878" s="2" t="s">
        <v>150</v>
      </c>
      <c r="E878" s="2" t="s">
        <v>75</v>
      </c>
      <c r="F878" s="4">
        <v>45000</v>
      </c>
      <c r="G878" s="5">
        <v>1</v>
      </c>
      <c r="H878" s="6">
        <v>5</v>
      </c>
      <c r="I878" s="7">
        <f t="shared" si="130"/>
        <v>45000</v>
      </c>
      <c r="J878" s="7">
        <f t="shared" si="131"/>
        <v>2250</v>
      </c>
      <c r="K878" s="7">
        <f t="shared" si="132"/>
        <v>42750</v>
      </c>
      <c r="L878" s="4">
        <v>68000</v>
      </c>
      <c r="M878" s="7">
        <f t="shared" si="133"/>
        <v>110750</v>
      </c>
      <c r="N878" s="2" t="s">
        <v>21</v>
      </c>
      <c r="O878" t="s">
        <v>22</v>
      </c>
      <c r="P878" s="2" t="s">
        <v>2367</v>
      </c>
      <c r="Q878" s="2">
        <v>1</v>
      </c>
      <c r="R878" s="2" t="s">
        <v>23</v>
      </c>
      <c r="S878" s="2" t="str">
        <f t="shared" si="134"/>
        <v>Standar</v>
      </c>
      <c r="T878" s="2" t="str">
        <f t="shared" si="135"/>
        <v>FALSE</v>
      </c>
      <c r="U878" s="2" t="str">
        <f t="shared" si="136"/>
        <v>FALSE</v>
      </c>
      <c r="V878" s="2" t="b">
        <f t="shared" si="137"/>
        <v>0</v>
      </c>
      <c r="W878" s="2" t="b">
        <f t="shared" si="138"/>
        <v>1</v>
      </c>
      <c r="X878" s="2" t="b">
        <f t="shared" si="139"/>
        <v>0</v>
      </c>
    </row>
    <row r="879" spans="1:24" ht="10.5" customHeight="1">
      <c r="A879" s="2" t="s">
        <v>1246</v>
      </c>
      <c r="B879" s="3">
        <v>45833.717210648138</v>
      </c>
      <c r="C879" s="2" t="s">
        <v>93</v>
      </c>
      <c r="D879" s="2" t="s">
        <v>94</v>
      </c>
      <c r="E879" s="2" t="s">
        <v>57</v>
      </c>
      <c r="F879" s="4">
        <v>17500</v>
      </c>
      <c r="G879" s="5">
        <v>1</v>
      </c>
      <c r="H879" s="6">
        <v>5</v>
      </c>
      <c r="I879" s="7">
        <f t="shared" si="130"/>
        <v>17500</v>
      </c>
      <c r="J879" s="7">
        <f t="shared" si="131"/>
        <v>875</v>
      </c>
      <c r="K879" s="7">
        <f t="shared" si="132"/>
        <v>16625</v>
      </c>
      <c r="L879" s="4">
        <v>85000</v>
      </c>
      <c r="M879" s="7">
        <f t="shared" si="133"/>
        <v>101625</v>
      </c>
      <c r="N879" s="2" t="s">
        <v>58</v>
      </c>
      <c r="O879" t="s">
        <v>22</v>
      </c>
      <c r="P879" s="2" t="s">
        <v>2368</v>
      </c>
      <c r="Q879" s="2">
        <v>2</v>
      </c>
      <c r="R879" s="2" t="s">
        <v>23</v>
      </c>
      <c r="S879" s="2" t="str">
        <f t="shared" si="134"/>
        <v>Standar</v>
      </c>
      <c r="T879" s="2" t="str">
        <f t="shared" si="135"/>
        <v>FALSE</v>
      </c>
      <c r="U879" s="2" t="str">
        <f t="shared" si="136"/>
        <v>FALSE</v>
      </c>
      <c r="V879" s="2" t="b">
        <f t="shared" si="137"/>
        <v>0</v>
      </c>
      <c r="W879" s="2" t="b">
        <f t="shared" si="138"/>
        <v>0</v>
      </c>
      <c r="X879" s="2" t="b">
        <f t="shared" si="139"/>
        <v>0</v>
      </c>
    </row>
    <row r="880" spans="1:24" ht="10.5" customHeight="1">
      <c r="A880" s="2" t="s">
        <v>1247</v>
      </c>
      <c r="B880" s="3">
        <v>45833.790208333332</v>
      </c>
      <c r="C880" s="2" t="s">
        <v>969</v>
      </c>
      <c r="D880" s="2" t="s">
        <v>44</v>
      </c>
      <c r="E880" s="2" t="s">
        <v>45</v>
      </c>
      <c r="F880" s="4">
        <v>10500</v>
      </c>
      <c r="G880" s="5">
        <v>1.7</v>
      </c>
      <c r="H880" s="6">
        <v>5</v>
      </c>
      <c r="I880" s="7">
        <f t="shared" si="130"/>
        <v>17850</v>
      </c>
      <c r="J880" s="7">
        <f t="shared" si="131"/>
        <v>892.5</v>
      </c>
      <c r="K880" s="7">
        <f t="shared" si="132"/>
        <v>16957.5</v>
      </c>
      <c r="L880" s="4">
        <v>43000</v>
      </c>
      <c r="M880" s="7">
        <f t="shared" si="133"/>
        <v>59957.5</v>
      </c>
      <c r="N880" s="2" t="s">
        <v>21</v>
      </c>
      <c r="O880" t="s">
        <v>22</v>
      </c>
      <c r="P880" s="2" t="s">
        <v>2365</v>
      </c>
      <c r="Q880" s="2">
        <v>1</v>
      </c>
      <c r="R880" s="2" t="s">
        <v>23</v>
      </c>
      <c r="S880" s="2" t="str">
        <f t="shared" si="134"/>
        <v>Rendah</v>
      </c>
      <c r="T880" s="2" t="str">
        <f t="shared" si="135"/>
        <v>FALSE</v>
      </c>
      <c r="U880" s="2" t="str">
        <f t="shared" si="136"/>
        <v>FALSE</v>
      </c>
      <c r="V880" s="2" t="b">
        <f t="shared" si="137"/>
        <v>0</v>
      </c>
      <c r="W880" s="2" t="b">
        <f t="shared" si="138"/>
        <v>0</v>
      </c>
      <c r="X880" s="2" t="b">
        <f t="shared" si="139"/>
        <v>0</v>
      </c>
    </row>
    <row r="881" spans="1:24" ht="10.5" customHeight="1">
      <c r="A881" s="2" t="s">
        <v>1248</v>
      </c>
      <c r="B881" s="3">
        <v>45833.814502314817</v>
      </c>
      <c r="C881" s="2" t="s">
        <v>1249</v>
      </c>
      <c r="D881" s="2" t="s">
        <v>98</v>
      </c>
      <c r="E881" s="2" t="s">
        <v>41</v>
      </c>
      <c r="F881" s="4">
        <v>40000</v>
      </c>
      <c r="G881" s="5">
        <v>0.3</v>
      </c>
      <c r="H881" s="6">
        <v>5</v>
      </c>
      <c r="I881" s="7">
        <f t="shared" si="130"/>
        <v>12000</v>
      </c>
      <c r="J881" s="7">
        <f t="shared" si="131"/>
        <v>600</v>
      </c>
      <c r="K881" s="7">
        <f t="shared" si="132"/>
        <v>11400</v>
      </c>
      <c r="L881" s="4">
        <v>97000</v>
      </c>
      <c r="M881" s="7">
        <f t="shared" si="133"/>
        <v>108400</v>
      </c>
      <c r="N881" s="2" t="s">
        <v>33</v>
      </c>
      <c r="O881" t="s">
        <v>22</v>
      </c>
      <c r="P881" s="2" t="s">
        <v>2365</v>
      </c>
      <c r="Q881" s="2">
        <v>4</v>
      </c>
      <c r="R881" s="2" t="s">
        <v>34</v>
      </c>
      <c r="S881" s="2" t="str">
        <f t="shared" si="134"/>
        <v>Standar</v>
      </c>
      <c r="T881" s="2" t="str">
        <f t="shared" si="135"/>
        <v>FALSE</v>
      </c>
      <c r="U881" s="2" t="str">
        <f t="shared" si="136"/>
        <v>FALSE</v>
      </c>
      <c r="V881" s="2" t="b">
        <f t="shared" si="137"/>
        <v>0</v>
      </c>
      <c r="W881" s="2" t="b">
        <f t="shared" si="138"/>
        <v>0</v>
      </c>
      <c r="X881" s="2" t="b">
        <f t="shared" si="139"/>
        <v>0</v>
      </c>
    </row>
    <row r="882" spans="1:24" ht="10.5" customHeight="1">
      <c r="A882" s="2" t="s">
        <v>1250</v>
      </c>
      <c r="B882" s="3">
        <v>45834.075011574067</v>
      </c>
      <c r="C882" s="2" t="s">
        <v>149</v>
      </c>
      <c r="D882" s="2" t="s">
        <v>150</v>
      </c>
      <c r="E882" s="2" t="s">
        <v>102</v>
      </c>
      <c r="F882" s="4">
        <v>55000</v>
      </c>
      <c r="G882" s="5">
        <v>1.1000000000000001</v>
      </c>
      <c r="H882" s="6">
        <v>0</v>
      </c>
      <c r="I882" s="7">
        <f t="shared" si="130"/>
        <v>60500.000000000007</v>
      </c>
      <c r="J882" s="7">
        <f t="shared" si="131"/>
        <v>0</v>
      </c>
      <c r="K882" s="7">
        <f t="shared" si="132"/>
        <v>60500.000000000007</v>
      </c>
      <c r="L882" s="4">
        <v>68000</v>
      </c>
      <c r="M882" s="7">
        <f t="shared" si="133"/>
        <v>128500</v>
      </c>
      <c r="N882" s="2" t="s">
        <v>21</v>
      </c>
      <c r="O882" t="s">
        <v>22</v>
      </c>
      <c r="P882" s="2" t="s">
        <v>2366</v>
      </c>
      <c r="Q882" s="2">
        <v>2</v>
      </c>
      <c r="R882" s="2" t="s">
        <v>23</v>
      </c>
      <c r="S882" s="2" t="str">
        <f t="shared" si="134"/>
        <v>Standar</v>
      </c>
      <c r="T882" s="2" t="str">
        <f t="shared" si="135"/>
        <v>FALSE</v>
      </c>
      <c r="U882" s="2" t="str">
        <f t="shared" si="136"/>
        <v>FALSE</v>
      </c>
      <c r="V882" s="2" t="b">
        <f t="shared" si="137"/>
        <v>0</v>
      </c>
      <c r="W882" s="2" t="b">
        <f t="shared" si="138"/>
        <v>0</v>
      </c>
      <c r="X882" s="2" t="b">
        <f t="shared" si="139"/>
        <v>0</v>
      </c>
    </row>
    <row r="883" spans="1:24" ht="10.5" customHeight="1">
      <c r="A883" s="2" t="s">
        <v>1251</v>
      </c>
      <c r="B883" s="3">
        <v>45834.075532407413</v>
      </c>
      <c r="C883" s="2" t="s">
        <v>411</v>
      </c>
      <c r="D883" s="2" t="s">
        <v>94</v>
      </c>
      <c r="E883" s="2" t="s">
        <v>57</v>
      </c>
      <c r="F883" s="4">
        <v>17500</v>
      </c>
      <c r="G883" s="5">
        <v>0.7</v>
      </c>
      <c r="H883" s="6">
        <v>0</v>
      </c>
      <c r="I883" s="7">
        <f t="shared" si="130"/>
        <v>12250</v>
      </c>
      <c r="J883" s="7">
        <f t="shared" si="131"/>
        <v>0</v>
      </c>
      <c r="K883" s="7">
        <f t="shared" si="132"/>
        <v>12250</v>
      </c>
      <c r="L883" s="4">
        <v>85000</v>
      </c>
      <c r="M883" s="7">
        <f t="shared" si="133"/>
        <v>97250</v>
      </c>
      <c r="N883" s="2" t="s">
        <v>21</v>
      </c>
      <c r="O883" t="s">
        <v>69</v>
      </c>
      <c r="P883" s="2" t="s">
        <v>2370</v>
      </c>
      <c r="Q883" s="2">
        <v>3</v>
      </c>
      <c r="R883" s="2" t="s">
        <v>23</v>
      </c>
      <c r="S883" s="2" t="str">
        <f t="shared" si="134"/>
        <v>Rendah</v>
      </c>
      <c r="T883" s="2" t="str">
        <f t="shared" si="135"/>
        <v>FALSE</v>
      </c>
      <c r="U883" s="2" t="str">
        <f t="shared" si="136"/>
        <v>FALSE</v>
      </c>
      <c r="V883" s="2" t="b">
        <f t="shared" si="137"/>
        <v>0</v>
      </c>
      <c r="W883" s="2" t="b">
        <f t="shared" si="138"/>
        <v>0</v>
      </c>
      <c r="X883" s="2" t="b">
        <f t="shared" si="139"/>
        <v>0</v>
      </c>
    </row>
    <row r="884" spans="1:24" ht="10.5" customHeight="1">
      <c r="A884" s="2" t="s">
        <v>1252</v>
      </c>
      <c r="B884" s="3">
        <v>45834.21875</v>
      </c>
      <c r="C884" s="2" t="s">
        <v>1253</v>
      </c>
      <c r="D884" s="2" t="s">
        <v>425</v>
      </c>
      <c r="E884" s="2" t="s">
        <v>161</v>
      </c>
      <c r="F884" s="4">
        <v>115000</v>
      </c>
      <c r="G884" s="5">
        <v>0.7</v>
      </c>
      <c r="H884" s="6">
        <v>0</v>
      </c>
      <c r="I884" s="7">
        <f t="shared" si="130"/>
        <v>80500</v>
      </c>
      <c r="J884" s="7">
        <f t="shared" si="131"/>
        <v>0</v>
      </c>
      <c r="K884" s="7">
        <f t="shared" si="132"/>
        <v>80500</v>
      </c>
      <c r="L884" s="4">
        <v>67000</v>
      </c>
      <c r="M884" s="7">
        <f t="shared" si="133"/>
        <v>147500</v>
      </c>
      <c r="N884" s="2" t="s">
        <v>21</v>
      </c>
      <c r="O884" t="s">
        <v>22</v>
      </c>
      <c r="P884" s="2" t="s">
        <v>2365</v>
      </c>
      <c r="Q884" s="2">
        <v>3</v>
      </c>
      <c r="R884" s="2" t="s">
        <v>23</v>
      </c>
      <c r="S884" s="2" t="str">
        <f t="shared" si="134"/>
        <v>Standar</v>
      </c>
      <c r="T884" s="2" t="str">
        <f t="shared" si="135"/>
        <v>FALSE</v>
      </c>
      <c r="U884" s="2" t="str">
        <f t="shared" si="136"/>
        <v>FALSE</v>
      </c>
      <c r="V884" s="2" t="b">
        <f t="shared" si="137"/>
        <v>0</v>
      </c>
      <c r="W884" s="2" t="b">
        <f t="shared" si="138"/>
        <v>0</v>
      </c>
      <c r="X884" s="2" t="b">
        <f t="shared" si="139"/>
        <v>0</v>
      </c>
    </row>
    <row r="885" spans="1:24" ht="10.5" customHeight="1">
      <c r="A885" s="2" t="s">
        <v>1254</v>
      </c>
      <c r="B885" s="3">
        <v>45834.278703703712</v>
      </c>
      <c r="C885" s="2" t="s">
        <v>152</v>
      </c>
      <c r="D885" s="2" t="s">
        <v>153</v>
      </c>
      <c r="E885" s="2" t="s">
        <v>80</v>
      </c>
      <c r="F885" s="4">
        <v>15000</v>
      </c>
      <c r="G885" s="5">
        <v>1.5</v>
      </c>
      <c r="H885" s="6">
        <v>0</v>
      </c>
      <c r="I885" s="7">
        <f t="shared" si="130"/>
        <v>22500</v>
      </c>
      <c r="J885" s="7">
        <f t="shared" si="131"/>
        <v>0</v>
      </c>
      <c r="K885" s="7">
        <f t="shared" si="132"/>
        <v>22500</v>
      </c>
      <c r="L885" s="4">
        <v>50000</v>
      </c>
      <c r="M885" s="7">
        <f t="shared" si="133"/>
        <v>72500</v>
      </c>
      <c r="N885" s="2" t="s">
        <v>33</v>
      </c>
      <c r="O885" t="s">
        <v>22</v>
      </c>
      <c r="P885" s="2" t="s">
        <v>2366</v>
      </c>
      <c r="Q885" s="2">
        <v>5</v>
      </c>
      <c r="R885" s="2" t="s">
        <v>23</v>
      </c>
      <c r="S885" s="2" t="str">
        <f t="shared" si="134"/>
        <v>Rendah</v>
      </c>
      <c r="T885" s="2" t="str">
        <f t="shared" si="135"/>
        <v>FALSE</v>
      </c>
      <c r="U885" s="2" t="str">
        <f t="shared" si="136"/>
        <v>FALSE</v>
      </c>
      <c r="V885" s="2" t="b">
        <f t="shared" si="137"/>
        <v>0</v>
      </c>
      <c r="W885" s="2" t="b">
        <f t="shared" si="138"/>
        <v>0</v>
      </c>
      <c r="X885" s="2" t="b">
        <f t="shared" si="139"/>
        <v>0</v>
      </c>
    </row>
    <row r="886" spans="1:24" ht="10.5" customHeight="1">
      <c r="A886" s="2" t="s">
        <v>1255</v>
      </c>
      <c r="B886" s="3">
        <v>45834.28597222222</v>
      </c>
      <c r="C886" s="2" t="s">
        <v>1088</v>
      </c>
      <c r="D886" s="2" t="s">
        <v>118</v>
      </c>
      <c r="E886" s="2" t="s">
        <v>182</v>
      </c>
      <c r="F886" s="4">
        <v>11000</v>
      </c>
      <c r="G886" s="5">
        <v>1.9</v>
      </c>
      <c r="H886" s="6">
        <v>0</v>
      </c>
      <c r="I886" s="7">
        <f t="shared" si="130"/>
        <v>20900</v>
      </c>
      <c r="J886" s="7">
        <f t="shared" si="131"/>
        <v>0</v>
      </c>
      <c r="K886" s="7">
        <f t="shared" si="132"/>
        <v>20900</v>
      </c>
      <c r="L886" s="4">
        <v>84000</v>
      </c>
      <c r="M886" s="7">
        <f t="shared" si="133"/>
        <v>104900</v>
      </c>
      <c r="N886" s="2" t="s">
        <v>21</v>
      </c>
      <c r="O886" t="s">
        <v>22</v>
      </c>
      <c r="P886" s="2" t="s">
        <v>2365</v>
      </c>
      <c r="Q886" s="2">
        <v>4</v>
      </c>
      <c r="R886" s="2" t="s">
        <v>34</v>
      </c>
      <c r="S886" s="2" t="str">
        <f t="shared" si="134"/>
        <v>Standar</v>
      </c>
      <c r="T886" s="2" t="str">
        <f t="shared" si="135"/>
        <v>FALSE</v>
      </c>
      <c r="U886" s="2" t="str">
        <f t="shared" si="136"/>
        <v>FALSE</v>
      </c>
      <c r="V886" s="2" t="b">
        <f t="shared" si="137"/>
        <v>0</v>
      </c>
      <c r="W886" s="2" t="b">
        <f t="shared" si="138"/>
        <v>0</v>
      </c>
      <c r="X886" s="2" t="b">
        <f t="shared" si="139"/>
        <v>0</v>
      </c>
    </row>
    <row r="887" spans="1:24" ht="10.5" customHeight="1">
      <c r="A887" s="2" t="s">
        <v>1256</v>
      </c>
      <c r="B887" s="3">
        <v>45834.299745370372</v>
      </c>
      <c r="C887" s="2" t="s">
        <v>811</v>
      </c>
      <c r="D887" s="2" t="s">
        <v>123</v>
      </c>
      <c r="E887" s="2" t="s">
        <v>49</v>
      </c>
      <c r="F887" s="4">
        <v>26000</v>
      </c>
      <c r="G887" s="5">
        <v>0.8</v>
      </c>
      <c r="H887" s="6">
        <v>0</v>
      </c>
      <c r="I887" s="7">
        <f t="shared" si="130"/>
        <v>20800</v>
      </c>
      <c r="J887" s="7">
        <f t="shared" si="131"/>
        <v>0</v>
      </c>
      <c r="K887" s="7">
        <f t="shared" si="132"/>
        <v>20800</v>
      </c>
      <c r="L887" s="4">
        <v>59000</v>
      </c>
      <c r="M887" s="7">
        <f t="shared" si="133"/>
        <v>79800</v>
      </c>
      <c r="N887" s="2" t="s">
        <v>33</v>
      </c>
      <c r="O887" t="s">
        <v>22</v>
      </c>
      <c r="P887" s="2" t="s">
        <v>2367</v>
      </c>
      <c r="Q887" s="2">
        <v>4</v>
      </c>
      <c r="R887" s="2" t="s">
        <v>23</v>
      </c>
      <c r="S887" s="2" t="str">
        <f t="shared" si="134"/>
        <v>Rendah</v>
      </c>
      <c r="T887" s="2" t="str">
        <f t="shared" si="135"/>
        <v>FALSE</v>
      </c>
      <c r="U887" s="2" t="str">
        <f t="shared" si="136"/>
        <v>FALSE</v>
      </c>
      <c r="V887" s="2" t="b">
        <f t="shared" si="137"/>
        <v>0</v>
      </c>
      <c r="W887" s="2" t="b">
        <f t="shared" si="138"/>
        <v>1</v>
      </c>
      <c r="X887" s="2" t="b">
        <f t="shared" si="139"/>
        <v>0</v>
      </c>
    </row>
    <row r="888" spans="1:24" ht="10.5" customHeight="1">
      <c r="A888" s="2" t="s">
        <v>1257</v>
      </c>
      <c r="B888" s="3">
        <v>45834.302071759259</v>
      </c>
      <c r="C888" s="2" t="s">
        <v>1043</v>
      </c>
      <c r="D888" s="2" t="s">
        <v>74</v>
      </c>
      <c r="E888" s="2" t="s">
        <v>99</v>
      </c>
      <c r="F888" s="4">
        <v>10000</v>
      </c>
      <c r="G888" s="5">
        <v>0.4</v>
      </c>
      <c r="H888" s="6">
        <v>0</v>
      </c>
      <c r="I888" s="7">
        <f t="shared" si="130"/>
        <v>4000</v>
      </c>
      <c r="J888" s="7">
        <f t="shared" si="131"/>
        <v>0</v>
      </c>
      <c r="K888" s="7">
        <f t="shared" si="132"/>
        <v>4000</v>
      </c>
      <c r="L888" s="4">
        <v>74000</v>
      </c>
      <c r="M888" s="7">
        <f t="shared" si="133"/>
        <v>78000</v>
      </c>
      <c r="N888" s="2" t="s">
        <v>58</v>
      </c>
      <c r="O888" t="s">
        <v>22</v>
      </c>
      <c r="P888" s="2" t="s">
        <v>2365</v>
      </c>
      <c r="Q888" s="2">
        <v>2</v>
      </c>
      <c r="R888" s="2" t="s">
        <v>23</v>
      </c>
      <c r="S888" s="2" t="str">
        <f t="shared" si="134"/>
        <v>Rendah</v>
      </c>
      <c r="T888" s="2" t="str">
        <f t="shared" si="135"/>
        <v>FALSE</v>
      </c>
      <c r="U888" s="2" t="str">
        <f t="shared" si="136"/>
        <v>FALSE</v>
      </c>
      <c r="V888" s="2" t="b">
        <f t="shared" si="137"/>
        <v>0</v>
      </c>
      <c r="W888" s="2" t="b">
        <f t="shared" si="138"/>
        <v>0</v>
      </c>
      <c r="X888" s="2" t="b">
        <f t="shared" si="139"/>
        <v>0</v>
      </c>
    </row>
    <row r="889" spans="1:24" ht="10.5" customHeight="1">
      <c r="A889" s="2" t="s">
        <v>1258</v>
      </c>
      <c r="B889" s="3">
        <v>45834.347002314818</v>
      </c>
      <c r="C889" s="2" t="s">
        <v>1088</v>
      </c>
      <c r="D889" s="2" t="s">
        <v>118</v>
      </c>
      <c r="E889" s="2" t="s">
        <v>102</v>
      </c>
      <c r="F889" s="4">
        <v>55000</v>
      </c>
      <c r="G889" s="5">
        <v>0.3</v>
      </c>
      <c r="H889" s="6">
        <v>0</v>
      </c>
      <c r="I889" s="7">
        <f t="shared" si="130"/>
        <v>16500</v>
      </c>
      <c r="J889" s="7">
        <f t="shared" si="131"/>
        <v>0</v>
      </c>
      <c r="K889" s="7">
        <f t="shared" si="132"/>
        <v>16500</v>
      </c>
      <c r="L889" s="4">
        <v>84000</v>
      </c>
      <c r="M889" s="7">
        <f t="shared" si="133"/>
        <v>100500</v>
      </c>
      <c r="N889" s="2" t="s">
        <v>33</v>
      </c>
      <c r="O889" t="s">
        <v>22</v>
      </c>
      <c r="P889" s="2" t="s">
        <v>2367</v>
      </c>
      <c r="Q889" s="2">
        <v>4</v>
      </c>
      <c r="R889" s="2" t="s">
        <v>34</v>
      </c>
      <c r="S889" s="2" t="str">
        <f t="shared" si="134"/>
        <v>Standar</v>
      </c>
      <c r="T889" s="2" t="str">
        <f t="shared" si="135"/>
        <v>FALSE</v>
      </c>
      <c r="U889" s="2" t="str">
        <f t="shared" si="136"/>
        <v>FALSE</v>
      </c>
      <c r="V889" s="2" t="b">
        <f t="shared" si="137"/>
        <v>0</v>
      </c>
      <c r="W889" s="2" t="b">
        <f t="shared" si="138"/>
        <v>1</v>
      </c>
      <c r="X889" s="2" t="b">
        <f t="shared" si="139"/>
        <v>0</v>
      </c>
    </row>
    <row r="890" spans="1:24" ht="10.5" customHeight="1">
      <c r="A890" s="2" t="s">
        <v>1259</v>
      </c>
      <c r="B890" s="3">
        <v>45834.430092592593</v>
      </c>
      <c r="C890" s="2" t="s">
        <v>1260</v>
      </c>
      <c r="D890" s="2" t="s">
        <v>173</v>
      </c>
      <c r="E890" s="2" t="s">
        <v>75</v>
      </c>
      <c r="F890" s="4">
        <v>45000</v>
      </c>
      <c r="G890" s="5">
        <v>1.2</v>
      </c>
      <c r="H890" s="6">
        <v>0</v>
      </c>
      <c r="I890" s="7">
        <f t="shared" si="130"/>
        <v>54000</v>
      </c>
      <c r="J890" s="7">
        <f t="shared" si="131"/>
        <v>0</v>
      </c>
      <c r="K890" s="7">
        <f t="shared" si="132"/>
        <v>54000</v>
      </c>
      <c r="L890" s="4">
        <v>48000</v>
      </c>
      <c r="M890" s="7">
        <f t="shared" si="133"/>
        <v>102000</v>
      </c>
      <c r="N890" s="2" t="s">
        <v>28</v>
      </c>
      <c r="O890" t="s">
        <v>22</v>
      </c>
      <c r="P890" s="2" t="s">
        <v>2367</v>
      </c>
      <c r="Q890" s="2">
        <v>3</v>
      </c>
      <c r="R890" s="2" t="s">
        <v>23</v>
      </c>
      <c r="S890" s="2" t="str">
        <f t="shared" si="134"/>
        <v>Standar</v>
      </c>
      <c r="T890" s="2" t="str">
        <f t="shared" si="135"/>
        <v>FALSE</v>
      </c>
      <c r="U890" s="2" t="str">
        <f t="shared" si="136"/>
        <v>FALSE</v>
      </c>
      <c r="V890" s="2" t="b">
        <f t="shared" si="137"/>
        <v>0</v>
      </c>
      <c r="W890" s="2" t="b">
        <f t="shared" si="138"/>
        <v>1</v>
      </c>
      <c r="X890" s="2" t="b">
        <f t="shared" si="139"/>
        <v>0</v>
      </c>
    </row>
    <row r="891" spans="1:24" ht="10.5" customHeight="1">
      <c r="A891" s="2" t="s">
        <v>1261</v>
      </c>
      <c r="B891" s="3">
        <v>45834.436296296299</v>
      </c>
      <c r="C891" s="2" t="s">
        <v>375</v>
      </c>
      <c r="D891" s="2" t="s">
        <v>365</v>
      </c>
      <c r="E891" s="2" t="s">
        <v>53</v>
      </c>
      <c r="F891" s="4">
        <v>14000</v>
      </c>
      <c r="G891" s="5">
        <v>0.5</v>
      </c>
      <c r="H891" s="6">
        <v>0</v>
      </c>
      <c r="I891" s="7">
        <f t="shared" si="130"/>
        <v>7000</v>
      </c>
      <c r="J891" s="7">
        <f t="shared" si="131"/>
        <v>0</v>
      </c>
      <c r="K891" s="7">
        <f t="shared" si="132"/>
        <v>7000</v>
      </c>
      <c r="L891" s="4">
        <v>21000</v>
      </c>
      <c r="M891" s="7">
        <f t="shared" si="133"/>
        <v>28000</v>
      </c>
      <c r="N891" s="2" t="s">
        <v>28</v>
      </c>
      <c r="O891" t="s">
        <v>22</v>
      </c>
      <c r="P891" s="2" t="s">
        <v>2366</v>
      </c>
      <c r="Q891" s="2">
        <v>3</v>
      </c>
      <c r="R891" s="2" t="s">
        <v>23</v>
      </c>
      <c r="S891" s="2" t="str">
        <f t="shared" si="134"/>
        <v>Sangat Rendah</v>
      </c>
      <c r="T891" s="2" t="str">
        <f t="shared" si="135"/>
        <v>FALSE</v>
      </c>
      <c r="U891" s="2" t="str">
        <f t="shared" si="136"/>
        <v>FALSE</v>
      </c>
      <c r="V891" s="2" t="b">
        <f t="shared" si="137"/>
        <v>0</v>
      </c>
      <c r="W891" s="2" t="b">
        <f t="shared" si="138"/>
        <v>0</v>
      </c>
      <c r="X891" s="2" t="b">
        <f t="shared" si="139"/>
        <v>1</v>
      </c>
    </row>
    <row r="892" spans="1:24" ht="10.5" customHeight="1">
      <c r="A892" s="2" t="s">
        <v>1262</v>
      </c>
      <c r="B892" s="3">
        <v>45834.500509259262</v>
      </c>
      <c r="C892" s="2" t="s">
        <v>251</v>
      </c>
      <c r="D892" s="2" t="s">
        <v>252</v>
      </c>
      <c r="E892" s="2" t="s">
        <v>95</v>
      </c>
      <c r="F892" s="4">
        <v>9500</v>
      </c>
      <c r="G892" s="5">
        <v>1.3</v>
      </c>
      <c r="H892" s="6">
        <v>0</v>
      </c>
      <c r="I892" s="7">
        <f t="shared" si="130"/>
        <v>12350</v>
      </c>
      <c r="J892" s="7">
        <f t="shared" si="131"/>
        <v>0</v>
      </c>
      <c r="K892" s="7">
        <f t="shared" si="132"/>
        <v>12350</v>
      </c>
      <c r="L892" s="4">
        <v>18000</v>
      </c>
      <c r="M892" s="7">
        <f t="shared" si="133"/>
        <v>30350</v>
      </c>
      <c r="N892" s="2" t="s">
        <v>28</v>
      </c>
      <c r="O892" t="s">
        <v>22</v>
      </c>
      <c r="P892" s="2" t="s">
        <v>2366</v>
      </c>
      <c r="Q892" s="2">
        <v>4</v>
      </c>
      <c r="R892" s="2" t="s">
        <v>23</v>
      </c>
      <c r="S892" s="2" t="str">
        <f t="shared" si="134"/>
        <v>Sangat Rendah</v>
      </c>
      <c r="T892" s="2" t="str">
        <f t="shared" si="135"/>
        <v>FALSE</v>
      </c>
      <c r="U892" s="2" t="str">
        <f t="shared" si="136"/>
        <v>FALSE</v>
      </c>
      <c r="V892" s="2" t="b">
        <f t="shared" si="137"/>
        <v>0</v>
      </c>
      <c r="W892" s="2" t="b">
        <f t="shared" si="138"/>
        <v>0</v>
      </c>
      <c r="X892" s="2" t="b">
        <f t="shared" si="139"/>
        <v>1</v>
      </c>
    </row>
    <row r="893" spans="1:24" ht="10.5" customHeight="1">
      <c r="A893" s="2" t="s">
        <v>1263</v>
      </c>
      <c r="B893" s="3">
        <v>45834.548009259262</v>
      </c>
      <c r="C893" s="2" t="s">
        <v>89</v>
      </c>
      <c r="D893" s="2" t="s">
        <v>84</v>
      </c>
      <c r="E893" s="2" t="s">
        <v>182</v>
      </c>
      <c r="F893" s="4">
        <v>11000</v>
      </c>
      <c r="G893" s="5">
        <v>2</v>
      </c>
      <c r="H893" s="6">
        <v>0</v>
      </c>
      <c r="I893" s="7">
        <f t="shared" si="130"/>
        <v>22000</v>
      </c>
      <c r="J893" s="7">
        <f t="shared" si="131"/>
        <v>0</v>
      </c>
      <c r="K893" s="7">
        <f t="shared" si="132"/>
        <v>22000</v>
      </c>
      <c r="L893" s="4">
        <v>30000</v>
      </c>
      <c r="M893" s="7">
        <f t="shared" si="133"/>
        <v>52000</v>
      </c>
      <c r="N893" s="2" t="s">
        <v>58</v>
      </c>
      <c r="O893" t="s">
        <v>22</v>
      </c>
      <c r="P893" s="2" t="s">
        <v>2365</v>
      </c>
      <c r="Q893" s="2">
        <v>5</v>
      </c>
      <c r="R893" s="2" t="s">
        <v>23</v>
      </c>
      <c r="S893" s="2" t="str">
        <f t="shared" si="134"/>
        <v>Rendah</v>
      </c>
      <c r="T893" s="2" t="str">
        <f t="shared" si="135"/>
        <v>FALSE</v>
      </c>
      <c r="U893" s="2" t="str">
        <f t="shared" si="136"/>
        <v>FALSE</v>
      </c>
      <c r="V893" s="2" t="b">
        <f t="shared" si="137"/>
        <v>0</v>
      </c>
      <c r="W893" s="2" t="b">
        <f t="shared" si="138"/>
        <v>0</v>
      </c>
      <c r="X893" s="2" t="b">
        <f t="shared" si="139"/>
        <v>0</v>
      </c>
    </row>
    <row r="894" spans="1:24" ht="10.5" customHeight="1">
      <c r="A894" s="2" t="s">
        <v>1264</v>
      </c>
      <c r="B894" s="3">
        <v>45834.631840277783</v>
      </c>
      <c r="C894" s="2" t="s">
        <v>949</v>
      </c>
      <c r="D894" s="2" t="s">
        <v>173</v>
      </c>
      <c r="E894" s="2" t="s">
        <v>41</v>
      </c>
      <c r="F894" s="4">
        <v>40000</v>
      </c>
      <c r="G894" s="5">
        <v>0.4</v>
      </c>
      <c r="H894" s="6">
        <v>0</v>
      </c>
      <c r="I894" s="7">
        <f t="shared" si="130"/>
        <v>16000</v>
      </c>
      <c r="J894" s="7">
        <f t="shared" si="131"/>
        <v>0</v>
      </c>
      <c r="K894" s="7">
        <f t="shared" si="132"/>
        <v>16000</v>
      </c>
      <c r="L894" s="4">
        <v>48000</v>
      </c>
      <c r="M894" s="7">
        <f t="shared" si="133"/>
        <v>64000</v>
      </c>
      <c r="N894" s="2" t="s">
        <v>58</v>
      </c>
      <c r="O894" t="s">
        <v>69</v>
      </c>
      <c r="P894" s="2" t="s">
        <v>2370</v>
      </c>
      <c r="Q894" s="2">
        <v>1</v>
      </c>
      <c r="R894" s="2" t="s">
        <v>23</v>
      </c>
      <c r="S894" s="2" t="str">
        <f t="shared" si="134"/>
        <v>Rendah</v>
      </c>
      <c r="T894" s="2" t="str">
        <f t="shared" si="135"/>
        <v>FALSE</v>
      </c>
      <c r="U894" s="2" t="str">
        <f t="shared" si="136"/>
        <v>FALSE</v>
      </c>
      <c r="V894" s="2" t="b">
        <f t="shared" si="137"/>
        <v>0</v>
      </c>
      <c r="W894" s="2" t="b">
        <f t="shared" si="138"/>
        <v>0</v>
      </c>
      <c r="X894" s="2" t="b">
        <f t="shared" si="139"/>
        <v>0</v>
      </c>
    </row>
    <row r="895" spans="1:24" ht="10.5" customHeight="1">
      <c r="A895" s="2" t="s">
        <v>1265</v>
      </c>
      <c r="B895" s="3">
        <v>45834.691377314812</v>
      </c>
      <c r="C895" s="2" t="s">
        <v>259</v>
      </c>
      <c r="D895" s="2" t="s">
        <v>164</v>
      </c>
      <c r="E895" s="2" t="s">
        <v>20</v>
      </c>
      <c r="F895" s="4">
        <v>10000</v>
      </c>
      <c r="G895" s="5">
        <v>1.4</v>
      </c>
      <c r="H895" s="6">
        <v>0</v>
      </c>
      <c r="I895" s="7">
        <f t="shared" si="130"/>
        <v>14000</v>
      </c>
      <c r="J895" s="7">
        <f t="shared" si="131"/>
        <v>0</v>
      </c>
      <c r="K895" s="7">
        <f t="shared" si="132"/>
        <v>14000</v>
      </c>
      <c r="L895" s="4">
        <v>49000</v>
      </c>
      <c r="M895" s="7">
        <f t="shared" si="133"/>
        <v>63000</v>
      </c>
      <c r="N895" s="2" t="s">
        <v>33</v>
      </c>
      <c r="O895" t="s">
        <v>22</v>
      </c>
      <c r="P895" s="2" t="s">
        <v>2365</v>
      </c>
      <c r="Q895" s="2">
        <v>3</v>
      </c>
      <c r="R895" s="2" t="s">
        <v>34</v>
      </c>
      <c r="S895" s="2" t="str">
        <f t="shared" si="134"/>
        <v>Rendah</v>
      </c>
      <c r="T895" s="2" t="str">
        <f t="shared" si="135"/>
        <v>FALSE</v>
      </c>
      <c r="U895" s="2" t="str">
        <f t="shared" si="136"/>
        <v>FALSE</v>
      </c>
      <c r="V895" s="2" t="b">
        <f t="shared" si="137"/>
        <v>0</v>
      </c>
      <c r="W895" s="2" t="b">
        <f t="shared" si="138"/>
        <v>0</v>
      </c>
      <c r="X895" s="2" t="b">
        <f t="shared" si="139"/>
        <v>0</v>
      </c>
    </row>
    <row r="896" spans="1:24" ht="10.5" customHeight="1">
      <c r="A896" s="2" t="s">
        <v>1266</v>
      </c>
      <c r="B896" s="3">
        <v>45834.701157407413</v>
      </c>
      <c r="C896" s="2" t="s">
        <v>189</v>
      </c>
      <c r="D896" s="2" t="s">
        <v>133</v>
      </c>
      <c r="E896" s="2" t="s">
        <v>27</v>
      </c>
      <c r="F896" s="4">
        <v>15000</v>
      </c>
      <c r="G896" s="5">
        <v>0.3</v>
      </c>
      <c r="H896" s="6">
        <v>0</v>
      </c>
      <c r="I896" s="7">
        <f t="shared" si="130"/>
        <v>4500</v>
      </c>
      <c r="J896" s="7">
        <f t="shared" si="131"/>
        <v>0</v>
      </c>
      <c r="K896" s="7">
        <f t="shared" si="132"/>
        <v>4500</v>
      </c>
      <c r="L896" s="4">
        <v>50000</v>
      </c>
      <c r="M896" s="7">
        <f t="shared" si="133"/>
        <v>54500</v>
      </c>
      <c r="N896" s="2" t="s">
        <v>58</v>
      </c>
      <c r="O896" t="s">
        <v>22</v>
      </c>
      <c r="P896" s="2" t="s">
        <v>2367</v>
      </c>
      <c r="Q896" s="2">
        <v>3</v>
      </c>
      <c r="R896" s="2" t="s">
        <v>23</v>
      </c>
      <c r="S896" s="2" t="str">
        <f t="shared" si="134"/>
        <v>Rendah</v>
      </c>
      <c r="T896" s="2" t="str">
        <f t="shared" si="135"/>
        <v>FALSE</v>
      </c>
      <c r="U896" s="2" t="str">
        <f t="shared" si="136"/>
        <v>FALSE</v>
      </c>
      <c r="V896" s="2" t="b">
        <f t="shared" si="137"/>
        <v>0</v>
      </c>
      <c r="W896" s="2" t="b">
        <f t="shared" si="138"/>
        <v>1</v>
      </c>
      <c r="X896" s="2" t="b">
        <f t="shared" si="139"/>
        <v>0</v>
      </c>
    </row>
    <row r="897" spans="1:24" ht="10.5" customHeight="1">
      <c r="A897" s="2" t="s">
        <v>1267</v>
      </c>
      <c r="B897" s="3">
        <v>45834.712870370371</v>
      </c>
      <c r="C897" s="2" t="s">
        <v>1268</v>
      </c>
      <c r="D897" s="2" t="s">
        <v>68</v>
      </c>
      <c r="E897" s="2" t="s">
        <v>53</v>
      </c>
      <c r="F897" s="4">
        <v>14000</v>
      </c>
      <c r="G897" s="5">
        <v>0.5</v>
      </c>
      <c r="H897" s="6">
        <v>0</v>
      </c>
      <c r="I897" s="7">
        <f t="shared" si="130"/>
        <v>7000</v>
      </c>
      <c r="J897" s="7">
        <f t="shared" si="131"/>
        <v>0</v>
      </c>
      <c r="K897" s="7">
        <f t="shared" si="132"/>
        <v>7000</v>
      </c>
      <c r="L897" s="4">
        <v>87000</v>
      </c>
      <c r="M897" s="7">
        <f t="shared" si="133"/>
        <v>94000</v>
      </c>
      <c r="N897" s="2" t="s">
        <v>28</v>
      </c>
      <c r="O897" t="s">
        <v>69</v>
      </c>
      <c r="P897" s="2" t="s">
        <v>2368</v>
      </c>
      <c r="Q897" s="2">
        <v>1</v>
      </c>
      <c r="R897" s="2" t="s">
        <v>23</v>
      </c>
      <c r="S897" s="2" t="str">
        <f t="shared" si="134"/>
        <v>Rendah</v>
      </c>
      <c r="T897" s="2" t="str">
        <f t="shared" si="135"/>
        <v>FALSE</v>
      </c>
      <c r="U897" s="2" t="str">
        <f t="shared" si="136"/>
        <v>FALSE</v>
      </c>
      <c r="V897" s="2" t="b">
        <f t="shared" si="137"/>
        <v>0</v>
      </c>
      <c r="W897" s="2" t="b">
        <f t="shared" si="138"/>
        <v>0</v>
      </c>
      <c r="X897" s="2" t="b">
        <f t="shared" si="139"/>
        <v>0</v>
      </c>
    </row>
    <row r="898" spans="1:24" ht="10.5" customHeight="1">
      <c r="A898" s="2" t="s">
        <v>1269</v>
      </c>
      <c r="B898" s="3">
        <v>45834.731249999997</v>
      </c>
      <c r="C898" s="2" t="s">
        <v>441</v>
      </c>
      <c r="D898" s="2" t="s">
        <v>108</v>
      </c>
      <c r="E898" s="2" t="s">
        <v>161</v>
      </c>
      <c r="F898" s="4">
        <v>115000</v>
      </c>
      <c r="G898" s="5">
        <v>1.2</v>
      </c>
      <c r="H898" s="6">
        <v>0</v>
      </c>
      <c r="I898" s="7">
        <f t="shared" si="130"/>
        <v>138000</v>
      </c>
      <c r="J898" s="7">
        <f t="shared" si="131"/>
        <v>0</v>
      </c>
      <c r="K898" s="7">
        <f t="shared" si="132"/>
        <v>138000</v>
      </c>
      <c r="L898" s="4">
        <v>72000</v>
      </c>
      <c r="M898" s="7">
        <f t="shared" si="133"/>
        <v>210000</v>
      </c>
      <c r="N898" s="2" t="s">
        <v>28</v>
      </c>
      <c r="O898" t="s">
        <v>22</v>
      </c>
      <c r="P898" s="2" t="s">
        <v>2365</v>
      </c>
      <c r="Q898" s="2">
        <v>4</v>
      </c>
      <c r="R898" s="2" t="s">
        <v>23</v>
      </c>
      <c r="S898" s="2" t="str">
        <f t="shared" si="134"/>
        <v>Sangat Tinggi</v>
      </c>
      <c r="T898" s="2" t="str">
        <f t="shared" si="135"/>
        <v>FALSE</v>
      </c>
      <c r="U898" s="2" t="str">
        <f t="shared" si="136"/>
        <v>FALSE</v>
      </c>
      <c r="V898" s="2" t="b">
        <f t="shared" si="137"/>
        <v>0</v>
      </c>
      <c r="W898" s="2" t="b">
        <f t="shared" si="138"/>
        <v>1</v>
      </c>
      <c r="X898" s="2" t="b">
        <f t="shared" si="139"/>
        <v>0</v>
      </c>
    </row>
    <row r="899" spans="1:24" ht="10.5" customHeight="1">
      <c r="A899" s="2" t="s">
        <v>1270</v>
      </c>
      <c r="B899" s="3">
        <v>45834.829131944447</v>
      </c>
      <c r="C899" s="2" t="s">
        <v>1081</v>
      </c>
      <c r="D899" s="2" t="s">
        <v>150</v>
      </c>
      <c r="E899" s="2" t="s">
        <v>20</v>
      </c>
      <c r="F899" s="4">
        <v>10000</v>
      </c>
      <c r="G899" s="5">
        <v>0.7</v>
      </c>
      <c r="H899" s="6">
        <v>0</v>
      </c>
      <c r="I899" s="7">
        <f t="shared" si="130"/>
        <v>7000</v>
      </c>
      <c r="J899" s="7">
        <f t="shared" si="131"/>
        <v>0</v>
      </c>
      <c r="K899" s="7">
        <f t="shared" si="132"/>
        <v>7000</v>
      </c>
      <c r="L899" s="4">
        <v>68000</v>
      </c>
      <c r="M899" s="7">
        <f t="shared" si="133"/>
        <v>75000</v>
      </c>
      <c r="N899" s="2" t="s">
        <v>33</v>
      </c>
      <c r="O899" t="s">
        <v>22</v>
      </c>
      <c r="P899" s="2" t="s">
        <v>2365</v>
      </c>
      <c r="Q899" s="2">
        <v>4</v>
      </c>
      <c r="R899" s="2" t="s">
        <v>34</v>
      </c>
      <c r="S899" s="2" t="str">
        <f t="shared" si="134"/>
        <v>Rendah</v>
      </c>
      <c r="T899" s="2" t="str">
        <f t="shared" si="135"/>
        <v>FALSE</v>
      </c>
      <c r="U899" s="2" t="str">
        <f t="shared" si="136"/>
        <v>FALSE</v>
      </c>
      <c r="V899" s="2" t="b">
        <f t="shared" si="137"/>
        <v>0</v>
      </c>
      <c r="W899" s="2" t="b">
        <f t="shared" si="138"/>
        <v>0</v>
      </c>
      <c r="X899" s="2" t="b">
        <f t="shared" si="139"/>
        <v>0</v>
      </c>
    </row>
    <row r="900" spans="1:24" ht="10.5" customHeight="1">
      <c r="A900" s="2" t="s">
        <v>1271</v>
      </c>
      <c r="B900" s="3">
        <v>45835.207997685182</v>
      </c>
      <c r="C900" s="2" t="s">
        <v>392</v>
      </c>
      <c r="D900" s="2" t="s">
        <v>153</v>
      </c>
      <c r="E900" s="2" t="s">
        <v>65</v>
      </c>
      <c r="F900" s="4">
        <v>46000</v>
      </c>
      <c r="G900" s="5">
        <v>0.6</v>
      </c>
      <c r="H900" s="6">
        <v>0</v>
      </c>
      <c r="I900" s="7">
        <f t="shared" ref="I900:I963" si="140">F900*G900</f>
        <v>27600</v>
      </c>
      <c r="J900" s="7">
        <f t="shared" ref="J900:J963" si="141">I900*(H900/100)</f>
        <v>0</v>
      </c>
      <c r="K900" s="7">
        <f t="shared" ref="K900:K963" si="142">I900-J900</f>
        <v>27600</v>
      </c>
      <c r="L900" s="4">
        <v>50000</v>
      </c>
      <c r="M900" s="7">
        <f t="shared" ref="M900:M963" si="143">K900+L900</f>
        <v>77600</v>
      </c>
      <c r="N900" s="2" t="s">
        <v>28</v>
      </c>
      <c r="O900" t="s">
        <v>22</v>
      </c>
      <c r="P900" s="2" t="s">
        <v>2366</v>
      </c>
      <c r="Q900" s="2">
        <v>2</v>
      </c>
      <c r="R900" s="2" t="s">
        <v>23</v>
      </c>
      <c r="S900" s="2" t="str">
        <f t="shared" ref="S900:S963" si="144">IF(M900&lt;=50000,"Sangat Rendah",IF(M900&lt;=100000,"Rendah",IF(M900&lt;=150000,"Standar",IF(M900&lt;=200000,"Tinggi","Sangat Tinggi"))))</f>
        <v>Rendah</v>
      </c>
      <c r="T900" s="2" t="str">
        <f t="shared" ref="T900:T963" si="145">IF(AND(S900="Rendah",D900="Yogyakarta"),"TRUE","FALSE")</f>
        <v>FALSE</v>
      </c>
      <c r="U900" s="2" t="str">
        <f t="shared" ref="U900:U963" si="146">IF(OR(S900="Tinggi",E900="Bayam"),"TRUE","FALSE")</f>
        <v>FALSE</v>
      </c>
      <c r="V900" s="2" t="b">
        <f t="shared" ref="V900:V963" si="147">IF(AND(S900="Standar",N900="Transef Bank"),TRUE,FALSE)</f>
        <v>0</v>
      </c>
      <c r="W900" s="2" t="b">
        <f t="shared" ref="W900:W963" si="148">IF(OR(S900="Sangat Tinggi",P900="FoodMart"),TRUE,FALSE)</f>
        <v>0</v>
      </c>
      <c r="X900" s="2" t="b">
        <f t="shared" ref="X900:X963" si="149">IF(AND(S900="Sangat Rendah",R900="Perempuan"),TRUE,FALSE)</f>
        <v>0</v>
      </c>
    </row>
    <row r="901" spans="1:24" ht="10.5" customHeight="1">
      <c r="A901" s="2" t="s">
        <v>1272</v>
      </c>
      <c r="B901" s="3">
        <v>45835.237337962957</v>
      </c>
      <c r="C901" s="2" t="s">
        <v>786</v>
      </c>
      <c r="D901" s="2" t="s">
        <v>111</v>
      </c>
      <c r="E901" s="2" t="s">
        <v>35</v>
      </c>
      <c r="F901" s="4">
        <v>13500</v>
      </c>
      <c r="G901" s="5">
        <v>1.4</v>
      </c>
      <c r="H901" s="6">
        <v>0</v>
      </c>
      <c r="I901" s="7">
        <f t="shared" si="140"/>
        <v>18900</v>
      </c>
      <c r="J901" s="7">
        <f t="shared" si="141"/>
        <v>0</v>
      </c>
      <c r="K901" s="7">
        <f t="shared" si="142"/>
        <v>18900</v>
      </c>
      <c r="L901" s="4">
        <v>0</v>
      </c>
      <c r="M901" s="7">
        <f t="shared" si="143"/>
        <v>18900</v>
      </c>
      <c r="N901" s="2" t="s">
        <v>58</v>
      </c>
      <c r="O901" t="s">
        <v>22</v>
      </c>
      <c r="P901" s="2" t="s">
        <v>2368</v>
      </c>
      <c r="Q901" s="2">
        <v>1</v>
      </c>
      <c r="R901" s="2" t="s">
        <v>23</v>
      </c>
      <c r="S901" s="2" t="str">
        <f t="shared" si="144"/>
        <v>Sangat Rendah</v>
      </c>
      <c r="T901" s="2" t="str">
        <f t="shared" si="145"/>
        <v>FALSE</v>
      </c>
      <c r="U901" s="2" t="str">
        <f t="shared" si="146"/>
        <v>FALSE</v>
      </c>
      <c r="V901" s="2" t="b">
        <f t="shared" si="147"/>
        <v>0</v>
      </c>
      <c r="W901" s="2" t="b">
        <f t="shared" si="148"/>
        <v>0</v>
      </c>
      <c r="X901" s="2" t="b">
        <f t="shared" si="149"/>
        <v>1</v>
      </c>
    </row>
    <row r="902" spans="1:24" ht="10.5" customHeight="1">
      <c r="A902" s="2" t="s">
        <v>1273</v>
      </c>
      <c r="B902" s="3">
        <v>45835.252696759257</v>
      </c>
      <c r="C902" s="2" t="s">
        <v>478</v>
      </c>
      <c r="D902" s="2" t="s">
        <v>44</v>
      </c>
      <c r="E902" s="2" t="s">
        <v>182</v>
      </c>
      <c r="F902" s="4">
        <v>11000</v>
      </c>
      <c r="G902" s="5">
        <v>1.9</v>
      </c>
      <c r="H902" s="6">
        <v>0</v>
      </c>
      <c r="I902" s="7">
        <f t="shared" si="140"/>
        <v>20900</v>
      </c>
      <c r="J902" s="7">
        <f t="shared" si="141"/>
        <v>0</v>
      </c>
      <c r="K902" s="7">
        <f t="shared" si="142"/>
        <v>20900</v>
      </c>
      <c r="L902" s="4">
        <v>43000</v>
      </c>
      <c r="M902" s="7">
        <f t="shared" si="143"/>
        <v>63900</v>
      </c>
      <c r="N902" s="2" t="s">
        <v>33</v>
      </c>
      <c r="O902" t="s">
        <v>22</v>
      </c>
      <c r="P902" s="2" t="s">
        <v>2370</v>
      </c>
      <c r="Q902" s="2">
        <v>5</v>
      </c>
      <c r="R902" s="2" t="s">
        <v>23</v>
      </c>
      <c r="S902" s="2" t="str">
        <f t="shared" si="144"/>
        <v>Rendah</v>
      </c>
      <c r="T902" s="2" t="str">
        <f t="shared" si="145"/>
        <v>FALSE</v>
      </c>
      <c r="U902" s="2" t="str">
        <f t="shared" si="146"/>
        <v>FALSE</v>
      </c>
      <c r="V902" s="2" t="b">
        <f t="shared" si="147"/>
        <v>0</v>
      </c>
      <c r="W902" s="2" t="b">
        <f t="shared" si="148"/>
        <v>0</v>
      </c>
      <c r="X902" s="2" t="b">
        <f t="shared" si="149"/>
        <v>0</v>
      </c>
    </row>
    <row r="903" spans="1:24" ht="10.5" customHeight="1">
      <c r="A903" s="2" t="s">
        <v>1273</v>
      </c>
      <c r="B903" s="3">
        <v>45835.252696759257</v>
      </c>
      <c r="C903" s="2" t="s">
        <v>478</v>
      </c>
      <c r="D903" s="2" t="s">
        <v>44</v>
      </c>
      <c r="E903" s="2" t="s">
        <v>27</v>
      </c>
      <c r="F903" s="4">
        <v>15000</v>
      </c>
      <c r="G903" s="5">
        <v>0.6</v>
      </c>
      <c r="H903" s="6">
        <v>0</v>
      </c>
      <c r="I903" s="7">
        <f t="shared" si="140"/>
        <v>9000</v>
      </c>
      <c r="J903" s="7">
        <f t="shared" si="141"/>
        <v>0</v>
      </c>
      <c r="K903" s="7">
        <f t="shared" si="142"/>
        <v>9000</v>
      </c>
      <c r="L903" s="4">
        <v>0</v>
      </c>
      <c r="M903" s="7">
        <f t="shared" si="143"/>
        <v>9000</v>
      </c>
      <c r="N903" s="2" t="s">
        <v>33</v>
      </c>
      <c r="O903" t="s">
        <v>22</v>
      </c>
      <c r="P903" s="2" t="s">
        <v>2370</v>
      </c>
      <c r="Q903" s="2">
        <v>5</v>
      </c>
      <c r="R903" s="2" t="s">
        <v>23</v>
      </c>
      <c r="S903" s="2" t="str">
        <f t="shared" si="144"/>
        <v>Sangat Rendah</v>
      </c>
      <c r="T903" s="2" t="str">
        <f t="shared" si="145"/>
        <v>FALSE</v>
      </c>
      <c r="U903" s="2" t="str">
        <f t="shared" si="146"/>
        <v>FALSE</v>
      </c>
      <c r="V903" s="2" t="b">
        <f t="shared" si="147"/>
        <v>0</v>
      </c>
      <c r="W903" s="2" t="b">
        <f t="shared" si="148"/>
        <v>0</v>
      </c>
      <c r="X903" s="2" t="b">
        <f t="shared" si="149"/>
        <v>1</v>
      </c>
    </row>
    <row r="904" spans="1:24" ht="10.5" customHeight="1">
      <c r="A904" s="2" t="s">
        <v>1274</v>
      </c>
      <c r="B904" s="3">
        <v>45835.442847222221</v>
      </c>
      <c r="C904" s="2" t="s">
        <v>1275</v>
      </c>
      <c r="D904" s="2" t="s">
        <v>153</v>
      </c>
      <c r="E904" s="2" t="s">
        <v>170</v>
      </c>
      <c r="F904" s="4">
        <v>12000</v>
      </c>
      <c r="G904" s="5">
        <v>0.9</v>
      </c>
      <c r="H904" s="6">
        <v>0</v>
      </c>
      <c r="I904" s="7">
        <f t="shared" si="140"/>
        <v>10800</v>
      </c>
      <c r="J904" s="7">
        <f t="shared" si="141"/>
        <v>0</v>
      </c>
      <c r="K904" s="7">
        <f t="shared" si="142"/>
        <v>10800</v>
      </c>
      <c r="L904" s="4">
        <v>50000</v>
      </c>
      <c r="M904" s="7">
        <f t="shared" si="143"/>
        <v>60800</v>
      </c>
      <c r="N904" s="2" t="s">
        <v>28</v>
      </c>
      <c r="O904" t="s">
        <v>22</v>
      </c>
      <c r="P904" s="2" t="s">
        <v>2368</v>
      </c>
      <c r="Q904" s="2">
        <v>4</v>
      </c>
      <c r="R904" s="2" t="s">
        <v>23</v>
      </c>
      <c r="S904" s="2" t="str">
        <f t="shared" si="144"/>
        <v>Rendah</v>
      </c>
      <c r="T904" s="2" t="str">
        <f t="shared" si="145"/>
        <v>FALSE</v>
      </c>
      <c r="U904" s="2" t="str">
        <f t="shared" si="146"/>
        <v>FALSE</v>
      </c>
      <c r="V904" s="2" t="b">
        <f t="shared" si="147"/>
        <v>0</v>
      </c>
      <c r="W904" s="2" t="b">
        <f t="shared" si="148"/>
        <v>0</v>
      </c>
      <c r="X904" s="2" t="b">
        <f t="shared" si="149"/>
        <v>0</v>
      </c>
    </row>
    <row r="905" spans="1:24" ht="10.5" customHeight="1">
      <c r="A905" s="2" t="s">
        <v>1276</v>
      </c>
      <c r="B905" s="3">
        <v>45835.454710648148</v>
      </c>
      <c r="C905" s="2" t="s">
        <v>340</v>
      </c>
      <c r="D905" s="2" t="s">
        <v>185</v>
      </c>
      <c r="E905" s="2" t="s">
        <v>45</v>
      </c>
      <c r="F905" s="4">
        <v>10500</v>
      </c>
      <c r="G905" s="5">
        <v>1.9</v>
      </c>
      <c r="H905" s="6">
        <v>0</v>
      </c>
      <c r="I905" s="7">
        <f t="shared" si="140"/>
        <v>19950</v>
      </c>
      <c r="J905" s="7">
        <f t="shared" si="141"/>
        <v>0</v>
      </c>
      <c r="K905" s="7">
        <f t="shared" si="142"/>
        <v>19950</v>
      </c>
      <c r="L905" s="4">
        <v>87000</v>
      </c>
      <c r="M905" s="7">
        <f t="shared" si="143"/>
        <v>106950</v>
      </c>
      <c r="N905" s="2" t="s">
        <v>28</v>
      </c>
      <c r="O905" t="s">
        <v>115</v>
      </c>
      <c r="P905" s="2" t="s">
        <v>2366</v>
      </c>
      <c r="Q905" s="2">
        <v>2</v>
      </c>
      <c r="R905" s="2" t="s">
        <v>34</v>
      </c>
      <c r="S905" s="2" t="str">
        <f t="shared" si="144"/>
        <v>Standar</v>
      </c>
      <c r="T905" s="2" t="str">
        <f t="shared" si="145"/>
        <v>FALSE</v>
      </c>
      <c r="U905" s="2" t="str">
        <f t="shared" si="146"/>
        <v>FALSE</v>
      </c>
      <c r="V905" s="2" t="b">
        <f t="shared" si="147"/>
        <v>0</v>
      </c>
      <c r="W905" s="2" t="b">
        <f t="shared" si="148"/>
        <v>0</v>
      </c>
      <c r="X905" s="2" t="b">
        <f t="shared" si="149"/>
        <v>0</v>
      </c>
    </row>
    <row r="906" spans="1:24" ht="10.5" customHeight="1">
      <c r="A906" s="2" t="s">
        <v>1277</v>
      </c>
      <c r="B906" s="3">
        <v>45835.464108796303</v>
      </c>
      <c r="C906" s="2" t="s">
        <v>547</v>
      </c>
      <c r="D906" s="2" t="s">
        <v>164</v>
      </c>
      <c r="E906" s="2" t="s">
        <v>182</v>
      </c>
      <c r="F906" s="4">
        <v>11000</v>
      </c>
      <c r="G906" s="5">
        <v>1</v>
      </c>
      <c r="H906" s="6">
        <v>0</v>
      </c>
      <c r="I906" s="7">
        <f t="shared" si="140"/>
        <v>11000</v>
      </c>
      <c r="J906" s="7">
        <f t="shared" si="141"/>
        <v>0</v>
      </c>
      <c r="K906" s="7">
        <f t="shared" si="142"/>
        <v>11000</v>
      </c>
      <c r="L906" s="4">
        <v>49000</v>
      </c>
      <c r="M906" s="7">
        <f t="shared" si="143"/>
        <v>60000</v>
      </c>
      <c r="N906" s="2" t="s">
        <v>21</v>
      </c>
      <c r="O906" t="s">
        <v>22</v>
      </c>
      <c r="P906" s="2" t="s">
        <v>2368</v>
      </c>
      <c r="Q906" s="2">
        <v>3</v>
      </c>
      <c r="R906" s="2" t="s">
        <v>23</v>
      </c>
      <c r="S906" s="2" t="str">
        <f t="shared" si="144"/>
        <v>Rendah</v>
      </c>
      <c r="T906" s="2" t="str">
        <f t="shared" si="145"/>
        <v>FALSE</v>
      </c>
      <c r="U906" s="2" t="str">
        <f t="shared" si="146"/>
        <v>FALSE</v>
      </c>
      <c r="V906" s="2" t="b">
        <f t="shared" si="147"/>
        <v>0</v>
      </c>
      <c r="W906" s="2" t="b">
        <f t="shared" si="148"/>
        <v>0</v>
      </c>
      <c r="X906" s="2" t="b">
        <f t="shared" si="149"/>
        <v>0</v>
      </c>
    </row>
    <row r="907" spans="1:24" ht="10.5" customHeight="1">
      <c r="A907" s="2" t="s">
        <v>1278</v>
      </c>
      <c r="B907" s="3">
        <v>45835.522453703707</v>
      </c>
      <c r="C907" s="2" t="s">
        <v>285</v>
      </c>
      <c r="D907" s="2" t="s">
        <v>286</v>
      </c>
      <c r="E907" s="2" t="s">
        <v>57</v>
      </c>
      <c r="F907" s="4">
        <v>17500</v>
      </c>
      <c r="G907" s="5">
        <v>1.9</v>
      </c>
      <c r="H907" s="6">
        <v>0</v>
      </c>
      <c r="I907" s="7">
        <f t="shared" si="140"/>
        <v>33250</v>
      </c>
      <c r="J907" s="7">
        <f t="shared" si="141"/>
        <v>0</v>
      </c>
      <c r="K907" s="7">
        <f t="shared" si="142"/>
        <v>33250</v>
      </c>
      <c r="L907" s="4">
        <v>79000</v>
      </c>
      <c r="M907" s="7">
        <f t="shared" si="143"/>
        <v>112250</v>
      </c>
      <c r="N907" s="2" t="s">
        <v>28</v>
      </c>
      <c r="O907" t="s">
        <v>22</v>
      </c>
      <c r="P907" s="2" t="s">
        <v>2367</v>
      </c>
      <c r="Q907" s="2">
        <v>3</v>
      </c>
      <c r="R907" s="2" t="s">
        <v>23</v>
      </c>
      <c r="S907" s="2" t="str">
        <f t="shared" si="144"/>
        <v>Standar</v>
      </c>
      <c r="T907" s="2" t="str">
        <f t="shared" si="145"/>
        <v>FALSE</v>
      </c>
      <c r="U907" s="2" t="str">
        <f t="shared" si="146"/>
        <v>FALSE</v>
      </c>
      <c r="V907" s="2" t="b">
        <f t="shared" si="147"/>
        <v>0</v>
      </c>
      <c r="W907" s="2" t="b">
        <f t="shared" si="148"/>
        <v>1</v>
      </c>
      <c r="X907" s="2" t="b">
        <f t="shared" si="149"/>
        <v>0</v>
      </c>
    </row>
    <row r="908" spans="1:24" ht="10.5" customHeight="1">
      <c r="A908" s="2" t="s">
        <v>1279</v>
      </c>
      <c r="B908" s="3">
        <v>45835.601863425924</v>
      </c>
      <c r="C908" s="2" t="s">
        <v>605</v>
      </c>
      <c r="D908" s="2" t="s">
        <v>84</v>
      </c>
      <c r="E908" s="2" t="s">
        <v>80</v>
      </c>
      <c r="F908" s="4">
        <v>15000</v>
      </c>
      <c r="G908" s="5">
        <v>0.9</v>
      </c>
      <c r="H908" s="6">
        <v>0</v>
      </c>
      <c r="I908" s="7">
        <f t="shared" si="140"/>
        <v>13500</v>
      </c>
      <c r="J908" s="7">
        <f t="shared" si="141"/>
        <v>0</v>
      </c>
      <c r="K908" s="7">
        <f t="shared" si="142"/>
        <v>13500</v>
      </c>
      <c r="L908" s="4">
        <v>30000</v>
      </c>
      <c r="M908" s="7">
        <f t="shared" si="143"/>
        <v>43500</v>
      </c>
      <c r="N908" s="2" t="s">
        <v>33</v>
      </c>
      <c r="O908" t="s">
        <v>22</v>
      </c>
      <c r="P908" s="2" t="s">
        <v>2366</v>
      </c>
      <c r="Q908" s="2">
        <v>1</v>
      </c>
      <c r="R908" s="2" t="s">
        <v>23</v>
      </c>
      <c r="S908" s="2" t="str">
        <f t="shared" si="144"/>
        <v>Sangat Rendah</v>
      </c>
      <c r="T908" s="2" t="str">
        <f t="shared" si="145"/>
        <v>FALSE</v>
      </c>
      <c r="U908" s="2" t="str">
        <f t="shared" si="146"/>
        <v>FALSE</v>
      </c>
      <c r="V908" s="2" t="b">
        <f t="shared" si="147"/>
        <v>0</v>
      </c>
      <c r="W908" s="2" t="b">
        <f t="shared" si="148"/>
        <v>0</v>
      </c>
      <c r="X908" s="2" t="b">
        <f t="shared" si="149"/>
        <v>1</v>
      </c>
    </row>
    <row r="909" spans="1:24" ht="10.5" customHeight="1">
      <c r="A909" s="2" t="s">
        <v>1280</v>
      </c>
      <c r="B909" s="3">
        <v>45835.619293981479</v>
      </c>
      <c r="C909" s="2" t="s">
        <v>566</v>
      </c>
      <c r="D909" s="2" t="s">
        <v>52</v>
      </c>
      <c r="E909" s="2" t="s">
        <v>35</v>
      </c>
      <c r="F909" s="4">
        <v>13500</v>
      </c>
      <c r="G909" s="5">
        <v>1</v>
      </c>
      <c r="H909" s="6">
        <v>0</v>
      </c>
      <c r="I909" s="7">
        <f t="shared" si="140"/>
        <v>13500</v>
      </c>
      <c r="J909" s="7">
        <f t="shared" si="141"/>
        <v>0</v>
      </c>
      <c r="K909" s="7">
        <f t="shared" si="142"/>
        <v>13500</v>
      </c>
      <c r="L909" s="4">
        <v>80000</v>
      </c>
      <c r="M909" s="7">
        <f t="shared" si="143"/>
        <v>93500</v>
      </c>
      <c r="N909" s="2" t="s">
        <v>33</v>
      </c>
      <c r="O909" t="s">
        <v>22</v>
      </c>
      <c r="P909" s="2" t="s">
        <v>2367</v>
      </c>
      <c r="Q909" s="2">
        <v>1</v>
      </c>
      <c r="R909" s="2" t="s">
        <v>34</v>
      </c>
      <c r="S909" s="2" t="str">
        <f t="shared" si="144"/>
        <v>Rendah</v>
      </c>
      <c r="T909" s="2" t="str">
        <f t="shared" si="145"/>
        <v>FALSE</v>
      </c>
      <c r="U909" s="2" t="str">
        <f t="shared" si="146"/>
        <v>FALSE</v>
      </c>
      <c r="V909" s="2" t="b">
        <f t="shared" si="147"/>
        <v>0</v>
      </c>
      <c r="W909" s="2" t="b">
        <f t="shared" si="148"/>
        <v>1</v>
      </c>
      <c r="X909" s="2" t="b">
        <f t="shared" si="149"/>
        <v>0</v>
      </c>
    </row>
    <row r="910" spans="1:24" ht="10.5" customHeight="1">
      <c r="A910" s="2" t="s">
        <v>1281</v>
      </c>
      <c r="B910" s="3">
        <v>45835.627199074072</v>
      </c>
      <c r="C910" s="2" t="s">
        <v>706</v>
      </c>
      <c r="D910" s="2" t="s">
        <v>61</v>
      </c>
      <c r="E910" s="2" t="s">
        <v>65</v>
      </c>
      <c r="F910" s="4">
        <v>46000</v>
      </c>
      <c r="G910" s="5">
        <v>1.1000000000000001</v>
      </c>
      <c r="H910" s="6">
        <v>0</v>
      </c>
      <c r="I910" s="7">
        <f t="shared" si="140"/>
        <v>50600.000000000007</v>
      </c>
      <c r="J910" s="7">
        <f t="shared" si="141"/>
        <v>0</v>
      </c>
      <c r="K910" s="7">
        <f t="shared" si="142"/>
        <v>50600.000000000007</v>
      </c>
      <c r="L910" s="4">
        <v>59000</v>
      </c>
      <c r="M910" s="7">
        <f t="shared" si="143"/>
        <v>109600</v>
      </c>
      <c r="N910" s="2" t="s">
        <v>58</v>
      </c>
      <c r="O910" t="s">
        <v>22</v>
      </c>
      <c r="P910" s="2" t="s">
        <v>2370</v>
      </c>
      <c r="Q910" s="2">
        <v>3</v>
      </c>
      <c r="R910" s="2" t="s">
        <v>23</v>
      </c>
      <c r="S910" s="2" t="str">
        <f t="shared" si="144"/>
        <v>Standar</v>
      </c>
      <c r="T910" s="2" t="str">
        <f t="shared" si="145"/>
        <v>FALSE</v>
      </c>
      <c r="U910" s="2" t="str">
        <f t="shared" si="146"/>
        <v>FALSE</v>
      </c>
      <c r="V910" s="2" t="b">
        <f t="shared" si="147"/>
        <v>0</v>
      </c>
      <c r="W910" s="2" t="b">
        <f t="shared" si="148"/>
        <v>0</v>
      </c>
      <c r="X910" s="2" t="b">
        <f t="shared" si="149"/>
        <v>0</v>
      </c>
    </row>
    <row r="911" spans="1:24" ht="10.5" customHeight="1">
      <c r="A911" s="2" t="s">
        <v>1282</v>
      </c>
      <c r="B911" s="3">
        <v>45835.735949074071</v>
      </c>
      <c r="C911" s="2" t="s">
        <v>1283</v>
      </c>
      <c r="D911" s="2" t="s">
        <v>40</v>
      </c>
      <c r="E911" s="2" t="s">
        <v>75</v>
      </c>
      <c r="F911" s="4">
        <v>45000</v>
      </c>
      <c r="G911" s="5">
        <v>0.4</v>
      </c>
      <c r="H911" s="6">
        <v>0</v>
      </c>
      <c r="I911" s="7">
        <f t="shared" si="140"/>
        <v>18000</v>
      </c>
      <c r="J911" s="7">
        <f t="shared" si="141"/>
        <v>0</v>
      </c>
      <c r="K911" s="7">
        <f t="shared" si="142"/>
        <v>18000</v>
      </c>
      <c r="L911" s="4">
        <v>93000</v>
      </c>
      <c r="M911" s="7">
        <f t="shared" si="143"/>
        <v>111000</v>
      </c>
      <c r="N911" s="2" t="s">
        <v>33</v>
      </c>
      <c r="O911" t="s">
        <v>22</v>
      </c>
      <c r="P911" s="2" t="s">
        <v>2367</v>
      </c>
      <c r="Q911" s="2">
        <v>2</v>
      </c>
      <c r="R911" s="2" t="s">
        <v>23</v>
      </c>
      <c r="S911" s="2" t="str">
        <f t="shared" si="144"/>
        <v>Standar</v>
      </c>
      <c r="T911" s="2" t="str">
        <f t="shared" si="145"/>
        <v>FALSE</v>
      </c>
      <c r="U911" s="2" t="str">
        <f t="shared" si="146"/>
        <v>FALSE</v>
      </c>
      <c r="V911" s="2" t="b">
        <f t="shared" si="147"/>
        <v>0</v>
      </c>
      <c r="W911" s="2" t="b">
        <f t="shared" si="148"/>
        <v>1</v>
      </c>
      <c r="X911" s="2" t="b">
        <f t="shared" si="149"/>
        <v>0</v>
      </c>
    </row>
    <row r="912" spans="1:24" ht="10.5" customHeight="1">
      <c r="A912" s="2" t="s">
        <v>1284</v>
      </c>
      <c r="B912" s="3">
        <v>45835.852164351847</v>
      </c>
      <c r="C912" s="2" t="s">
        <v>79</v>
      </c>
      <c r="D912" s="2" t="s">
        <v>74</v>
      </c>
      <c r="E912" s="2" t="s">
        <v>75</v>
      </c>
      <c r="F912" s="4">
        <v>45000</v>
      </c>
      <c r="G912" s="5">
        <v>0.4</v>
      </c>
      <c r="H912" s="6">
        <v>0</v>
      </c>
      <c r="I912" s="7">
        <f t="shared" si="140"/>
        <v>18000</v>
      </c>
      <c r="J912" s="7">
        <f t="shared" si="141"/>
        <v>0</v>
      </c>
      <c r="K912" s="7">
        <f t="shared" si="142"/>
        <v>18000</v>
      </c>
      <c r="L912" s="4">
        <v>74000</v>
      </c>
      <c r="M912" s="7">
        <f t="shared" si="143"/>
        <v>92000</v>
      </c>
      <c r="N912" s="2" t="s">
        <v>21</v>
      </c>
      <c r="O912" t="s">
        <v>69</v>
      </c>
      <c r="P912" s="2" t="s">
        <v>2367</v>
      </c>
      <c r="Q912" s="2">
        <v>2</v>
      </c>
      <c r="R912" s="2" t="s">
        <v>23</v>
      </c>
      <c r="S912" s="2" t="str">
        <f t="shared" si="144"/>
        <v>Rendah</v>
      </c>
      <c r="T912" s="2" t="str">
        <f t="shared" si="145"/>
        <v>FALSE</v>
      </c>
      <c r="U912" s="2" t="str">
        <f t="shared" si="146"/>
        <v>FALSE</v>
      </c>
      <c r="V912" s="2" t="b">
        <f t="shared" si="147"/>
        <v>0</v>
      </c>
      <c r="W912" s="2" t="b">
        <f t="shared" si="148"/>
        <v>1</v>
      </c>
      <c r="X912" s="2" t="b">
        <f t="shared" si="149"/>
        <v>0</v>
      </c>
    </row>
    <row r="913" spans="1:24" ht="10.5" customHeight="1">
      <c r="A913" s="2" t="s">
        <v>1285</v>
      </c>
      <c r="B913" s="3">
        <v>45835.855752314812</v>
      </c>
      <c r="C913" s="2" t="s">
        <v>181</v>
      </c>
      <c r="D913" s="2" t="s">
        <v>98</v>
      </c>
      <c r="E913" s="2" t="s">
        <v>27</v>
      </c>
      <c r="F913" s="4">
        <v>15000</v>
      </c>
      <c r="G913" s="5">
        <v>0.8</v>
      </c>
      <c r="H913" s="6">
        <v>0</v>
      </c>
      <c r="I913" s="7">
        <f t="shared" si="140"/>
        <v>12000</v>
      </c>
      <c r="J913" s="7">
        <f t="shared" si="141"/>
        <v>0</v>
      </c>
      <c r="K913" s="7">
        <f t="shared" si="142"/>
        <v>12000</v>
      </c>
      <c r="L913" s="4">
        <v>97000</v>
      </c>
      <c r="M913" s="7">
        <f t="shared" si="143"/>
        <v>109000</v>
      </c>
      <c r="N913" s="2" t="s">
        <v>33</v>
      </c>
      <c r="O913" t="s">
        <v>115</v>
      </c>
      <c r="P913" s="2" t="s">
        <v>2365</v>
      </c>
      <c r="Q913" s="2">
        <v>5</v>
      </c>
      <c r="R913" s="2" t="s">
        <v>23</v>
      </c>
      <c r="S913" s="2" t="str">
        <f t="shared" si="144"/>
        <v>Standar</v>
      </c>
      <c r="T913" s="2" t="str">
        <f t="shared" si="145"/>
        <v>FALSE</v>
      </c>
      <c r="U913" s="2" t="str">
        <f t="shared" si="146"/>
        <v>FALSE</v>
      </c>
      <c r="V913" s="2" t="b">
        <f t="shared" si="147"/>
        <v>0</v>
      </c>
      <c r="W913" s="2" t="b">
        <f t="shared" si="148"/>
        <v>0</v>
      </c>
      <c r="X913" s="2" t="b">
        <f t="shared" si="149"/>
        <v>0</v>
      </c>
    </row>
    <row r="914" spans="1:24" ht="10.5" customHeight="1">
      <c r="A914" s="2" t="s">
        <v>1285</v>
      </c>
      <c r="B914" s="3">
        <v>45835.855752314812</v>
      </c>
      <c r="C914" s="2" t="s">
        <v>181</v>
      </c>
      <c r="D914" s="2" t="s">
        <v>98</v>
      </c>
      <c r="E914" s="2" t="s">
        <v>75</v>
      </c>
      <c r="F914" s="4">
        <v>45000</v>
      </c>
      <c r="G914" s="5">
        <v>1.4</v>
      </c>
      <c r="H914" s="6">
        <v>0</v>
      </c>
      <c r="I914" s="7">
        <f t="shared" si="140"/>
        <v>62999.999999999993</v>
      </c>
      <c r="J914" s="7">
        <f t="shared" si="141"/>
        <v>0</v>
      </c>
      <c r="K914" s="7">
        <f t="shared" si="142"/>
        <v>62999.999999999993</v>
      </c>
      <c r="L914" s="4">
        <v>0</v>
      </c>
      <c r="M914" s="7">
        <f t="shared" si="143"/>
        <v>62999.999999999993</v>
      </c>
      <c r="N914" s="2" t="s">
        <v>33</v>
      </c>
      <c r="O914" t="s">
        <v>115</v>
      </c>
      <c r="P914" s="2" t="s">
        <v>2365</v>
      </c>
      <c r="Q914" s="2">
        <v>5</v>
      </c>
      <c r="R914" s="2" t="s">
        <v>23</v>
      </c>
      <c r="S914" s="2" t="str">
        <f t="shared" si="144"/>
        <v>Rendah</v>
      </c>
      <c r="T914" s="2" t="str">
        <f t="shared" si="145"/>
        <v>FALSE</v>
      </c>
      <c r="U914" s="2" t="str">
        <f t="shared" si="146"/>
        <v>FALSE</v>
      </c>
      <c r="V914" s="2" t="b">
        <f t="shared" si="147"/>
        <v>0</v>
      </c>
      <c r="W914" s="2" t="b">
        <f t="shared" si="148"/>
        <v>0</v>
      </c>
      <c r="X914" s="2" t="b">
        <f t="shared" si="149"/>
        <v>0</v>
      </c>
    </row>
    <row r="915" spans="1:24" ht="10.5" customHeight="1">
      <c r="A915" s="2" t="s">
        <v>1286</v>
      </c>
      <c r="B915" s="3">
        <v>45835.874374999999</v>
      </c>
      <c r="C915" s="2" t="s">
        <v>492</v>
      </c>
      <c r="D915" s="2" t="s">
        <v>98</v>
      </c>
      <c r="E915" s="2" t="s">
        <v>170</v>
      </c>
      <c r="F915" s="4">
        <v>12000</v>
      </c>
      <c r="G915" s="5">
        <v>0.7</v>
      </c>
      <c r="H915" s="6">
        <v>0</v>
      </c>
      <c r="I915" s="7">
        <f t="shared" si="140"/>
        <v>8400</v>
      </c>
      <c r="J915" s="7">
        <f t="shared" si="141"/>
        <v>0</v>
      </c>
      <c r="K915" s="7">
        <f t="shared" si="142"/>
        <v>8400</v>
      </c>
      <c r="L915" s="4">
        <v>97000</v>
      </c>
      <c r="M915" s="7">
        <f t="shared" si="143"/>
        <v>105400</v>
      </c>
      <c r="N915" s="2" t="s">
        <v>28</v>
      </c>
      <c r="O915" t="s">
        <v>22</v>
      </c>
      <c r="P915" s="2" t="s">
        <v>2365</v>
      </c>
      <c r="Q915" s="2">
        <v>2</v>
      </c>
      <c r="R915" s="2" t="s">
        <v>23</v>
      </c>
      <c r="S915" s="2" t="str">
        <f t="shared" si="144"/>
        <v>Standar</v>
      </c>
      <c r="T915" s="2" t="str">
        <f t="shared" si="145"/>
        <v>FALSE</v>
      </c>
      <c r="U915" s="2" t="str">
        <f t="shared" si="146"/>
        <v>FALSE</v>
      </c>
      <c r="V915" s="2" t="b">
        <f t="shared" si="147"/>
        <v>0</v>
      </c>
      <c r="W915" s="2" t="b">
        <f t="shared" si="148"/>
        <v>0</v>
      </c>
      <c r="X915" s="2" t="b">
        <f t="shared" si="149"/>
        <v>0</v>
      </c>
    </row>
    <row r="916" spans="1:24" ht="10.5" customHeight="1">
      <c r="A916" s="2" t="s">
        <v>1287</v>
      </c>
      <c r="B916" s="3">
        <v>45836.07744212963</v>
      </c>
      <c r="C916" s="2" t="s">
        <v>181</v>
      </c>
      <c r="D916" s="2" t="s">
        <v>98</v>
      </c>
      <c r="E916" s="2" t="s">
        <v>102</v>
      </c>
      <c r="F916" s="4">
        <v>55000</v>
      </c>
      <c r="G916" s="5">
        <v>1</v>
      </c>
      <c r="H916" s="6">
        <v>0</v>
      </c>
      <c r="I916" s="7">
        <f t="shared" si="140"/>
        <v>55000</v>
      </c>
      <c r="J916" s="7">
        <f t="shared" si="141"/>
        <v>0</v>
      </c>
      <c r="K916" s="7">
        <f t="shared" si="142"/>
        <v>55000</v>
      </c>
      <c r="L916" s="4">
        <v>97000</v>
      </c>
      <c r="M916" s="7">
        <f t="shared" si="143"/>
        <v>152000</v>
      </c>
      <c r="N916" s="2" t="s">
        <v>21</v>
      </c>
      <c r="O916" t="s">
        <v>69</v>
      </c>
      <c r="P916" s="2" t="s">
        <v>2365</v>
      </c>
      <c r="Q916" s="2">
        <v>2</v>
      </c>
      <c r="R916" s="2" t="s">
        <v>23</v>
      </c>
      <c r="S916" s="2" t="str">
        <f t="shared" si="144"/>
        <v>Tinggi</v>
      </c>
      <c r="T916" s="2" t="str">
        <f t="shared" si="145"/>
        <v>FALSE</v>
      </c>
      <c r="U916" s="2" t="str">
        <f t="shared" si="146"/>
        <v>TRUE</v>
      </c>
      <c r="V916" s="2" t="b">
        <f t="shared" si="147"/>
        <v>0</v>
      </c>
      <c r="W916" s="2" t="b">
        <f t="shared" si="148"/>
        <v>0</v>
      </c>
      <c r="X916" s="2" t="b">
        <f t="shared" si="149"/>
        <v>0</v>
      </c>
    </row>
    <row r="917" spans="1:24" ht="10.5" customHeight="1">
      <c r="A917" s="2" t="s">
        <v>1287</v>
      </c>
      <c r="B917" s="3">
        <v>45836.07744212963</v>
      </c>
      <c r="C917" s="2" t="s">
        <v>181</v>
      </c>
      <c r="D917" s="2" t="s">
        <v>98</v>
      </c>
      <c r="E917" s="2" t="s">
        <v>27</v>
      </c>
      <c r="F917" s="4">
        <v>15000</v>
      </c>
      <c r="G917" s="5">
        <v>1.1000000000000001</v>
      </c>
      <c r="H917" s="6">
        <v>0</v>
      </c>
      <c r="I917" s="7">
        <f t="shared" si="140"/>
        <v>16500</v>
      </c>
      <c r="J917" s="7">
        <f t="shared" si="141"/>
        <v>0</v>
      </c>
      <c r="K917" s="7">
        <f t="shared" si="142"/>
        <v>16500</v>
      </c>
      <c r="L917" s="4">
        <v>0</v>
      </c>
      <c r="M917" s="7">
        <f t="shared" si="143"/>
        <v>16500</v>
      </c>
      <c r="N917" s="2" t="s">
        <v>21</v>
      </c>
      <c r="O917" t="s">
        <v>69</v>
      </c>
      <c r="P917" s="2" t="s">
        <v>2365</v>
      </c>
      <c r="Q917" s="2">
        <v>2</v>
      </c>
      <c r="R917" s="2" t="s">
        <v>23</v>
      </c>
      <c r="S917" s="2" t="str">
        <f t="shared" si="144"/>
        <v>Sangat Rendah</v>
      </c>
      <c r="T917" s="2" t="str">
        <f t="shared" si="145"/>
        <v>FALSE</v>
      </c>
      <c r="U917" s="2" t="str">
        <f t="shared" si="146"/>
        <v>FALSE</v>
      </c>
      <c r="V917" s="2" t="b">
        <f t="shared" si="147"/>
        <v>0</v>
      </c>
      <c r="W917" s="2" t="b">
        <f t="shared" si="148"/>
        <v>0</v>
      </c>
      <c r="X917" s="2" t="b">
        <f t="shared" si="149"/>
        <v>1</v>
      </c>
    </row>
    <row r="918" spans="1:24" ht="10.5" customHeight="1">
      <c r="A918" s="2" t="s">
        <v>1288</v>
      </c>
      <c r="B918" s="3">
        <v>45836.230196759258</v>
      </c>
      <c r="C918" s="2" t="s">
        <v>628</v>
      </c>
      <c r="D918" s="2" t="s">
        <v>185</v>
      </c>
      <c r="E918" s="2" t="s">
        <v>27</v>
      </c>
      <c r="F918" s="4">
        <v>15000</v>
      </c>
      <c r="G918" s="5">
        <v>0.4</v>
      </c>
      <c r="H918" s="6">
        <v>0</v>
      </c>
      <c r="I918" s="7">
        <f t="shared" si="140"/>
        <v>6000</v>
      </c>
      <c r="J918" s="7">
        <f t="shared" si="141"/>
        <v>0</v>
      </c>
      <c r="K918" s="7">
        <f t="shared" si="142"/>
        <v>6000</v>
      </c>
      <c r="L918" s="4">
        <v>87000</v>
      </c>
      <c r="M918" s="7">
        <f t="shared" si="143"/>
        <v>93000</v>
      </c>
      <c r="N918" s="2" t="s">
        <v>21</v>
      </c>
      <c r="O918" t="s">
        <v>115</v>
      </c>
      <c r="P918" s="2" t="s">
        <v>2368</v>
      </c>
      <c r="Q918" s="2">
        <v>3</v>
      </c>
      <c r="R918" s="2" t="s">
        <v>34</v>
      </c>
      <c r="S918" s="2" t="str">
        <f t="shared" si="144"/>
        <v>Rendah</v>
      </c>
      <c r="T918" s="2" t="str">
        <f t="shared" si="145"/>
        <v>FALSE</v>
      </c>
      <c r="U918" s="2" t="str">
        <f t="shared" si="146"/>
        <v>FALSE</v>
      </c>
      <c r="V918" s="2" t="b">
        <f t="shared" si="147"/>
        <v>0</v>
      </c>
      <c r="W918" s="2" t="b">
        <f t="shared" si="148"/>
        <v>0</v>
      </c>
      <c r="X918" s="2" t="b">
        <f t="shared" si="149"/>
        <v>0</v>
      </c>
    </row>
    <row r="919" spans="1:24" ht="10.5" customHeight="1">
      <c r="A919" s="2" t="s">
        <v>1289</v>
      </c>
      <c r="B919" s="3">
        <v>45836.390486111108</v>
      </c>
      <c r="C919" s="2" t="s">
        <v>1290</v>
      </c>
      <c r="D919" s="2" t="s">
        <v>252</v>
      </c>
      <c r="E919" s="2" t="s">
        <v>182</v>
      </c>
      <c r="F919" s="4">
        <v>11000</v>
      </c>
      <c r="G919" s="5">
        <v>0.7</v>
      </c>
      <c r="H919" s="6">
        <v>0</v>
      </c>
      <c r="I919" s="7">
        <f t="shared" si="140"/>
        <v>7699.9999999999991</v>
      </c>
      <c r="J919" s="7">
        <f t="shared" si="141"/>
        <v>0</v>
      </c>
      <c r="K919" s="7">
        <f t="shared" si="142"/>
        <v>7699.9999999999991</v>
      </c>
      <c r="L919" s="4">
        <v>18000</v>
      </c>
      <c r="M919" s="7">
        <f t="shared" si="143"/>
        <v>25700</v>
      </c>
      <c r="N919" s="2" t="s">
        <v>58</v>
      </c>
      <c r="O919" t="s">
        <v>22</v>
      </c>
      <c r="P919" s="2" t="s">
        <v>2366</v>
      </c>
      <c r="Q919" s="2">
        <v>3</v>
      </c>
      <c r="R919" s="2" t="s">
        <v>23</v>
      </c>
      <c r="S919" s="2" t="str">
        <f t="shared" si="144"/>
        <v>Sangat Rendah</v>
      </c>
      <c r="T919" s="2" t="str">
        <f t="shared" si="145"/>
        <v>FALSE</v>
      </c>
      <c r="U919" s="2" t="str">
        <f t="shared" si="146"/>
        <v>FALSE</v>
      </c>
      <c r="V919" s="2" t="b">
        <f t="shared" si="147"/>
        <v>0</v>
      </c>
      <c r="W919" s="2" t="b">
        <f t="shared" si="148"/>
        <v>0</v>
      </c>
      <c r="X919" s="2" t="b">
        <f t="shared" si="149"/>
        <v>1</v>
      </c>
    </row>
    <row r="920" spans="1:24" ht="10.5" customHeight="1">
      <c r="A920" s="2" t="s">
        <v>1291</v>
      </c>
      <c r="B920" s="3">
        <v>45836.442708333343</v>
      </c>
      <c r="C920" s="2" t="s">
        <v>147</v>
      </c>
      <c r="D920" s="2" t="s">
        <v>19</v>
      </c>
      <c r="E920" s="2" t="s">
        <v>65</v>
      </c>
      <c r="F920" s="4">
        <v>46000</v>
      </c>
      <c r="G920" s="5">
        <v>0.6</v>
      </c>
      <c r="H920" s="6">
        <v>0</v>
      </c>
      <c r="I920" s="7">
        <f t="shared" si="140"/>
        <v>27600</v>
      </c>
      <c r="J920" s="7">
        <f t="shared" si="141"/>
        <v>0</v>
      </c>
      <c r="K920" s="7">
        <f t="shared" si="142"/>
        <v>27600</v>
      </c>
      <c r="L920" s="4">
        <v>15000</v>
      </c>
      <c r="M920" s="7">
        <f t="shared" si="143"/>
        <v>42600</v>
      </c>
      <c r="N920" s="2" t="s">
        <v>21</v>
      </c>
      <c r="O920" t="s">
        <v>22</v>
      </c>
      <c r="P920" s="2" t="s">
        <v>2368</v>
      </c>
      <c r="Q920" s="2">
        <v>1</v>
      </c>
      <c r="R920" s="2" t="s">
        <v>23</v>
      </c>
      <c r="S920" s="2" t="str">
        <f t="shared" si="144"/>
        <v>Sangat Rendah</v>
      </c>
      <c r="T920" s="2" t="str">
        <f t="shared" si="145"/>
        <v>FALSE</v>
      </c>
      <c r="U920" s="2" t="str">
        <f t="shared" si="146"/>
        <v>FALSE</v>
      </c>
      <c r="V920" s="2" t="b">
        <f t="shared" si="147"/>
        <v>0</v>
      </c>
      <c r="W920" s="2" t="b">
        <f t="shared" si="148"/>
        <v>0</v>
      </c>
      <c r="X920" s="2" t="b">
        <f t="shared" si="149"/>
        <v>1</v>
      </c>
    </row>
    <row r="921" spans="1:24" ht="10.5" customHeight="1">
      <c r="A921" s="2" t="s">
        <v>1292</v>
      </c>
      <c r="B921" s="3">
        <v>45836.450023148151</v>
      </c>
      <c r="C921" s="2" t="s">
        <v>155</v>
      </c>
      <c r="D921" s="2" t="s">
        <v>133</v>
      </c>
      <c r="E921" s="2" t="s">
        <v>102</v>
      </c>
      <c r="F921" s="4">
        <v>55000</v>
      </c>
      <c r="G921" s="5">
        <v>0.2</v>
      </c>
      <c r="H921" s="6">
        <v>0</v>
      </c>
      <c r="I921" s="7">
        <f t="shared" si="140"/>
        <v>11000</v>
      </c>
      <c r="J921" s="7">
        <f t="shared" si="141"/>
        <v>0</v>
      </c>
      <c r="K921" s="7">
        <f t="shared" si="142"/>
        <v>11000</v>
      </c>
      <c r="L921" s="4">
        <v>50000</v>
      </c>
      <c r="M921" s="7">
        <f t="shared" si="143"/>
        <v>61000</v>
      </c>
      <c r="N921" s="2" t="s">
        <v>21</v>
      </c>
      <c r="O921" t="s">
        <v>22</v>
      </c>
      <c r="P921" s="2" t="s">
        <v>2367</v>
      </c>
      <c r="Q921" s="2">
        <v>1</v>
      </c>
      <c r="R921" s="2" t="s">
        <v>23</v>
      </c>
      <c r="S921" s="2" t="str">
        <f t="shared" si="144"/>
        <v>Rendah</v>
      </c>
      <c r="T921" s="2" t="str">
        <f t="shared" si="145"/>
        <v>FALSE</v>
      </c>
      <c r="U921" s="2" t="str">
        <f t="shared" si="146"/>
        <v>FALSE</v>
      </c>
      <c r="V921" s="2" t="b">
        <f t="shared" si="147"/>
        <v>0</v>
      </c>
      <c r="W921" s="2" t="b">
        <f t="shared" si="148"/>
        <v>1</v>
      </c>
      <c r="X921" s="2" t="b">
        <f t="shared" si="149"/>
        <v>0</v>
      </c>
    </row>
    <row r="922" spans="1:24" ht="10.5" customHeight="1">
      <c r="A922" s="2" t="s">
        <v>1293</v>
      </c>
      <c r="B922" s="3">
        <v>45836.454942129632</v>
      </c>
      <c r="C922" s="2" t="s">
        <v>181</v>
      </c>
      <c r="D922" s="2" t="s">
        <v>98</v>
      </c>
      <c r="E922" s="2" t="s">
        <v>99</v>
      </c>
      <c r="F922" s="4">
        <v>10000</v>
      </c>
      <c r="G922" s="5">
        <v>1.2</v>
      </c>
      <c r="H922" s="6">
        <v>0</v>
      </c>
      <c r="I922" s="7">
        <f t="shared" si="140"/>
        <v>12000</v>
      </c>
      <c r="J922" s="7">
        <f t="shared" si="141"/>
        <v>0</v>
      </c>
      <c r="K922" s="7">
        <f t="shared" si="142"/>
        <v>12000</v>
      </c>
      <c r="L922" s="4">
        <v>97000</v>
      </c>
      <c r="M922" s="7">
        <f t="shared" si="143"/>
        <v>109000</v>
      </c>
      <c r="N922" s="2" t="s">
        <v>21</v>
      </c>
      <c r="O922" t="s">
        <v>22</v>
      </c>
      <c r="P922" s="2" t="s">
        <v>2368</v>
      </c>
      <c r="Q922" s="2">
        <v>5</v>
      </c>
      <c r="R922" s="2" t="s">
        <v>23</v>
      </c>
      <c r="S922" s="2" t="str">
        <f t="shared" si="144"/>
        <v>Standar</v>
      </c>
      <c r="T922" s="2" t="str">
        <f t="shared" si="145"/>
        <v>FALSE</v>
      </c>
      <c r="U922" s="2" t="str">
        <f t="shared" si="146"/>
        <v>FALSE</v>
      </c>
      <c r="V922" s="2" t="b">
        <f t="shared" si="147"/>
        <v>0</v>
      </c>
      <c r="W922" s="2" t="b">
        <f t="shared" si="148"/>
        <v>0</v>
      </c>
      <c r="X922" s="2" t="b">
        <f t="shared" si="149"/>
        <v>0</v>
      </c>
    </row>
    <row r="923" spans="1:24" ht="10.5" customHeight="1">
      <c r="A923" s="2" t="s">
        <v>1294</v>
      </c>
      <c r="B923" s="3">
        <v>45836.460173611107</v>
      </c>
      <c r="C923" s="2" t="s">
        <v>187</v>
      </c>
      <c r="D923" s="2" t="s">
        <v>111</v>
      </c>
      <c r="E923" s="2" t="s">
        <v>143</v>
      </c>
      <c r="F923" s="4">
        <v>10000</v>
      </c>
      <c r="G923" s="5">
        <v>0.7</v>
      </c>
      <c r="H923" s="6">
        <v>0</v>
      </c>
      <c r="I923" s="7">
        <f t="shared" si="140"/>
        <v>7000</v>
      </c>
      <c r="J923" s="7">
        <f t="shared" si="141"/>
        <v>0</v>
      </c>
      <c r="K923" s="7">
        <f t="shared" si="142"/>
        <v>7000</v>
      </c>
      <c r="L923" s="4">
        <v>0</v>
      </c>
      <c r="M923" s="7">
        <f t="shared" si="143"/>
        <v>7000</v>
      </c>
      <c r="N923" s="2" t="s">
        <v>21</v>
      </c>
      <c r="O923" t="s">
        <v>22</v>
      </c>
      <c r="P923" s="2" t="s">
        <v>2365</v>
      </c>
      <c r="Q923" s="2">
        <v>2</v>
      </c>
      <c r="R923" s="2" t="s">
        <v>34</v>
      </c>
      <c r="S923" s="2" t="str">
        <f t="shared" si="144"/>
        <v>Sangat Rendah</v>
      </c>
      <c r="T923" s="2" t="str">
        <f t="shared" si="145"/>
        <v>FALSE</v>
      </c>
      <c r="U923" s="2" t="str">
        <f t="shared" si="146"/>
        <v>TRUE</v>
      </c>
      <c r="V923" s="2" t="b">
        <f t="shared" si="147"/>
        <v>0</v>
      </c>
      <c r="W923" s="2" t="b">
        <f t="shared" si="148"/>
        <v>0</v>
      </c>
      <c r="X923" s="2" t="b">
        <f t="shared" si="149"/>
        <v>0</v>
      </c>
    </row>
    <row r="924" spans="1:24" ht="10.5" customHeight="1">
      <c r="A924" s="2" t="s">
        <v>1295</v>
      </c>
      <c r="B924" s="3">
        <v>45836.485520833332</v>
      </c>
      <c r="C924" s="2" t="s">
        <v>632</v>
      </c>
      <c r="D924" s="2" t="s">
        <v>150</v>
      </c>
      <c r="E924" s="2" t="s">
        <v>95</v>
      </c>
      <c r="F924" s="4">
        <v>9500</v>
      </c>
      <c r="G924" s="5">
        <v>1</v>
      </c>
      <c r="H924" s="6">
        <v>0</v>
      </c>
      <c r="I924" s="7">
        <f t="shared" si="140"/>
        <v>9500</v>
      </c>
      <c r="J924" s="7">
        <f t="shared" si="141"/>
        <v>0</v>
      </c>
      <c r="K924" s="7">
        <f t="shared" si="142"/>
        <v>9500</v>
      </c>
      <c r="L924" s="4">
        <v>68000</v>
      </c>
      <c r="M924" s="7">
        <f t="shared" si="143"/>
        <v>77500</v>
      </c>
      <c r="N924" s="2" t="s">
        <v>58</v>
      </c>
      <c r="O924" t="s">
        <v>22</v>
      </c>
      <c r="P924" s="2" t="s">
        <v>2366</v>
      </c>
      <c r="Q924" s="2">
        <v>2</v>
      </c>
      <c r="R924" s="2" t="s">
        <v>23</v>
      </c>
      <c r="S924" s="2" t="str">
        <f t="shared" si="144"/>
        <v>Rendah</v>
      </c>
      <c r="T924" s="2" t="str">
        <f t="shared" si="145"/>
        <v>FALSE</v>
      </c>
      <c r="U924" s="2" t="str">
        <f t="shared" si="146"/>
        <v>FALSE</v>
      </c>
      <c r="V924" s="2" t="b">
        <f t="shared" si="147"/>
        <v>0</v>
      </c>
      <c r="W924" s="2" t="b">
        <f t="shared" si="148"/>
        <v>0</v>
      </c>
      <c r="X924" s="2" t="b">
        <f t="shared" si="149"/>
        <v>0</v>
      </c>
    </row>
    <row r="925" spans="1:24" ht="10.5" customHeight="1">
      <c r="A925" s="2" t="s">
        <v>1296</v>
      </c>
      <c r="B925" s="3">
        <v>45836.502511574072</v>
      </c>
      <c r="C925" s="2" t="s">
        <v>436</v>
      </c>
      <c r="D925" s="2" t="s">
        <v>286</v>
      </c>
      <c r="E925" s="2" t="s">
        <v>170</v>
      </c>
      <c r="F925" s="4">
        <v>12000</v>
      </c>
      <c r="G925" s="5">
        <v>1.1000000000000001</v>
      </c>
      <c r="H925" s="6">
        <v>0</v>
      </c>
      <c r="I925" s="7">
        <f t="shared" si="140"/>
        <v>13200.000000000002</v>
      </c>
      <c r="J925" s="7">
        <f t="shared" si="141"/>
        <v>0</v>
      </c>
      <c r="K925" s="7">
        <f t="shared" si="142"/>
        <v>13200.000000000002</v>
      </c>
      <c r="L925" s="4">
        <v>79000</v>
      </c>
      <c r="M925" s="7">
        <f t="shared" si="143"/>
        <v>92200</v>
      </c>
      <c r="N925" s="2" t="s">
        <v>21</v>
      </c>
      <c r="O925" t="s">
        <v>22</v>
      </c>
      <c r="P925" s="2" t="s">
        <v>2366</v>
      </c>
      <c r="Q925" s="2">
        <v>4</v>
      </c>
      <c r="R925" s="2" t="s">
        <v>34</v>
      </c>
      <c r="S925" s="2" t="str">
        <f t="shared" si="144"/>
        <v>Rendah</v>
      </c>
      <c r="T925" s="2" t="str">
        <f t="shared" si="145"/>
        <v>FALSE</v>
      </c>
      <c r="U925" s="2" t="str">
        <f t="shared" si="146"/>
        <v>FALSE</v>
      </c>
      <c r="V925" s="2" t="b">
        <f t="shared" si="147"/>
        <v>0</v>
      </c>
      <c r="W925" s="2" t="b">
        <f t="shared" si="148"/>
        <v>0</v>
      </c>
      <c r="X925" s="2" t="b">
        <f t="shared" si="149"/>
        <v>0</v>
      </c>
    </row>
    <row r="926" spans="1:24" ht="10.5" customHeight="1">
      <c r="A926" s="2" t="s">
        <v>1297</v>
      </c>
      <c r="B926" s="3">
        <v>45836.518217592587</v>
      </c>
      <c r="C926" s="2" t="s">
        <v>489</v>
      </c>
      <c r="D926" s="2" t="s">
        <v>123</v>
      </c>
      <c r="E926" s="2" t="s">
        <v>99</v>
      </c>
      <c r="F926" s="4">
        <v>10000</v>
      </c>
      <c r="G926" s="5">
        <v>0.8</v>
      </c>
      <c r="H926" s="6">
        <v>0</v>
      </c>
      <c r="I926" s="7">
        <f t="shared" si="140"/>
        <v>8000</v>
      </c>
      <c r="J926" s="7">
        <f t="shared" si="141"/>
        <v>0</v>
      </c>
      <c r="K926" s="7">
        <f t="shared" si="142"/>
        <v>8000</v>
      </c>
      <c r="L926" s="4">
        <v>59000</v>
      </c>
      <c r="M926" s="7">
        <f t="shared" si="143"/>
        <v>67000</v>
      </c>
      <c r="N926" s="2" t="s">
        <v>21</v>
      </c>
      <c r="O926" t="s">
        <v>22</v>
      </c>
      <c r="P926" s="2" t="s">
        <v>2368</v>
      </c>
      <c r="Q926" s="2">
        <v>2</v>
      </c>
      <c r="R926" s="2" t="s">
        <v>23</v>
      </c>
      <c r="S926" s="2" t="str">
        <f t="shared" si="144"/>
        <v>Rendah</v>
      </c>
      <c r="T926" s="2" t="str">
        <f t="shared" si="145"/>
        <v>FALSE</v>
      </c>
      <c r="U926" s="2" t="str">
        <f t="shared" si="146"/>
        <v>FALSE</v>
      </c>
      <c r="V926" s="2" t="b">
        <f t="shared" si="147"/>
        <v>0</v>
      </c>
      <c r="W926" s="2" t="b">
        <f t="shared" si="148"/>
        <v>0</v>
      </c>
      <c r="X926" s="2" t="b">
        <f t="shared" si="149"/>
        <v>0</v>
      </c>
    </row>
    <row r="927" spans="1:24" ht="10.5" customHeight="1">
      <c r="A927" s="2" t="s">
        <v>1298</v>
      </c>
      <c r="B927" s="3">
        <v>45836.565289351849</v>
      </c>
      <c r="C927" s="2" t="s">
        <v>836</v>
      </c>
      <c r="D927" s="2" t="s">
        <v>98</v>
      </c>
      <c r="E927" s="2" t="s">
        <v>20</v>
      </c>
      <c r="F927" s="4">
        <v>10000</v>
      </c>
      <c r="G927" s="5">
        <v>1.5</v>
      </c>
      <c r="H927" s="6">
        <v>0</v>
      </c>
      <c r="I927" s="7">
        <f t="shared" si="140"/>
        <v>15000</v>
      </c>
      <c r="J927" s="7">
        <f t="shared" si="141"/>
        <v>0</v>
      </c>
      <c r="K927" s="7">
        <f t="shared" si="142"/>
        <v>15000</v>
      </c>
      <c r="L927" s="4">
        <v>97000</v>
      </c>
      <c r="M927" s="7">
        <f t="shared" si="143"/>
        <v>112000</v>
      </c>
      <c r="N927" s="2" t="s">
        <v>28</v>
      </c>
      <c r="O927" t="s">
        <v>22</v>
      </c>
      <c r="P927" s="2" t="s">
        <v>2370</v>
      </c>
      <c r="Q927" s="2">
        <v>2</v>
      </c>
      <c r="R927" s="2" t="s">
        <v>23</v>
      </c>
      <c r="S927" s="2" t="str">
        <f t="shared" si="144"/>
        <v>Standar</v>
      </c>
      <c r="T927" s="2" t="str">
        <f t="shared" si="145"/>
        <v>FALSE</v>
      </c>
      <c r="U927" s="2" t="str">
        <f t="shared" si="146"/>
        <v>FALSE</v>
      </c>
      <c r="V927" s="2" t="b">
        <f t="shared" si="147"/>
        <v>0</v>
      </c>
      <c r="W927" s="2" t="b">
        <f t="shared" si="148"/>
        <v>0</v>
      </c>
      <c r="X927" s="2" t="b">
        <f t="shared" si="149"/>
        <v>0</v>
      </c>
    </row>
    <row r="928" spans="1:24" ht="10.5" customHeight="1">
      <c r="A928" s="2" t="s">
        <v>1299</v>
      </c>
      <c r="B928" s="3">
        <v>45836.583703703713</v>
      </c>
      <c r="C928" s="2" t="s">
        <v>18</v>
      </c>
      <c r="D928" s="2" t="s">
        <v>19</v>
      </c>
      <c r="E928" s="2" t="s">
        <v>80</v>
      </c>
      <c r="F928" s="4">
        <v>15000</v>
      </c>
      <c r="G928" s="5">
        <v>1</v>
      </c>
      <c r="H928" s="6">
        <v>0</v>
      </c>
      <c r="I928" s="7">
        <f t="shared" si="140"/>
        <v>15000</v>
      </c>
      <c r="J928" s="7">
        <f t="shared" si="141"/>
        <v>0</v>
      </c>
      <c r="K928" s="7">
        <f t="shared" si="142"/>
        <v>15000</v>
      </c>
      <c r="L928" s="4">
        <v>15000</v>
      </c>
      <c r="M928" s="7">
        <f t="shared" si="143"/>
        <v>30000</v>
      </c>
      <c r="N928" s="2" t="s">
        <v>58</v>
      </c>
      <c r="O928" t="s">
        <v>22</v>
      </c>
      <c r="P928" s="2" t="s">
        <v>2370</v>
      </c>
      <c r="Q928" s="2">
        <v>5</v>
      </c>
      <c r="R928" s="2" t="s">
        <v>23</v>
      </c>
      <c r="S928" s="2" t="str">
        <f t="shared" si="144"/>
        <v>Sangat Rendah</v>
      </c>
      <c r="T928" s="2" t="str">
        <f t="shared" si="145"/>
        <v>FALSE</v>
      </c>
      <c r="U928" s="2" t="str">
        <f t="shared" si="146"/>
        <v>FALSE</v>
      </c>
      <c r="V928" s="2" t="b">
        <f t="shared" si="147"/>
        <v>0</v>
      </c>
      <c r="W928" s="2" t="b">
        <f t="shared" si="148"/>
        <v>0</v>
      </c>
      <c r="X928" s="2" t="b">
        <f t="shared" si="149"/>
        <v>1</v>
      </c>
    </row>
    <row r="929" spans="1:24" ht="10.5" customHeight="1">
      <c r="A929" s="2" t="s">
        <v>1300</v>
      </c>
      <c r="B929" s="3">
        <v>45836.596238425933</v>
      </c>
      <c r="C929" s="2" t="s">
        <v>1301</v>
      </c>
      <c r="D929" s="2" t="s">
        <v>44</v>
      </c>
      <c r="E929" s="2" t="s">
        <v>45</v>
      </c>
      <c r="F929" s="4">
        <v>10500</v>
      </c>
      <c r="G929" s="5">
        <v>2.8</v>
      </c>
      <c r="H929" s="6">
        <v>0</v>
      </c>
      <c r="I929" s="7">
        <f t="shared" si="140"/>
        <v>29399.999999999996</v>
      </c>
      <c r="J929" s="7">
        <f t="shared" si="141"/>
        <v>0</v>
      </c>
      <c r="K929" s="7">
        <f t="shared" si="142"/>
        <v>29399.999999999996</v>
      </c>
      <c r="L929" s="4">
        <v>43000</v>
      </c>
      <c r="M929" s="7">
        <f t="shared" si="143"/>
        <v>72400</v>
      </c>
      <c r="N929" s="2" t="s">
        <v>33</v>
      </c>
      <c r="O929" t="s">
        <v>22</v>
      </c>
      <c r="P929" s="2" t="s">
        <v>2366</v>
      </c>
      <c r="Q929" s="2">
        <v>2</v>
      </c>
      <c r="R929" s="2" t="s">
        <v>23</v>
      </c>
      <c r="S929" s="2" t="str">
        <f t="shared" si="144"/>
        <v>Rendah</v>
      </c>
      <c r="T929" s="2" t="str">
        <f t="shared" si="145"/>
        <v>FALSE</v>
      </c>
      <c r="U929" s="2" t="str">
        <f t="shared" si="146"/>
        <v>FALSE</v>
      </c>
      <c r="V929" s="2" t="b">
        <f t="shared" si="147"/>
        <v>0</v>
      </c>
      <c r="W929" s="2" t="b">
        <f t="shared" si="148"/>
        <v>0</v>
      </c>
      <c r="X929" s="2" t="b">
        <f t="shared" si="149"/>
        <v>0</v>
      </c>
    </row>
    <row r="930" spans="1:24" ht="10.5" customHeight="1">
      <c r="A930" s="2" t="s">
        <v>1302</v>
      </c>
      <c r="B930" s="3">
        <v>45836.635381944441</v>
      </c>
      <c r="C930" s="2" t="s">
        <v>1303</v>
      </c>
      <c r="D930" s="2" t="s">
        <v>94</v>
      </c>
      <c r="E930" s="2" t="s">
        <v>45</v>
      </c>
      <c r="F930" s="4">
        <v>10500</v>
      </c>
      <c r="G930" s="5">
        <v>1.6</v>
      </c>
      <c r="H930" s="6">
        <v>0</v>
      </c>
      <c r="I930" s="7">
        <f t="shared" si="140"/>
        <v>16800</v>
      </c>
      <c r="J930" s="7">
        <f t="shared" si="141"/>
        <v>0</v>
      </c>
      <c r="K930" s="7">
        <f t="shared" si="142"/>
        <v>16800</v>
      </c>
      <c r="L930" s="4">
        <v>85000</v>
      </c>
      <c r="M930" s="7">
        <f t="shared" si="143"/>
        <v>101800</v>
      </c>
      <c r="N930" s="2" t="s">
        <v>33</v>
      </c>
      <c r="O930" t="s">
        <v>69</v>
      </c>
      <c r="P930" s="2" t="s">
        <v>2365</v>
      </c>
      <c r="Q930" s="2">
        <v>2</v>
      </c>
      <c r="R930" s="2" t="s">
        <v>23</v>
      </c>
      <c r="S930" s="2" t="str">
        <f t="shared" si="144"/>
        <v>Standar</v>
      </c>
      <c r="T930" s="2" t="str">
        <f t="shared" si="145"/>
        <v>FALSE</v>
      </c>
      <c r="U930" s="2" t="str">
        <f t="shared" si="146"/>
        <v>FALSE</v>
      </c>
      <c r="V930" s="2" t="b">
        <f t="shared" si="147"/>
        <v>0</v>
      </c>
      <c r="W930" s="2" t="b">
        <f t="shared" si="148"/>
        <v>0</v>
      </c>
      <c r="X930" s="2" t="b">
        <f t="shared" si="149"/>
        <v>0</v>
      </c>
    </row>
    <row r="931" spans="1:24" ht="10.5" customHeight="1">
      <c r="A931" s="2" t="s">
        <v>1304</v>
      </c>
      <c r="B931" s="3">
        <v>45836.656064814822</v>
      </c>
      <c r="C931" s="2" t="s">
        <v>1025</v>
      </c>
      <c r="D931" s="2" t="s">
        <v>61</v>
      </c>
      <c r="E931" s="2" t="s">
        <v>75</v>
      </c>
      <c r="F931" s="4">
        <v>45000</v>
      </c>
      <c r="G931" s="5">
        <v>1.6</v>
      </c>
      <c r="H931" s="6">
        <v>0</v>
      </c>
      <c r="I931" s="7">
        <f t="shared" si="140"/>
        <v>72000</v>
      </c>
      <c r="J931" s="7">
        <f t="shared" si="141"/>
        <v>0</v>
      </c>
      <c r="K931" s="7">
        <f t="shared" si="142"/>
        <v>72000</v>
      </c>
      <c r="L931" s="4">
        <v>59000</v>
      </c>
      <c r="M931" s="7">
        <f t="shared" si="143"/>
        <v>131000</v>
      </c>
      <c r="N931" s="2" t="s">
        <v>28</v>
      </c>
      <c r="O931" t="s">
        <v>22</v>
      </c>
      <c r="P931" s="2" t="s">
        <v>2365</v>
      </c>
      <c r="Q931" s="2">
        <v>1</v>
      </c>
      <c r="R931" s="2" t="s">
        <v>23</v>
      </c>
      <c r="S931" s="2" t="str">
        <f t="shared" si="144"/>
        <v>Standar</v>
      </c>
      <c r="T931" s="2" t="str">
        <f t="shared" si="145"/>
        <v>FALSE</v>
      </c>
      <c r="U931" s="2" t="str">
        <f t="shared" si="146"/>
        <v>FALSE</v>
      </c>
      <c r="V931" s="2" t="b">
        <f t="shared" si="147"/>
        <v>0</v>
      </c>
      <c r="W931" s="2" t="b">
        <f t="shared" si="148"/>
        <v>0</v>
      </c>
      <c r="X931" s="2" t="b">
        <f t="shared" si="149"/>
        <v>0</v>
      </c>
    </row>
    <row r="932" spans="1:24" ht="10.5" customHeight="1">
      <c r="A932" s="2" t="s">
        <v>1305</v>
      </c>
      <c r="B932" s="3">
        <v>45836.66479166667</v>
      </c>
      <c r="C932" s="2" t="s">
        <v>228</v>
      </c>
      <c r="D932" s="2" t="s">
        <v>229</v>
      </c>
      <c r="E932" s="2" t="s">
        <v>49</v>
      </c>
      <c r="F932" s="4">
        <v>26000</v>
      </c>
      <c r="G932" s="5">
        <v>1.2</v>
      </c>
      <c r="H932" s="6">
        <v>0</v>
      </c>
      <c r="I932" s="7">
        <f t="shared" si="140"/>
        <v>31200</v>
      </c>
      <c r="J932" s="7">
        <f t="shared" si="141"/>
        <v>0</v>
      </c>
      <c r="K932" s="7">
        <f t="shared" si="142"/>
        <v>31200</v>
      </c>
      <c r="L932" s="4">
        <v>28000</v>
      </c>
      <c r="M932" s="7">
        <f t="shared" si="143"/>
        <v>59200</v>
      </c>
      <c r="N932" s="2" t="s">
        <v>28</v>
      </c>
      <c r="O932" t="s">
        <v>22</v>
      </c>
      <c r="P932" s="2" t="s">
        <v>2366</v>
      </c>
      <c r="Q932" s="2">
        <v>4</v>
      </c>
      <c r="R932" s="2" t="s">
        <v>23</v>
      </c>
      <c r="S932" s="2" t="str">
        <f t="shared" si="144"/>
        <v>Rendah</v>
      </c>
      <c r="T932" s="2" t="str">
        <f t="shared" si="145"/>
        <v>FALSE</v>
      </c>
      <c r="U932" s="2" t="str">
        <f t="shared" si="146"/>
        <v>FALSE</v>
      </c>
      <c r="V932" s="2" t="b">
        <f t="shared" si="147"/>
        <v>0</v>
      </c>
      <c r="W932" s="2" t="b">
        <f t="shared" si="148"/>
        <v>0</v>
      </c>
      <c r="X932" s="2" t="b">
        <f t="shared" si="149"/>
        <v>0</v>
      </c>
    </row>
    <row r="933" spans="1:24" ht="10.5" customHeight="1">
      <c r="A933" s="2" t="s">
        <v>1306</v>
      </c>
      <c r="B933" s="3">
        <v>45836.690312500003</v>
      </c>
      <c r="C933" s="2" t="s">
        <v>1307</v>
      </c>
      <c r="D933" s="2" t="s">
        <v>105</v>
      </c>
      <c r="E933" s="2" t="s">
        <v>170</v>
      </c>
      <c r="F933" s="4">
        <v>12000</v>
      </c>
      <c r="G933" s="5">
        <v>0.6</v>
      </c>
      <c r="H933" s="6">
        <v>0</v>
      </c>
      <c r="I933" s="7">
        <f t="shared" si="140"/>
        <v>7200</v>
      </c>
      <c r="J933" s="7">
        <f t="shared" si="141"/>
        <v>0</v>
      </c>
      <c r="K933" s="7">
        <f t="shared" si="142"/>
        <v>7200</v>
      </c>
      <c r="L933" s="4">
        <v>18000</v>
      </c>
      <c r="M933" s="7">
        <f t="shared" si="143"/>
        <v>25200</v>
      </c>
      <c r="N933" s="2" t="s">
        <v>33</v>
      </c>
      <c r="O933" t="s">
        <v>69</v>
      </c>
      <c r="P933" s="2" t="s">
        <v>2368</v>
      </c>
      <c r="Q933" s="2">
        <v>2</v>
      </c>
      <c r="R933" s="2" t="s">
        <v>34</v>
      </c>
      <c r="S933" s="2" t="str">
        <f t="shared" si="144"/>
        <v>Sangat Rendah</v>
      </c>
      <c r="T933" s="2" t="str">
        <f t="shared" si="145"/>
        <v>FALSE</v>
      </c>
      <c r="U933" s="2" t="str">
        <f t="shared" si="146"/>
        <v>FALSE</v>
      </c>
      <c r="V933" s="2" t="b">
        <f t="shared" si="147"/>
        <v>0</v>
      </c>
      <c r="W933" s="2" t="b">
        <f t="shared" si="148"/>
        <v>0</v>
      </c>
      <c r="X933" s="2" t="b">
        <f t="shared" si="149"/>
        <v>0</v>
      </c>
    </row>
    <row r="934" spans="1:24" ht="10.5" customHeight="1">
      <c r="A934" s="2" t="s">
        <v>1308</v>
      </c>
      <c r="B934" s="3">
        <v>45836.723090277781</v>
      </c>
      <c r="C934" s="2" t="s">
        <v>349</v>
      </c>
      <c r="D934" s="2" t="s">
        <v>64</v>
      </c>
      <c r="E934" s="2" t="s">
        <v>41</v>
      </c>
      <c r="F934" s="4">
        <v>40000</v>
      </c>
      <c r="G934" s="5">
        <v>0.6</v>
      </c>
      <c r="H934" s="6">
        <v>0</v>
      </c>
      <c r="I934" s="7">
        <f t="shared" si="140"/>
        <v>24000</v>
      </c>
      <c r="J934" s="7">
        <f t="shared" si="141"/>
        <v>0</v>
      </c>
      <c r="K934" s="7">
        <f t="shared" si="142"/>
        <v>24000</v>
      </c>
      <c r="L934" s="4">
        <v>89000</v>
      </c>
      <c r="M934" s="7">
        <f t="shared" si="143"/>
        <v>113000</v>
      </c>
      <c r="N934" s="2" t="s">
        <v>33</v>
      </c>
      <c r="O934" t="s">
        <v>22</v>
      </c>
      <c r="P934" s="2" t="s">
        <v>2366</v>
      </c>
      <c r="Q934" s="2">
        <v>1</v>
      </c>
      <c r="R934" s="2" t="s">
        <v>23</v>
      </c>
      <c r="S934" s="2" t="str">
        <f t="shared" si="144"/>
        <v>Standar</v>
      </c>
      <c r="T934" s="2" t="str">
        <f t="shared" si="145"/>
        <v>FALSE</v>
      </c>
      <c r="U934" s="2" t="str">
        <f t="shared" si="146"/>
        <v>FALSE</v>
      </c>
      <c r="V934" s="2" t="b">
        <f t="shared" si="147"/>
        <v>0</v>
      </c>
      <c r="W934" s="2" t="b">
        <f t="shared" si="148"/>
        <v>0</v>
      </c>
      <c r="X934" s="2" t="b">
        <f t="shared" si="149"/>
        <v>0</v>
      </c>
    </row>
    <row r="935" spans="1:24" ht="10.5" customHeight="1">
      <c r="A935" s="2" t="s">
        <v>1309</v>
      </c>
      <c r="B935" s="3">
        <v>45836.733159722222</v>
      </c>
      <c r="C935" s="2" t="s">
        <v>949</v>
      </c>
      <c r="D935" s="2" t="s">
        <v>173</v>
      </c>
      <c r="E935" s="2" t="s">
        <v>161</v>
      </c>
      <c r="F935" s="4">
        <v>115000</v>
      </c>
      <c r="G935" s="5">
        <v>1.2</v>
      </c>
      <c r="H935" s="6">
        <v>0</v>
      </c>
      <c r="I935" s="7">
        <f t="shared" si="140"/>
        <v>138000</v>
      </c>
      <c r="J935" s="7">
        <f t="shared" si="141"/>
        <v>0</v>
      </c>
      <c r="K935" s="7">
        <f t="shared" si="142"/>
        <v>138000</v>
      </c>
      <c r="L935" s="4">
        <v>48000</v>
      </c>
      <c r="M935" s="7">
        <f t="shared" si="143"/>
        <v>186000</v>
      </c>
      <c r="N935" s="2" t="s">
        <v>28</v>
      </c>
      <c r="O935" t="s">
        <v>22</v>
      </c>
      <c r="P935" s="2" t="s">
        <v>2368</v>
      </c>
      <c r="Q935" s="2">
        <v>1</v>
      </c>
      <c r="R935" s="2" t="s">
        <v>23</v>
      </c>
      <c r="S935" s="2" t="str">
        <f t="shared" si="144"/>
        <v>Tinggi</v>
      </c>
      <c r="T935" s="2" t="str">
        <f t="shared" si="145"/>
        <v>FALSE</v>
      </c>
      <c r="U935" s="2" t="str">
        <f t="shared" si="146"/>
        <v>TRUE</v>
      </c>
      <c r="V935" s="2" t="b">
        <f t="shared" si="147"/>
        <v>0</v>
      </c>
      <c r="W935" s="2" t="b">
        <f t="shared" si="148"/>
        <v>0</v>
      </c>
      <c r="X935" s="2" t="b">
        <f t="shared" si="149"/>
        <v>0</v>
      </c>
    </row>
    <row r="936" spans="1:24" ht="10.5" customHeight="1">
      <c r="A936" s="2" t="s">
        <v>1309</v>
      </c>
      <c r="B936" s="3">
        <v>45836.733159722222</v>
      </c>
      <c r="C936" s="2" t="s">
        <v>949</v>
      </c>
      <c r="D936" s="2" t="s">
        <v>173</v>
      </c>
      <c r="E936" s="2" t="s">
        <v>49</v>
      </c>
      <c r="F936" s="4">
        <v>26000</v>
      </c>
      <c r="G936" s="5">
        <v>0.9</v>
      </c>
      <c r="H936" s="6">
        <v>0</v>
      </c>
      <c r="I936" s="7">
        <f t="shared" si="140"/>
        <v>23400</v>
      </c>
      <c r="J936" s="7">
        <f t="shared" si="141"/>
        <v>0</v>
      </c>
      <c r="K936" s="7">
        <f t="shared" si="142"/>
        <v>23400</v>
      </c>
      <c r="L936" s="4">
        <v>0</v>
      </c>
      <c r="M936" s="7">
        <f t="shared" si="143"/>
        <v>23400</v>
      </c>
      <c r="N936" s="2" t="s">
        <v>28</v>
      </c>
      <c r="O936" t="s">
        <v>22</v>
      </c>
      <c r="P936" s="2" t="s">
        <v>2368</v>
      </c>
      <c r="Q936" s="2">
        <v>1</v>
      </c>
      <c r="R936" s="2" t="s">
        <v>23</v>
      </c>
      <c r="S936" s="2" t="str">
        <f t="shared" si="144"/>
        <v>Sangat Rendah</v>
      </c>
      <c r="T936" s="2" t="str">
        <f t="shared" si="145"/>
        <v>FALSE</v>
      </c>
      <c r="U936" s="2" t="str">
        <f t="shared" si="146"/>
        <v>FALSE</v>
      </c>
      <c r="V936" s="2" t="b">
        <f t="shared" si="147"/>
        <v>0</v>
      </c>
      <c r="W936" s="2" t="b">
        <f t="shared" si="148"/>
        <v>0</v>
      </c>
      <c r="X936" s="2" t="b">
        <f t="shared" si="149"/>
        <v>1</v>
      </c>
    </row>
    <row r="937" spans="1:24" ht="10.5" customHeight="1">
      <c r="A937" s="2" t="s">
        <v>1310</v>
      </c>
      <c r="B937" s="3">
        <v>45836.769537037027</v>
      </c>
      <c r="C937" s="2" t="s">
        <v>1311</v>
      </c>
      <c r="D937" s="2" t="s">
        <v>105</v>
      </c>
      <c r="E937" s="2" t="s">
        <v>102</v>
      </c>
      <c r="F937" s="4">
        <v>55000</v>
      </c>
      <c r="G937" s="5">
        <v>0.2</v>
      </c>
      <c r="H937" s="6">
        <v>0</v>
      </c>
      <c r="I937" s="7">
        <f t="shared" si="140"/>
        <v>11000</v>
      </c>
      <c r="J937" s="7">
        <f t="shared" si="141"/>
        <v>0</v>
      </c>
      <c r="K937" s="7">
        <f t="shared" si="142"/>
        <v>11000</v>
      </c>
      <c r="L937" s="4">
        <v>18000</v>
      </c>
      <c r="M937" s="7">
        <f t="shared" si="143"/>
        <v>29000</v>
      </c>
      <c r="N937" s="2" t="s">
        <v>58</v>
      </c>
      <c r="O937" t="s">
        <v>22</v>
      </c>
      <c r="P937" s="2" t="s">
        <v>2370</v>
      </c>
      <c r="Q937" s="2">
        <v>4</v>
      </c>
      <c r="R937" s="2" t="s">
        <v>23</v>
      </c>
      <c r="S937" s="2" t="str">
        <f t="shared" si="144"/>
        <v>Sangat Rendah</v>
      </c>
      <c r="T937" s="2" t="str">
        <f t="shared" si="145"/>
        <v>FALSE</v>
      </c>
      <c r="U937" s="2" t="str">
        <f t="shared" si="146"/>
        <v>FALSE</v>
      </c>
      <c r="V937" s="2" t="b">
        <f t="shared" si="147"/>
        <v>0</v>
      </c>
      <c r="W937" s="2" t="b">
        <f t="shared" si="148"/>
        <v>0</v>
      </c>
      <c r="X937" s="2" t="b">
        <f t="shared" si="149"/>
        <v>1</v>
      </c>
    </row>
    <row r="938" spans="1:24" ht="10.5" customHeight="1">
      <c r="A938" s="2" t="s">
        <v>1312</v>
      </c>
      <c r="B938" s="3">
        <v>45837.080601851849</v>
      </c>
      <c r="C938" s="2" t="s">
        <v>1313</v>
      </c>
      <c r="D938" s="2" t="s">
        <v>68</v>
      </c>
      <c r="E938" s="2" t="s">
        <v>65</v>
      </c>
      <c r="F938" s="4">
        <v>46000</v>
      </c>
      <c r="G938" s="5">
        <v>1.2</v>
      </c>
      <c r="H938" s="6">
        <v>0</v>
      </c>
      <c r="I938" s="7">
        <f t="shared" si="140"/>
        <v>55200</v>
      </c>
      <c r="J938" s="7">
        <f t="shared" si="141"/>
        <v>0</v>
      </c>
      <c r="K938" s="7">
        <f t="shared" si="142"/>
        <v>55200</v>
      </c>
      <c r="L938" s="4">
        <v>87000</v>
      </c>
      <c r="M938" s="7">
        <f t="shared" si="143"/>
        <v>142200</v>
      </c>
      <c r="N938" s="2" t="s">
        <v>33</v>
      </c>
      <c r="O938" t="s">
        <v>22</v>
      </c>
      <c r="P938" s="2" t="s">
        <v>2365</v>
      </c>
      <c r="Q938" s="2">
        <v>5</v>
      </c>
      <c r="R938" s="2" t="s">
        <v>23</v>
      </c>
      <c r="S938" s="2" t="str">
        <f t="shared" si="144"/>
        <v>Standar</v>
      </c>
      <c r="T938" s="2" t="str">
        <f t="shared" si="145"/>
        <v>FALSE</v>
      </c>
      <c r="U938" s="2" t="str">
        <f t="shared" si="146"/>
        <v>FALSE</v>
      </c>
      <c r="V938" s="2" t="b">
        <f t="shared" si="147"/>
        <v>0</v>
      </c>
      <c r="W938" s="2" t="b">
        <f t="shared" si="148"/>
        <v>0</v>
      </c>
      <c r="X938" s="2" t="b">
        <f t="shared" si="149"/>
        <v>0</v>
      </c>
    </row>
    <row r="939" spans="1:24" ht="10.5" customHeight="1">
      <c r="A939" s="2" t="s">
        <v>1314</v>
      </c>
      <c r="B939" s="3">
        <v>45837.285891203697</v>
      </c>
      <c r="C939" s="2" t="s">
        <v>139</v>
      </c>
      <c r="D939" s="2" t="s">
        <v>140</v>
      </c>
      <c r="E939" s="2" t="s">
        <v>45</v>
      </c>
      <c r="F939" s="4">
        <v>10500</v>
      </c>
      <c r="G939" s="5">
        <v>2.2000000000000002</v>
      </c>
      <c r="H939" s="6">
        <v>0</v>
      </c>
      <c r="I939" s="7">
        <f t="shared" si="140"/>
        <v>23100.000000000004</v>
      </c>
      <c r="J939" s="7">
        <f t="shared" si="141"/>
        <v>0</v>
      </c>
      <c r="K939" s="7">
        <f t="shared" si="142"/>
        <v>23100.000000000004</v>
      </c>
      <c r="L939" s="4">
        <v>55000</v>
      </c>
      <c r="M939" s="7">
        <f t="shared" si="143"/>
        <v>78100</v>
      </c>
      <c r="N939" s="2" t="s">
        <v>21</v>
      </c>
      <c r="O939" t="s">
        <v>22</v>
      </c>
      <c r="P939" s="2" t="s">
        <v>2367</v>
      </c>
      <c r="Q939" s="2">
        <v>2</v>
      </c>
      <c r="R939" s="2" t="s">
        <v>34</v>
      </c>
      <c r="S939" s="2" t="str">
        <f t="shared" si="144"/>
        <v>Rendah</v>
      </c>
      <c r="T939" s="2" t="str">
        <f t="shared" si="145"/>
        <v>FALSE</v>
      </c>
      <c r="U939" s="2" t="str">
        <f t="shared" si="146"/>
        <v>FALSE</v>
      </c>
      <c r="V939" s="2" t="b">
        <f t="shared" si="147"/>
        <v>0</v>
      </c>
      <c r="W939" s="2" t="b">
        <f t="shared" si="148"/>
        <v>1</v>
      </c>
      <c r="X939" s="2" t="b">
        <f t="shared" si="149"/>
        <v>0</v>
      </c>
    </row>
    <row r="940" spans="1:24" ht="10.5" customHeight="1">
      <c r="A940" s="2" t="s">
        <v>1315</v>
      </c>
      <c r="B940" s="3">
        <v>45837.335694444453</v>
      </c>
      <c r="C940" s="2" t="s">
        <v>159</v>
      </c>
      <c r="D940" s="2" t="s">
        <v>160</v>
      </c>
      <c r="E940" s="2" t="s">
        <v>161</v>
      </c>
      <c r="F940" s="4">
        <v>115000</v>
      </c>
      <c r="G940" s="5">
        <v>0.9</v>
      </c>
      <c r="H940" s="6">
        <v>0</v>
      </c>
      <c r="I940" s="7">
        <f t="shared" si="140"/>
        <v>103500</v>
      </c>
      <c r="J940" s="7">
        <f t="shared" si="141"/>
        <v>0</v>
      </c>
      <c r="K940" s="7">
        <f t="shared" si="142"/>
        <v>103500</v>
      </c>
      <c r="L940" s="4">
        <v>46000</v>
      </c>
      <c r="M940" s="7">
        <f t="shared" si="143"/>
        <v>149500</v>
      </c>
      <c r="N940" s="2" t="s">
        <v>21</v>
      </c>
      <c r="O940" t="s">
        <v>22</v>
      </c>
      <c r="P940" s="2" t="s">
        <v>2365</v>
      </c>
      <c r="Q940" s="2">
        <v>5</v>
      </c>
      <c r="R940" s="2" t="s">
        <v>23</v>
      </c>
      <c r="S940" s="2" t="str">
        <f t="shared" si="144"/>
        <v>Standar</v>
      </c>
      <c r="T940" s="2" t="str">
        <f t="shared" si="145"/>
        <v>FALSE</v>
      </c>
      <c r="U940" s="2" t="str">
        <f t="shared" si="146"/>
        <v>FALSE</v>
      </c>
      <c r="V940" s="2" t="b">
        <f t="shared" si="147"/>
        <v>0</v>
      </c>
      <c r="W940" s="2" t="b">
        <f t="shared" si="148"/>
        <v>0</v>
      </c>
      <c r="X940" s="2" t="b">
        <f t="shared" si="149"/>
        <v>0</v>
      </c>
    </row>
    <row r="941" spans="1:24" ht="10.5" customHeight="1">
      <c r="A941" s="2" t="s">
        <v>1316</v>
      </c>
      <c r="B941" s="3">
        <v>45837.373437499999</v>
      </c>
      <c r="C941" s="2" t="s">
        <v>678</v>
      </c>
      <c r="D941" s="2" t="s">
        <v>84</v>
      </c>
      <c r="E941" s="2" t="s">
        <v>80</v>
      </c>
      <c r="F941" s="4">
        <v>15000</v>
      </c>
      <c r="G941" s="5">
        <v>1</v>
      </c>
      <c r="H941" s="6">
        <v>0</v>
      </c>
      <c r="I941" s="7">
        <f t="shared" si="140"/>
        <v>15000</v>
      </c>
      <c r="J941" s="7">
        <f t="shared" si="141"/>
        <v>0</v>
      </c>
      <c r="K941" s="7">
        <f t="shared" si="142"/>
        <v>15000</v>
      </c>
      <c r="L941" s="4">
        <v>30000</v>
      </c>
      <c r="M941" s="7">
        <f t="shared" si="143"/>
        <v>45000</v>
      </c>
      <c r="N941" s="2" t="s">
        <v>21</v>
      </c>
      <c r="O941" t="s">
        <v>22</v>
      </c>
      <c r="P941" s="2" t="s">
        <v>2365</v>
      </c>
      <c r="Q941" s="2">
        <v>3</v>
      </c>
      <c r="R941" s="2" t="s">
        <v>23</v>
      </c>
      <c r="S941" s="2" t="str">
        <f t="shared" si="144"/>
        <v>Sangat Rendah</v>
      </c>
      <c r="T941" s="2" t="str">
        <f t="shared" si="145"/>
        <v>FALSE</v>
      </c>
      <c r="U941" s="2" t="str">
        <f t="shared" si="146"/>
        <v>FALSE</v>
      </c>
      <c r="V941" s="2" t="b">
        <f t="shared" si="147"/>
        <v>0</v>
      </c>
      <c r="W941" s="2" t="b">
        <f t="shared" si="148"/>
        <v>0</v>
      </c>
      <c r="X941" s="2" t="b">
        <f t="shared" si="149"/>
        <v>1</v>
      </c>
    </row>
    <row r="942" spans="1:24" ht="10.5" customHeight="1">
      <c r="A942" s="2" t="s">
        <v>1317</v>
      </c>
      <c r="B942" s="3">
        <v>45837.393761574072</v>
      </c>
      <c r="C942" s="2" t="s">
        <v>213</v>
      </c>
      <c r="D942" s="2" t="s">
        <v>44</v>
      </c>
      <c r="E942" s="2" t="s">
        <v>35</v>
      </c>
      <c r="F942" s="4">
        <v>13500</v>
      </c>
      <c r="G942" s="5">
        <v>2.6</v>
      </c>
      <c r="H942" s="6">
        <v>0</v>
      </c>
      <c r="I942" s="7">
        <f t="shared" si="140"/>
        <v>35100</v>
      </c>
      <c r="J942" s="7">
        <f t="shared" si="141"/>
        <v>0</v>
      </c>
      <c r="K942" s="7">
        <f t="shared" si="142"/>
        <v>35100</v>
      </c>
      <c r="L942" s="4">
        <v>43000</v>
      </c>
      <c r="M942" s="7">
        <f t="shared" si="143"/>
        <v>78100</v>
      </c>
      <c r="N942" s="2" t="s">
        <v>33</v>
      </c>
      <c r="O942" t="s">
        <v>22</v>
      </c>
      <c r="P942" s="2" t="s">
        <v>2365</v>
      </c>
      <c r="Q942" s="2">
        <v>2</v>
      </c>
      <c r="R942" s="2" t="s">
        <v>23</v>
      </c>
      <c r="S942" s="2" t="str">
        <f t="shared" si="144"/>
        <v>Rendah</v>
      </c>
      <c r="T942" s="2" t="str">
        <f t="shared" si="145"/>
        <v>FALSE</v>
      </c>
      <c r="U942" s="2" t="str">
        <f t="shared" si="146"/>
        <v>FALSE</v>
      </c>
      <c r="V942" s="2" t="b">
        <f t="shared" si="147"/>
        <v>0</v>
      </c>
      <c r="W942" s="2" t="b">
        <f t="shared" si="148"/>
        <v>0</v>
      </c>
      <c r="X942" s="2" t="b">
        <f t="shared" si="149"/>
        <v>0</v>
      </c>
    </row>
    <row r="943" spans="1:24" ht="10.5" customHeight="1">
      <c r="A943" s="2" t="s">
        <v>1318</v>
      </c>
      <c r="B943" s="3">
        <v>45837.397881944453</v>
      </c>
      <c r="C943" s="2" t="s">
        <v>639</v>
      </c>
      <c r="D943" s="2" t="s">
        <v>167</v>
      </c>
      <c r="E943" s="2" t="s">
        <v>41</v>
      </c>
      <c r="F943" s="4">
        <v>40000</v>
      </c>
      <c r="G943" s="5">
        <v>0.7</v>
      </c>
      <c r="H943" s="6">
        <v>0</v>
      </c>
      <c r="I943" s="7">
        <f t="shared" si="140"/>
        <v>28000</v>
      </c>
      <c r="J943" s="7">
        <f t="shared" si="141"/>
        <v>0</v>
      </c>
      <c r="K943" s="7">
        <f t="shared" si="142"/>
        <v>28000</v>
      </c>
      <c r="L943" s="4">
        <v>56000</v>
      </c>
      <c r="M943" s="7">
        <f t="shared" si="143"/>
        <v>84000</v>
      </c>
      <c r="N943" s="2" t="s">
        <v>58</v>
      </c>
      <c r="O943" t="s">
        <v>22</v>
      </c>
      <c r="P943" s="2" t="s">
        <v>2366</v>
      </c>
      <c r="Q943" s="2">
        <v>1</v>
      </c>
      <c r="R943" s="2" t="s">
        <v>23</v>
      </c>
      <c r="S943" s="2" t="str">
        <f t="shared" si="144"/>
        <v>Rendah</v>
      </c>
      <c r="T943" s="2" t="str">
        <f t="shared" si="145"/>
        <v>FALSE</v>
      </c>
      <c r="U943" s="2" t="str">
        <f t="shared" si="146"/>
        <v>FALSE</v>
      </c>
      <c r="V943" s="2" t="b">
        <f t="shared" si="147"/>
        <v>0</v>
      </c>
      <c r="W943" s="2" t="b">
        <f t="shared" si="148"/>
        <v>0</v>
      </c>
      <c r="X943" s="2" t="b">
        <f t="shared" si="149"/>
        <v>0</v>
      </c>
    </row>
    <row r="944" spans="1:24" ht="10.5" customHeight="1">
      <c r="A944" s="2" t="s">
        <v>1319</v>
      </c>
      <c r="B944" s="3">
        <v>45837.411990740737</v>
      </c>
      <c r="C944" s="2" t="s">
        <v>1110</v>
      </c>
      <c r="D944" s="2" t="s">
        <v>164</v>
      </c>
      <c r="E944" s="2" t="s">
        <v>35</v>
      </c>
      <c r="F944" s="4">
        <v>13500</v>
      </c>
      <c r="G944" s="5">
        <v>2.4</v>
      </c>
      <c r="H944" s="6">
        <v>0</v>
      </c>
      <c r="I944" s="7">
        <f t="shared" si="140"/>
        <v>32400</v>
      </c>
      <c r="J944" s="7">
        <f t="shared" si="141"/>
        <v>0</v>
      </c>
      <c r="K944" s="7">
        <f t="shared" si="142"/>
        <v>32400</v>
      </c>
      <c r="L944" s="4">
        <v>49000</v>
      </c>
      <c r="M944" s="7">
        <f t="shared" si="143"/>
        <v>81400</v>
      </c>
      <c r="N944" s="2" t="s">
        <v>28</v>
      </c>
      <c r="O944" t="s">
        <v>22</v>
      </c>
      <c r="P944" s="2" t="s">
        <v>2370</v>
      </c>
      <c r="Q944" s="2">
        <v>3</v>
      </c>
      <c r="R944" s="2" t="s">
        <v>23</v>
      </c>
      <c r="S944" s="2" t="str">
        <f t="shared" si="144"/>
        <v>Rendah</v>
      </c>
      <c r="T944" s="2" t="str">
        <f t="shared" si="145"/>
        <v>FALSE</v>
      </c>
      <c r="U944" s="2" t="str">
        <f t="shared" si="146"/>
        <v>FALSE</v>
      </c>
      <c r="V944" s="2" t="b">
        <f t="shared" si="147"/>
        <v>0</v>
      </c>
      <c r="W944" s="2" t="b">
        <f t="shared" si="148"/>
        <v>0</v>
      </c>
      <c r="X944" s="2" t="b">
        <f t="shared" si="149"/>
        <v>0</v>
      </c>
    </row>
    <row r="945" spans="1:24" ht="10.5" customHeight="1">
      <c r="A945" s="2" t="s">
        <v>1320</v>
      </c>
      <c r="B945" s="3">
        <v>45837.421944444453</v>
      </c>
      <c r="C945" s="2" t="s">
        <v>244</v>
      </c>
      <c r="D945" s="2" t="s">
        <v>56</v>
      </c>
      <c r="E945" s="2" t="s">
        <v>182</v>
      </c>
      <c r="F945" s="4">
        <v>11000</v>
      </c>
      <c r="G945" s="5">
        <v>1.9</v>
      </c>
      <c r="H945" s="6">
        <v>0</v>
      </c>
      <c r="I945" s="7">
        <f t="shared" si="140"/>
        <v>20900</v>
      </c>
      <c r="J945" s="7">
        <f t="shared" si="141"/>
        <v>0</v>
      </c>
      <c r="K945" s="7">
        <f t="shared" si="142"/>
        <v>20900</v>
      </c>
      <c r="L945" s="4">
        <v>26000</v>
      </c>
      <c r="M945" s="7">
        <f t="shared" si="143"/>
        <v>46900</v>
      </c>
      <c r="N945" s="2" t="s">
        <v>28</v>
      </c>
      <c r="O945" t="s">
        <v>115</v>
      </c>
      <c r="P945" s="2" t="s">
        <v>2365</v>
      </c>
      <c r="Q945" s="2">
        <v>4</v>
      </c>
      <c r="R945" s="2" t="s">
        <v>23</v>
      </c>
      <c r="S945" s="2" t="str">
        <f t="shared" si="144"/>
        <v>Sangat Rendah</v>
      </c>
      <c r="T945" s="2" t="str">
        <f t="shared" si="145"/>
        <v>FALSE</v>
      </c>
      <c r="U945" s="2" t="str">
        <f t="shared" si="146"/>
        <v>FALSE</v>
      </c>
      <c r="V945" s="2" t="b">
        <f t="shared" si="147"/>
        <v>0</v>
      </c>
      <c r="W945" s="2" t="b">
        <f t="shared" si="148"/>
        <v>0</v>
      </c>
      <c r="X945" s="2" t="b">
        <f t="shared" si="149"/>
        <v>1</v>
      </c>
    </row>
    <row r="946" spans="1:24" ht="10.5" customHeight="1">
      <c r="A946" s="2" t="s">
        <v>1321</v>
      </c>
      <c r="B946" s="3">
        <v>45837.459918981483</v>
      </c>
      <c r="C946" s="2" t="s">
        <v>560</v>
      </c>
      <c r="D946" s="2" t="s">
        <v>74</v>
      </c>
      <c r="E946" s="2" t="s">
        <v>35</v>
      </c>
      <c r="F946" s="4">
        <v>13500</v>
      </c>
      <c r="G946" s="5">
        <v>2.5</v>
      </c>
      <c r="H946" s="6">
        <v>0</v>
      </c>
      <c r="I946" s="7">
        <f t="shared" si="140"/>
        <v>33750</v>
      </c>
      <c r="J946" s="7">
        <f t="shared" si="141"/>
        <v>0</v>
      </c>
      <c r="K946" s="7">
        <f t="shared" si="142"/>
        <v>33750</v>
      </c>
      <c r="L946" s="4">
        <v>74000</v>
      </c>
      <c r="M946" s="7">
        <f t="shared" si="143"/>
        <v>107750</v>
      </c>
      <c r="N946" s="2" t="s">
        <v>21</v>
      </c>
      <c r="O946" t="s">
        <v>22</v>
      </c>
      <c r="P946" s="2" t="s">
        <v>2368</v>
      </c>
      <c r="Q946" s="2">
        <v>4</v>
      </c>
      <c r="R946" s="2" t="s">
        <v>23</v>
      </c>
      <c r="S946" s="2" t="str">
        <f t="shared" si="144"/>
        <v>Standar</v>
      </c>
      <c r="T946" s="2" t="str">
        <f t="shared" si="145"/>
        <v>FALSE</v>
      </c>
      <c r="U946" s="2" t="str">
        <f t="shared" si="146"/>
        <v>FALSE</v>
      </c>
      <c r="V946" s="2" t="b">
        <f t="shared" si="147"/>
        <v>0</v>
      </c>
      <c r="W946" s="2" t="b">
        <f t="shared" si="148"/>
        <v>0</v>
      </c>
      <c r="X946" s="2" t="b">
        <f t="shared" si="149"/>
        <v>0</v>
      </c>
    </row>
    <row r="947" spans="1:24" ht="10.5" customHeight="1">
      <c r="A947" s="2" t="s">
        <v>1322</v>
      </c>
      <c r="B947" s="3">
        <v>45837.496145833327</v>
      </c>
      <c r="C947" s="2" t="s">
        <v>555</v>
      </c>
      <c r="D947" s="2" t="s">
        <v>153</v>
      </c>
      <c r="E947" s="2" t="s">
        <v>65</v>
      </c>
      <c r="F947" s="4">
        <v>46000</v>
      </c>
      <c r="G947" s="5">
        <v>0.8</v>
      </c>
      <c r="H947" s="6">
        <v>0</v>
      </c>
      <c r="I947" s="7">
        <f t="shared" si="140"/>
        <v>36800</v>
      </c>
      <c r="J947" s="7">
        <f t="shared" si="141"/>
        <v>0</v>
      </c>
      <c r="K947" s="7">
        <f t="shared" si="142"/>
        <v>36800</v>
      </c>
      <c r="L947" s="4">
        <v>50000</v>
      </c>
      <c r="M947" s="7">
        <f t="shared" si="143"/>
        <v>86800</v>
      </c>
      <c r="N947" s="2" t="s">
        <v>58</v>
      </c>
      <c r="O947" t="s">
        <v>22</v>
      </c>
      <c r="P947" s="2" t="s">
        <v>2365</v>
      </c>
      <c r="Q947" s="2">
        <v>2</v>
      </c>
      <c r="R947" s="2" t="s">
        <v>23</v>
      </c>
      <c r="S947" s="2" t="str">
        <f t="shared" si="144"/>
        <v>Rendah</v>
      </c>
      <c r="T947" s="2" t="str">
        <f t="shared" si="145"/>
        <v>FALSE</v>
      </c>
      <c r="U947" s="2" t="str">
        <f t="shared" si="146"/>
        <v>FALSE</v>
      </c>
      <c r="V947" s="2" t="b">
        <f t="shared" si="147"/>
        <v>0</v>
      </c>
      <c r="W947" s="2" t="b">
        <f t="shared" si="148"/>
        <v>0</v>
      </c>
      <c r="X947" s="2" t="b">
        <f t="shared" si="149"/>
        <v>0</v>
      </c>
    </row>
    <row r="948" spans="1:24" ht="10.5" customHeight="1">
      <c r="A948" s="2" t="s">
        <v>1322</v>
      </c>
      <c r="B948" s="3">
        <v>45837.496145833327</v>
      </c>
      <c r="C948" s="2" t="s">
        <v>555</v>
      </c>
      <c r="D948" s="2" t="s">
        <v>153</v>
      </c>
      <c r="E948" s="2" t="s">
        <v>161</v>
      </c>
      <c r="F948" s="4">
        <v>115000</v>
      </c>
      <c r="G948" s="5">
        <v>0.3</v>
      </c>
      <c r="H948" s="6">
        <v>0</v>
      </c>
      <c r="I948" s="7">
        <f t="shared" si="140"/>
        <v>34500</v>
      </c>
      <c r="J948" s="7">
        <f t="shared" si="141"/>
        <v>0</v>
      </c>
      <c r="K948" s="7">
        <f t="shared" si="142"/>
        <v>34500</v>
      </c>
      <c r="L948" s="4">
        <v>0</v>
      </c>
      <c r="M948" s="7">
        <f t="shared" si="143"/>
        <v>34500</v>
      </c>
      <c r="N948" s="2" t="s">
        <v>58</v>
      </c>
      <c r="O948" t="s">
        <v>22</v>
      </c>
      <c r="P948" s="2" t="s">
        <v>2365</v>
      </c>
      <c r="Q948" s="2">
        <v>2</v>
      </c>
      <c r="R948" s="2" t="s">
        <v>23</v>
      </c>
      <c r="S948" s="2" t="str">
        <f t="shared" si="144"/>
        <v>Sangat Rendah</v>
      </c>
      <c r="T948" s="2" t="str">
        <f t="shared" si="145"/>
        <v>FALSE</v>
      </c>
      <c r="U948" s="2" t="str">
        <f t="shared" si="146"/>
        <v>FALSE</v>
      </c>
      <c r="V948" s="2" t="b">
        <f t="shared" si="147"/>
        <v>0</v>
      </c>
      <c r="W948" s="2" t="b">
        <f t="shared" si="148"/>
        <v>0</v>
      </c>
      <c r="X948" s="2" t="b">
        <f t="shared" si="149"/>
        <v>1</v>
      </c>
    </row>
    <row r="949" spans="1:24" ht="10.5" customHeight="1">
      <c r="A949" s="2" t="s">
        <v>1323</v>
      </c>
      <c r="B949" s="3">
        <v>45837.541504629633</v>
      </c>
      <c r="C949" s="2" t="s">
        <v>400</v>
      </c>
      <c r="D949" s="2" t="s">
        <v>140</v>
      </c>
      <c r="E949" s="2" t="s">
        <v>99</v>
      </c>
      <c r="F949" s="4">
        <v>10000</v>
      </c>
      <c r="G949" s="5">
        <v>1</v>
      </c>
      <c r="H949" s="6">
        <v>0</v>
      </c>
      <c r="I949" s="7">
        <f t="shared" si="140"/>
        <v>10000</v>
      </c>
      <c r="J949" s="7">
        <f t="shared" si="141"/>
        <v>0</v>
      </c>
      <c r="K949" s="7">
        <f t="shared" si="142"/>
        <v>10000</v>
      </c>
      <c r="L949" s="4">
        <v>55000</v>
      </c>
      <c r="M949" s="7">
        <f t="shared" si="143"/>
        <v>65000</v>
      </c>
      <c r="N949" s="2" t="s">
        <v>28</v>
      </c>
      <c r="O949" t="s">
        <v>22</v>
      </c>
      <c r="P949" s="2" t="s">
        <v>2366</v>
      </c>
      <c r="Q949" s="2">
        <v>3</v>
      </c>
      <c r="R949" s="2" t="s">
        <v>23</v>
      </c>
      <c r="S949" s="2" t="str">
        <f t="shared" si="144"/>
        <v>Rendah</v>
      </c>
      <c r="T949" s="2" t="str">
        <f t="shared" si="145"/>
        <v>FALSE</v>
      </c>
      <c r="U949" s="2" t="str">
        <f t="shared" si="146"/>
        <v>FALSE</v>
      </c>
      <c r="V949" s="2" t="b">
        <f t="shared" si="147"/>
        <v>0</v>
      </c>
      <c r="W949" s="2" t="b">
        <f t="shared" si="148"/>
        <v>0</v>
      </c>
      <c r="X949" s="2" t="b">
        <f t="shared" si="149"/>
        <v>0</v>
      </c>
    </row>
    <row r="950" spans="1:24" ht="10.5" customHeight="1">
      <c r="A950" s="2" t="s">
        <v>1324</v>
      </c>
      <c r="B950" s="3">
        <v>45837.548703703702</v>
      </c>
      <c r="C950" s="2" t="s">
        <v>722</v>
      </c>
      <c r="D950" s="2" t="s">
        <v>160</v>
      </c>
      <c r="E950" s="2" t="s">
        <v>80</v>
      </c>
      <c r="F950" s="4">
        <v>15000</v>
      </c>
      <c r="G950" s="5">
        <v>2</v>
      </c>
      <c r="H950" s="6">
        <v>0</v>
      </c>
      <c r="I950" s="7">
        <f t="shared" si="140"/>
        <v>30000</v>
      </c>
      <c r="J950" s="7">
        <f t="shared" si="141"/>
        <v>0</v>
      </c>
      <c r="K950" s="7">
        <f t="shared" si="142"/>
        <v>30000</v>
      </c>
      <c r="L950" s="4">
        <v>46000</v>
      </c>
      <c r="M950" s="7">
        <f t="shared" si="143"/>
        <v>76000</v>
      </c>
      <c r="N950" s="2" t="s">
        <v>33</v>
      </c>
      <c r="O950" t="s">
        <v>115</v>
      </c>
      <c r="P950" s="2" t="s">
        <v>2370</v>
      </c>
      <c r="Q950" s="2">
        <v>5</v>
      </c>
      <c r="R950" s="2" t="s">
        <v>23</v>
      </c>
      <c r="S950" s="2" t="str">
        <f t="shared" si="144"/>
        <v>Rendah</v>
      </c>
      <c r="T950" s="2" t="str">
        <f t="shared" si="145"/>
        <v>FALSE</v>
      </c>
      <c r="U950" s="2" t="str">
        <f t="shared" si="146"/>
        <v>FALSE</v>
      </c>
      <c r="V950" s="2" t="b">
        <f t="shared" si="147"/>
        <v>0</v>
      </c>
      <c r="W950" s="2" t="b">
        <f t="shared" si="148"/>
        <v>0</v>
      </c>
      <c r="X950" s="2" t="b">
        <f t="shared" si="149"/>
        <v>0</v>
      </c>
    </row>
    <row r="951" spans="1:24" ht="10.5" customHeight="1">
      <c r="A951" s="2" t="s">
        <v>1325</v>
      </c>
      <c r="B951" s="3">
        <v>45837.553541666668</v>
      </c>
      <c r="C951" s="2" t="s">
        <v>1326</v>
      </c>
      <c r="D951" s="2" t="s">
        <v>87</v>
      </c>
      <c r="E951" s="2" t="s">
        <v>143</v>
      </c>
      <c r="F951" s="4">
        <v>10000</v>
      </c>
      <c r="G951" s="5">
        <v>1</v>
      </c>
      <c r="H951" s="6">
        <v>0</v>
      </c>
      <c r="I951" s="7">
        <f t="shared" si="140"/>
        <v>10000</v>
      </c>
      <c r="J951" s="7">
        <f t="shared" si="141"/>
        <v>0</v>
      </c>
      <c r="K951" s="7">
        <f t="shared" si="142"/>
        <v>10000</v>
      </c>
      <c r="L951" s="4">
        <v>49000</v>
      </c>
      <c r="M951" s="7">
        <f t="shared" si="143"/>
        <v>59000</v>
      </c>
      <c r="N951" s="2" t="s">
        <v>58</v>
      </c>
      <c r="O951" t="s">
        <v>22</v>
      </c>
      <c r="P951" s="2" t="s">
        <v>2368</v>
      </c>
      <c r="Q951" s="2">
        <v>2</v>
      </c>
      <c r="R951" s="2" t="s">
        <v>34</v>
      </c>
      <c r="S951" s="2" t="str">
        <f t="shared" si="144"/>
        <v>Rendah</v>
      </c>
      <c r="T951" s="2" t="str">
        <f t="shared" si="145"/>
        <v>FALSE</v>
      </c>
      <c r="U951" s="2" t="str">
        <f t="shared" si="146"/>
        <v>TRUE</v>
      </c>
      <c r="V951" s="2" t="b">
        <f t="shared" si="147"/>
        <v>0</v>
      </c>
      <c r="W951" s="2" t="b">
        <f t="shared" si="148"/>
        <v>0</v>
      </c>
      <c r="X951" s="2" t="b">
        <f t="shared" si="149"/>
        <v>0</v>
      </c>
    </row>
    <row r="952" spans="1:24" ht="10.5" customHeight="1">
      <c r="A952" s="2" t="s">
        <v>1327</v>
      </c>
      <c r="B952" s="3">
        <v>45837.574224537027</v>
      </c>
      <c r="C952" s="2" t="s">
        <v>534</v>
      </c>
      <c r="D952" s="2" t="s">
        <v>153</v>
      </c>
      <c r="E952" s="2" t="s">
        <v>75</v>
      </c>
      <c r="F952" s="4">
        <v>45000</v>
      </c>
      <c r="G952" s="5">
        <v>0.7</v>
      </c>
      <c r="H952" s="6">
        <v>0</v>
      </c>
      <c r="I952" s="7">
        <f t="shared" si="140"/>
        <v>31499.999999999996</v>
      </c>
      <c r="J952" s="7">
        <f t="shared" si="141"/>
        <v>0</v>
      </c>
      <c r="K952" s="7">
        <f t="shared" si="142"/>
        <v>31499.999999999996</v>
      </c>
      <c r="L952" s="4">
        <v>50000</v>
      </c>
      <c r="M952" s="7">
        <f t="shared" si="143"/>
        <v>81500</v>
      </c>
      <c r="N952" s="2" t="s">
        <v>28</v>
      </c>
      <c r="O952" t="s">
        <v>69</v>
      </c>
      <c r="P952" s="2" t="s">
        <v>2368</v>
      </c>
      <c r="Q952" s="2">
        <v>5</v>
      </c>
      <c r="R952" s="2" t="s">
        <v>23</v>
      </c>
      <c r="S952" s="2" t="str">
        <f t="shared" si="144"/>
        <v>Rendah</v>
      </c>
      <c r="T952" s="2" t="str">
        <f t="shared" si="145"/>
        <v>FALSE</v>
      </c>
      <c r="U952" s="2" t="str">
        <f t="shared" si="146"/>
        <v>FALSE</v>
      </c>
      <c r="V952" s="2" t="b">
        <f t="shared" si="147"/>
        <v>0</v>
      </c>
      <c r="W952" s="2" t="b">
        <f t="shared" si="148"/>
        <v>0</v>
      </c>
      <c r="X952" s="2" t="b">
        <f t="shared" si="149"/>
        <v>0</v>
      </c>
    </row>
    <row r="953" spans="1:24" ht="10.5" customHeight="1">
      <c r="A953" s="2" t="s">
        <v>1328</v>
      </c>
      <c r="B953" s="3">
        <v>45837.605416666673</v>
      </c>
      <c r="C953" s="2" t="s">
        <v>1077</v>
      </c>
      <c r="D953" s="2" t="s">
        <v>133</v>
      </c>
      <c r="E953" s="2" t="s">
        <v>99</v>
      </c>
      <c r="F953" s="4">
        <v>10000</v>
      </c>
      <c r="G953" s="5">
        <v>0.8</v>
      </c>
      <c r="H953" s="6">
        <v>0</v>
      </c>
      <c r="I953" s="7">
        <f t="shared" si="140"/>
        <v>8000</v>
      </c>
      <c r="J953" s="7">
        <f t="shared" si="141"/>
        <v>0</v>
      </c>
      <c r="K953" s="7">
        <f t="shared" si="142"/>
        <v>8000</v>
      </c>
      <c r="L953" s="4">
        <v>50000</v>
      </c>
      <c r="M953" s="7">
        <f t="shared" si="143"/>
        <v>58000</v>
      </c>
      <c r="N953" s="2" t="s">
        <v>21</v>
      </c>
      <c r="O953" t="s">
        <v>22</v>
      </c>
      <c r="P953" s="2" t="s">
        <v>2368</v>
      </c>
      <c r="Q953" s="2">
        <v>5</v>
      </c>
      <c r="R953" s="2" t="s">
        <v>23</v>
      </c>
      <c r="S953" s="2" t="str">
        <f t="shared" si="144"/>
        <v>Rendah</v>
      </c>
      <c r="T953" s="2" t="str">
        <f t="shared" si="145"/>
        <v>FALSE</v>
      </c>
      <c r="U953" s="2" t="str">
        <f t="shared" si="146"/>
        <v>FALSE</v>
      </c>
      <c r="V953" s="2" t="b">
        <f t="shared" si="147"/>
        <v>0</v>
      </c>
      <c r="W953" s="2" t="b">
        <f t="shared" si="148"/>
        <v>0</v>
      </c>
      <c r="X953" s="2" t="b">
        <f t="shared" si="149"/>
        <v>0</v>
      </c>
    </row>
    <row r="954" spans="1:24" ht="10.5" customHeight="1">
      <c r="A954" s="2" t="s">
        <v>1329</v>
      </c>
      <c r="B954" s="3">
        <v>45837.672175925924</v>
      </c>
      <c r="C954" s="2" t="s">
        <v>513</v>
      </c>
      <c r="D954" s="2" t="s">
        <v>105</v>
      </c>
      <c r="E954" s="2" t="s">
        <v>99</v>
      </c>
      <c r="F954" s="4">
        <v>10000</v>
      </c>
      <c r="G954" s="5">
        <v>0.4</v>
      </c>
      <c r="H954" s="6">
        <v>0</v>
      </c>
      <c r="I954" s="7">
        <f t="shared" si="140"/>
        <v>4000</v>
      </c>
      <c r="J954" s="7">
        <f t="shared" si="141"/>
        <v>0</v>
      </c>
      <c r="K954" s="7">
        <f t="shared" si="142"/>
        <v>4000</v>
      </c>
      <c r="L954" s="4">
        <v>18000</v>
      </c>
      <c r="M954" s="7">
        <f t="shared" si="143"/>
        <v>22000</v>
      </c>
      <c r="N954" s="2" t="s">
        <v>28</v>
      </c>
      <c r="O954" t="s">
        <v>22</v>
      </c>
      <c r="P954" s="2" t="s">
        <v>2368</v>
      </c>
      <c r="Q954" s="2">
        <v>3</v>
      </c>
      <c r="R954" s="2" t="s">
        <v>23</v>
      </c>
      <c r="S954" s="2" t="str">
        <f t="shared" si="144"/>
        <v>Sangat Rendah</v>
      </c>
      <c r="T954" s="2" t="str">
        <f t="shared" si="145"/>
        <v>FALSE</v>
      </c>
      <c r="U954" s="2" t="str">
        <f t="shared" si="146"/>
        <v>FALSE</v>
      </c>
      <c r="V954" s="2" t="b">
        <f t="shared" si="147"/>
        <v>0</v>
      </c>
      <c r="W954" s="2" t="b">
        <f t="shared" si="148"/>
        <v>0</v>
      </c>
      <c r="X954" s="2" t="b">
        <f t="shared" si="149"/>
        <v>1</v>
      </c>
    </row>
    <row r="955" spans="1:24" ht="10.5" customHeight="1">
      <c r="A955" s="2" t="s">
        <v>1330</v>
      </c>
      <c r="B955" s="3">
        <v>45837.708796296298</v>
      </c>
      <c r="C955" s="2" t="s">
        <v>1331</v>
      </c>
      <c r="D955" s="2" t="s">
        <v>98</v>
      </c>
      <c r="E955" s="2" t="s">
        <v>95</v>
      </c>
      <c r="F955" s="4">
        <v>9500</v>
      </c>
      <c r="G955" s="5">
        <v>1.5</v>
      </c>
      <c r="H955" s="6">
        <v>0</v>
      </c>
      <c r="I955" s="7">
        <f t="shared" si="140"/>
        <v>14250</v>
      </c>
      <c r="J955" s="7">
        <f t="shared" si="141"/>
        <v>0</v>
      </c>
      <c r="K955" s="7">
        <f t="shared" si="142"/>
        <v>14250</v>
      </c>
      <c r="L955" s="4">
        <v>97000</v>
      </c>
      <c r="M955" s="7">
        <f t="shared" si="143"/>
        <v>111250</v>
      </c>
      <c r="N955" s="2" t="s">
        <v>28</v>
      </c>
      <c r="O955" t="s">
        <v>115</v>
      </c>
      <c r="P955" s="2" t="s">
        <v>2365</v>
      </c>
      <c r="Q955" s="2">
        <v>5</v>
      </c>
      <c r="R955" s="2" t="s">
        <v>34</v>
      </c>
      <c r="S955" s="2" t="str">
        <f t="shared" si="144"/>
        <v>Standar</v>
      </c>
      <c r="T955" s="2" t="str">
        <f t="shared" si="145"/>
        <v>FALSE</v>
      </c>
      <c r="U955" s="2" t="str">
        <f t="shared" si="146"/>
        <v>FALSE</v>
      </c>
      <c r="V955" s="2" t="b">
        <f t="shared" si="147"/>
        <v>0</v>
      </c>
      <c r="W955" s="2" t="b">
        <f t="shared" si="148"/>
        <v>0</v>
      </c>
      <c r="X955" s="2" t="b">
        <f t="shared" si="149"/>
        <v>0</v>
      </c>
    </row>
    <row r="956" spans="1:24" ht="10.5" customHeight="1">
      <c r="A956" s="2" t="s">
        <v>1332</v>
      </c>
      <c r="B956" s="3">
        <v>45837.767118055563</v>
      </c>
      <c r="C956" s="2" t="s">
        <v>498</v>
      </c>
      <c r="D956" s="2" t="s">
        <v>19</v>
      </c>
      <c r="E956" s="2" t="s">
        <v>49</v>
      </c>
      <c r="F956" s="4">
        <v>26000</v>
      </c>
      <c r="G956" s="5">
        <v>1.5</v>
      </c>
      <c r="H956" s="6">
        <v>0</v>
      </c>
      <c r="I956" s="7">
        <f t="shared" si="140"/>
        <v>39000</v>
      </c>
      <c r="J956" s="7">
        <f t="shared" si="141"/>
        <v>0</v>
      </c>
      <c r="K956" s="7">
        <f t="shared" si="142"/>
        <v>39000</v>
      </c>
      <c r="L956" s="4">
        <v>15000</v>
      </c>
      <c r="M956" s="7">
        <f t="shared" si="143"/>
        <v>54000</v>
      </c>
      <c r="N956" s="2" t="s">
        <v>21</v>
      </c>
      <c r="O956" t="s">
        <v>22</v>
      </c>
      <c r="P956" s="2" t="s">
        <v>2367</v>
      </c>
      <c r="Q956" s="2">
        <v>3</v>
      </c>
      <c r="R956" s="2" t="s">
        <v>34</v>
      </c>
      <c r="S956" s="2" t="str">
        <f t="shared" si="144"/>
        <v>Rendah</v>
      </c>
      <c r="T956" s="2" t="str">
        <f t="shared" si="145"/>
        <v>FALSE</v>
      </c>
      <c r="U956" s="2" t="str">
        <f t="shared" si="146"/>
        <v>FALSE</v>
      </c>
      <c r="V956" s="2" t="b">
        <f t="shared" si="147"/>
        <v>0</v>
      </c>
      <c r="W956" s="2" t="b">
        <f t="shared" si="148"/>
        <v>1</v>
      </c>
      <c r="X956" s="2" t="b">
        <f t="shared" si="149"/>
        <v>0</v>
      </c>
    </row>
    <row r="957" spans="1:24" ht="10.5" customHeight="1">
      <c r="A957" s="2" t="s">
        <v>1333</v>
      </c>
      <c r="B957" s="3">
        <v>45837.785266203697</v>
      </c>
      <c r="C957" s="2" t="s">
        <v>539</v>
      </c>
      <c r="D957" s="2" t="s">
        <v>98</v>
      </c>
      <c r="E957" s="2" t="s">
        <v>161</v>
      </c>
      <c r="F957" s="4">
        <v>115000</v>
      </c>
      <c r="G957" s="5">
        <v>0.4</v>
      </c>
      <c r="H957" s="6">
        <v>0</v>
      </c>
      <c r="I957" s="7">
        <f t="shared" si="140"/>
        <v>46000</v>
      </c>
      <c r="J957" s="7">
        <f t="shared" si="141"/>
        <v>0</v>
      </c>
      <c r="K957" s="7">
        <f t="shared" si="142"/>
        <v>46000</v>
      </c>
      <c r="L957" s="4">
        <v>97000</v>
      </c>
      <c r="M957" s="7">
        <f t="shared" si="143"/>
        <v>143000</v>
      </c>
      <c r="N957" s="2" t="s">
        <v>21</v>
      </c>
      <c r="O957" t="s">
        <v>22</v>
      </c>
      <c r="P957" s="2" t="s">
        <v>2368</v>
      </c>
      <c r="Q957" s="2">
        <v>4</v>
      </c>
      <c r="R957" s="2" t="s">
        <v>23</v>
      </c>
      <c r="S957" s="2" t="str">
        <f t="shared" si="144"/>
        <v>Standar</v>
      </c>
      <c r="T957" s="2" t="str">
        <f t="shared" si="145"/>
        <v>FALSE</v>
      </c>
      <c r="U957" s="2" t="str">
        <f t="shared" si="146"/>
        <v>FALSE</v>
      </c>
      <c r="V957" s="2" t="b">
        <f t="shared" si="147"/>
        <v>0</v>
      </c>
      <c r="W957" s="2" t="b">
        <f t="shared" si="148"/>
        <v>0</v>
      </c>
      <c r="X957" s="2" t="b">
        <f t="shared" si="149"/>
        <v>0</v>
      </c>
    </row>
    <row r="958" spans="1:24" ht="10.5" customHeight="1">
      <c r="A958" s="2" t="s">
        <v>1334</v>
      </c>
      <c r="B958" s="3">
        <v>45837.817326388889</v>
      </c>
      <c r="C958" s="2" t="s">
        <v>644</v>
      </c>
      <c r="D958" s="2" t="s">
        <v>365</v>
      </c>
      <c r="E958" s="2" t="s">
        <v>65</v>
      </c>
      <c r="F958" s="4">
        <v>46000</v>
      </c>
      <c r="G958" s="5">
        <v>0.8</v>
      </c>
      <c r="H958" s="6">
        <v>0</v>
      </c>
      <c r="I958" s="7">
        <f t="shared" si="140"/>
        <v>36800</v>
      </c>
      <c r="J958" s="7">
        <f t="shared" si="141"/>
        <v>0</v>
      </c>
      <c r="K958" s="7">
        <f t="shared" si="142"/>
        <v>36800</v>
      </c>
      <c r="L958" s="4">
        <v>21000</v>
      </c>
      <c r="M958" s="7">
        <f t="shared" si="143"/>
        <v>57800</v>
      </c>
      <c r="N958" s="2" t="s">
        <v>21</v>
      </c>
      <c r="O958" t="s">
        <v>22</v>
      </c>
      <c r="P958" s="2" t="s">
        <v>2368</v>
      </c>
      <c r="Q958" s="2">
        <v>2</v>
      </c>
      <c r="R958" s="2" t="s">
        <v>23</v>
      </c>
      <c r="S958" s="2" t="str">
        <f t="shared" si="144"/>
        <v>Rendah</v>
      </c>
      <c r="T958" s="2" t="str">
        <f t="shared" si="145"/>
        <v>FALSE</v>
      </c>
      <c r="U958" s="2" t="str">
        <f t="shared" si="146"/>
        <v>FALSE</v>
      </c>
      <c r="V958" s="2" t="b">
        <f t="shared" si="147"/>
        <v>0</v>
      </c>
      <c r="W958" s="2" t="b">
        <f t="shared" si="148"/>
        <v>0</v>
      </c>
      <c r="X958" s="2" t="b">
        <f t="shared" si="149"/>
        <v>0</v>
      </c>
    </row>
    <row r="959" spans="1:24" ht="10.5" customHeight="1">
      <c r="A959" s="2" t="s">
        <v>1335</v>
      </c>
      <c r="B959" s="3">
        <v>45837.851689814823</v>
      </c>
      <c r="C959" s="2" t="s">
        <v>824</v>
      </c>
      <c r="D959" s="2" t="s">
        <v>167</v>
      </c>
      <c r="E959" s="2" t="s">
        <v>32</v>
      </c>
      <c r="F959" s="4">
        <v>20000</v>
      </c>
      <c r="G959" s="5">
        <v>1.9</v>
      </c>
      <c r="H959" s="6">
        <v>0</v>
      </c>
      <c r="I959" s="7">
        <f t="shared" si="140"/>
        <v>38000</v>
      </c>
      <c r="J959" s="7">
        <f t="shared" si="141"/>
        <v>0</v>
      </c>
      <c r="K959" s="7">
        <f t="shared" si="142"/>
        <v>38000</v>
      </c>
      <c r="L959" s="4">
        <v>56000</v>
      </c>
      <c r="M959" s="7">
        <f t="shared" si="143"/>
        <v>94000</v>
      </c>
      <c r="N959" s="2" t="s">
        <v>21</v>
      </c>
      <c r="O959" t="s">
        <v>22</v>
      </c>
      <c r="P959" s="2" t="s">
        <v>2370</v>
      </c>
      <c r="Q959" s="2">
        <v>4</v>
      </c>
      <c r="R959" s="2" t="s">
        <v>34</v>
      </c>
      <c r="S959" s="2" t="str">
        <f t="shared" si="144"/>
        <v>Rendah</v>
      </c>
      <c r="T959" s="2" t="str">
        <f t="shared" si="145"/>
        <v>FALSE</v>
      </c>
      <c r="U959" s="2" t="str">
        <f t="shared" si="146"/>
        <v>FALSE</v>
      </c>
      <c r="V959" s="2" t="b">
        <f t="shared" si="147"/>
        <v>0</v>
      </c>
      <c r="W959" s="2" t="b">
        <f t="shared" si="148"/>
        <v>0</v>
      </c>
      <c r="X959" s="2" t="b">
        <f t="shared" si="149"/>
        <v>0</v>
      </c>
    </row>
    <row r="960" spans="1:24" ht="10.5" customHeight="1">
      <c r="A960" s="2" t="s">
        <v>1336</v>
      </c>
      <c r="B960" s="3">
        <v>45837.887013888889</v>
      </c>
      <c r="C960" s="2" t="s">
        <v>91</v>
      </c>
      <c r="D960" s="2" t="s">
        <v>61</v>
      </c>
      <c r="E960" s="2" t="s">
        <v>161</v>
      </c>
      <c r="F960" s="4">
        <v>115000</v>
      </c>
      <c r="G960" s="5">
        <v>0.5</v>
      </c>
      <c r="H960" s="6">
        <v>0</v>
      </c>
      <c r="I960" s="7">
        <f t="shared" si="140"/>
        <v>57500</v>
      </c>
      <c r="J960" s="7">
        <f t="shared" si="141"/>
        <v>0</v>
      </c>
      <c r="K960" s="7">
        <f t="shared" si="142"/>
        <v>57500</v>
      </c>
      <c r="L960" s="4">
        <v>59000</v>
      </c>
      <c r="M960" s="7">
        <f t="shared" si="143"/>
        <v>116500</v>
      </c>
      <c r="N960" s="2" t="s">
        <v>58</v>
      </c>
      <c r="O960" t="s">
        <v>22</v>
      </c>
      <c r="P960" s="2" t="s">
        <v>2366</v>
      </c>
      <c r="Q960" s="2">
        <v>4</v>
      </c>
      <c r="R960" s="2" t="s">
        <v>23</v>
      </c>
      <c r="S960" s="2" t="str">
        <f t="shared" si="144"/>
        <v>Standar</v>
      </c>
      <c r="T960" s="2" t="str">
        <f t="shared" si="145"/>
        <v>FALSE</v>
      </c>
      <c r="U960" s="2" t="str">
        <f t="shared" si="146"/>
        <v>FALSE</v>
      </c>
      <c r="V960" s="2" t="b">
        <f t="shared" si="147"/>
        <v>0</v>
      </c>
      <c r="W960" s="2" t="b">
        <f t="shared" si="148"/>
        <v>0</v>
      </c>
      <c r="X960" s="2" t="b">
        <f t="shared" si="149"/>
        <v>0</v>
      </c>
    </row>
    <row r="961" spans="1:24" ht="10.5" customHeight="1">
      <c r="A961" s="2" t="s">
        <v>1337</v>
      </c>
      <c r="B961" s="3">
        <v>45837.88858796296</v>
      </c>
      <c r="C961" s="2" t="s">
        <v>1338</v>
      </c>
      <c r="D961" s="2" t="s">
        <v>286</v>
      </c>
      <c r="E961" s="2" t="s">
        <v>161</v>
      </c>
      <c r="F961" s="4">
        <v>115000</v>
      </c>
      <c r="G961" s="5">
        <v>0.5</v>
      </c>
      <c r="H961" s="6">
        <v>0</v>
      </c>
      <c r="I961" s="7">
        <f t="shared" si="140"/>
        <v>57500</v>
      </c>
      <c r="J961" s="7">
        <f t="shared" si="141"/>
        <v>0</v>
      </c>
      <c r="K961" s="7">
        <f t="shared" si="142"/>
        <v>57500</v>
      </c>
      <c r="L961" s="4">
        <v>79000</v>
      </c>
      <c r="M961" s="7">
        <f t="shared" si="143"/>
        <v>136500</v>
      </c>
      <c r="N961" s="2" t="s">
        <v>28</v>
      </c>
      <c r="O961" t="s">
        <v>69</v>
      </c>
      <c r="P961" s="2" t="s">
        <v>2366</v>
      </c>
      <c r="Q961" s="2">
        <v>3</v>
      </c>
      <c r="R961" s="2" t="s">
        <v>23</v>
      </c>
      <c r="S961" s="2" t="str">
        <f t="shared" si="144"/>
        <v>Standar</v>
      </c>
      <c r="T961" s="2" t="str">
        <f t="shared" si="145"/>
        <v>FALSE</v>
      </c>
      <c r="U961" s="2" t="str">
        <f t="shared" si="146"/>
        <v>FALSE</v>
      </c>
      <c r="V961" s="2" t="b">
        <f t="shared" si="147"/>
        <v>0</v>
      </c>
      <c r="W961" s="2" t="b">
        <f t="shared" si="148"/>
        <v>0</v>
      </c>
      <c r="X961" s="2" t="b">
        <f t="shared" si="149"/>
        <v>0</v>
      </c>
    </row>
    <row r="962" spans="1:24" ht="10.5" customHeight="1">
      <c r="A962" s="2" t="s">
        <v>1339</v>
      </c>
      <c r="B962" s="3">
        <v>45838.286064814813</v>
      </c>
      <c r="C962" s="2" t="s">
        <v>364</v>
      </c>
      <c r="D962" s="2" t="s">
        <v>365</v>
      </c>
      <c r="E962" s="2" t="s">
        <v>32</v>
      </c>
      <c r="F962" s="4">
        <v>20000</v>
      </c>
      <c r="G962" s="5">
        <v>1.2</v>
      </c>
      <c r="H962" s="6">
        <v>0</v>
      </c>
      <c r="I962" s="7">
        <f t="shared" si="140"/>
        <v>24000</v>
      </c>
      <c r="J962" s="7">
        <f t="shared" si="141"/>
        <v>0</v>
      </c>
      <c r="K962" s="7">
        <f t="shared" si="142"/>
        <v>24000</v>
      </c>
      <c r="L962" s="4">
        <v>21000</v>
      </c>
      <c r="M962" s="7">
        <f t="shared" si="143"/>
        <v>45000</v>
      </c>
      <c r="N962" s="2" t="s">
        <v>28</v>
      </c>
      <c r="O962" t="s">
        <v>22</v>
      </c>
      <c r="P962" s="2" t="s">
        <v>2368</v>
      </c>
      <c r="Q962" s="2">
        <v>5</v>
      </c>
      <c r="R962" s="2" t="s">
        <v>34</v>
      </c>
      <c r="S962" s="2" t="str">
        <f t="shared" si="144"/>
        <v>Sangat Rendah</v>
      </c>
      <c r="T962" s="2" t="str">
        <f t="shared" si="145"/>
        <v>FALSE</v>
      </c>
      <c r="U962" s="2" t="str">
        <f t="shared" si="146"/>
        <v>FALSE</v>
      </c>
      <c r="V962" s="2" t="b">
        <f t="shared" si="147"/>
        <v>0</v>
      </c>
      <c r="W962" s="2" t="b">
        <f t="shared" si="148"/>
        <v>0</v>
      </c>
      <c r="X962" s="2" t="b">
        <f t="shared" si="149"/>
        <v>0</v>
      </c>
    </row>
    <row r="963" spans="1:24" ht="10.5" customHeight="1">
      <c r="A963" s="2" t="s">
        <v>1340</v>
      </c>
      <c r="B963" s="3">
        <v>45838.321620370371</v>
      </c>
      <c r="C963" s="2" t="s">
        <v>433</v>
      </c>
      <c r="D963" s="2" t="s">
        <v>48</v>
      </c>
      <c r="E963" s="2" t="s">
        <v>57</v>
      </c>
      <c r="F963" s="4">
        <v>17500</v>
      </c>
      <c r="G963" s="5">
        <v>2.5</v>
      </c>
      <c r="H963" s="6">
        <v>0</v>
      </c>
      <c r="I963" s="7">
        <f t="shared" si="140"/>
        <v>43750</v>
      </c>
      <c r="J963" s="7">
        <f t="shared" si="141"/>
        <v>0</v>
      </c>
      <c r="K963" s="7">
        <f t="shared" si="142"/>
        <v>43750</v>
      </c>
      <c r="L963" s="4">
        <v>18000</v>
      </c>
      <c r="M963" s="7">
        <f t="shared" si="143"/>
        <v>61750</v>
      </c>
      <c r="N963" s="2" t="s">
        <v>33</v>
      </c>
      <c r="O963" t="s">
        <v>115</v>
      </c>
      <c r="P963" s="2" t="s">
        <v>2365</v>
      </c>
      <c r="Q963" s="2">
        <v>1</v>
      </c>
      <c r="R963" s="2" t="s">
        <v>23</v>
      </c>
      <c r="S963" s="2" t="str">
        <f t="shared" si="144"/>
        <v>Rendah</v>
      </c>
      <c r="T963" s="2" t="str">
        <f t="shared" si="145"/>
        <v>FALSE</v>
      </c>
      <c r="U963" s="2" t="str">
        <f t="shared" si="146"/>
        <v>FALSE</v>
      </c>
      <c r="V963" s="2" t="b">
        <f t="shared" si="147"/>
        <v>0</v>
      </c>
      <c r="W963" s="2" t="b">
        <f t="shared" si="148"/>
        <v>0</v>
      </c>
      <c r="X963" s="2" t="b">
        <f t="shared" si="149"/>
        <v>0</v>
      </c>
    </row>
    <row r="964" spans="1:24" ht="10.5" customHeight="1">
      <c r="A964" s="2" t="s">
        <v>1341</v>
      </c>
      <c r="B964" s="3">
        <v>45838.397835648153</v>
      </c>
      <c r="C964" s="2" t="s">
        <v>912</v>
      </c>
      <c r="D964" s="2" t="s">
        <v>31</v>
      </c>
      <c r="E964" s="2" t="s">
        <v>143</v>
      </c>
      <c r="F964" s="4">
        <v>10000</v>
      </c>
      <c r="G964" s="5">
        <v>0.5</v>
      </c>
      <c r="H964" s="6">
        <v>0</v>
      </c>
      <c r="I964" s="7">
        <f t="shared" ref="I964:I1027" si="150">F964*G964</f>
        <v>5000</v>
      </c>
      <c r="J964" s="7">
        <f t="shared" ref="J964:J1027" si="151">I964*(H964/100)</f>
        <v>0</v>
      </c>
      <c r="K964" s="7">
        <f t="shared" ref="K964:K1027" si="152">I964-J964</f>
        <v>5000</v>
      </c>
      <c r="L964" s="4">
        <v>76000</v>
      </c>
      <c r="M964" s="7">
        <f t="shared" ref="M964:M1027" si="153">K964+L964</f>
        <v>81000</v>
      </c>
      <c r="N964" s="2" t="s">
        <v>28</v>
      </c>
      <c r="O964" t="s">
        <v>22</v>
      </c>
      <c r="P964" s="2" t="s">
        <v>2366</v>
      </c>
      <c r="Q964" s="2">
        <v>2</v>
      </c>
      <c r="R964" s="2" t="s">
        <v>34</v>
      </c>
      <c r="S964" s="2" t="str">
        <f t="shared" ref="S964:S1027" si="154">IF(M964&lt;=50000,"Sangat Rendah",IF(M964&lt;=100000,"Rendah",IF(M964&lt;=150000,"Standar",IF(M964&lt;=200000,"Tinggi","Sangat Tinggi"))))</f>
        <v>Rendah</v>
      </c>
      <c r="T964" s="2" t="str">
        <f t="shared" ref="T964:T1027" si="155">IF(AND(S964="Rendah",D964="Yogyakarta"),"TRUE","FALSE")</f>
        <v>FALSE</v>
      </c>
      <c r="U964" s="2" t="str">
        <f t="shared" ref="U964:U1027" si="156">IF(OR(S964="Tinggi",E964="Bayam"),"TRUE","FALSE")</f>
        <v>TRUE</v>
      </c>
      <c r="V964" s="2" t="b">
        <f t="shared" ref="V964:V1027" si="157">IF(AND(S964="Standar",N964="Transef Bank"),TRUE,FALSE)</f>
        <v>0</v>
      </c>
      <c r="W964" s="2" t="b">
        <f t="shared" ref="W964:W1027" si="158">IF(OR(S964="Sangat Tinggi",P964="FoodMart"),TRUE,FALSE)</f>
        <v>0</v>
      </c>
      <c r="X964" s="2" t="b">
        <f t="shared" ref="X964:X1027" si="159">IF(AND(S964="Sangat Rendah",R964="Perempuan"),TRUE,FALSE)</f>
        <v>0</v>
      </c>
    </row>
    <row r="965" spans="1:24" ht="10.5" customHeight="1">
      <c r="A965" s="2" t="s">
        <v>1342</v>
      </c>
      <c r="B965" s="3">
        <v>45838.399224537039</v>
      </c>
      <c r="C965" s="2" t="s">
        <v>409</v>
      </c>
      <c r="D965" s="2" t="s">
        <v>94</v>
      </c>
      <c r="E965" s="2" t="s">
        <v>75</v>
      </c>
      <c r="F965" s="4">
        <v>45000</v>
      </c>
      <c r="G965" s="5">
        <v>0.9</v>
      </c>
      <c r="H965" s="6">
        <v>0</v>
      </c>
      <c r="I965" s="7">
        <f t="shared" si="150"/>
        <v>40500</v>
      </c>
      <c r="J965" s="7">
        <f t="shared" si="151"/>
        <v>0</v>
      </c>
      <c r="K965" s="7">
        <f t="shared" si="152"/>
        <v>40500</v>
      </c>
      <c r="L965" s="4">
        <v>85000</v>
      </c>
      <c r="M965" s="7">
        <f t="shared" si="153"/>
        <v>125500</v>
      </c>
      <c r="N965" s="2" t="s">
        <v>28</v>
      </c>
      <c r="O965" t="s">
        <v>22</v>
      </c>
      <c r="P965" s="2" t="s">
        <v>2368</v>
      </c>
      <c r="Q965" s="2">
        <v>1</v>
      </c>
      <c r="R965" s="2" t="s">
        <v>34</v>
      </c>
      <c r="S965" s="2" t="str">
        <f t="shared" si="154"/>
        <v>Standar</v>
      </c>
      <c r="T965" s="2" t="str">
        <f t="shared" si="155"/>
        <v>FALSE</v>
      </c>
      <c r="U965" s="2" t="str">
        <f t="shared" si="156"/>
        <v>FALSE</v>
      </c>
      <c r="V965" s="2" t="b">
        <f t="shared" si="157"/>
        <v>0</v>
      </c>
      <c r="W965" s="2" t="b">
        <f t="shared" si="158"/>
        <v>0</v>
      </c>
      <c r="X965" s="2" t="b">
        <f t="shared" si="159"/>
        <v>0</v>
      </c>
    </row>
    <row r="966" spans="1:24" ht="10.5" customHeight="1">
      <c r="A966" s="2" t="s">
        <v>1343</v>
      </c>
      <c r="B966" s="3">
        <v>45838.43074074074</v>
      </c>
      <c r="C966" s="2" t="s">
        <v>1107</v>
      </c>
      <c r="D966" s="2" t="s">
        <v>118</v>
      </c>
      <c r="E966" s="2" t="s">
        <v>27</v>
      </c>
      <c r="F966" s="4">
        <v>15000</v>
      </c>
      <c r="G966" s="5">
        <v>0.2</v>
      </c>
      <c r="H966" s="6">
        <v>0</v>
      </c>
      <c r="I966" s="7">
        <f t="shared" si="150"/>
        <v>3000</v>
      </c>
      <c r="J966" s="7">
        <f t="shared" si="151"/>
        <v>0</v>
      </c>
      <c r="K966" s="7">
        <f t="shared" si="152"/>
        <v>3000</v>
      </c>
      <c r="L966" s="4">
        <v>84000</v>
      </c>
      <c r="M966" s="7">
        <f t="shared" si="153"/>
        <v>87000</v>
      </c>
      <c r="N966" s="2" t="s">
        <v>33</v>
      </c>
      <c r="O966" t="s">
        <v>22</v>
      </c>
      <c r="P966" s="2" t="s">
        <v>2366</v>
      </c>
      <c r="Q966" s="2">
        <v>1</v>
      </c>
      <c r="R966" s="2" t="s">
        <v>23</v>
      </c>
      <c r="S966" s="2" t="str">
        <f t="shared" si="154"/>
        <v>Rendah</v>
      </c>
      <c r="T966" s="2" t="str">
        <f t="shared" si="155"/>
        <v>FALSE</v>
      </c>
      <c r="U966" s="2" t="str">
        <f t="shared" si="156"/>
        <v>FALSE</v>
      </c>
      <c r="V966" s="2" t="b">
        <f t="shared" si="157"/>
        <v>0</v>
      </c>
      <c r="W966" s="2" t="b">
        <f t="shared" si="158"/>
        <v>0</v>
      </c>
      <c r="X966" s="2" t="b">
        <f t="shared" si="159"/>
        <v>0</v>
      </c>
    </row>
    <row r="967" spans="1:24" ht="10.5" customHeight="1">
      <c r="A967" s="2" t="s">
        <v>1344</v>
      </c>
      <c r="B967" s="3">
        <v>45838.464270833327</v>
      </c>
      <c r="C967" s="2" t="s">
        <v>200</v>
      </c>
      <c r="D967" s="2" t="s">
        <v>133</v>
      </c>
      <c r="E967" s="2" t="s">
        <v>190</v>
      </c>
      <c r="F967" s="4">
        <v>15500</v>
      </c>
      <c r="G967" s="5">
        <v>0.5</v>
      </c>
      <c r="H967" s="6">
        <v>0</v>
      </c>
      <c r="I967" s="7">
        <f t="shared" si="150"/>
        <v>7750</v>
      </c>
      <c r="J967" s="7">
        <f t="shared" si="151"/>
        <v>0</v>
      </c>
      <c r="K967" s="7">
        <f t="shared" si="152"/>
        <v>7750</v>
      </c>
      <c r="L967" s="4">
        <v>50000</v>
      </c>
      <c r="M967" s="7">
        <f t="shared" si="153"/>
        <v>57750</v>
      </c>
      <c r="N967" s="2" t="s">
        <v>21</v>
      </c>
      <c r="O967" t="s">
        <v>22</v>
      </c>
      <c r="P967" s="2" t="s">
        <v>2368</v>
      </c>
      <c r="Q967" s="2">
        <v>5</v>
      </c>
      <c r="R967" s="2" t="s">
        <v>34</v>
      </c>
      <c r="S967" s="2" t="str">
        <f t="shared" si="154"/>
        <v>Rendah</v>
      </c>
      <c r="T967" s="2" t="str">
        <f t="shared" si="155"/>
        <v>FALSE</v>
      </c>
      <c r="U967" s="2" t="str">
        <f t="shared" si="156"/>
        <v>FALSE</v>
      </c>
      <c r="V967" s="2" t="b">
        <f t="shared" si="157"/>
        <v>0</v>
      </c>
      <c r="W967" s="2" t="b">
        <f t="shared" si="158"/>
        <v>0</v>
      </c>
      <c r="X967" s="2" t="b">
        <f t="shared" si="159"/>
        <v>0</v>
      </c>
    </row>
    <row r="968" spans="1:24" ht="10.5" customHeight="1">
      <c r="A968" s="2" t="s">
        <v>1345</v>
      </c>
      <c r="B968" s="3">
        <v>45838.470034722217</v>
      </c>
      <c r="C968" s="2" t="s">
        <v>67</v>
      </c>
      <c r="D968" s="2" t="s">
        <v>68</v>
      </c>
      <c r="E968" s="2" t="s">
        <v>49</v>
      </c>
      <c r="F968" s="4">
        <v>26000</v>
      </c>
      <c r="G968" s="5">
        <v>0.9</v>
      </c>
      <c r="H968" s="6">
        <v>0</v>
      </c>
      <c r="I968" s="7">
        <f t="shared" si="150"/>
        <v>23400</v>
      </c>
      <c r="J968" s="7">
        <f t="shared" si="151"/>
        <v>0</v>
      </c>
      <c r="K968" s="7">
        <f t="shared" si="152"/>
        <v>23400</v>
      </c>
      <c r="L968" s="4">
        <v>87000</v>
      </c>
      <c r="M968" s="7">
        <f t="shared" si="153"/>
        <v>110400</v>
      </c>
      <c r="N968" s="2" t="s">
        <v>58</v>
      </c>
      <c r="O968" t="s">
        <v>22</v>
      </c>
      <c r="P968" s="2" t="s">
        <v>2365</v>
      </c>
      <c r="Q968" s="2">
        <v>4</v>
      </c>
      <c r="R968" s="2" t="s">
        <v>23</v>
      </c>
      <c r="S968" s="2" t="str">
        <f t="shared" si="154"/>
        <v>Standar</v>
      </c>
      <c r="T968" s="2" t="str">
        <f t="shared" si="155"/>
        <v>FALSE</v>
      </c>
      <c r="U968" s="2" t="str">
        <f t="shared" si="156"/>
        <v>FALSE</v>
      </c>
      <c r="V968" s="2" t="b">
        <f t="shared" si="157"/>
        <v>0</v>
      </c>
      <c r="W968" s="2" t="b">
        <f t="shared" si="158"/>
        <v>0</v>
      </c>
      <c r="X968" s="2" t="b">
        <f t="shared" si="159"/>
        <v>0</v>
      </c>
    </row>
    <row r="969" spans="1:24" ht="10.5" customHeight="1">
      <c r="A969" s="2" t="s">
        <v>1346</v>
      </c>
      <c r="B969" s="3">
        <v>45838.474178240736</v>
      </c>
      <c r="C969" s="2" t="s">
        <v>547</v>
      </c>
      <c r="D969" s="2" t="s">
        <v>164</v>
      </c>
      <c r="E969" s="2" t="s">
        <v>143</v>
      </c>
      <c r="F969" s="4">
        <v>10000</v>
      </c>
      <c r="G969" s="5">
        <v>0.9</v>
      </c>
      <c r="H969" s="6">
        <v>0</v>
      </c>
      <c r="I969" s="7">
        <f t="shared" si="150"/>
        <v>9000</v>
      </c>
      <c r="J969" s="7">
        <f t="shared" si="151"/>
        <v>0</v>
      </c>
      <c r="K969" s="7">
        <f t="shared" si="152"/>
        <v>9000</v>
      </c>
      <c r="L969" s="4">
        <v>49000</v>
      </c>
      <c r="M969" s="7">
        <f t="shared" si="153"/>
        <v>58000</v>
      </c>
      <c r="N969" s="2" t="s">
        <v>21</v>
      </c>
      <c r="O969" t="s">
        <v>22</v>
      </c>
      <c r="P969" s="2" t="s">
        <v>2366</v>
      </c>
      <c r="Q969" s="2">
        <v>3</v>
      </c>
      <c r="R969" s="2" t="s">
        <v>23</v>
      </c>
      <c r="S969" s="2" t="str">
        <f t="shared" si="154"/>
        <v>Rendah</v>
      </c>
      <c r="T969" s="2" t="str">
        <f t="shared" si="155"/>
        <v>FALSE</v>
      </c>
      <c r="U969" s="2" t="str">
        <f t="shared" si="156"/>
        <v>TRUE</v>
      </c>
      <c r="V969" s="2" t="b">
        <f t="shared" si="157"/>
        <v>0</v>
      </c>
      <c r="W969" s="2" t="b">
        <f t="shared" si="158"/>
        <v>0</v>
      </c>
      <c r="X969" s="2" t="b">
        <f t="shared" si="159"/>
        <v>0</v>
      </c>
    </row>
    <row r="970" spans="1:24" ht="10.5" customHeight="1">
      <c r="A970" s="2" t="s">
        <v>1347</v>
      </c>
      <c r="B970" s="3">
        <v>45838.499884259261</v>
      </c>
      <c r="C970" s="2" t="s">
        <v>451</v>
      </c>
      <c r="D970" s="2" t="s">
        <v>84</v>
      </c>
      <c r="E970" s="2" t="s">
        <v>99</v>
      </c>
      <c r="F970" s="4">
        <v>10000</v>
      </c>
      <c r="G970" s="5">
        <v>0.6</v>
      </c>
      <c r="H970" s="6">
        <v>0</v>
      </c>
      <c r="I970" s="7">
        <f t="shared" si="150"/>
        <v>6000</v>
      </c>
      <c r="J970" s="7">
        <f t="shared" si="151"/>
        <v>0</v>
      </c>
      <c r="K970" s="7">
        <f t="shared" si="152"/>
        <v>6000</v>
      </c>
      <c r="L970" s="4">
        <v>30000</v>
      </c>
      <c r="M970" s="7">
        <f t="shared" si="153"/>
        <v>36000</v>
      </c>
      <c r="N970" s="2" t="s">
        <v>21</v>
      </c>
      <c r="O970" t="s">
        <v>22</v>
      </c>
      <c r="P970" s="2" t="s">
        <v>2370</v>
      </c>
      <c r="Q970" s="2">
        <v>5</v>
      </c>
      <c r="R970" s="2" t="s">
        <v>34</v>
      </c>
      <c r="S970" s="2" t="str">
        <f t="shared" si="154"/>
        <v>Sangat Rendah</v>
      </c>
      <c r="T970" s="2" t="str">
        <f t="shared" si="155"/>
        <v>FALSE</v>
      </c>
      <c r="U970" s="2" t="str">
        <f t="shared" si="156"/>
        <v>FALSE</v>
      </c>
      <c r="V970" s="2" t="b">
        <f t="shared" si="157"/>
        <v>0</v>
      </c>
      <c r="W970" s="2" t="b">
        <f t="shared" si="158"/>
        <v>0</v>
      </c>
      <c r="X970" s="2" t="b">
        <f t="shared" si="159"/>
        <v>0</v>
      </c>
    </row>
    <row r="971" spans="1:24" ht="10.5" customHeight="1">
      <c r="A971" s="2" t="s">
        <v>1348</v>
      </c>
      <c r="B971" s="3">
        <v>45838.553796296299</v>
      </c>
      <c r="C971" s="2" t="s">
        <v>1349</v>
      </c>
      <c r="D971" s="2" t="s">
        <v>365</v>
      </c>
      <c r="E971" s="2" t="s">
        <v>35</v>
      </c>
      <c r="F971" s="4">
        <v>13500</v>
      </c>
      <c r="G971" s="5">
        <v>2.8</v>
      </c>
      <c r="H971" s="6">
        <v>0</v>
      </c>
      <c r="I971" s="7">
        <f t="shared" si="150"/>
        <v>37800</v>
      </c>
      <c r="J971" s="7">
        <f t="shared" si="151"/>
        <v>0</v>
      </c>
      <c r="K971" s="7">
        <f t="shared" si="152"/>
        <v>37800</v>
      </c>
      <c r="L971" s="4">
        <v>21000</v>
      </c>
      <c r="M971" s="7">
        <f t="shared" si="153"/>
        <v>58800</v>
      </c>
      <c r="N971" s="2" t="s">
        <v>21</v>
      </c>
      <c r="O971" t="s">
        <v>22</v>
      </c>
      <c r="P971" s="2" t="s">
        <v>2365</v>
      </c>
      <c r="Q971" s="2">
        <v>5</v>
      </c>
      <c r="R971" s="2" t="s">
        <v>23</v>
      </c>
      <c r="S971" s="2" t="str">
        <f t="shared" si="154"/>
        <v>Rendah</v>
      </c>
      <c r="T971" s="2" t="str">
        <f t="shared" si="155"/>
        <v>FALSE</v>
      </c>
      <c r="U971" s="2" t="str">
        <f t="shared" si="156"/>
        <v>FALSE</v>
      </c>
      <c r="V971" s="2" t="b">
        <f t="shared" si="157"/>
        <v>0</v>
      </c>
      <c r="W971" s="2" t="b">
        <f t="shared" si="158"/>
        <v>0</v>
      </c>
      <c r="X971" s="2" t="b">
        <f t="shared" si="159"/>
        <v>0</v>
      </c>
    </row>
    <row r="972" spans="1:24" ht="10.5" customHeight="1">
      <c r="A972" s="2" t="s">
        <v>1350</v>
      </c>
      <c r="B972" s="3">
        <v>45838.569351851853</v>
      </c>
      <c r="C972" s="2" t="s">
        <v>639</v>
      </c>
      <c r="D972" s="2" t="s">
        <v>167</v>
      </c>
      <c r="E972" s="2" t="s">
        <v>41</v>
      </c>
      <c r="F972" s="4">
        <v>40000</v>
      </c>
      <c r="G972" s="5">
        <v>0.4</v>
      </c>
      <c r="H972" s="6">
        <v>0</v>
      </c>
      <c r="I972" s="7">
        <f t="shared" si="150"/>
        <v>16000</v>
      </c>
      <c r="J972" s="7">
        <f t="shared" si="151"/>
        <v>0</v>
      </c>
      <c r="K972" s="7">
        <f t="shared" si="152"/>
        <v>16000</v>
      </c>
      <c r="L972" s="4">
        <v>56000</v>
      </c>
      <c r="M972" s="7">
        <f t="shared" si="153"/>
        <v>72000</v>
      </c>
      <c r="N972" s="2" t="s">
        <v>28</v>
      </c>
      <c r="O972" t="s">
        <v>22</v>
      </c>
      <c r="P972" s="2" t="s">
        <v>2370</v>
      </c>
      <c r="Q972" s="2">
        <v>5</v>
      </c>
      <c r="R972" s="2" t="s">
        <v>23</v>
      </c>
      <c r="S972" s="2" t="str">
        <f t="shared" si="154"/>
        <v>Rendah</v>
      </c>
      <c r="T972" s="2" t="str">
        <f t="shared" si="155"/>
        <v>FALSE</v>
      </c>
      <c r="U972" s="2" t="str">
        <f t="shared" si="156"/>
        <v>FALSE</v>
      </c>
      <c r="V972" s="2" t="b">
        <f t="shared" si="157"/>
        <v>0</v>
      </c>
      <c r="W972" s="2" t="b">
        <f t="shared" si="158"/>
        <v>0</v>
      </c>
      <c r="X972" s="2" t="b">
        <f t="shared" si="159"/>
        <v>0</v>
      </c>
    </row>
    <row r="973" spans="1:24" ht="10.5" customHeight="1">
      <c r="A973" s="2" t="s">
        <v>1351</v>
      </c>
      <c r="B973" s="3">
        <v>45838.570057870369</v>
      </c>
      <c r="C973" s="2" t="s">
        <v>794</v>
      </c>
      <c r="D973" s="2" t="s">
        <v>44</v>
      </c>
      <c r="E973" s="2" t="s">
        <v>182</v>
      </c>
      <c r="F973" s="4">
        <v>11000</v>
      </c>
      <c r="G973" s="5">
        <v>2.2000000000000002</v>
      </c>
      <c r="H973" s="6">
        <v>0</v>
      </c>
      <c r="I973" s="7">
        <f t="shared" si="150"/>
        <v>24200.000000000004</v>
      </c>
      <c r="J973" s="7">
        <f t="shared" si="151"/>
        <v>0</v>
      </c>
      <c r="K973" s="7">
        <f t="shared" si="152"/>
        <v>24200.000000000004</v>
      </c>
      <c r="L973" s="4">
        <v>43000</v>
      </c>
      <c r="M973" s="7">
        <f t="shared" si="153"/>
        <v>67200</v>
      </c>
      <c r="N973" s="2" t="s">
        <v>21</v>
      </c>
      <c r="O973" t="s">
        <v>22</v>
      </c>
      <c r="P973" s="2" t="s">
        <v>2370</v>
      </c>
      <c r="Q973" s="2">
        <v>3</v>
      </c>
      <c r="R973" s="2" t="s">
        <v>23</v>
      </c>
      <c r="S973" s="2" t="str">
        <f t="shared" si="154"/>
        <v>Rendah</v>
      </c>
      <c r="T973" s="2" t="str">
        <f t="shared" si="155"/>
        <v>FALSE</v>
      </c>
      <c r="U973" s="2" t="str">
        <f t="shared" si="156"/>
        <v>FALSE</v>
      </c>
      <c r="V973" s="2" t="b">
        <f t="shared" si="157"/>
        <v>0</v>
      </c>
      <c r="W973" s="2" t="b">
        <f t="shared" si="158"/>
        <v>0</v>
      </c>
      <c r="X973" s="2" t="b">
        <f t="shared" si="159"/>
        <v>0</v>
      </c>
    </row>
    <row r="974" spans="1:24" ht="10.5" customHeight="1">
      <c r="A974" s="2" t="s">
        <v>1352</v>
      </c>
      <c r="B974" s="3">
        <v>45838.578530092593</v>
      </c>
      <c r="C974" s="2" t="s">
        <v>776</v>
      </c>
      <c r="D974" s="2" t="s">
        <v>98</v>
      </c>
      <c r="E974" s="2" t="s">
        <v>45</v>
      </c>
      <c r="F974" s="4">
        <v>10500</v>
      </c>
      <c r="G974" s="5">
        <v>2.6</v>
      </c>
      <c r="H974" s="6">
        <v>0</v>
      </c>
      <c r="I974" s="7">
        <f t="shared" si="150"/>
        <v>27300</v>
      </c>
      <c r="J974" s="7">
        <f t="shared" si="151"/>
        <v>0</v>
      </c>
      <c r="K974" s="7">
        <f t="shared" si="152"/>
        <v>27300</v>
      </c>
      <c r="L974" s="4">
        <v>97000</v>
      </c>
      <c r="M974" s="7">
        <f t="shared" si="153"/>
        <v>124300</v>
      </c>
      <c r="N974" s="2" t="s">
        <v>33</v>
      </c>
      <c r="O974" t="s">
        <v>22</v>
      </c>
      <c r="P974" s="2" t="s">
        <v>2365</v>
      </c>
      <c r="Q974" s="2">
        <v>3</v>
      </c>
      <c r="R974" s="2" t="s">
        <v>23</v>
      </c>
      <c r="S974" s="2" t="str">
        <f t="shared" si="154"/>
        <v>Standar</v>
      </c>
      <c r="T974" s="2" t="str">
        <f t="shared" si="155"/>
        <v>FALSE</v>
      </c>
      <c r="U974" s="2" t="str">
        <f t="shared" si="156"/>
        <v>FALSE</v>
      </c>
      <c r="V974" s="2" t="b">
        <f t="shared" si="157"/>
        <v>0</v>
      </c>
      <c r="W974" s="2" t="b">
        <f t="shared" si="158"/>
        <v>0</v>
      </c>
      <c r="X974" s="2" t="b">
        <f t="shared" si="159"/>
        <v>0</v>
      </c>
    </row>
    <row r="975" spans="1:24" ht="10.5" customHeight="1">
      <c r="A975" s="2" t="s">
        <v>1353</v>
      </c>
      <c r="B975" s="3">
        <v>45838.581597222219</v>
      </c>
      <c r="C975" s="2" t="s">
        <v>566</v>
      </c>
      <c r="D975" s="2" t="s">
        <v>52</v>
      </c>
      <c r="E975" s="2" t="s">
        <v>57</v>
      </c>
      <c r="F975" s="4">
        <v>17500</v>
      </c>
      <c r="G975" s="5">
        <v>3.6</v>
      </c>
      <c r="H975" s="6">
        <v>0</v>
      </c>
      <c r="I975" s="7">
        <f t="shared" si="150"/>
        <v>63000</v>
      </c>
      <c r="J975" s="7">
        <f t="shared" si="151"/>
        <v>0</v>
      </c>
      <c r="K975" s="7">
        <f t="shared" si="152"/>
        <v>63000</v>
      </c>
      <c r="L975" s="4">
        <v>80000</v>
      </c>
      <c r="M975" s="7">
        <f t="shared" si="153"/>
        <v>143000</v>
      </c>
      <c r="N975" s="2" t="s">
        <v>28</v>
      </c>
      <c r="O975" t="s">
        <v>115</v>
      </c>
      <c r="P975" s="2" t="s">
        <v>2365</v>
      </c>
      <c r="Q975" s="2">
        <v>3</v>
      </c>
      <c r="R975" s="2" t="s">
        <v>34</v>
      </c>
      <c r="S975" s="2" t="str">
        <f t="shared" si="154"/>
        <v>Standar</v>
      </c>
      <c r="T975" s="2" t="str">
        <f t="shared" si="155"/>
        <v>FALSE</v>
      </c>
      <c r="U975" s="2" t="str">
        <f t="shared" si="156"/>
        <v>FALSE</v>
      </c>
      <c r="V975" s="2" t="b">
        <f t="shared" si="157"/>
        <v>0</v>
      </c>
      <c r="W975" s="2" t="b">
        <f t="shared" si="158"/>
        <v>0</v>
      </c>
      <c r="X975" s="2" t="b">
        <f t="shared" si="159"/>
        <v>0</v>
      </c>
    </row>
    <row r="976" spans="1:24" ht="10.5" customHeight="1">
      <c r="A976" s="2" t="s">
        <v>1354</v>
      </c>
      <c r="B976" s="3">
        <v>45838.603067129632</v>
      </c>
      <c r="C976" s="2" t="s">
        <v>846</v>
      </c>
      <c r="D976" s="2" t="s">
        <v>235</v>
      </c>
      <c r="E976" s="2" t="s">
        <v>53</v>
      </c>
      <c r="F976" s="4">
        <v>14000</v>
      </c>
      <c r="G976" s="5">
        <v>1.2</v>
      </c>
      <c r="H976" s="6">
        <v>0</v>
      </c>
      <c r="I976" s="7">
        <f t="shared" si="150"/>
        <v>16800</v>
      </c>
      <c r="J976" s="7">
        <f t="shared" si="151"/>
        <v>0</v>
      </c>
      <c r="K976" s="7">
        <f t="shared" si="152"/>
        <v>16800</v>
      </c>
      <c r="L976" s="4">
        <v>80000</v>
      </c>
      <c r="M976" s="7">
        <f t="shared" si="153"/>
        <v>96800</v>
      </c>
      <c r="N976" s="2" t="s">
        <v>58</v>
      </c>
      <c r="O976" t="s">
        <v>69</v>
      </c>
      <c r="P976" s="2" t="s">
        <v>2365</v>
      </c>
      <c r="Q976" s="2">
        <v>5</v>
      </c>
      <c r="R976" s="2" t="s">
        <v>23</v>
      </c>
      <c r="S976" s="2" t="str">
        <f t="shared" si="154"/>
        <v>Rendah</v>
      </c>
      <c r="T976" s="2" t="str">
        <f t="shared" si="155"/>
        <v>FALSE</v>
      </c>
      <c r="U976" s="2" t="str">
        <f t="shared" si="156"/>
        <v>FALSE</v>
      </c>
      <c r="V976" s="2" t="b">
        <f t="shared" si="157"/>
        <v>0</v>
      </c>
      <c r="W976" s="2" t="b">
        <f t="shared" si="158"/>
        <v>0</v>
      </c>
      <c r="X976" s="2" t="b">
        <f t="shared" si="159"/>
        <v>0</v>
      </c>
    </row>
    <row r="977" spans="1:24" ht="10.5" customHeight="1">
      <c r="A977" s="2" t="s">
        <v>1355</v>
      </c>
      <c r="B977" s="3">
        <v>45838.617071759261</v>
      </c>
      <c r="C977" s="2" t="s">
        <v>1356</v>
      </c>
      <c r="D977" s="2" t="s">
        <v>118</v>
      </c>
      <c r="E977" s="2" t="s">
        <v>49</v>
      </c>
      <c r="F977" s="4">
        <v>26000</v>
      </c>
      <c r="G977" s="5">
        <v>0.5</v>
      </c>
      <c r="H977" s="6">
        <v>0</v>
      </c>
      <c r="I977" s="7">
        <f t="shared" si="150"/>
        <v>13000</v>
      </c>
      <c r="J977" s="7">
        <f t="shared" si="151"/>
        <v>0</v>
      </c>
      <c r="K977" s="7">
        <f t="shared" si="152"/>
        <v>13000</v>
      </c>
      <c r="L977" s="4">
        <v>84000</v>
      </c>
      <c r="M977" s="7">
        <f t="shared" si="153"/>
        <v>97000</v>
      </c>
      <c r="N977" s="2" t="s">
        <v>28</v>
      </c>
      <c r="O977" t="s">
        <v>22</v>
      </c>
      <c r="P977" s="2" t="s">
        <v>2366</v>
      </c>
      <c r="Q977" s="2">
        <v>1</v>
      </c>
      <c r="R977" s="2" t="s">
        <v>23</v>
      </c>
      <c r="S977" s="2" t="str">
        <f t="shared" si="154"/>
        <v>Rendah</v>
      </c>
      <c r="T977" s="2" t="str">
        <f t="shared" si="155"/>
        <v>FALSE</v>
      </c>
      <c r="U977" s="2" t="str">
        <f t="shared" si="156"/>
        <v>FALSE</v>
      </c>
      <c r="V977" s="2" t="b">
        <f t="shared" si="157"/>
        <v>0</v>
      </c>
      <c r="W977" s="2" t="b">
        <f t="shared" si="158"/>
        <v>0</v>
      </c>
      <c r="X977" s="2" t="b">
        <f t="shared" si="159"/>
        <v>0</v>
      </c>
    </row>
    <row r="978" spans="1:24" ht="10.5" customHeight="1">
      <c r="A978" s="2" t="s">
        <v>1357</v>
      </c>
      <c r="B978" s="3">
        <v>45838.677812499998</v>
      </c>
      <c r="C978" s="2" t="s">
        <v>834</v>
      </c>
      <c r="D978" s="2" t="s">
        <v>111</v>
      </c>
      <c r="E978" s="2" t="s">
        <v>182</v>
      </c>
      <c r="F978" s="4">
        <v>11000</v>
      </c>
      <c r="G978" s="5">
        <v>0.9</v>
      </c>
      <c r="H978" s="6">
        <v>0</v>
      </c>
      <c r="I978" s="7">
        <f t="shared" si="150"/>
        <v>9900</v>
      </c>
      <c r="J978" s="7">
        <f t="shared" si="151"/>
        <v>0</v>
      </c>
      <c r="K978" s="7">
        <f t="shared" si="152"/>
        <v>9900</v>
      </c>
      <c r="L978" s="4">
        <v>0</v>
      </c>
      <c r="M978" s="7">
        <f t="shared" si="153"/>
        <v>9900</v>
      </c>
      <c r="N978" s="2" t="s">
        <v>33</v>
      </c>
      <c r="O978" t="s">
        <v>22</v>
      </c>
      <c r="P978" s="2" t="s">
        <v>2367</v>
      </c>
      <c r="Q978" s="2">
        <v>4</v>
      </c>
      <c r="R978" s="2" t="s">
        <v>23</v>
      </c>
      <c r="S978" s="2" t="str">
        <f t="shared" si="154"/>
        <v>Sangat Rendah</v>
      </c>
      <c r="T978" s="2" t="str">
        <f t="shared" si="155"/>
        <v>FALSE</v>
      </c>
      <c r="U978" s="2" t="str">
        <f t="shared" si="156"/>
        <v>FALSE</v>
      </c>
      <c r="V978" s="2" t="b">
        <f t="shared" si="157"/>
        <v>0</v>
      </c>
      <c r="W978" s="2" t="b">
        <f t="shared" si="158"/>
        <v>1</v>
      </c>
      <c r="X978" s="2" t="b">
        <f t="shared" si="159"/>
        <v>1</v>
      </c>
    </row>
    <row r="979" spans="1:24" ht="10.5" customHeight="1">
      <c r="A979" s="2" t="s">
        <v>1358</v>
      </c>
      <c r="B979" s="3">
        <v>45838.706273148149</v>
      </c>
      <c r="C979" s="2" t="s">
        <v>91</v>
      </c>
      <c r="D979" s="2" t="s">
        <v>61</v>
      </c>
      <c r="E979" s="2" t="s">
        <v>41</v>
      </c>
      <c r="F979" s="4">
        <v>40000</v>
      </c>
      <c r="G979" s="5">
        <v>0.5</v>
      </c>
      <c r="H979" s="6">
        <v>0</v>
      </c>
      <c r="I979" s="7">
        <f t="shared" si="150"/>
        <v>20000</v>
      </c>
      <c r="J979" s="7">
        <f t="shared" si="151"/>
        <v>0</v>
      </c>
      <c r="K979" s="7">
        <f t="shared" si="152"/>
        <v>20000</v>
      </c>
      <c r="L979" s="4">
        <v>59000</v>
      </c>
      <c r="M979" s="7">
        <f t="shared" si="153"/>
        <v>79000</v>
      </c>
      <c r="N979" s="2" t="s">
        <v>21</v>
      </c>
      <c r="O979" t="s">
        <v>22</v>
      </c>
      <c r="P979" s="2" t="s">
        <v>2366</v>
      </c>
      <c r="Q979" s="2">
        <v>2</v>
      </c>
      <c r="R979" s="2" t="s">
        <v>23</v>
      </c>
      <c r="S979" s="2" t="str">
        <f t="shared" si="154"/>
        <v>Rendah</v>
      </c>
      <c r="T979" s="2" t="str">
        <f t="shared" si="155"/>
        <v>FALSE</v>
      </c>
      <c r="U979" s="2" t="str">
        <f t="shared" si="156"/>
        <v>FALSE</v>
      </c>
      <c r="V979" s="2" t="b">
        <f t="shared" si="157"/>
        <v>0</v>
      </c>
      <c r="W979" s="2" t="b">
        <f t="shared" si="158"/>
        <v>0</v>
      </c>
      <c r="X979" s="2" t="b">
        <f t="shared" si="159"/>
        <v>0</v>
      </c>
    </row>
    <row r="980" spans="1:24" ht="10.5" customHeight="1">
      <c r="A980" s="2" t="s">
        <v>1359</v>
      </c>
      <c r="B980" s="3">
        <v>45838.734722222223</v>
      </c>
      <c r="C980" s="2" t="s">
        <v>467</v>
      </c>
      <c r="D980" s="2" t="s">
        <v>173</v>
      </c>
      <c r="E980" s="2" t="s">
        <v>20</v>
      </c>
      <c r="F980" s="4">
        <v>10000</v>
      </c>
      <c r="G980" s="5">
        <v>1.3</v>
      </c>
      <c r="H980" s="6">
        <v>0</v>
      </c>
      <c r="I980" s="7">
        <f t="shared" si="150"/>
        <v>13000</v>
      </c>
      <c r="J980" s="7">
        <f t="shared" si="151"/>
        <v>0</v>
      </c>
      <c r="K980" s="7">
        <f t="shared" si="152"/>
        <v>13000</v>
      </c>
      <c r="L980" s="4">
        <v>48000</v>
      </c>
      <c r="M980" s="7">
        <f t="shared" si="153"/>
        <v>61000</v>
      </c>
      <c r="N980" s="2" t="s">
        <v>33</v>
      </c>
      <c r="O980" t="s">
        <v>22</v>
      </c>
      <c r="P980" s="2" t="s">
        <v>2370</v>
      </c>
      <c r="Q980" s="2">
        <v>3</v>
      </c>
      <c r="R980" s="2" t="s">
        <v>23</v>
      </c>
      <c r="S980" s="2" t="str">
        <f t="shared" si="154"/>
        <v>Rendah</v>
      </c>
      <c r="T980" s="2" t="str">
        <f t="shared" si="155"/>
        <v>FALSE</v>
      </c>
      <c r="U980" s="2" t="str">
        <f t="shared" si="156"/>
        <v>FALSE</v>
      </c>
      <c r="V980" s="2" t="b">
        <f t="shared" si="157"/>
        <v>0</v>
      </c>
      <c r="W980" s="2" t="b">
        <f t="shared" si="158"/>
        <v>0</v>
      </c>
      <c r="X980" s="2" t="b">
        <f t="shared" si="159"/>
        <v>0</v>
      </c>
    </row>
    <row r="981" spans="1:24" ht="10.5" customHeight="1">
      <c r="A981" s="2" t="s">
        <v>1360</v>
      </c>
      <c r="B981" s="3">
        <v>45838.74355324074</v>
      </c>
      <c r="C981" s="2" t="s">
        <v>510</v>
      </c>
      <c r="D981" s="2" t="s">
        <v>94</v>
      </c>
      <c r="E981" s="2" t="s">
        <v>45</v>
      </c>
      <c r="F981" s="4">
        <v>10500</v>
      </c>
      <c r="G981" s="5">
        <v>2.8</v>
      </c>
      <c r="H981" s="6">
        <v>0</v>
      </c>
      <c r="I981" s="7">
        <f t="shared" si="150"/>
        <v>29399.999999999996</v>
      </c>
      <c r="J981" s="7">
        <f t="shared" si="151"/>
        <v>0</v>
      </c>
      <c r="K981" s="7">
        <f t="shared" si="152"/>
        <v>29399.999999999996</v>
      </c>
      <c r="L981" s="4">
        <v>85000</v>
      </c>
      <c r="M981" s="7">
        <f t="shared" si="153"/>
        <v>114400</v>
      </c>
      <c r="N981" s="2" t="s">
        <v>28</v>
      </c>
      <c r="O981" t="s">
        <v>22</v>
      </c>
      <c r="P981" s="2" t="s">
        <v>2366</v>
      </c>
      <c r="Q981" s="2">
        <v>4</v>
      </c>
      <c r="R981" s="2" t="s">
        <v>23</v>
      </c>
      <c r="S981" s="2" t="str">
        <f t="shared" si="154"/>
        <v>Standar</v>
      </c>
      <c r="T981" s="2" t="str">
        <f t="shared" si="155"/>
        <v>FALSE</v>
      </c>
      <c r="U981" s="2" t="str">
        <f t="shared" si="156"/>
        <v>FALSE</v>
      </c>
      <c r="V981" s="2" t="b">
        <f t="shared" si="157"/>
        <v>0</v>
      </c>
      <c r="W981" s="2" t="b">
        <f t="shared" si="158"/>
        <v>0</v>
      </c>
      <c r="X981" s="2" t="b">
        <f t="shared" si="159"/>
        <v>0</v>
      </c>
    </row>
    <row r="982" spans="1:24" ht="10.5" customHeight="1">
      <c r="A982" s="2" t="s">
        <v>1361</v>
      </c>
      <c r="B982" s="3">
        <v>45838.74554398148</v>
      </c>
      <c r="C982" s="2" t="s">
        <v>379</v>
      </c>
      <c r="D982" s="2" t="s">
        <v>173</v>
      </c>
      <c r="E982" s="2" t="s">
        <v>41</v>
      </c>
      <c r="F982" s="4">
        <v>40000</v>
      </c>
      <c r="G982" s="5">
        <v>0.8</v>
      </c>
      <c r="H982" s="6">
        <v>0</v>
      </c>
      <c r="I982" s="7">
        <f t="shared" si="150"/>
        <v>32000</v>
      </c>
      <c r="J982" s="7">
        <f t="shared" si="151"/>
        <v>0</v>
      </c>
      <c r="K982" s="7">
        <f t="shared" si="152"/>
        <v>32000</v>
      </c>
      <c r="L982" s="4">
        <v>48000</v>
      </c>
      <c r="M982" s="7">
        <f t="shared" si="153"/>
        <v>80000</v>
      </c>
      <c r="N982" s="2" t="s">
        <v>21</v>
      </c>
      <c r="O982" t="s">
        <v>22</v>
      </c>
      <c r="P982" s="2" t="s">
        <v>2365</v>
      </c>
      <c r="Q982" s="2">
        <v>1</v>
      </c>
      <c r="R982" s="2" t="s">
        <v>23</v>
      </c>
      <c r="S982" s="2" t="str">
        <f t="shared" si="154"/>
        <v>Rendah</v>
      </c>
      <c r="T982" s="2" t="str">
        <f t="shared" si="155"/>
        <v>FALSE</v>
      </c>
      <c r="U982" s="2" t="str">
        <f t="shared" si="156"/>
        <v>FALSE</v>
      </c>
      <c r="V982" s="2" t="b">
        <f t="shared" si="157"/>
        <v>0</v>
      </c>
      <c r="W982" s="2" t="b">
        <f t="shared" si="158"/>
        <v>0</v>
      </c>
      <c r="X982" s="2" t="b">
        <f t="shared" si="159"/>
        <v>0</v>
      </c>
    </row>
    <row r="983" spans="1:24" ht="10.5" customHeight="1">
      <c r="A983" s="2" t="s">
        <v>1362</v>
      </c>
      <c r="B983" s="3">
        <v>45838.809571759259</v>
      </c>
      <c r="C983" s="2" t="s">
        <v>520</v>
      </c>
      <c r="D983" s="2" t="s">
        <v>140</v>
      </c>
      <c r="E983" s="2" t="s">
        <v>35</v>
      </c>
      <c r="F983" s="4">
        <v>13500</v>
      </c>
      <c r="G983" s="5">
        <v>1.7</v>
      </c>
      <c r="H983" s="6">
        <v>0</v>
      </c>
      <c r="I983" s="7">
        <f t="shared" si="150"/>
        <v>22950</v>
      </c>
      <c r="J983" s="7">
        <f t="shared" si="151"/>
        <v>0</v>
      </c>
      <c r="K983" s="7">
        <f t="shared" si="152"/>
        <v>22950</v>
      </c>
      <c r="L983" s="4">
        <v>55000</v>
      </c>
      <c r="M983" s="7">
        <f t="shared" si="153"/>
        <v>77950</v>
      </c>
      <c r="N983" s="2" t="s">
        <v>21</v>
      </c>
      <c r="O983" t="s">
        <v>22</v>
      </c>
      <c r="P983" s="2" t="s">
        <v>2368</v>
      </c>
      <c r="Q983" s="2">
        <v>2</v>
      </c>
      <c r="R983" s="2" t="s">
        <v>23</v>
      </c>
      <c r="S983" s="2" t="str">
        <f t="shared" si="154"/>
        <v>Rendah</v>
      </c>
      <c r="T983" s="2" t="str">
        <f t="shared" si="155"/>
        <v>FALSE</v>
      </c>
      <c r="U983" s="2" t="str">
        <f t="shared" si="156"/>
        <v>FALSE</v>
      </c>
      <c r="V983" s="2" t="b">
        <f t="shared" si="157"/>
        <v>0</v>
      </c>
      <c r="W983" s="2" t="b">
        <f t="shared" si="158"/>
        <v>0</v>
      </c>
      <c r="X983" s="2" t="b">
        <f t="shared" si="159"/>
        <v>0</v>
      </c>
    </row>
    <row r="984" spans="1:24" ht="10.5" customHeight="1">
      <c r="A984" s="2" t="s">
        <v>1362</v>
      </c>
      <c r="B984" s="3">
        <v>45838.809571759259</v>
      </c>
      <c r="C984" s="2" t="s">
        <v>520</v>
      </c>
      <c r="D984" s="2" t="s">
        <v>140</v>
      </c>
      <c r="E984" s="2" t="s">
        <v>75</v>
      </c>
      <c r="F984" s="4">
        <v>45000</v>
      </c>
      <c r="G984" s="5">
        <v>1.3</v>
      </c>
      <c r="H984" s="6">
        <v>0</v>
      </c>
      <c r="I984" s="7">
        <f t="shared" si="150"/>
        <v>58500</v>
      </c>
      <c r="J984" s="7">
        <f t="shared" si="151"/>
        <v>0</v>
      </c>
      <c r="K984" s="7">
        <f t="shared" si="152"/>
        <v>58500</v>
      </c>
      <c r="L984" s="4">
        <v>0</v>
      </c>
      <c r="M984" s="7">
        <f t="shared" si="153"/>
        <v>58500</v>
      </c>
      <c r="N984" s="2" t="s">
        <v>21</v>
      </c>
      <c r="O984" t="s">
        <v>22</v>
      </c>
      <c r="P984" s="2" t="s">
        <v>2368</v>
      </c>
      <c r="Q984" s="2">
        <v>2</v>
      </c>
      <c r="R984" s="2" t="s">
        <v>23</v>
      </c>
      <c r="S984" s="2" t="str">
        <f t="shared" si="154"/>
        <v>Rendah</v>
      </c>
      <c r="T984" s="2" t="str">
        <f t="shared" si="155"/>
        <v>FALSE</v>
      </c>
      <c r="U984" s="2" t="str">
        <f t="shared" si="156"/>
        <v>FALSE</v>
      </c>
      <c r="V984" s="2" t="b">
        <f t="shared" si="157"/>
        <v>0</v>
      </c>
      <c r="W984" s="2" t="b">
        <f t="shared" si="158"/>
        <v>0</v>
      </c>
      <c r="X984" s="2" t="b">
        <f t="shared" si="159"/>
        <v>0</v>
      </c>
    </row>
    <row r="985" spans="1:24" ht="10.5" customHeight="1">
      <c r="A985" s="2" t="s">
        <v>1363</v>
      </c>
      <c r="B985" s="3">
        <v>45838.855752314812</v>
      </c>
      <c r="C985" s="2" t="s">
        <v>369</v>
      </c>
      <c r="D985" s="2" t="s">
        <v>26</v>
      </c>
      <c r="E985" s="2" t="s">
        <v>75</v>
      </c>
      <c r="F985" s="4">
        <v>45000</v>
      </c>
      <c r="G985" s="5">
        <v>2.2999999999999998</v>
      </c>
      <c r="H985" s="6">
        <v>0</v>
      </c>
      <c r="I985" s="7">
        <f t="shared" si="150"/>
        <v>103499.99999999999</v>
      </c>
      <c r="J985" s="7">
        <f t="shared" si="151"/>
        <v>0</v>
      </c>
      <c r="K985" s="7">
        <f t="shared" si="152"/>
        <v>103499.99999999999</v>
      </c>
      <c r="L985" s="4">
        <v>17000</v>
      </c>
      <c r="M985" s="7">
        <f t="shared" si="153"/>
        <v>120499.99999999999</v>
      </c>
      <c r="N985" s="2" t="s">
        <v>28</v>
      </c>
      <c r="O985" t="s">
        <v>69</v>
      </c>
      <c r="P985" s="2" t="s">
        <v>2370</v>
      </c>
      <c r="Q985" s="2">
        <v>1</v>
      </c>
      <c r="R985" s="2" t="s">
        <v>23</v>
      </c>
      <c r="S985" s="2" t="str">
        <f t="shared" si="154"/>
        <v>Standar</v>
      </c>
      <c r="T985" s="2" t="str">
        <f t="shared" si="155"/>
        <v>FALSE</v>
      </c>
      <c r="U985" s="2" t="str">
        <f t="shared" si="156"/>
        <v>FALSE</v>
      </c>
      <c r="V985" s="2" t="b">
        <f t="shared" si="157"/>
        <v>0</v>
      </c>
      <c r="W985" s="2" t="b">
        <f t="shared" si="158"/>
        <v>0</v>
      </c>
      <c r="X985" s="2" t="b">
        <f t="shared" si="159"/>
        <v>0</v>
      </c>
    </row>
    <row r="986" spans="1:24" ht="10.5" customHeight="1">
      <c r="A986" s="2" t="s">
        <v>1364</v>
      </c>
      <c r="B986" s="3">
        <v>45839.494259259263</v>
      </c>
      <c r="C986" s="2" t="s">
        <v>147</v>
      </c>
      <c r="D986" s="2" t="s">
        <v>19</v>
      </c>
      <c r="E986" s="2" t="s">
        <v>75</v>
      </c>
      <c r="F986" s="4">
        <v>45000</v>
      </c>
      <c r="G986" s="5">
        <v>1.6</v>
      </c>
      <c r="H986" s="6">
        <v>0</v>
      </c>
      <c r="I986" s="7">
        <f t="shared" si="150"/>
        <v>72000</v>
      </c>
      <c r="J986" s="7">
        <f t="shared" si="151"/>
        <v>0</v>
      </c>
      <c r="K986" s="7">
        <f t="shared" si="152"/>
        <v>72000</v>
      </c>
      <c r="L986" s="4">
        <v>15000</v>
      </c>
      <c r="M986" s="7">
        <f t="shared" si="153"/>
        <v>87000</v>
      </c>
      <c r="N986" s="2" t="s">
        <v>28</v>
      </c>
      <c r="O986" t="s">
        <v>22</v>
      </c>
      <c r="P986" s="2" t="s">
        <v>2366</v>
      </c>
      <c r="Q986" s="2">
        <v>2</v>
      </c>
      <c r="R986" s="2" t="s">
        <v>23</v>
      </c>
      <c r="S986" s="2" t="str">
        <f t="shared" si="154"/>
        <v>Rendah</v>
      </c>
      <c r="T986" s="2" t="str">
        <f t="shared" si="155"/>
        <v>FALSE</v>
      </c>
      <c r="U986" s="2" t="str">
        <f t="shared" si="156"/>
        <v>FALSE</v>
      </c>
      <c r="V986" s="2" t="b">
        <f t="shared" si="157"/>
        <v>0</v>
      </c>
      <c r="W986" s="2" t="b">
        <f t="shared" si="158"/>
        <v>0</v>
      </c>
      <c r="X986" s="2" t="b">
        <f t="shared" si="159"/>
        <v>0</v>
      </c>
    </row>
    <row r="987" spans="1:24" ht="10.5" customHeight="1">
      <c r="A987" s="2" t="s">
        <v>1365</v>
      </c>
      <c r="B987" s="3">
        <v>45839.742534722223</v>
      </c>
      <c r="C987" s="2" t="s">
        <v>187</v>
      </c>
      <c r="D987" s="2" t="s">
        <v>111</v>
      </c>
      <c r="E987" s="2" t="s">
        <v>32</v>
      </c>
      <c r="F987" s="4">
        <v>20000</v>
      </c>
      <c r="G987" s="5">
        <v>1.7</v>
      </c>
      <c r="H987" s="6">
        <v>0</v>
      </c>
      <c r="I987" s="7">
        <f t="shared" si="150"/>
        <v>34000</v>
      </c>
      <c r="J987" s="7">
        <f t="shared" si="151"/>
        <v>0</v>
      </c>
      <c r="K987" s="7">
        <f t="shared" si="152"/>
        <v>34000</v>
      </c>
      <c r="L987" s="4">
        <v>0</v>
      </c>
      <c r="M987" s="7">
        <f t="shared" si="153"/>
        <v>34000</v>
      </c>
      <c r="N987" s="2" t="s">
        <v>33</v>
      </c>
      <c r="O987" t="s">
        <v>22</v>
      </c>
      <c r="P987" s="2" t="s">
        <v>2365</v>
      </c>
      <c r="Q987" s="2">
        <v>1</v>
      </c>
      <c r="R987" s="2" t="s">
        <v>34</v>
      </c>
      <c r="S987" s="2" t="str">
        <f t="shared" si="154"/>
        <v>Sangat Rendah</v>
      </c>
      <c r="T987" s="2" t="str">
        <f t="shared" si="155"/>
        <v>FALSE</v>
      </c>
      <c r="U987" s="2" t="str">
        <f t="shared" si="156"/>
        <v>FALSE</v>
      </c>
      <c r="V987" s="2" t="b">
        <f t="shared" si="157"/>
        <v>0</v>
      </c>
      <c r="W987" s="2" t="b">
        <f t="shared" si="158"/>
        <v>0</v>
      </c>
      <c r="X987" s="2" t="b">
        <f t="shared" si="159"/>
        <v>0</v>
      </c>
    </row>
    <row r="988" spans="1:24" ht="10.5" customHeight="1">
      <c r="A988" s="2" t="s">
        <v>1366</v>
      </c>
      <c r="B988" s="3">
        <v>45840.271932870368</v>
      </c>
      <c r="C988" s="2" t="s">
        <v>449</v>
      </c>
      <c r="D988" s="2" t="s">
        <v>56</v>
      </c>
      <c r="E988" s="2" t="s">
        <v>53</v>
      </c>
      <c r="F988" s="4">
        <v>14000</v>
      </c>
      <c r="G988" s="5">
        <v>0.6</v>
      </c>
      <c r="H988" s="6">
        <v>0</v>
      </c>
      <c r="I988" s="7">
        <f t="shared" si="150"/>
        <v>8400</v>
      </c>
      <c r="J988" s="7">
        <f t="shared" si="151"/>
        <v>0</v>
      </c>
      <c r="K988" s="7">
        <f t="shared" si="152"/>
        <v>8400</v>
      </c>
      <c r="L988" s="4">
        <v>26000</v>
      </c>
      <c r="M988" s="7">
        <f t="shared" si="153"/>
        <v>34400</v>
      </c>
      <c r="N988" s="2" t="s">
        <v>21</v>
      </c>
      <c r="O988" t="s">
        <v>69</v>
      </c>
      <c r="P988" s="2" t="s">
        <v>2368</v>
      </c>
      <c r="Q988" s="2">
        <v>1</v>
      </c>
      <c r="R988" s="2" t="s">
        <v>23</v>
      </c>
      <c r="S988" s="2" t="str">
        <f t="shared" si="154"/>
        <v>Sangat Rendah</v>
      </c>
      <c r="T988" s="2" t="str">
        <f t="shared" si="155"/>
        <v>FALSE</v>
      </c>
      <c r="U988" s="2" t="str">
        <f t="shared" si="156"/>
        <v>FALSE</v>
      </c>
      <c r="V988" s="2" t="b">
        <f t="shared" si="157"/>
        <v>0</v>
      </c>
      <c r="W988" s="2" t="b">
        <f t="shared" si="158"/>
        <v>0</v>
      </c>
      <c r="X988" s="2" t="b">
        <f t="shared" si="159"/>
        <v>1</v>
      </c>
    </row>
    <row r="989" spans="1:24" ht="10.5" customHeight="1">
      <c r="A989" s="2" t="s">
        <v>1367</v>
      </c>
      <c r="B989" s="3">
        <v>45840.556296296287</v>
      </c>
      <c r="C989" s="2" t="s">
        <v>689</v>
      </c>
      <c r="D989" s="2" t="s">
        <v>229</v>
      </c>
      <c r="E989" s="2" t="s">
        <v>102</v>
      </c>
      <c r="F989" s="4">
        <v>55000</v>
      </c>
      <c r="G989" s="5">
        <v>0.5</v>
      </c>
      <c r="H989" s="6">
        <v>0</v>
      </c>
      <c r="I989" s="7">
        <f t="shared" si="150"/>
        <v>27500</v>
      </c>
      <c r="J989" s="7">
        <f t="shared" si="151"/>
        <v>0</v>
      </c>
      <c r="K989" s="7">
        <f t="shared" si="152"/>
        <v>27500</v>
      </c>
      <c r="L989" s="4">
        <v>28000</v>
      </c>
      <c r="M989" s="7">
        <f t="shared" si="153"/>
        <v>55500</v>
      </c>
      <c r="N989" s="2" t="s">
        <v>21</v>
      </c>
      <c r="O989" t="s">
        <v>22</v>
      </c>
      <c r="P989" s="2" t="s">
        <v>2367</v>
      </c>
      <c r="Q989" s="2">
        <v>4</v>
      </c>
      <c r="R989" s="2" t="s">
        <v>34</v>
      </c>
      <c r="S989" s="2" t="str">
        <f t="shared" si="154"/>
        <v>Rendah</v>
      </c>
      <c r="T989" s="2" t="str">
        <f t="shared" si="155"/>
        <v>FALSE</v>
      </c>
      <c r="U989" s="2" t="str">
        <f t="shared" si="156"/>
        <v>FALSE</v>
      </c>
      <c r="V989" s="2" t="b">
        <f t="shared" si="157"/>
        <v>0</v>
      </c>
      <c r="W989" s="2" t="b">
        <f t="shared" si="158"/>
        <v>1</v>
      </c>
      <c r="X989" s="2" t="b">
        <f t="shared" si="159"/>
        <v>0</v>
      </c>
    </row>
    <row r="990" spans="1:24" ht="10.5" customHeight="1">
      <c r="A990" s="2" t="s">
        <v>1368</v>
      </c>
      <c r="B990" s="3">
        <v>45842.281828703701</v>
      </c>
      <c r="C990" s="2" t="s">
        <v>277</v>
      </c>
      <c r="D990" s="2" t="s">
        <v>252</v>
      </c>
      <c r="E990" s="2" t="s">
        <v>27</v>
      </c>
      <c r="F990" s="4">
        <v>15000</v>
      </c>
      <c r="G990" s="5">
        <v>0.7</v>
      </c>
      <c r="H990" s="6">
        <v>0</v>
      </c>
      <c r="I990" s="7">
        <f t="shared" si="150"/>
        <v>10500</v>
      </c>
      <c r="J990" s="7">
        <f t="shared" si="151"/>
        <v>0</v>
      </c>
      <c r="K990" s="7">
        <f t="shared" si="152"/>
        <v>10500</v>
      </c>
      <c r="L990" s="4">
        <v>18000</v>
      </c>
      <c r="M990" s="7">
        <f t="shared" si="153"/>
        <v>28500</v>
      </c>
      <c r="N990" s="2" t="s">
        <v>33</v>
      </c>
      <c r="O990" t="s">
        <v>22</v>
      </c>
      <c r="P990" s="2" t="s">
        <v>2366</v>
      </c>
      <c r="Q990" s="2">
        <v>4</v>
      </c>
      <c r="R990" s="2" t="s">
        <v>23</v>
      </c>
      <c r="S990" s="2" t="str">
        <f t="shared" si="154"/>
        <v>Sangat Rendah</v>
      </c>
      <c r="T990" s="2" t="str">
        <f t="shared" si="155"/>
        <v>FALSE</v>
      </c>
      <c r="U990" s="2" t="str">
        <f t="shared" si="156"/>
        <v>FALSE</v>
      </c>
      <c r="V990" s="2" t="b">
        <f t="shared" si="157"/>
        <v>0</v>
      </c>
      <c r="W990" s="2" t="b">
        <f t="shared" si="158"/>
        <v>0</v>
      </c>
      <c r="X990" s="2" t="b">
        <f t="shared" si="159"/>
        <v>1</v>
      </c>
    </row>
    <row r="991" spans="1:24" ht="10.5" customHeight="1">
      <c r="A991" s="2" t="s">
        <v>1369</v>
      </c>
      <c r="B991" s="3">
        <v>45842.842766203707</v>
      </c>
      <c r="C991" s="2" t="s">
        <v>415</v>
      </c>
      <c r="D991" s="2" t="s">
        <v>40</v>
      </c>
      <c r="E991" s="2" t="s">
        <v>190</v>
      </c>
      <c r="F991" s="4">
        <v>15500</v>
      </c>
      <c r="G991" s="5">
        <v>0.3</v>
      </c>
      <c r="H991" s="6">
        <v>0</v>
      </c>
      <c r="I991" s="7">
        <f t="shared" si="150"/>
        <v>4650</v>
      </c>
      <c r="J991" s="7">
        <f t="shared" si="151"/>
        <v>0</v>
      </c>
      <c r="K991" s="7">
        <f t="shared" si="152"/>
        <v>4650</v>
      </c>
      <c r="L991" s="4">
        <v>93000</v>
      </c>
      <c r="M991" s="7">
        <f t="shared" si="153"/>
        <v>97650</v>
      </c>
      <c r="N991" s="2" t="s">
        <v>33</v>
      </c>
      <c r="O991" t="s">
        <v>22</v>
      </c>
      <c r="P991" s="2" t="s">
        <v>2370</v>
      </c>
      <c r="Q991" s="2">
        <v>3</v>
      </c>
      <c r="R991" s="2" t="s">
        <v>34</v>
      </c>
      <c r="S991" s="2" t="str">
        <f t="shared" si="154"/>
        <v>Rendah</v>
      </c>
      <c r="T991" s="2" t="str">
        <f t="shared" si="155"/>
        <v>FALSE</v>
      </c>
      <c r="U991" s="2" t="str">
        <f t="shared" si="156"/>
        <v>FALSE</v>
      </c>
      <c r="V991" s="2" t="b">
        <f t="shared" si="157"/>
        <v>0</v>
      </c>
      <c r="W991" s="2" t="b">
        <f t="shared" si="158"/>
        <v>0</v>
      </c>
      <c r="X991" s="2" t="b">
        <f t="shared" si="159"/>
        <v>0</v>
      </c>
    </row>
    <row r="992" spans="1:24" ht="10.5" customHeight="1">
      <c r="A992" s="2" t="s">
        <v>1370</v>
      </c>
      <c r="B992" s="3">
        <v>45842.852638888893</v>
      </c>
      <c r="C992" s="2" t="s">
        <v>973</v>
      </c>
      <c r="D992" s="2" t="s">
        <v>252</v>
      </c>
      <c r="E992" s="2" t="s">
        <v>35</v>
      </c>
      <c r="F992" s="4">
        <v>13500</v>
      </c>
      <c r="G992" s="5">
        <v>1.1000000000000001</v>
      </c>
      <c r="H992" s="6">
        <v>0</v>
      </c>
      <c r="I992" s="7">
        <f t="shared" si="150"/>
        <v>14850.000000000002</v>
      </c>
      <c r="J992" s="7">
        <f t="shared" si="151"/>
        <v>0</v>
      </c>
      <c r="K992" s="7">
        <f t="shared" si="152"/>
        <v>14850.000000000002</v>
      </c>
      <c r="L992" s="4">
        <v>18000</v>
      </c>
      <c r="M992" s="7">
        <f t="shared" si="153"/>
        <v>32850</v>
      </c>
      <c r="N992" s="2" t="s">
        <v>21</v>
      </c>
      <c r="O992" t="s">
        <v>22</v>
      </c>
      <c r="P992" s="2" t="s">
        <v>2370</v>
      </c>
      <c r="Q992" s="2">
        <v>3</v>
      </c>
      <c r="R992" s="2" t="s">
        <v>34</v>
      </c>
      <c r="S992" s="2" t="str">
        <f t="shared" si="154"/>
        <v>Sangat Rendah</v>
      </c>
      <c r="T992" s="2" t="str">
        <f t="shared" si="155"/>
        <v>FALSE</v>
      </c>
      <c r="U992" s="2" t="str">
        <f t="shared" si="156"/>
        <v>FALSE</v>
      </c>
      <c r="V992" s="2" t="b">
        <f t="shared" si="157"/>
        <v>0</v>
      </c>
      <c r="W992" s="2" t="b">
        <f t="shared" si="158"/>
        <v>0</v>
      </c>
      <c r="X992" s="2" t="b">
        <f t="shared" si="159"/>
        <v>0</v>
      </c>
    </row>
    <row r="993" spans="1:24" ht="10.5" customHeight="1">
      <c r="A993" s="2" t="s">
        <v>1371</v>
      </c>
      <c r="B993" s="3">
        <v>45843.006574074083</v>
      </c>
      <c r="C993" s="2" t="s">
        <v>1372</v>
      </c>
      <c r="D993" s="2" t="s">
        <v>68</v>
      </c>
      <c r="E993" s="2" t="s">
        <v>161</v>
      </c>
      <c r="F993" s="4">
        <v>115000</v>
      </c>
      <c r="G993" s="5">
        <v>1.1000000000000001</v>
      </c>
      <c r="H993" s="6">
        <v>0</v>
      </c>
      <c r="I993" s="7">
        <f t="shared" si="150"/>
        <v>126500.00000000001</v>
      </c>
      <c r="J993" s="7">
        <f t="shared" si="151"/>
        <v>0</v>
      </c>
      <c r="K993" s="7">
        <f t="shared" si="152"/>
        <v>126500.00000000001</v>
      </c>
      <c r="L993" s="4">
        <v>87000</v>
      </c>
      <c r="M993" s="7">
        <f t="shared" si="153"/>
        <v>213500</v>
      </c>
      <c r="N993" s="2" t="s">
        <v>28</v>
      </c>
      <c r="O993" t="s">
        <v>22</v>
      </c>
      <c r="P993" s="2" t="s">
        <v>2366</v>
      </c>
      <c r="Q993" s="2">
        <v>1</v>
      </c>
      <c r="R993" s="2" t="s">
        <v>23</v>
      </c>
      <c r="S993" s="2" t="str">
        <f t="shared" si="154"/>
        <v>Sangat Tinggi</v>
      </c>
      <c r="T993" s="2" t="str">
        <f t="shared" si="155"/>
        <v>FALSE</v>
      </c>
      <c r="U993" s="2" t="str">
        <f t="shared" si="156"/>
        <v>FALSE</v>
      </c>
      <c r="V993" s="2" t="b">
        <f t="shared" si="157"/>
        <v>0</v>
      </c>
      <c r="W993" s="2" t="b">
        <f t="shared" si="158"/>
        <v>1</v>
      </c>
      <c r="X993" s="2" t="b">
        <f t="shared" si="159"/>
        <v>0</v>
      </c>
    </row>
    <row r="994" spans="1:24" ht="10.5" customHeight="1">
      <c r="A994" s="2" t="s">
        <v>1373</v>
      </c>
      <c r="B994" s="3">
        <v>45843.470833333333</v>
      </c>
      <c r="C994" s="2" t="s">
        <v>345</v>
      </c>
      <c r="D994" s="2" t="s">
        <v>108</v>
      </c>
      <c r="E994" s="2" t="s">
        <v>80</v>
      </c>
      <c r="F994" s="4">
        <v>15000</v>
      </c>
      <c r="G994" s="5">
        <v>0.6</v>
      </c>
      <c r="H994" s="6">
        <v>0</v>
      </c>
      <c r="I994" s="7">
        <f t="shared" si="150"/>
        <v>9000</v>
      </c>
      <c r="J994" s="7">
        <f t="shared" si="151"/>
        <v>0</v>
      </c>
      <c r="K994" s="7">
        <f t="shared" si="152"/>
        <v>9000</v>
      </c>
      <c r="L994" s="4">
        <v>72000</v>
      </c>
      <c r="M994" s="7">
        <f t="shared" si="153"/>
        <v>81000</v>
      </c>
      <c r="N994" s="2" t="s">
        <v>28</v>
      </c>
      <c r="O994" t="s">
        <v>22</v>
      </c>
      <c r="P994" s="2" t="s">
        <v>2365</v>
      </c>
      <c r="Q994" s="2">
        <v>3</v>
      </c>
      <c r="R994" s="2" t="s">
        <v>23</v>
      </c>
      <c r="S994" s="2" t="str">
        <f t="shared" si="154"/>
        <v>Rendah</v>
      </c>
      <c r="T994" s="2" t="str">
        <f t="shared" si="155"/>
        <v>FALSE</v>
      </c>
      <c r="U994" s="2" t="str">
        <f t="shared" si="156"/>
        <v>FALSE</v>
      </c>
      <c r="V994" s="2" t="b">
        <f t="shared" si="157"/>
        <v>0</v>
      </c>
      <c r="W994" s="2" t="b">
        <f t="shared" si="158"/>
        <v>0</v>
      </c>
      <c r="X994" s="2" t="b">
        <f t="shared" si="159"/>
        <v>0</v>
      </c>
    </row>
    <row r="995" spans="1:24" ht="10.5" customHeight="1">
      <c r="A995" s="2" t="s">
        <v>1374</v>
      </c>
      <c r="B995" s="3">
        <v>45844.467465277783</v>
      </c>
      <c r="C995" s="2" t="s">
        <v>139</v>
      </c>
      <c r="D995" s="2" t="s">
        <v>140</v>
      </c>
      <c r="E995" s="2" t="s">
        <v>102</v>
      </c>
      <c r="F995" s="4">
        <v>55000</v>
      </c>
      <c r="G995" s="5">
        <v>0.7</v>
      </c>
      <c r="H995" s="6">
        <v>0</v>
      </c>
      <c r="I995" s="7">
        <f t="shared" si="150"/>
        <v>38500</v>
      </c>
      <c r="J995" s="7">
        <f t="shared" si="151"/>
        <v>0</v>
      </c>
      <c r="K995" s="7">
        <f t="shared" si="152"/>
        <v>38500</v>
      </c>
      <c r="L995" s="4">
        <v>55000</v>
      </c>
      <c r="M995" s="7">
        <f t="shared" si="153"/>
        <v>93500</v>
      </c>
      <c r="N995" s="2" t="s">
        <v>21</v>
      </c>
      <c r="O995" t="s">
        <v>115</v>
      </c>
      <c r="P995" s="2" t="s">
        <v>2365</v>
      </c>
      <c r="Q995" s="2">
        <v>1</v>
      </c>
      <c r="R995" s="2" t="s">
        <v>34</v>
      </c>
      <c r="S995" s="2" t="str">
        <f t="shared" si="154"/>
        <v>Rendah</v>
      </c>
      <c r="T995" s="2" t="str">
        <f t="shared" si="155"/>
        <v>FALSE</v>
      </c>
      <c r="U995" s="2" t="str">
        <f t="shared" si="156"/>
        <v>FALSE</v>
      </c>
      <c r="V995" s="2" t="b">
        <f t="shared" si="157"/>
        <v>0</v>
      </c>
      <c r="W995" s="2" t="b">
        <f t="shared" si="158"/>
        <v>0</v>
      </c>
      <c r="X995" s="2" t="b">
        <f t="shared" si="159"/>
        <v>0</v>
      </c>
    </row>
    <row r="996" spans="1:24" ht="10.5" customHeight="1">
      <c r="A996" s="2" t="s">
        <v>1375</v>
      </c>
      <c r="B996" s="3">
        <v>45845.135000000002</v>
      </c>
      <c r="C996" s="2" t="s">
        <v>786</v>
      </c>
      <c r="D996" s="2" t="s">
        <v>111</v>
      </c>
      <c r="E996" s="2" t="s">
        <v>49</v>
      </c>
      <c r="F996" s="4">
        <v>26000</v>
      </c>
      <c r="G996" s="5">
        <v>2</v>
      </c>
      <c r="H996" s="6">
        <v>5</v>
      </c>
      <c r="I996" s="7">
        <f t="shared" si="150"/>
        <v>52000</v>
      </c>
      <c r="J996" s="7">
        <f t="shared" si="151"/>
        <v>2600</v>
      </c>
      <c r="K996" s="7">
        <f t="shared" si="152"/>
        <v>49400</v>
      </c>
      <c r="L996" s="4">
        <v>0</v>
      </c>
      <c r="M996" s="7">
        <f t="shared" si="153"/>
        <v>49400</v>
      </c>
      <c r="N996" s="2" t="s">
        <v>33</v>
      </c>
      <c r="O996" t="s">
        <v>22</v>
      </c>
      <c r="P996" s="2" t="s">
        <v>2367</v>
      </c>
      <c r="Q996" s="2">
        <v>4</v>
      </c>
      <c r="R996" s="2" t="s">
        <v>23</v>
      </c>
      <c r="S996" s="2" t="str">
        <f t="shared" si="154"/>
        <v>Sangat Rendah</v>
      </c>
      <c r="T996" s="2" t="str">
        <f t="shared" si="155"/>
        <v>FALSE</v>
      </c>
      <c r="U996" s="2" t="str">
        <f t="shared" si="156"/>
        <v>FALSE</v>
      </c>
      <c r="V996" s="2" t="b">
        <f t="shared" si="157"/>
        <v>0</v>
      </c>
      <c r="W996" s="2" t="b">
        <f t="shared" si="158"/>
        <v>1</v>
      </c>
      <c r="X996" s="2" t="b">
        <f t="shared" si="159"/>
        <v>1</v>
      </c>
    </row>
    <row r="997" spans="1:24" ht="10.5" customHeight="1">
      <c r="A997" s="2" t="s">
        <v>1376</v>
      </c>
      <c r="B997" s="3">
        <v>45845.273368055547</v>
      </c>
      <c r="C997" s="2" t="s">
        <v>73</v>
      </c>
      <c r="D997" s="2" t="s">
        <v>74</v>
      </c>
      <c r="E997" s="2" t="s">
        <v>20</v>
      </c>
      <c r="F997" s="4">
        <v>10000</v>
      </c>
      <c r="G997" s="5">
        <v>0.7</v>
      </c>
      <c r="H997" s="6">
        <v>5</v>
      </c>
      <c r="I997" s="7">
        <f t="shared" si="150"/>
        <v>7000</v>
      </c>
      <c r="J997" s="7">
        <f t="shared" si="151"/>
        <v>350</v>
      </c>
      <c r="K997" s="7">
        <f t="shared" si="152"/>
        <v>6650</v>
      </c>
      <c r="L997" s="4">
        <v>74000</v>
      </c>
      <c r="M997" s="7">
        <f t="shared" si="153"/>
        <v>80650</v>
      </c>
      <c r="N997" s="2" t="s">
        <v>58</v>
      </c>
      <c r="O997" t="s">
        <v>22</v>
      </c>
      <c r="P997" s="2" t="s">
        <v>2365</v>
      </c>
      <c r="Q997" s="2">
        <v>4</v>
      </c>
      <c r="R997" s="2" t="s">
        <v>23</v>
      </c>
      <c r="S997" s="2" t="str">
        <f t="shared" si="154"/>
        <v>Rendah</v>
      </c>
      <c r="T997" s="2" t="str">
        <f t="shared" si="155"/>
        <v>FALSE</v>
      </c>
      <c r="U997" s="2" t="str">
        <f t="shared" si="156"/>
        <v>FALSE</v>
      </c>
      <c r="V997" s="2" t="b">
        <f t="shared" si="157"/>
        <v>0</v>
      </c>
      <c r="W997" s="2" t="b">
        <f t="shared" si="158"/>
        <v>0</v>
      </c>
      <c r="X997" s="2" t="b">
        <f t="shared" si="159"/>
        <v>0</v>
      </c>
    </row>
    <row r="998" spans="1:24" ht="10.5" customHeight="1">
      <c r="A998" s="2" t="s">
        <v>1377</v>
      </c>
      <c r="B998" s="3">
        <v>45845.387337962973</v>
      </c>
      <c r="C998" s="2" t="s">
        <v>1112</v>
      </c>
      <c r="D998" s="2" t="s">
        <v>31</v>
      </c>
      <c r="E998" s="2" t="s">
        <v>65</v>
      </c>
      <c r="F998" s="4">
        <v>46000</v>
      </c>
      <c r="G998" s="5">
        <v>0.4</v>
      </c>
      <c r="H998" s="6">
        <v>5</v>
      </c>
      <c r="I998" s="7">
        <f t="shared" si="150"/>
        <v>18400</v>
      </c>
      <c r="J998" s="7">
        <f t="shared" si="151"/>
        <v>920</v>
      </c>
      <c r="K998" s="7">
        <f t="shared" si="152"/>
        <v>17480</v>
      </c>
      <c r="L998" s="4">
        <v>76000</v>
      </c>
      <c r="M998" s="7">
        <f t="shared" si="153"/>
        <v>93480</v>
      </c>
      <c r="N998" s="2" t="s">
        <v>21</v>
      </c>
      <c r="O998" t="s">
        <v>22</v>
      </c>
      <c r="P998" s="2" t="s">
        <v>2366</v>
      </c>
      <c r="Q998" s="2">
        <v>4</v>
      </c>
      <c r="R998" s="2" t="s">
        <v>23</v>
      </c>
      <c r="S998" s="2" t="str">
        <f t="shared" si="154"/>
        <v>Rendah</v>
      </c>
      <c r="T998" s="2" t="str">
        <f t="shared" si="155"/>
        <v>FALSE</v>
      </c>
      <c r="U998" s="2" t="str">
        <f t="shared" si="156"/>
        <v>FALSE</v>
      </c>
      <c r="V998" s="2" t="b">
        <f t="shared" si="157"/>
        <v>0</v>
      </c>
      <c r="W998" s="2" t="b">
        <f t="shared" si="158"/>
        <v>0</v>
      </c>
      <c r="X998" s="2" t="b">
        <f t="shared" si="159"/>
        <v>0</v>
      </c>
    </row>
    <row r="999" spans="1:24" ht="10.5" customHeight="1">
      <c r="A999" s="2" t="s">
        <v>1378</v>
      </c>
      <c r="B999" s="3">
        <v>45845.678460648152</v>
      </c>
      <c r="C999" s="2" t="s">
        <v>811</v>
      </c>
      <c r="D999" s="2" t="s">
        <v>123</v>
      </c>
      <c r="E999" s="2" t="s">
        <v>80</v>
      </c>
      <c r="F999" s="4">
        <v>15000</v>
      </c>
      <c r="G999" s="5">
        <v>0.8</v>
      </c>
      <c r="H999" s="6">
        <v>5</v>
      </c>
      <c r="I999" s="7">
        <f t="shared" si="150"/>
        <v>12000</v>
      </c>
      <c r="J999" s="7">
        <f t="shared" si="151"/>
        <v>600</v>
      </c>
      <c r="K999" s="7">
        <f t="shared" si="152"/>
        <v>11400</v>
      </c>
      <c r="L999" s="4">
        <v>59000</v>
      </c>
      <c r="M999" s="7">
        <f t="shared" si="153"/>
        <v>70400</v>
      </c>
      <c r="N999" s="2" t="s">
        <v>33</v>
      </c>
      <c r="O999" t="s">
        <v>22</v>
      </c>
      <c r="P999" s="2" t="s">
        <v>2365</v>
      </c>
      <c r="Q999" s="2">
        <v>1</v>
      </c>
      <c r="R999" s="2" t="s">
        <v>23</v>
      </c>
      <c r="S999" s="2" t="str">
        <f t="shared" si="154"/>
        <v>Rendah</v>
      </c>
      <c r="T999" s="2" t="str">
        <f t="shared" si="155"/>
        <v>FALSE</v>
      </c>
      <c r="U999" s="2" t="str">
        <f t="shared" si="156"/>
        <v>FALSE</v>
      </c>
      <c r="V999" s="2" t="b">
        <f t="shared" si="157"/>
        <v>0</v>
      </c>
      <c r="W999" s="2" t="b">
        <f t="shared" si="158"/>
        <v>0</v>
      </c>
      <c r="X999" s="2" t="b">
        <f t="shared" si="159"/>
        <v>0</v>
      </c>
    </row>
    <row r="1000" spans="1:24" ht="10.5" customHeight="1">
      <c r="A1000" s="2" t="s">
        <v>1379</v>
      </c>
      <c r="B1000" s="3">
        <v>45845.686111111107</v>
      </c>
      <c r="C1000" s="2" t="s">
        <v>1051</v>
      </c>
      <c r="D1000" s="2" t="s">
        <v>40</v>
      </c>
      <c r="E1000" s="2" t="s">
        <v>80</v>
      </c>
      <c r="F1000" s="4">
        <v>15000</v>
      </c>
      <c r="G1000" s="5">
        <v>1.5</v>
      </c>
      <c r="H1000" s="6">
        <v>5</v>
      </c>
      <c r="I1000" s="7">
        <f t="shared" si="150"/>
        <v>22500</v>
      </c>
      <c r="J1000" s="7">
        <f t="shared" si="151"/>
        <v>1125</v>
      </c>
      <c r="K1000" s="7">
        <f t="shared" si="152"/>
        <v>21375</v>
      </c>
      <c r="L1000" s="4">
        <v>93000</v>
      </c>
      <c r="M1000" s="7">
        <f t="shared" si="153"/>
        <v>114375</v>
      </c>
      <c r="N1000" s="2" t="s">
        <v>58</v>
      </c>
      <c r="O1000" t="s">
        <v>69</v>
      </c>
      <c r="P1000" s="2" t="s">
        <v>2367</v>
      </c>
      <c r="Q1000" s="2">
        <v>4</v>
      </c>
      <c r="R1000" s="2" t="s">
        <v>34</v>
      </c>
      <c r="S1000" s="2" t="str">
        <f t="shared" si="154"/>
        <v>Standar</v>
      </c>
      <c r="T1000" s="2" t="str">
        <f t="shared" si="155"/>
        <v>FALSE</v>
      </c>
      <c r="U1000" s="2" t="str">
        <f t="shared" si="156"/>
        <v>FALSE</v>
      </c>
      <c r="V1000" s="2" t="b">
        <f t="shared" si="157"/>
        <v>0</v>
      </c>
      <c r="W1000" s="2" t="b">
        <f t="shared" si="158"/>
        <v>1</v>
      </c>
      <c r="X1000" s="2" t="b">
        <f t="shared" si="159"/>
        <v>0</v>
      </c>
    </row>
    <row r="1001" spans="1:24" ht="10.5" customHeight="1">
      <c r="A1001" s="2" t="s">
        <v>1380</v>
      </c>
      <c r="B1001" s="3">
        <v>45845.702893518523</v>
      </c>
      <c r="C1001" s="2" t="s">
        <v>169</v>
      </c>
      <c r="D1001" s="2" t="s">
        <v>61</v>
      </c>
      <c r="E1001" s="2" t="s">
        <v>41</v>
      </c>
      <c r="F1001" s="4">
        <v>40000</v>
      </c>
      <c r="G1001" s="5">
        <v>1.2</v>
      </c>
      <c r="H1001" s="6">
        <v>5</v>
      </c>
      <c r="I1001" s="7">
        <f t="shared" si="150"/>
        <v>48000</v>
      </c>
      <c r="J1001" s="7">
        <f t="shared" si="151"/>
        <v>2400</v>
      </c>
      <c r="K1001" s="7">
        <f t="shared" si="152"/>
        <v>45600</v>
      </c>
      <c r="L1001" s="4">
        <v>59000</v>
      </c>
      <c r="M1001" s="7">
        <f t="shared" si="153"/>
        <v>104600</v>
      </c>
      <c r="N1001" s="2" t="s">
        <v>21</v>
      </c>
      <c r="O1001" t="s">
        <v>22</v>
      </c>
      <c r="P1001" s="2" t="s">
        <v>2365</v>
      </c>
      <c r="Q1001" s="2">
        <v>5</v>
      </c>
      <c r="R1001" s="2" t="s">
        <v>23</v>
      </c>
      <c r="S1001" s="2" t="str">
        <f t="shared" si="154"/>
        <v>Standar</v>
      </c>
      <c r="T1001" s="2" t="str">
        <f t="shared" si="155"/>
        <v>FALSE</v>
      </c>
      <c r="U1001" s="2" t="str">
        <f t="shared" si="156"/>
        <v>FALSE</v>
      </c>
      <c r="V1001" s="2" t="b">
        <f t="shared" si="157"/>
        <v>0</v>
      </c>
      <c r="W1001" s="2" t="b">
        <f t="shared" si="158"/>
        <v>0</v>
      </c>
      <c r="X1001" s="2" t="b">
        <f t="shared" si="159"/>
        <v>0</v>
      </c>
    </row>
    <row r="1002" spans="1:24" ht="10.5" customHeight="1">
      <c r="A1002" s="2" t="s">
        <v>1381</v>
      </c>
      <c r="B1002" s="3">
        <v>45847.836122685178</v>
      </c>
      <c r="C1002" s="2" t="s">
        <v>1023</v>
      </c>
      <c r="D1002" s="2" t="s">
        <v>114</v>
      </c>
      <c r="E1002" s="2" t="s">
        <v>182</v>
      </c>
      <c r="F1002" s="4">
        <v>11000</v>
      </c>
      <c r="G1002" s="5">
        <v>2.5</v>
      </c>
      <c r="H1002" s="6">
        <v>0</v>
      </c>
      <c r="I1002" s="7">
        <f t="shared" si="150"/>
        <v>27500</v>
      </c>
      <c r="J1002" s="7">
        <f t="shared" si="151"/>
        <v>0</v>
      </c>
      <c r="K1002" s="7">
        <f t="shared" si="152"/>
        <v>27500</v>
      </c>
      <c r="L1002" s="4">
        <v>78000</v>
      </c>
      <c r="M1002" s="7">
        <f t="shared" si="153"/>
        <v>105500</v>
      </c>
      <c r="N1002" s="2" t="s">
        <v>21</v>
      </c>
      <c r="O1002" t="s">
        <v>22</v>
      </c>
      <c r="P1002" s="2" t="s">
        <v>2368</v>
      </c>
      <c r="Q1002" s="2">
        <v>4</v>
      </c>
      <c r="R1002" s="2" t="s">
        <v>23</v>
      </c>
      <c r="S1002" s="2" t="str">
        <f t="shared" si="154"/>
        <v>Standar</v>
      </c>
      <c r="T1002" s="2" t="str">
        <f t="shared" si="155"/>
        <v>FALSE</v>
      </c>
      <c r="U1002" s="2" t="str">
        <f t="shared" si="156"/>
        <v>FALSE</v>
      </c>
      <c r="V1002" s="2" t="b">
        <f t="shared" si="157"/>
        <v>0</v>
      </c>
      <c r="W1002" s="2" t="b">
        <f t="shared" si="158"/>
        <v>0</v>
      </c>
      <c r="X1002" s="2" t="b">
        <f t="shared" si="159"/>
        <v>0</v>
      </c>
    </row>
    <row r="1003" spans="1:24" ht="10.5" customHeight="1">
      <c r="A1003" s="2" t="s">
        <v>1382</v>
      </c>
      <c r="B1003" s="3">
        <v>45848.306574074071</v>
      </c>
      <c r="C1003" s="2" t="s">
        <v>993</v>
      </c>
      <c r="D1003" s="2" t="s">
        <v>252</v>
      </c>
      <c r="E1003" s="2" t="s">
        <v>32</v>
      </c>
      <c r="F1003" s="4">
        <v>20000</v>
      </c>
      <c r="G1003" s="5">
        <v>3.5</v>
      </c>
      <c r="H1003" s="6">
        <v>0</v>
      </c>
      <c r="I1003" s="7">
        <f t="shared" si="150"/>
        <v>70000</v>
      </c>
      <c r="J1003" s="7">
        <f t="shared" si="151"/>
        <v>0</v>
      </c>
      <c r="K1003" s="7">
        <f t="shared" si="152"/>
        <v>70000</v>
      </c>
      <c r="L1003" s="4">
        <v>18000</v>
      </c>
      <c r="M1003" s="7">
        <f t="shared" si="153"/>
        <v>88000</v>
      </c>
      <c r="N1003" s="2" t="s">
        <v>28</v>
      </c>
      <c r="O1003" t="s">
        <v>22</v>
      </c>
      <c r="P1003" s="2" t="s">
        <v>2370</v>
      </c>
      <c r="Q1003" s="2">
        <v>5</v>
      </c>
      <c r="R1003" s="2" t="s">
        <v>23</v>
      </c>
      <c r="S1003" s="2" t="str">
        <f t="shared" si="154"/>
        <v>Rendah</v>
      </c>
      <c r="T1003" s="2" t="str">
        <f t="shared" si="155"/>
        <v>FALSE</v>
      </c>
      <c r="U1003" s="2" t="str">
        <f t="shared" si="156"/>
        <v>FALSE</v>
      </c>
      <c r="V1003" s="2" t="b">
        <f t="shared" si="157"/>
        <v>0</v>
      </c>
      <c r="W1003" s="2" t="b">
        <f t="shared" si="158"/>
        <v>0</v>
      </c>
      <c r="X1003" s="2" t="b">
        <f t="shared" si="159"/>
        <v>0</v>
      </c>
    </row>
    <row r="1004" spans="1:24" ht="10.5" customHeight="1">
      <c r="A1004" s="2" t="s">
        <v>1383</v>
      </c>
      <c r="B1004" s="3">
        <v>45849.9612037037</v>
      </c>
      <c r="C1004" s="2" t="s">
        <v>1043</v>
      </c>
      <c r="D1004" s="2" t="s">
        <v>74</v>
      </c>
      <c r="E1004" s="2" t="s">
        <v>57</v>
      </c>
      <c r="F1004" s="4">
        <v>17500</v>
      </c>
      <c r="G1004" s="5">
        <v>2.1</v>
      </c>
      <c r="H1004" s="6">
        <v>0</v>
      </c>
      <c r="I1004" s="7">
        <f t="shared" si="150"/>
        <v>36750</v>
      </c>
      <c r="J1004" s="7">
        <f t="shared" si="151"/>
        <v>0</v>
      </c>
      <c r="K1004" s="7">
        <f t="shared" si="152"/>
        <v>36750</v>
      </c>
      <c r="L1004" s="4">
        <v>74000</v>
      </c>
      <c r="M1004" s="7">
        <f t="shared" si="153"/>
        <v>110750</v>
      </c>
      <c r="N1004" s="2" t="s">
        <v>58</v>
      </c>
      <c r="O1004" t="s">
        <v>69</v>
      </c>
      <c r="P1004" s="2" t="s">
        <v>2370</v>
      </c>
      <c r="Q1004" s="2">
        <v>5</v>
      </c>
      <c r="R1004" s="2" t="s">
        <v>23</v>
      </c>
      <c r="S1004" s="2" t="str">
        <f t="shared" si="154"/>
        <v>Standar</v>
      </c>
      <c r="T1004" s="2" t="str">
        <f t="shared" si="155"/>
        <v>FALSE</v>
      </c>
      <c r="U1004" s="2" t="str">
        <f t="shared" si="156"/>
        <v>FALSE</v>
      </c>
      <c r="V1004" s="2" t="b">
        <f t="shared" si="157"/>
        <v>0</v>
      </c>
      <c r="W1004" s="2" t="b">
        <f t="shared" si="158"/>
        <v>0</v>
      </c>
      <c r="X1004" s="2" t="b">
        <f t="shared" si="159"/>
        <v>0</v>
      </c>
    </row>
    <row r="1005" spans="1:24" ht="10.5" customHeight="1">
      <c r="A1005" s="2" t="s">
        <v>1384</v>
      </c>
      <c r="B1005" s="3">
        <v>45850.828009259261</v>
      </c>
      <c r="C1005" s="2" t="s">
        <v>285</v>
      </c>
      <c r="D1005" s="2" t="s">
        <v>286</v>
      </c>
      <c r="E1005" s="2" t="s">
        <v>75</v>
      </c>
      <c r="F1005" s="4">
        <v>45000</v>
      </c>
      <c r="G1005" s="5">
        <v>0.6</v>
      </c>
      <c r="H1005" s="6">
        <v>0</v>
      </c>
      <c r="I1005" s="7">
        <f t="shared" si="150"/>
        <v>27000</v>
      </c>
      <c r="J1005" s="7">
        <f t="shared" si="151"/>
        <v>0</v>
      </c>
      <c r="K1005" s="7">
        <f t="shared" si="152"/>
        <v>27000</v>
      </c>
      <c r="L1005" s="4">
        <v>79000</v>
      </c>
      <c r="M1005" s="7">
        <f t="shared" si="153"/>
        <v>106000</v>
      </c>
      <c r="N1005" s="2" t="s">
        <v>21</v>
      </c>
      <c r="O1005" t="s">
        <v>69</v>
      </c>
      <c r="P1005" s="2" t="s">
        <v>2368</v>
      </c>
      <c r="Q1005" s="2">
        <v>4</v>
      </c>
      <c r="R1005" s="2" t="s">
        <v>23</v>
      </c>
      <c r="S1005" s="2" t="str">
        <f t="shared" si="154"/>
        <v>Standar</v>
      </c>
      <c r="T1005" s="2" t="str">
        <f t="shared" si="155"/>
        <v>FALSE</v>
      </c>
      <c r="U1005" s="2" t="str">
        <f t="shared" si="156"/>
        <v>FALSE</v>
      </c>
      <c r="V1005" s="2" t="b">
        <f t="shared" si="157"/>
        <v>0</v>
      </c>
      <c r="W1005" s="2" t="b">
        <f t="shared" si="158"/>
        <v>0</v>
      </c>
      <c r="X1005" s="2" t="b">
        <f t="shared" si="159"/>
        <v>0</v>
      </c>
    </row>
    <row r="1006" spans="1:24" ht="10.5" customHeight="1">
      <c r="A1006" s="2" t="s">
        <v>1384</v>
      </c>
      <c r="B1006" s="3">
        <v>45850.828009259261</v>
      </c>
      <c r="C1006" s="2" t="s">
        <v>285</v>
      </c>
      <c r="D1006" s="2" t="s">
        <v>286</v>
      </c>
      <c r="E1006" s="2" t="s">
        <v>27</v>
      </c>
      <c r="F1006" s="4">
        <v>15000</v>
      </c>
      <c r="G1006" s="5">
        <v>1</v>
      </c>
      <c r="H1006" s="6">
        <v>0</v>
      </c>
      <c r="I1006" s="7">
        <f t="shared" si="150"/>
        <v>15000</v>
      </c>
      <c r="J1006" s="7">
        <f t="shared" si="151"/>
        <v>0</v>
      </c>
      <c r="K1006" s="7">
        <f t="shared" si="152"/>
        <v>15000</v>
      </c>
      <c r="L1006" s="4">
        <v>0</v>
      </c>
      <c r="M1006" s="7">
        <f t="shared" si="153"/>
        <v>15000</v>
      </c>
      <c r="N1006" s="2" t="s">
        <v>21</v>
      </c>
      <c r="O1006" t="s">
        <v>69</v>
      </c>
      <c r="P1006" s="2" t="s">
        <v>2368</v>
      </c>
      <c r="Q1006" s="2">
        <v>4</v>
      </c>
      <c r="R1006" s="2" t="s">
        <v>23</v>
      </c>
      <c r="S1006" s="2" t="str">
        <f t="shared" si="154"/>
        <v>Sangat Rendah</v>
      </c>
      <c r="T1006" s="2" t="str">
        <f t="shared" si="155"/>
        <v>FALSE</v>
      </c>
      <c r="U1006" s="2" t="str">
        <f t="shared" si="156"/>
        <v>FALSE</v>
      </c>
      <c r="V1006" s="2" t="b">
        <f t="shared" si="157"/>
        <v>0</v>
      </c>
      <c r="W1006" s="2" t="b">
        <f t="shared" si="158"/>
        <v>0</v>
      </c>
      <c r="X1006" s="2" t="b">
        <f t="shared" si="159"/>
        <v>1</v>
      </c>
    </row>
    <row r="1007" spans="1:24" ht="10.5" customHeight="1">
      <c r="A1007" s="2" t="s">
        <v>1385</v>
      </c>
      <c r="B1007" s="3">
        <v>45852.543888888889</v>
      </c>
      <c r="C1007" s="2" t="s">
        <v>1386</v>
      </c>
      <c r="D1007" s="2" t="s">
        <v>425</v>
      </c>
      <c r="E1007" s="2" t="s">
        <v>65</v>
      </c>
      <c r="F1007" s="4">
        <v>46000</v>
      </c>
      <c r="G1007" s="5">
        <v>1</v>
      </c>
      <c r="H1007" s="6">
        <v>0</v>
      </c>
      <c r="I1007" s="7">
        <f t="shared" si="150"/>
        <v>46000</v>
      </c>
      <c r="J1007" s="7">
        <f t="shared" si="151"/>
        <v>0</v>
      </c>
      <c r="K1007" s="7">
        <f t="shared" si="152"/>
        <v>46000</v>
      </c>
      <c r="L1007" s="4">
        <v>67000</v>
      </c>
      <c r="M1007" s="7">
        <f t="shared" si="153"/>
        <v>113000</v>
      </c>
      <c r="N1007" s="2" t="s">
        <v>28</v>
      </c>
      <c r="O1007" t="s">
        <v>22</v>
      </c>
      <c r="P1007" s="2" t="s">
        <v>2368</v>
      </c>
      <c r="Q1007" s="2">
        <v>1</v>
      </c>
      <c r="R1007" s="2" t="s">
        <v>23</v>
      </c>
      <c r="S1007" s="2" t="str">
        <f t="shared" si="154"/>
        <v>Standar</v>
      </c>
      <c r="T1007" s="2" t="str">
        <f t="shared" si="155"/>
        <v>FALSE</v>
      </c>
      <c r="U1007" s="2" t="str">
        <f t="shared" si="156"/>
        <v>FALSE</v>
      </c>
      <c r="V1007" s="2" t="b">
        <f t="shared" si="157"/>
        <v>0</v>
      </c>
      <c r="W1007" s="2" t="b">
        <f t="shared" si="158"/>
        <v>0</v>
      </c>
      <c r="X1007" s="2" t="b">
        <f t="shared" si="159"/>
        <v>0</v>
      </c>
    </row>
    <row r="1008" spans="1:24" ht="10.5" customHeight="1">
      <c r="A1008" s="2" t="s">
        <v>1387</v>
      </c>
      <c r="B1008" s="3">
        <v>45852.597407407397</v>
      </c>
      <c r="C1008" s="2" t="s">
        <v>1253</v>
      </c>
      <c r="D1008" s="2" t="s">
        <v>425</v>
      </c>
      <c r="E1008" s="2" t="s">
        <v>170</v>
      </c>
      <c r="F1008" s="4">
        <v>12000</v>
      </c>
      <c r="G1008" s="5">
        <v>0.9</v>
      </c>
      <c r="H1008" s="6">
        <v>0</v>
      </c>
      <c r="I1008" s="7">
        <f t="shared" si="150"/>
        <v>10800</v>
      </c>
      <c r="J1008" s="7">
        <f t="shared" si="151"/>
        <v>0</v>
      </c>
      <c r="K1008" s="7">
        <f t="shared" si="152"/>
        <v>10800</v>
      </c>
      <c r="L1008" s="4">
        <v>67000</v>
      </c>
      <c r="M1008" s="7">
        <f t="shared" si="153"/>
        <v>77800</v>
      </c>
      <c r="N1008" s="2" t="s">
        <v>33</v>
      </c>
      <c r="O1008" t="s">
        <v>22</v>
      </c>
      <c r="P1008" s="2" t="s">
        <v>2370</v>
      </c>
      <c r="Q1008" s="2">
        <v>2</v>
      </c>
      <c r="R1008" s="2" t="s">
        <v>23</v>
      </c>
      <c r="S1008" s="2" t="str">
        <f t="shared" si="154"/>
        <v>Rendah</v>
      </c>
      <c r="T1008" s="2" t="str">
        <f t="shared" si="155"/>
        <v>FALSE</v>
      </c>
      <c r="U1008" s="2" t="str">
        <f t="shared" si="156"/>
        <v>FALSE</v>
      </c>
      <c r="V1008" s="2" t="b">
        <f t="shared" si="157"/>
        <v>0</v>
      </c>
      <c r="W1008" s="2" t="b">
        <f t="shared" si="158"/>
        <v>0</v>
      </c>
      <c r="X1008" s="2" t="b">
        <f t="shared" si="159"/>
        <v>0</v>
      </c>
    </row>
    <row r="1009" spans="1:24" ht="10.5" customHeight="1">
      <c r="A1009" s="2" t="s">
        <v>1388</v>
      </c>
      <c r="B1009" s="3">
        <v>45852.992256944453</v>
      </c>
      <c r="C1009" s="2" t="s">
        <v>492</v>
      </c>
      <c r="D1009" s="2" t="s">
        <v>98</v>
      </c>
      <c r="E1009" s="2" t="s">
        <v>102</v>
      </c>
      <c r="F1009" s="4">
        <v>55000</v>
      </c>
      <c r="G1009" s="5">
        <v>0.6</v>
      </c>
      <c r="H1009" s="6">
        <v>0</v>
      </c>
      <c r="I1009" s="7">
        <f t="shared" si="150"/>
        <v>33000</v>
      </c>
      <c r="J1009" s="7">
        <f t="shared" si="151"/>
        <v>0</v>
      </c>
      <c r="K1009" s="7">
        <f t="shared" si="152"/>
        <v>33000</v>
      </c>
      <c r="L1009" s="4">
        <v>97000</v>
      </c>
      <c r="M1009" s="7">
        <f t="shared" si="153"/>
        <v>130000</v>
      </c>
      <c r="N1009" s="2" t="s">
        <v>21</v>
      </c>
      <c r="O1009" t="s">
        <v>22</v>
      </c>
      <c r="P1009" s="2" t="s">
        <v>2367</v>
      </c>
      <c r="Q1009" s="2">
        <v>1</v>
      </c>
      <c r="R1009" s="2" t="s">
        <v>23</v>
      </c>
      <c r="S1009" s="2" t="str">
        <f t="shared" si="154"/>
        <v>Standar</v>
      </c>
      <c r="T1009" s="2" t="str">
        <f t="shared" si="155"/>
        <v>FALSE</v>
      </c>
      <c r="U1009" s="2" t="str">
        <f t="shared" si="156"/>
        <v>FALSE</v>
      </c>
      <c r="V1009" s="2" t="b">
        <f t="shared" si="157"/>
        <v>0</v>
      </c>
      <c r="W1009" s="2" t="b">
        <f t="shared" si="158"/>
        <v>1</v>
      </c>
      <c r="X1009" s="2" t="b">
        <f t="shared" si="159"/>
        <v>0</v>
      </c>
    </row>
    <row r="1010" spans="1:24" ht="10.5" customHeight="1">
      <c r="A1010" s="2" t="s">
        <v>1389</v>
      </c>
      <c r="B1010" s="3">
        <v>45853.318923611107</v>
      </c>
      <c r="C1010" s="2" t="s">
        <v>297</v>
      </c>
      <c r="D1010" s="2" t="s">
        <v>64</v>
      </c>
      <c r="E1010" s="2" t="s">
        <v>65</v>
      </c>
      <c r="F1010" s="4">
        <v>46000</v>
      </c>
      <c r="G1010" s="5">
        <v>1.2</v>
      </c>
      <c r="H1010" s="6">
        <v>0</v>
      </c>
      <c r="I1010" s="7">
        <f t="shared" si="150"/>
        <v>55200</v>
      </c>
      <c r="J1010" s="7">
        <f t="shared" si="151"/>
        <v>0</v>
      </c>
      <c r="K1010" s="7">
        <f t="shared" si="152"/>
        <v>55200</v>
      </c>
      <c r="L1010" s="4">
        <v>89000</v>
      </c>
      <c r="M1010" s="7">
        <f t="shared" si="153"/>
        <v>144200</v>
      </c>
      <c r="N1010" s="2" t="s">
        <v>33</v>
      </c>
      <c r="O1010" t="s">
        <v>22</v>
      </c>
      <c r="P1010" s="2" t="s">
        <v>2366</v>
      </c>
      <c r="Q1010" s="2">
        <v>1</v>
      </c>
      <c r="R1010" s="2" t="s">
        <v>23</v>
      </c>
      <c r="S1010" s="2" t="str">
        <f t="shared" si="154"/>
        <v>Standar</v>
      </c>
      <c r="T1010" s="2" t="str">
        <f t="shared" si="155"/>
        <v>FALSE</v>
      </c>
      <c r="U1010" s="2" t="str">
        <f t="shared" si="156"/>
        <v>FALSE</v>
      </c>
      <c r="V1010" s="2" t="b">
        <f t="shared" si="157"/>
        <v>0</v>
      </c>
      <c r="W1010" s="2" t="b">
        <f t="shared" si="158"/>
        <v>0</v>
      </c>
      <c r="X1010" s="2" t="b">
        <f t="shared" si="159"/>
        <v>0</v>
      </c>
    </row>
    <row r="1011" spans="1:24" ht="10.5" customHeight="1">
      <c r="A1011" s="2" t="s">
        <v>1390</v>
      </c>
      <c r="B1011" s="3">
        <v>45853.558009259257</v>
      </c>
      <c r="C1011" s="2" t="s">
        <v>995</v>
      </c>
      <c r="D1011" s="2" t="s">
        <v>114</v>
      </c>
      <c r="E1011" s="2" t="s">
        <v>143</v>
      </c>
      <c r="F1011" s="4">
        <v>10000</v>
      </c>
      <c r="G1011" s="5">
        <v>1</v>
      </c>
      <c r="H1011" s="6">
        <v>0</v>
      </c>
      <c r="I1011" s="7">
        <f t="shared" si="150"/>
        <v>10000</v>
      </c>
      <c r="J1011" s="7">
        <f t="shared" si="151"/>
        <v>0</v>
      </c>
      <c r="K1011" s="7">
        <f t="shared" si="152"/>
        <v>10000</v>
      </c>
      <c r="L1011" s="4">
        <v>78000</v>
      </c>
      <c r="M1011" s="7">
        <f t="shared" si="153"/>
        <v>88000</v>
      </c>
      <c r="N1011" s="2" t="s">
        <v>21</v>
      </c>
      <c r="O1011" t="s">
        <v>69</v>
      </c>
      <c r="P1011" s="2" t="s">
        <v>2368</v>
      </c>
      <c r="Q1011" s="2">
        <v>5</v>
      </c>
      <c r="R1011" s="2" t="s">
        <v>23</v>
      </c>
      <c r="S1011" s="2" t="str">
        <f t="shared" si="154"/>
        <v>Rendah</v>
      </c>
      <c r="T1011" s="2" t="str">
        <f t="shared" si="155"/>
        <v>TRUE</v>
      </c>
      <c r="U1011" s="2" t="str">
        <f t="shared" si="156"/>
        <v>TRUE</v>
      </c>
      <c r="V1011" s="2" t="b">
        <f t="shared" si="157"/>
        <v>0</v>
      </c>
      <c r="W1011" s="2" t="b">
        <f t="shared" si="158"/>
        <v>0</v>
      </c>
      <c r="X1011" s="2" t="b">
        <f t="shared" si="159"/>
        <v>0</v>
      </c>
    </row>
    <row r="1012" spans="1:24" ht="10.5" customHeight="1">
      <c r="A1012" s="2" t="s">
        <v>1391</v>
      </c>
      <c r="B1012" s="3">
        <v>45854.443148148152</v>
      </c>
      <c r="C1012" s="2" t="s">
        <v>194</v>
      </c>
      <c r="D1012" s="2" t="s">
        <v>19</v>
      </c>
      <c r="E1012" s="2" t="s">
        <v>170</v>
      </c>
      <c r="F1012" s="4">
        <v>12000</v>
      </c>
      <c r="G1012" s="5">
        <v>1</v>
      </c>
      <c r="H1012" s="6">
        <v>0</v>
      </c>
      <c r="I1012" s="7">
        <f t="shared" si="150"/>
        <v>12000</v>
      </c>
      <c r="J1012" s="7">
        <f t="shared" si="151"/>
        <v>0</v>
      </c>
      <c r="K1012" s="7">
        <f t="shared" si="152"/>
        <v>12000</v>
      </c>
      <c r="L1012" s="4">
        <v>15000</v>
      </c>
      <c r="M1012" s="7">
        <f t="shared" si="153"/>
        <v>27000</v>
      </c>
      <c r="N1012" s="2" t="s">
        <v>21</v>
      </c>
      <c r="O1012" t="s">
        <v>22</v>
      </c>
      <c r="P1012" s="2" t="s">
        <v>2366</v>
      </c>
      <c r="Q1012" s="2">
        <v>5</v>
      </c>
      <c r="R1012" s="2" t="s">
        <v>23</v>
      </c>
      <c r="S1012" s="2" t="str">
        <f t="shared" si="154"/>
        <v>Sangat Rendah</v>
      </c>
      <c r="T1012" s="2" t="str">
        <f t="shared" si="155"/>
        <v>FALSE</v>
      </c>
      <c r="U1012" s="2" t="str">
        <f t="shared" si="156"/>
        <v>FALSE</v>
      </c>
      <c r="V1012" s="2" t="b">
        <f t="shared" si="157"/>
        <v>0</v>
      </c>
      <c r="W1012" s="2" t="b">
        <f t="shared" si="158"/>
        <v>0</v>
      </c>
      <c r="X1012" s="2" t="b">
        <f t="shared" si="159"/>
        <v>1</v>
      </c>
    </row>
    <row r="1013" spans="1:24" ht="10.5" customHeight="1">
      <c r="A1013" s="2" t="s">
        <v>1392</v>
      </c>
      <c r="B1013" s="3">
        <v>45855.387291666673</v>
      </c>
      <c r="C1013" s="2" t="s">
        <v>873</v>
      </c>
      <c r="D1013" s="2" t="s">
        <v>40</v>
      </c>
      <c r="E1013" s="2" t="s">
        <v>45</v>
      </c>
      <c r="F1013" s="4">
        <v>10500</v>
      </c>
      <c r="G1013" s="5">
        <v>1.1000000000000001</v>
      </c>
      <c r="H1013" s="6">
        <v>0</v>
      </c>
      <c r="I1013" s="7">
        <f t="shared" si="150"/>
        <v>11550.000000000002</v>
      </c>
      <c r="J1013" s="7">
        <f t="shared" si="151"/>
        <v>0</v>
      </c>
      <c r="K1013" s="7">
        <f t="shared" si="152"/>
        <v>11550.000000000002</v>
      </c>
      <c r="L1013" s="4">
        <v>93000</v>
      </c>
      <c r="M1013" s="7">
        <f t="shared" si="153"/>
        <v>104550</v>
      </c>
      <c r="N1013" s="2" t="s">
        <v>58</v>
      </c>
      <c r="O1013" t="s">
        <v>22</v>
      </c>
      <c r="P1013" s="2" t="s">
        <v>2365</v>
      </c>
      <c r="Q1013" s="2">
        <v>1</v>
      </c>
      <c r="R1013" s="2" t="s">
        <v>34</v>
      </c>
      <c r="S1013" s="2" t="str">
        <f t="shared" si="154"/>
        <v>Standar</v>
      </c>
      <c r="T1013" s="2" t="str">
        <f t="shared" si="155"/>
        <v>FALSE</v>
      </c>
      <c r="U1013" s="2" t="str">
        <f t="shared" si="156"/>
        <v>FALSE</v>
      </c>
      <c r="V1013" s="2" t="b">
        <f t="shared" si="157"/>
        <v>0</v>
      </c>
      <c r="W1013" s="2" t="b">
        <f t="shared" si="158"/>
        <v>0</v>
      </c>
      <c r="X1013" s="2" t="b">
        <f t="shared" si="159"/>
        <v>0</v>
      </c>
    </row>
    <row r="1014" spans="1:24" ht="10.5" customHeight="1">
      <c r="A1014" s="2" t="s">
        <v>1393</v>
      </c>
      <c r="B1014" s="3">
        <v>45855.677893518521</v>
      </c>
      <c r="C1014" s="2" t="s">
        <v>178</v>
      </c>
      <c r="D1014" s="2" t="s">
        <v>179</v>
      </c>
      <c r="E1014" s="2" t="s">
        <v>143</v>
      </c>
      <c r="F1014" s="4">
        <v>10000</v>
      </c>
      <c r="G1014" s="5">
        <v>1.1000000000000001</v>
      </c>
      <c r="H1014" s="6">
        <v>0</v>
      </c>
      <c r="I1014" s="7">
        <f t="shared" si="150"/>
        <v>11000</v>
      </c>
      <c r="J1014" s="7">
        <f t="shared" si="151"/>
        <v>0</v>
      </c>
      <c r="K1014" s="7">
        <f t="shared" si="152"/>
        <v>11000</v>
      </c>
      <c r="L1014" s="4">
        <v>57000</v>
      </c>
      <c r="M1014" s="7">
        <f t="shared" si="153"/>
        <v>68000</v>
      </c>
      <c r="N1014" s="2" t="s">
        <v>28</v>
      </c>
      <c r="O1014" t="s">
        <v>22</v>
      </c>
      <c r="P1014" s="2" t="s">
        <v>2366</v>
      </c>
      <c r="Q1014" s="2">
        <v>3</v>
      </c>
      <c r="R1014" s="2" t="s">
        <v>23</v>
      </c>
      <c r="S1014" s="2" t="str">
        <f t="shared" si="154"/>
        <v>Rendah</v>
      </c>
      <c r="T1014" s="2" t="str">
        <f t="shared" si="155"/>
        <v>FALSE</v>
      </c>
      <c r="U1014" s="2" t="str">
        <f t="shared" si="156"/>
        <v>TRUE</v>
      </c>
      <c r="V1014" s="2" t="b">
        <f t="shared" si="157"/>
        <v>0</v>
      </c>
      <c r="W1014" s="2" t="b">
        <f t="shared" si="158"/>
        <v>0</v>
      </c>
      <c r="X1014" s="2" t="b">
        <f t="shared" si="159"/>
        <v>0</v>
      </c>
    </row>
    <row r="1015" spans="1:24" ht="10.5" customHeight="1">
      <c r="A1015" s="2" t="s">
        <v>1393</v>
      </c>
      <c r="B1015" s="3">
        <v>45855.677893518521</v>
      </c>
      <c r="C1015" s="2" t="s">
        <v>178</v>
      </c>
      <c r="D1015" s="2" t="s">
        <v>179</v>
      </c>
      <c r="E1015" s="2" t="s">
        <v>65</v>
      </c>
      <c r="F1015" s="4">
        <v>46000</v>
      </c>
      <c r="G1015" s="5">
        <v>1</v>
      </c>
      <c r="H1015" s="6">
        <v>0</v>
      </c>
      <c r="I1015" s="7">
        <f t="shared" si="150"/>
        <v>46000</v>
      </c>
      <c r="J1015" s="7">
        <f t="shared" si="151"/>
        <v>0</v>
      </c>
      <c r="K1015" s="7">
        <f t="shared" si="152"/>
        <v>46000</v>
      </c>
      <c r="L1015" s="4">
        <v>0</v>
      </c>
      <c r="M1015" s="7">
        <f t="shared" si="153"/>
        <v>46000</v>
      </c>
      <c r="N1015" s="2" t="s">
        <v>28</v>
      </c>
      <c r="O1015" t="s">
        <v>22</v>
      </c>
      <c r="P1015" s="2" t="s">
        <v>2366</v>
      </c>
      <c r="Q1015" s="2">
        <v>3</v>
      </c>
      <c r="R1015" s="2" t="s">
        <v>23</v>
      </c>
      <c r="S1015" s="2" t="str">
        <f t="shared" si="154"/>
        <v>Sangat Rendah</v>
      </c>
      <c r="T1015" s="2" t="str">
        <f t="shared" si="155"/>
        <v>FALSE</v>
      </c>
      <c r="U1015" s="2" t="str">
        <f t="shared" si="156"/>
        <v>FALSE</v>
      </c>
      <c r="V1015" s="2" t="b">
        <f t="shared" si="157"/>
        <v>0</v>
      </c>
      <c r="W1015" s="2" t="b">
        <f t="shared" si="158"/>
        <v>0</v>
      </c>
      <c r="X1015" s="2" t="b">
        <f t="shared" si="159"/>
        <v>1</v>
      </c>
    </row>
    <row r="1016" spans="1:24" ht="10.5" customHeight="1">
      <c r="A1016" s="2" t="s">
        <v>1394</v>
      </c>
      <c r="B1016" s="3">
        <v>45857.411099537043</v>
      </c>
      <c r="C1016" s="2" t="s">
        <v>277</v>
      </c>
      <c r="D1016" s="2" t="s">
        <v>252</v>
      </c>
      <c r="E1016" s="2" t="s">
        <v>41</v>
      </c>
      <c r="F1016" s="4">
        <v>40000</v>
      </c>
      <c r="G1016" s="5">
        <v>1</v>
      </c>
      <c r="H1016" s="6">
        <v>0</v>
      </c>
      <c r="I1016" s="7">
        <f t="shared" si="150"/>
        <v>40000</v>
      </c>
      <c r="J1016" s="7">
        <f t="shared" si="151"/>
        <v>0</v>
      </c>
      <c r="K1016" s="7">
        <f t="shared" si="152"/>
        <v>40000</v>
      </c>
      <c r="L1016" s="4">
        <v>18000</v>
      </c>
      <c r="M1016" s="7">
        <f t="shared" si="153"/>
        <v>58000</v>
      </c>
      <c r="N1016" s="2" t="s">
        <v>33</v>
      </c>
      <c r="O1016" t="s">
        <v>22</v>
      </c>
      <c r="P1016" s="2" t="s">
        <v>2370</v>
      </c>
      <c r="Q1016" s="2">
        <v>5</v>
      </c>
      <c r="R1016" s="2" t="s">
        <v>23</v>
      </c>
      <c r="S1016" s="2" t="str">
        <f t="shared" si="154"/>
        <v>Rendah</v>
      </c>
      <c r="T1016" s="2" t="str">
        <f t="shared" si="155"/>
        <v>FALSE</v>
      </c>
      <c r="U1016" s="2" t="str">
        <f t="shared" si="156"/>
        <v>FALSE</v>
      </c>
      <c r="V1016" s="2" t="b">
        <f t="shared" si="157"/>
        <v>0</v>
      </c>
      <c r="W1016" s="2" t="b">
        <f t="shared" si="158"/>
        <v>0</v>
      </c>
      <c r="X1016" s="2" t="b">
        <f t="shared" si="159"/>
        <v>0</v>
      </c>
    </row>
    <row r="1017" spans="1:24" ht="10.5" customHeight="1">
      <c r="A1017" s="2" t="s">
        <v>1395</v>
      </c>
      <c r="B1017" s="3">
        <v>45857.528356481482</v>
      </c>
      <c r="C1017" s="2" t="s">
        <v>441</v>
      </c>
      <c r="D1017" s="2" t="s">
        <v>108</v>
      </c>
      <c r="E1017" s="2" t="s">
        <v>41</v>
      </c>
      <c r="F1017" s="4">
        <v>40000</v>
      </c>
      <c r="G1017" s="5">
        <v>0.8</v>
      </c>
      <c r="H1017" s="6">
        <v>0</v>
      </c>
      <c r="I1017" s="7">
        <f t="shared" si="150"/>
        <v>32000</v>
      </c>
      <c r="J1017" s="7">
        <f t="shared" si="151"/>
        <v>0</v>
      </c>
      <c r="K1017" s="7">
        <f t="shared" si="152"/>
        <v>32000</v>
      </c>
      <c r="L1017" s="4">
        <v>72000</v>
      </c>
      <c r="M1017" s="7">
        <f t="shared" si="153"/>
        <v>104000</v>
      </c>
      <c r="N1017" s="2" t="s">
        <v>28</v>
      </c>
      <c r="O1017" t="s">
        <v>69</v>
      </c>
      <c r="P1017" s="2" t="s">
        <v>2366</v>
      </c>
      <c r="Q1017" s="2">
        <v>5</v>
      </c>
      <c r="R1017" s="2" t="s">
        <v>23</v>
      </c>
      <c r="S1017" s="2" t="str">
        <f t="shared" si="154"/>
        <v>Standar</v>
      </c>
      <c r="T1017" s="2" t="str">
        <f t="shared" si="155"/>
        <v>FALSE</v>
      </c>
      <c r="U1017" s="2" t="str">
        <f t="shared" si="156"/>
        <v>FALSE</v>
      </c>
      <c r="V1017" s="2" t="b">
        <f t="shared" si="157"/>
        <v>0</v>
      </c>
      <c r="W1017" s="2" t="b">
        <f t="shared" si="158"/>
        <v>0</v>
      </c>
      <c r="X1017" s="2" t="b">
        <f t="shared" si="159"/>
        <v>0</v>
      </c>
    </row>
    <row r="1018" spans="1:24" ht="10.5" customHeight="1">
      <c r="A1018" s="2" t="s">
        <v>1396</v>
      </c>
      <c r="B1018" s="3">
        <v>45858.993206018517</v>
      </c>
      <c r="C1018" s="2" t="s">
        <v>113</v>
      </c>
      <c r="D1018" s="2" t="s">
        <v>114</v>
      </c>
      <c r="E1018" s="2" t="s">
        <v>80</v>
      </c>
      <c r="F1018" s="4">
        <v>15000</v>
      </c>
      <c r="G1018" s="5">
        <v>0.7</v>
      </c>
      <c r="H1018" s="6">
        <v>0</v>
      </c>
      <c r="I1018" s="7">
        <f t="shared" si="150"/>
        <v>10500</v>
      </c>
      <c r="J1018" s="7">
        <f t="shared" si="151"/>
        <v>0</v>
      </c>
      <c r="K1018" s="7">
        <f t="shared" si="152"/>
        <v>10500</v>
      </c>
      <c r="L1018" s="4">
        <v>78000</v>
      </c>
      <c r="M1018" s="7">
        <f t="shared" si="153"/>
        <v>88500</v>
      </c>
      <c r="N1018" s="2" t="s">
        <v>21</v>
      </c>
      <c r="O1018" t="s">
        <v>69</v>
      </c>
      <c r="P1018" s="2" t="s">
        <v>2366</v>
      </c>
      <c r="Q1018" s="2">
        <v>5</v>
      </c>
      <c r="R1018" s="2" t="s">
        <v>23</v>
      </c>
      <c r="S1018" s="2" t="str">
        <f t="shared" si="154"/>
        <v>Rendah</v>
      </c>
      <c r="T1018" s="2" t="str">
        <f t="shared" si="155"/>
        <v>TRUE</v>
      </c>
      <c r="U1018" s="2" t="str">
        <f t="shared" si="156"/>
        <v>FALSE</v>
      </c>
      <c r="V1018" s="2" t="b">
        <f t="shared" si="157"/>
        <v>0</v>
      </c>
      <c r="W1018" s="2" t="b">
        <f t="shared" si="158"/>
        <v>0</v>
      </c>
      <c r="X1018" s="2" t="b">
        <f t="shared" si="159"/>
        <v>0</v>
      </c>
    </row>
    <row r="1019" spans="1:24" ht="10.5" customHeight="1">
      <c r="A1019" s="2" t="s">
        <v>1397</v>
      </c>
      <c r="B1019" s="3">
        <v>45859.294999999998</v>
      </c>
      <c r="C1019" s="2" t="s">
        <v>881</v>
      </c>
      <c r="D1019" s="2" t="s">
        <v>118</v>
      </c>
      <c r="E1019" s="2" t="s">
        <v>80</v>
      </c>
      <c r="F1019" s="4">
        <v>15000</v>
      </c>
      <c r="G1019" s="5">
        <v>0.9</v>
      </c>
      <c r="H1019" s="6">
        <v>0</v>
      </c>
      <c r="I1019" s="7">
        <f t="shared" si="150"/>
        <v>13500</v>
      </c>
      <c r="J1019" s="7">
        <f t="shared" si="151"/>
        <v>0</v>
      </c>
      <c r="K1019" s="7">
        <f t="shared" si="152"/>
        <v>13500</v>
      </c>
      <c r="L1019" s="4">
        <v>84000</v>
      </c>
      <c r="M1019" s="7">
        <f t="shared" si="153"/>
        <v>97500</v>
      </c>
      <c r="N1019" s="2" t="s">
        <v>21</v>
      </c>
      <c r="O1019" t="s">
        <v>22</v>
      </c>
      <c r="P1019" s="2" t="s">
        <v>2365</v>
      </c>
      <c r="Q1019" s="2">
        <v>1</v>
      </c>
      <c r="R1019" s="2" t="s">
        <v>34</v>
      </c>
      <c r="S1019" s="2" t="str">
        <f t="shared" si="154"/>
        <v>Rendah</v>
      </c>
      <c r="T1019" s="2" t="str">
        <f t="shared" si="155"/>
        <v>FALSE</v>
      </c>
      <c r="U1019" s="2" t="str">
        <f t="shared" si="156"/>
        <v>FALSE</v>
      </c>
      <c r="V1019" s="2" t="b">
        <f t="shared" si="157"/>
        <v>0</v>
      </c>
      <c r="W1019" s="2" t="b">
        <f t="shared" si="158"/>
        <v>0</v>
      </c>
      <c r="X1019" s="2" t="b">
        <f t="shared" si="159"/>
        <v>0</v>
      </c>
    </row>
    <row r="1020" spans="1:24" ht="10.5" customHeight="1">
      <c r="A1020" s="2" t="s">
        <v>1398</v>
      </c>
      <c r="B1020" s="3">
        <v>45859.935115740736</v>
      </c>
      <c r="C1020" s="2" t="s">
        <v>572</v>
      </c>
      <c r="D1020" s="2" t="s">
        <v>425</v>
      </c>
      <c r="E1020" s="2" t="s">
        <v>161</v>
      </c>
      <c r="F1020" s="4">
        <v>115000</v>
      </c>
      <c r="G1020" s="5">
        <v>0.4</v>
      </c>
      <c r="H1020" s="6">
        <v>0</v>
      </c>
      <c r="I1020" s="7">
        <f t="shared" si="150"/>
        <v>46000</v>
      </c>
      <c r="J1020" s="7">
        <f t="shared" si="151"/>
        <v>0</v>
      </c>
      <c r="K1020" s="7">
        <f t="shared" si="152"/>
        <v>46000</v>
      </c>
      <c r="L1020" s="4">
        <v>67000</v>
      </c>
      <c r="M1020" s="7">
        <f t="shared" si="153"/>
        <v>113000</v>
      </c>
      <c r="N1020" s="2" t="s">
        <v>58</v>
      </c>
      <c r="O1020" t="s">
        <v>69</v>
      </c>
      <c r="P1020" s="2" t="s">
        <v>2370</v>
      </c>
      <c r="Q1020" s="2">
        <v>1</v>
      </c>
      <c r="R1020" s="2" t="s">
        <v>23</v>
      </c>
      <c r="S1020" s="2" t="str">
        <f t="shared" si="154"/>
        <v>Standar</v>
      </c>
      <c r="T1020" s="2" t="str">
        <f t="shared" si="155"/>
        <v>FALSE</v>
      </c>
      <c r="U1020" s="2" t="str">
        <f t="shared" si="156"/>
        <v>FALSE</v>
      </c>
      <c r="V1020" s="2" t="b">
        <f t="shared" si="157"/>
        <v>0</v>
      </c>
      <c r="W1020" s="2" t="b">
        <f t="shared" si="158"/>
        <v>0</v>
      </c>
      <c r="X1020" s="2" t="b">
        <f t="shared" si="159"/>
        <v>0</v>
      </c>
    </row>
    <row r="1021" spans="1:24" ht="10.5" customHeight="1">
      <c r="A1021" s="2" t="s">
        <v>1399</v>
      </c>
      <c r="B1021" s="3">
        <v>45860.07402777778</v>
      </c>
      <c r="C1021" s="2" t="s">
        <v>454</v>
      </c>
      <c r="D1021" s="2" t="s">
        <v>286</v>
      </c>
      <c r="E1021" s="2" t="s">
        <v>35</v>
      </c>
      <c r="F1021" s="4">
        <v>13500</v>
      </c>
      <c r="G1021" s="5">
        <v>1.6</v>
      </c>
      <c r="H1021" s="6">
        <v>0</v>
      </c>
      <c r="I1021" s="7">
        <f t="shared" si="150"/>
        <v>21600</v>
      </c>
      <c r="J1021" s="7">
        <f t="shared" si="151"/>
        <v>0</v>
      </c>
      <c r="K1021" s="7">
        <f t="shared" si="152"/>
        <v>21600</v>
      </c>
      <c r="L1021" s="4">
        <v>79000</v>
      </c>
      <c r="M1021" s="7">
        <f t="shared" si="153"/>
        <v>100600</v>
      </c>
      <c r="N1021" s="2" t="s">
        <v>58</v>
      </c>
      <c r="O1021" t="s">
        <v>22</v>
      </c>
      <c r="P1021" s="2" t="s">
        <v>2367</v>
      </c>
      <c r="Q1021" s="2">
        <v>4</v>
      </c>
      <c r="R1021" s="2" t="s">
        <v>34</v>
      </c>
      <c r="S1021" s="2" t="str">
        <f t="shared" si="154"/>
        <v>Standar</v>
      </c>
      <c r="T1021" s="2" t="str">
        <f t="shared" si="155"/>
        <v>FALSE</v>
      </c>
      <c r="U1021" s="2" t="str">
        <f t="shared" si="156"/>
        <v>FALSE</v>
      </c>
      <c r="V1021" s="2" t="b">
        <f t="shared" si="157"/>
        <v>0</v>
      </c>
      <c r="W1021" s="2" t="b">
        <f t="shared" si="158"/>
        <v>1</v>
      </c>
      <c r="X1021" s="2" t="b">
        <f t="shared" si="159"/>
        <v>0</v>
      </c>
    </row>
    <row r="1022" spans="1:24" ht="10.5" customHeight="1">
      <c r="A1022" s="2" t="s">
        <v>1400</v>
      </c>
      <c r="B1022" s="3">
        <v>45860.520914351851</v>
      </c>
      <c r="C1022" s="2" t="s">
        <v>147</v>
      </c>
      <c r="D1022" s="2" t="s">
        <v>19</v>
      </c>
      <c r="E1022" s="2" t="s">
        <v>182</v>
      </c>
      <c r="F1022" s="4">
        <v>11000</v>
      </c>
      <c r="G1022" s="5">
        <v>1.2</v>
      </c>
      <c r="H1022" s="6">
        <v>0</v>
      </c>
      <c r="I1022" s="7">
        <f t="shared" si="150"/>
        <v>13200</v>
      </c>
      <c r="J1022" s="7">
        <f t="shared" si="151"/>
        <v>0</v>
      </c>
      <c r="K1022" s="7">
        <f t="shared" si="152"/>
        <v>13200</v>
      </c>
      <c r="L1022" s="4">
        <v>15000</v>
      </c>
      <c r="M1022" s="7">
        <f t="shared" si="153"/>
        <v>28200</v>
      </c>
      <c r="N1022" s="2" t="s">
        <v>28</v>
      </c>
      <c r="O1022" t="s">
        <v>22</v>
      </c>
      <c r="P1022" s="2" t="s">
        <v>2365</v>
      </c>
      <c r="Q1022" s="2">
        <v>5</v>
      </c>
      <c r="R1022" s="2" t="s">
        <v>23</v>
      </c>
      <c r="S1022" s="2" t="str">
        <f t="shared" si="154"/>
        <v>Sangat Rendah</v>
      </c>
      <c r="T1022" s="2" t="str">
        <f t="shared" si="155"/>
        <v>FALSE</v>
      </c>
      <c r="U1022" s="2" t="str">
        <f t="shared" si="156"/>
        <v>FALSE</v>
      </c>
      <c r="V1022" s="2" t="b">
        <f t="shared" si="157"/>
        <v>0</v>
      </c>
      <c r="W1022" s="2" t="b">
        <f t="shared" si="158"/>
        <v>0</v>
      </c>
      <c r="X1022" s="2" t="b">
        <f t="shared" si="159"/>
        <v>1</v>
      </c>
    </row>
    <row r="1023" spans="1:24" ht="10.5" customHeight="1">
      <c r="A1023" s="2" t="s">
        <v>1401</v>
      </c>
      <c r="B1023" s="3">
        <v>45861.27652777778</v>
      </c>
      <c r="C1023" s="2" t="s">
        <v>175</v>
      </c>
      <c r="D1023" s="2" t="s">
        <v>94</v>
      </c>
      <c r="E1023" s="2" t="s">
        <v>75</v>
      </c>
      <c r="F1023" s="4">
        <v>45000</v>
      </c>
      <c r="G1023" s="5">
        <v>1.9</v>
      </c>
      <c r="H1023" s="6">
        <v>0</v>
      </c>
      <c r="I1023" s="7">
        <f t="shared" si="150"/>
        <v>85500</v>
      </c>
      <c r="J1023" s="7">
        <f t="shared" si="151"/>
        <v>0</v>
      </c>
      <c r="K1023" s="7">
        <f t="shared" si="152"/>
        <v>85500</v>
      </c>
      <c r="L1023" s="4">
        <v>85000</v>
      </c>
      <c r="M1023" s="7">
        <f t="shared" si="153"/>
        <v>170500</v>
      </c>
      <c r="N1023" s="2" t="s">
        <v>28</v>
      </c>
      <c r="O1023" t="s">
        <v>22</v>
      </c>
      <c r="P1023" s="2" t="s">
        <v>2370</v>
      </c>
      <c r="Q1023" s="2">
        <v>4</v>
      </c>
      <c r="R1023" s="2" t="s">
        <v>23</v>
      </c>
      <c r="S1023" s="2" t="str">
        <f t="shared" si="154"/>
        <v>Tinggi</v>
      </c>
      <c r="T1023" s="2" t="str">
        <f t="shared" si="155"/>
        <v>FALSE</v>
      </c>
      <c r="U1023" s="2" t="str">
        <f t="shared" si="156"/>
        <v>TRUE</v>
      </c>
      <c r="V1023" s="2" t="b">
        <f t="shared" si="157"/>
        <v>0</v>
      </c>
      <c r="W1023" s="2" t="b">
        <f t="shared" si="158"/>
        <v>0</v>
      </c>
      <c r="X1023" s="2" t="b">
        <f t="shared" si="159"/>
        <v>0</v>
      </c>
    </row>
    <row r="1024" spans="1:24" ht="10.5" customHeight="1">
      <c r="A1024" s="2" t="s">
        <v>1402</v>
      </c>
      <c r="B1024" s="3">
        <v>45861.503692129627</v>
      </c>
      <c r="C1024" s="2" t="s">
        <v>125</v>
      </c>
      <c r="D1024" s="2" t="s">
        <v>31</v>
      </c>
      <c r="E1024" s="2" t="s">
        <v>182</v>
      </c>
      <c r="F1024" s="4">
        <v>11000</v>
      </c>
      <c r="G1024" s="5">
        <v>2</v>
      </c>
      <c r="H1024" s="6">
        <v>0</v>
      </c>
      <c r="I1024" s="7">
        <f t="shared" si="150"/>
        <v>22000</v>
      </c>
      <c r="J1024" s="7">
        <f t="shared" si="151"/>
        <v>0</v>
      </c>
      <c r="K1024" s="7">
        <f t="shared" si="152"/>
        <v>22000</v>
      </c>
      <c r="L1024" s="4">
        <v>76000</v>
      </c>
      <c r="M1024" s="7">
        <f t="shared" si="153"/>
        <v>98000</v>
      </c>
      <c r="N1024" s="2" t="s">
        <v>33</v>
      </c>
      <c r="O1024" t="s">
        <v>22</v>
      </c>
      <c r="P1024" s="2" t="s">
        <v>2365</v>
      </c>
      <c r="Q1024" s="2">
        <v>1</v>
      </c>
      <c r="R1024" s="2" t="s">
        <v>23</v>
      </c>
      <c r="S1024" s="2" t="str">
        <f t="shared" si="154"/>
        <v>Rendah</v>
      </c>
      <c r="T1024" s="2" t="str">
        <f t="shared" si="155"/>
        <v>FALSE</v>
      </c>
      <c r="U1024" s="2" t="str">
        <f t="shared" si="156"/>
        <v>FALSE</v>
      </c>
      <c r="V1024" s="2" t="b">
        <f t="shared" si="157"/>
        <v>0</v>
      </c>
      <c r="W1024" s="2" t="b">
        <f t="shared" si="158"/>
        <v>0</v>
      </c>
      <c r="X1024" s="2" t="b">
        <f t="shared" si="159"/>
        <v>0</v>
      </c>
    </row>
    <row r="1025" spans="1:24" ht="10.5" customHeight="1">
      <c r="A1025" s="2" t="s">
        <v>1403</v>
      </c>
      <c r="B1025" s="3">
        <v>45861.795254629629</v>
      </c>
      <c r="C1025" s="2" t="s">
        <v>327</v>
      </c>
      <c r="D1025" s="2" t="s">
        <v>123</v>
      </c>
      <c r="E1025" s="2" t="s">
        <v>75</v>
      </c>
      <c r="F1025" s="4">
        <v>45000</v>
      </c>
      <c r="G1025" s="5">
        <v>1.5</v>
      </c>
      <c r="H1025" s="6">
        <v>0</v>
      </c>
      <c r="I1025" s="7">
        <f t="shared" si="150"/>
        <v>67500</v>
      </c>
      <c r="J1025" s="7">
        <f t="shared" si="151"/>
        <v>0</v>
      </c>
      <c r="K1025" s="7">
        <f t="shared" si="152"/>
        <v>67500</v>
      </c>
      <c r="L1025" s="4">
        <v>59000</v>
      </c>
      <c r="M1025" s="7">
        <f t="shared" si="153"/>
        <v>126500</v>
      </c>
      <c r="N1025" s="2" t="s">
        <v>58</v>
      </c>
      <c r="O1025" t="s">
        <v>22</v>
      </c>
      <c r="P1025" s="2" t="s">
        <v>2367</v>
      </c>
      <c r="Q1025" s="2">
        <v>4</v>
      </c>
      <c r="R1025" s="2" t="s">
        <v>23</v>
      </c>
      <c r="S1025" s="2" t="str">
        <f t="shared" si="154"/>
        <v>Standar</v>
      </c>
      <c r="T1025" s="2" t="str">
        <f t="shared" si="155"/>
        <v>FALSE</v>
      </c>
      <c r="U1025" s="2" t="str">
        <f t="shared" si="156"/>
        <v>FALSE</v>
      </c>
      <c r="V1025" s="2" t="b">
        <f t="shared" si="157"/>
        <v>0</v>
      </c>
      <c r="W1025" s="2" t="b">
        <f t="shared" si="158"/>
        <v>1</v>
      </c>
      <c r="X1025" s="2" t="b">
        <f t="shared" si="159"/>
        <v>0</v>
      </c>
    </row>
    <row r="1026" spans="1:24" ht="10.5" customHeight="1">
      <c r="A1026" s="2" t="s">
        <v>1403</v>
      </c>
      <c r="B1026" s="3">
        <v>45861.795254629629</v>
      </c>
      <c r="C1026" s="2" t="s">
        <v>327</v>
      </c>
      <c r="D1026" s="2" t="s">
        <v>123</v>
      </c>
      <c r="E1026" s="2" t="s">
        <v>57</v>
      </c>
      <c r="F1026" s="4">
        <v>17500</v>
      </c>
      <c r="G1026" s="5">
        <v>2.2999999999999998</v>
      </c>
      <c r="H1026" s="6">
        <v>0</v>
      </c>
      <c r="I1026" s="7">
        <f t="shared" si="150"/>
        <v>40250</v>
      </c>
      <c r="J1026" s="7">
        <f t="shared" si="151"/>
        <v>0</v>
      </c>
      <c r="K1026" s="7">
        <f t="shared" si="152"/>
        <v>40250</v>
      </c>
      <c r="L1026" s="4">
        <v>0</v>
      </c>
      <c r="M1026" s="7">
        <f t="shared" si="153"/>
        <v>40250</v>
      </c>
      <c r="N1026" s="2" t="s">
        <v>58</v>
      </c>
      <c r="O1026" t="s">
        <v>22</v>
      </c>
      <c r="P1026" s="2" t="s">
        <v>2367</v>
      </c>
      <c r="Q1026" s="2">
        <v>4</v>
      </c>
      <c r="R1026" s="2" t="s">
        <v>23</v>
      </c>
      <c r="S1026" s="2" t="str">
        <f t="shared" si="154"/>
        <v>Sangat Rendah</v>
      </c>
      <c r="T1026" s="2" t="str">
        <f t="shared" si="155"/>
        <v>FALSE</v>
      </c>
      <c r="U1026" s="2" t="str">
        <f t="shared" si="156"/>
        <v>FALSE</v>
      </c>
      <c r="V1026" s="2" t="b">
        <f t="shared" si="157"/>
        <v>0</v>
      </c>
      <c r="W1026" s="2" t="b">
        <f t="shared" si="158"/>
        <v>1</v>
      </c>
      <c r="X1026" s="2" t="b">
        <f t="shared" si="159"/>
        <v>1</v>
      </c>
    </row>
    <row r="1027" spans="1:24" ht="10.5" customHeight="1">
      <c r="A1027" s="2" t="s">
        <v>1404</v>
      </c>
      <c r="B1027" s="3">
        <v>45863.055671296293</v>
      </c>
      <c r="C1027" s="2" t="s">
        <v>285</v>
      </c>
      <c r="D1027" s="2" t="s">
        <v>286</v>
      </c>
      <c r="E1027" s="2" t="s">
        <v>53</v>
      </c>
      <c r="F1027" s="4">
        <v>14000</v>
      </c>
      <c r="G1027" s="5">
        <v>1</v>
      </c>
      <c r="H1027" s="6">
        <v>5</v>
      </c>
      <c r="I1027" s="7">
        <f t="shared" si="150"/>
        <v>14000</v>
      </c>
      <c r="J1027" s="7">
        <f t="shared" si="151"/>
        <v>700</v>
      </c>
      <c r="K1027" s="7">
        <f t="shared" si="152"/>
        <v>13300</v>
      </c>
      <c r="L1027" s="4">
        <v>79000</v>
      </c>
      <c r="M1027" s="7">
        <f t="shared" si="153"/>
        <v>92300</v>
      </c>
      <c r="N1027" s="2" t="s">
        <v>33</v>
      </c>
      <c r="O1027" t="s">
        <v>22</v>
      </c>
      <c r="P1027" s="2" t="s">
        <v>2368</v>
      </c>
      <c r="Q1027" s="2">
        <v>4</v>
      </c>
      <c r="R1027" s="2" t="s">
        <v>23</v>
      </c>
      <c r="S1027" s="2" t="str">
        <f t="shared" si="154"/>
        <v>Rendah</v>
      </c>
      <c r="T1027" s="2" t="str">
        <f t="shared" si="155"/>
        <v>FALSE</v>
      </c>
      <c r="U1027" s="2" t="str">
        <f t="shared" si="156"/>
        <v>FALSE</v>
      </c>
      <c r="V1027" s="2" t="b">
        <f t="shared" si="157"/>
        <v>0</v>
      </c>
      <c r="W1027" s="2" t="b">
        <f t="shared" si="158"/>
        <v>0</v>
      </c>
      <c r="X1027" s="2" t="b">
        <f t="shared" si="159"/>
        <v>0</v>
      </c>
    </row>
    <row r="1028" spans="1:24" ht="10.5" customHeight="1">
      <c r="A1028" s="2" t="s">
        <v>1405</v>
      </c>
      <c r="B1028" s="3">
        <v>45863.306064814817</v>
      </c>
      <c r="C1028" s="2" t="s">
        <v>259</v>
      </c>
      <c r="D1028" s="2" t="s">
        <v>164</v>
      </c>
      <c r="E1028" s="2" t="s">
        <v>35</v>
      </c>
      <c r="F1028" s="4">
        <v>13500</v>
      </c>
      <c r="G1028" s="5">
        <v>1.2</v>
      </c>
      <c r="H1028" s="6">
        <v>5</v>
      </c>
      <c r="I1028" s="7">
        <f t="shared" ref="I1028:I1091" si="160">F1028*G1028</f>
        <v>16200</v>
      </c>
      <c r="J1028" s="7">
        <f t="shared" ref="J1028:J1091" si="161">I1028*(H1028/100)</f>
        <v>810</v>
      </c>
      <c r="K1028" s="7">
        <f t="shared" ref="K1028:K1091" si="162">I1028-J1028</f>
        <v>15390</v>
      </c>
      <c r="L1028" s="4">
        <v>49000</v>
      </c>
      <c r="M1028" s="7">
        <f t="shared" ref="M1028:M1091" si="163">K1028+L1028</f>
        <v>64390</v>
      </c>
      <c r="N1028" s="2" t="s">
        <v>21</v>
      </c>
      <c r="O1028" t="s">
        <v>22</v>
      </c>
      <c r="P1028" s="2" t="s">
        <v>2366</v>
      </c>
      <c r="Q1028" s="2">
        <v>2</v>
      </c>
      <c r="R1028" s="2" t="s">
        <v>34</v>
      </c>
      <c r="S1028" s="2" t="str">
        <f t="shared" ref="S1028:S1091" si="164">IF(M1028&lt;=50000,"Sangat Rendah",IF(M1028&lt;=100000,"Rendah",IF(M1028&lt;=150000,"Standar",IF(M1028&lt;=200000,"Tinggi","Sangat Tinggi"))))</f>
        <v>Rendah</v>
      </c>
      <c r="T1028" s="2" t="str">
        <f t="shared" ref="T1028:T1091" si="165">IF(AND(S1028="Rendah",D1028="Yogyakarta"),"TRUE","FALSE")</f>
        <v>FALSE</v>
      </c>
      <c r="U1028" s="2" t="str">
        <f t="shared" ref="U1028:U1091" si="166">IF(OR(S1028="Tinggi",E1028="Bayam"),"TRUE","FALSE")</f>
        <v>FALSE</v>
      </c>
      <c r="V1028" s="2" t="b">
        <f t="shared" ref="V1028:V1091" si="167">IF(AND(S1028="Standar",N1028="Transef Bank"),TRUE,FALSE)</f>
        <v>0</v>
      </c>
      <c r="W1028" s="2" t="b">
        <f t="shared" ref="W1028:W1091" si="168">IF(OR(S1028="Sangat Tinggi",P1028="FoodMart"),TRUE,FALSE)</f>
        <v>0</v>
      </c>
      <c r="X1028" s="2" t="b">
        <f t="shared" ref="X1028:X1091" si="169">IF(AND(S1028="Sangat Rendah",R1028="Perempuan"),TRUE,FALSE)</f>
        <v>0</v>
      </c>
    </row>
    <row r="1029" spans="1:24" ht="10.5" customHeight="1">
      <c r="A1029" s="2" t="s">
        <v>1406</v>
      </c>
      <c r="B1029" s="3">
        <v>45863.340891203698</v>
      </c>
      <c r="C1029" s="2" t="s">
        <v>1056</v>
      </c>
      <c r="D1029" s="2" t="s">
        <v>105</v>
      </c>
      <c r="E1029" s="2" t="s">
        <v>80</v>
      </c>
      <c r="F1029" s="4">
        <v>15000</v>
      </c>
      <c r="G1029" s="5">
        <v>0.9</v>
      </c>
      <c r="H1029" s="6">
        <v>5</v>
      </c>
      <c r="I1029" s="7">
        <f t="shared" si="160"/>
        <v>13500</v>
      </c>
      <c r="J1029" s="7">
        <f t="shared" si="161"/>
        <v>675</v>
      </c>
      <c r="K1029" s="7">
        <f t="shared" si="162"/>
        <v>12825</v>
      </c>
      <c r="L1029" s="4">
        <v>18000</v>
      </c>
      <c r="M1029" s="7">
        <f t="shared" si="163"/>
        <v>30825</v>
      </c>
      <c r="N1029" s="2" t="s">
        <v>58</v>
      </c>
      <c r="O1029" t="s">
        <v>22</v>
      </c>
      <c r="P1029" s="2" t="s">
        <v>2365</v>
      </c>
      <c r="Q1029" s="2">
        <v>3</v>
      </c>
      <c r="R1029" s="2" t="s">
        <v>23</v>
      </c>
      <c r="S1029" s="2" t="str">
        <f t="shared" si="164"/>
        <v>Sangat Rendah</v>
      </c>
      <c r="T1029" s="2" t="str">
        <f t="shared" si="165"/>
        <v>FALSE</v>
      </c>
      <c r="U1029" s="2" t="str">
        <f t="shared" si="166"/>
        <v>FALSE</v>
      </c>
      <c r="V1029" s="2" t="b">
        <f t="shared" si="167"/>
        <v>0</v>
      </c>
      <c r="W1029" s="2" t="b">
        <f t="shared" si="168"/>
        <v>0</v>
      </c>
      <c r="X1029" s="2" t="b">
        <f t="shared" si="169"/>
        <v>1</v>
      </c>
    </row>
    <row r="1030" spans="1:24" ht="10.5" customHeight="1">
      <c r="A1030" s="2" t="s">
        <v>1407</v>
      </c>
      <c r="B1030" s="3">
        <v>45863.376250000001</v>
      </c>
      <c r="C1030" s="2" t="s">
        <v>1408</v>
      </c>
      <c r="D1030" s="2" t="s">
        <v>252</v>
      </c>
      <c r="E1030" s="2" t="s">
        <v>182</v>
      </c>
      <c r="F1030" s="4">
        <v>11000</v>
      </c>
      <c r="G1030" s="5">
        <v>1.3</v>
      </c>
      <c r="H1030" s="6">
        <v>5</v>
      </c>
      <c r="I1030" s="7">
        <f t="shared" si="160"/>
        <v>14300</v>
      </c>
      <c r="J1030" s="7">
        <f t="shared" si="161"/>
        <v>715</v>
      </c>
      <c r="K1030" s="7">
        <f t="shared" si="162"/>
        <v>13585</v>
      </c>
      <c r="L1030" s="4">
        <v>18000</v>
      </c>
      <c r="M1030" s="7">
        <f t="shared" si="163"/>
        <v>31585</v>
      </c>
      <c r="N1030" s="2" t="s">
        <v>28</v>
      </c>
      <c r="O1030" t="s">
        <v>22</v>
      </c>
      <c r="P1030" s="2" t="s">
        <v>2368</v>
      </c>
      <c r="Q1030" s="2">
        <v>4</v>
      </c>
      <c r="R1030" s="2" t="s">
        <v>23</v>
      </c>
      <c r="S1030" s="2" t="str">
        <f t="shared" si="164"/>
        <v>Sangat Rendah</v>
      </c>
      <c r="T1030" s="2" t="str">
        <f t="shared" si="165"/>
        <v>FALSE</v>
      </c>
      <c r="U1030" s="2" t="str">
        <f t="shared" si="166"/>
        <v>FALSE</v>
      </c>
      <c r="V1030" s="2" t="b">
        <f t="shared" si="167"/>
        <v>0</v>
      </c>
      <c r="W1030" s="2" t="b">
        <f t="shared" si="168"/>
        <v>0</v>
      </c>
      <c r="X1030" s="2" t="b">
        <f t="shared" si="169"/>
        <v>1</v>
      </c>
    </row>
    <row r="1031" spans="1:24" ht="10.5" customHeight="1">
      <c r="A1031" s="2" t="s">
        <v>1409</v>
      </c>
      <c r="B1031" s="3">
        <v>45863.403738425928</v>
      </c>
      <c r="C1031" s="2" t="s">
        <v>505</v>
      </c>
      <c r="D1031" s="2" t="s">
        <v>173</v>
      </c>
      <c r="E1031" s="2" t="s">
        <v>41</v>
      </c>
      <c r="F1031" s="4">
        <v>40000</v>
      </c>
      <c r="G1031" s="5">
        <v>0.3</v>
      </c>
      <c r="H1031" s="6">
        <v>5</v>
      </c>
      <c r="I1031" s="7">
        <f t="shared" si="160"/>
        <v>12000</v>
      </c>
      <c r="J1031" s="7">
        <f t="shared" si="161"/>
        <v>600</v>
      </c>
      <c r="K1031" s="7">
        <f t="shared" si="162"/>
        <v>11400</v>
      </c>
      <c r="L1031" s="4">
        <v>48000</v>
      </c>
      <c r="M1031" s="7">
        <f t="shared" si="163"/>
        <v>59400</v>
      </c>
      <c r="N1031" s="2" t="s">
        <v>58</v>
      </c>
      <c r="O1031" t="s">
        <v>22</v>
      </c>
      <c r="P1031" s="2" t="s">
        <v>2367</v>
      </c>
      <c r="Q1031" s="2">
        <v>2</v>
      </c>
      <c r="R1031" s="2" t="s">
        <v>23</v>
      </c>
      <c r="S1031" s="2" t="str">
        <f t="shared" si="164"/>
        <v>Rendah</v>
      </c>
      <c r="T1031" s="2" t="str">
        <f t="shared" si="165"/>
        <v>FALSE</v>
      </c>
      <c r="U1031" s="2" t="str">
        <f t="shared" si="166"/>
        <v>FALSE</v>
      </c>
      <c r="V1031" s="2" t="b">
        <f t="shared" si="167"/>
        <v>0</v>
      </c>
      <c r="W1031" s="2" t="b">
        <f t="shared" si="168"/>
        <v>1</v>
      </c>
      <c r="X1031" s="2" t="b">
        <f t="shared" si="169"/>
        <v>0</v>
      </c>
    </row>
    <row r="1032" spans="1:24" ht="10.5" customHeight="1">
      <c r="A1032" s="2" t="s">
        <v>1410</v>
      </c>
      <c r="B1032" s="3">
        <v>45863.444085648152</v>
      </c>
      <c r="C1032" s="2" t="s">
        <v>152</v>
      </c>
      <c r="D1032" s="2" t="s">
        <v>153</v>
      </c>
      <c r="E1032" s="2" t="s">
        <v>80</v>
      </c>
      <c r="F1032" s="4">
        <v>15000</v>
      </c>
      <c r="G1032" s="5">
        <v>2.4</v>
      </c>
      <c r="H1032" s="6">
        <v>5</v>
      </c>
      <c r="I1032" s="7">
        <f t="shared" si="160"/>
        <v>36000</v>
      </c>
      <c r="J1032" s="7">
        <f t="shared" si="161"/>
        <v>1800</v>
      </c>
      <c r="K1032" s="7">
        <f t="shared" si="162"/>
        <v>34200</v>
      </c>
      <c r="L1032" s="4">
        <v>50000</v>
      </c>
      <c r="M1032" s="7">
        <f t="shared" si="163"/>
        <v>84200</v>
      </c>
      <c r="N1032" s="2" t="s">
        <v>21</v>
      </c>
      <c r="O1032" t="s">
        <v>22</v>
      </c>
      <c r="P1032" s="2" t="s">
        <v>2367</v>
      </c>
      <c r="Q1032" s="2">
        <v>3</v>
      </c>
      <c r="R1032" s="2" t="s">
        <v>23</v>
      </c>
      <c r="S1032" s="2" t="str">
        <f t="shared" si="164"/>
        <v>Rendah</v>
      </c>
      <c r="T1032" s="2" t="str">
        <f t="shared" si="165"/>
        <v>FALSE</v>
      </c>
      <c r="U1032" s="2" t="str">
        <f t="shared" si="166"/>
        <v>FALSE</v>
      </c>
      <c r="V1032" s="2" t="b">
        <f t="shared" si="167"/>
        <v>0</v>
      </c>
      <c r="W1032" s="2" t="b">
        <f t="shared" si="168"/>
        <v>1</v>
      </c>
      <c r="X1032" s="2" t="b">
        <f t="shared" si="169"/>
        <v>0</v>
      </c>
    </row>
    <row r="1033" spans="1:24" ht="10.5" customHeight="1">
      <c r="A1033" s="2" t="s">
        <v>1411</v>
      </c>
      <c r="B1033" s="3">
        <v>45863.460324074083</v>
      </c>
      <c r="C1033" s="2" t="s">
        <v>1326</v>
      </c>
      <c r="D1033" s="2" t="s">
        <v>87</v>
      </c>
      <c r="E1033" s="2" t="s">
        <v>20</v>
      </c>
      <c r="F1033" s="4">
        <v>10000</v>
      </c>
      <c r="G1033" s="5">
        <v>2.9</v>
      </c>
      <c r="H1033" s="6">
        <v>5</v>
      </c>
      <c r="I1033" s="7">
        <f t="shared" si="160"/>
        <v>29000</v>
      </c>
      <c r="J1033" s="7">
        <f t="shared" si="161"/>
        <v>1450</v>
      </c>
      <c r="K1033" s="7">
        <f t="shared" si="162"/>
        <v>27550</v>
      </c>
      <c r="L1033" s="4">
        <v>49000</v>
      </c>
      <c r="M1033" s="7">
        <f t="shared" si="163"/>
        <v>76550</v>
      </c>
      <c r="N1033" s="2" t="s">
        <v>33</v>
      </c>
      <c r="O1033" t="s">
        <v>69</v>
      </c>
      <c r="P1033" s="2" t="s">
        <v>2370</v>
      </c>
      <c r="Q1033" s="2">
        <v>4</v>
      </c>
      <c r="R1033" s="2" t="s">
        <v>34</v>
      </c>
      <c r="S1033" s="2" t="str">
        <f t="shared" si="164"/>
        <v>Rendah</v>
      </c>
      <c r="T1033" s="2" t="str">
        <f t="shared" si="165"/>
        <v>FALSE</v>
      </c>
      <c r="U1033" s="2" t="str">
        <f t="shared" si="166"/>
        <v>FALSE</v>
      </c>
      <c r="V1033" s="2" t="b">
        <f t="shared" si="167"/>
        <v>0</v>
      </c>
      <c r="W1033" s="2" t="b">
        <f t="shared" si="168"/>
        <v>0</v>
      </c>
      <c r="X1033" s="2" t="b">
        <f t="shared" si="169"/>
        <v>0</v>
      </c>
    </row>
    <row r="1034" spans="1:24" ht="10.5" customHeight="1">
      <c r="A1034" s="2" t="s">
        <v>1412</v>
      </c>
      <c r="B1034" s="3">
        <v>45863.491620370369</v>
      </c>
      <c r="C1034" s="2" t="s">
        <v>220</v>
      </c>
      <c r="D1034" s="2" t="s">
        <v>185</v>
      </c>
      <c r="E1034" s="2" t="s">
        <v>20</v>
      </c>
      <c r="F1034" s="4">
        <v>10000</v>
      </c>
      <c r="G1034" s="5">
        <v>2.8</v>
      </c>
      <c r="H1034" s="6">
        <v>5</v>
      </c>
      <c r="I1034" s="7">
        <f t="shared" si="160"/>
        <v>28000</v>
      </c>
      <c r="J1034" s="7">
        <f t="shared" si="161"/>
        <v>1400</v>
      </c>
      <c r="K1034" s="7">
        <f t="shared" si="162"/>
        <v>26600</v>
      </c>
      <c r="L1034" s="4">
        <v>87000</v>
      </c>
      <c r="M1034" s="7">
        <f t="shared" si="163"/>
        <v>113600</v>
      </c>
      <c r="N1034" s="2" t="s">
        <v>58</v>
      </c>
      <c r="O1034" t="s">
        <v>22</v>
      </c>
      <c r="P1034" s="2" t="s">
        <v>2367</v>
      </c>
      <c r="Q1034" s="2">
        <v>4</v>
      </c>
      <c r="R1034" s="2" t="s">
        <v>23</v>
      </c>
      <c r="S1034" s="2" t="str">
        <f t="shared" si="164"/>
        <v>Standar</v>
      </c>
      <c r="T1034" s="2" t="str">
        <f t="shared" si="165"/>
        <v>FALSE</v>
      </c>
      <c r="U1034" s="2" t="str">
        <f t="shared" si="166"/>
        <v>FALSE</v>
      </c>
      <c r="V1034" s="2" t="b">
        <f t="shared" si="167"/>
        <v>0</v>
      </c>
      <c r="W1034" s="2" t="b">
        <f t="shared" si="168"/>
        <v>1</v>
      </c>
      <c r="X1034" s="2" t="b">
        <f t="shared" si="169"/>
        <v>0</v>
      </c>
    </row>
    <row r="1035" spans="1:24" ht="10.5" customHeight="1">
      <c r="A1035" s="2" t="s">
        <v>1413</v>
      </c>
      <c r="B1035" s="3">
        <v>45863.500798611109</v>
      </c>
      <c r="C1035" s="2" t="s">
        <v>1414</v>
      </c>
      <c r="D1035" s="2" t="s">
        <v>286</v>
      </c>
      <c r="E1035" s="2" t="s">
        <v>35</v>
      </c>
      <c r="F1035" s="4">
        <v>13500</v>
      </c>
      <c r="G1035" s="5">
        <v>2.5</v>
      </c>
      <c r="H1035" s="6">
        <v>5</v>
      </c>
      <c r="I1035" s="7">
        <f t="shared" si="160"/>
        <v>33750</v>
      </c>
      <c r="J1035" s="7">
        <f t="shared" si="161"/>
        <v>1687.5</v>
      </c>
      <c r="K1035" s="7">
        <f t="shared" si="162"/>
        <v>32062.5</v>
      </c>
      <c r="L1035" s="4">
        <v>79000</v>
      </c>
      <c r="M1035" s="7">
        <f t="shared" si="163"/>
        <v>111062.5</v>
      </c>
      <c r="N1035" s="2" t="s">
        <v>28</v>
      </c>
      <c r="O1035" t="s">
        <v>22</v>
      </c>
      <c r="P1035" s="2" t="s">
        <v>2370</v>
      </c>
      <c r="Q1035" s="2">
        <v>3</v>
      </c>
      <c r="R1035" s="2" t="s">
        <v>23</v>
      </c>
      <c r="S1035" s="2" t="str">
        <f t="shared" si="164"/>
        <v>Standar</v>
      </c>
      <c r="T1035" s="2" t="str">
        <f t="shared" si="165"/>
        <v>FALSE</v>
      </c>
      <c r="U1035" s="2" t="str">
        <f t="shared" si="166"/>
        <v>FALSE</v>
      </c>
      <c r="V1035" s="2" t="b">
        <f t="shared" si="167"/>
        <v>0</v>
      </c>
      <c r="W1035" s="2" t="b">
        <f t="shared" si="168"/>
        <v>0</v>
      </c>
      <c r="X1035" s="2" t="b">
        <f t="shared" si="169"/>
        <v>0</v>
      </c>
    </row>
    <row r="1036" spans="1:24" ht="10.5" customHeight="1">
      <c r="A1036" s="2" t="s">
        <v>1415</v>
      </c>
      <c r="B1036" s="3">
        <v>45863.501030092593</v>
      </c>
      <c r="C1036" s="2" t="s">
        <v>973</v>
      </c>
      <c r="D1036" s="2" t="s">
        <v>252</v>
      </c>
      <c r="E1036" s="2" t="s">
        <v>75</v>
      </c>
      <c r="F1036" s="4">
        <v>45000</v>
      </c>
      <c r="G1036" s="5">
        <v>1.5</v>
      </c>
      <c r="H1036" s="6">
        <v>5</v>
      </c>
      <c r="I1036" s="7">
        <f t="shared" si="160"/>
        <v>67500</v>
      </c>
      <c r="J1036" s="7">
        <f t="shared" si="161"/>
        <v>3375</v>
      </c>
      <c r="K1036" s="7">
        <f t="shared" si="162"/>
        <v>64125</v>
      </c>
      <c r="L1036" s="4">
        <v>18000</v>
      </c>
      <c r="M1036" s="7">
        <f t="shared" si="163"/>
        <v>82125</v>
      </c>
      <c r="N1036" s="2" t="s">
        <v>21</v>
      </c>
      <c r="O1036" t="s">
        <v>22</v>
      </c>
      <c r="P1036" s="2" t="s">
        <v>2370</v>
      </c>
      <c r="Q1036" s="2">
        <v>1</v>
      </c>
      <c r="R1036" s="2" t="s">
        <v>34</v>
      </c>
      <c r="S1036" s="2" t="str">
        <f t="shared" si="164"/>
        <v>Rendah</v>
      </c>
      <c r="T1036" s="2" t="str">
        <f t="shared" si="165"/>
        <v>FALSE</v>
      </c>
      <c r="U1036" s="2" t="str">
        <f t="shared" si="166"/>
        <v>FALSE</v>
      </c>
      <c r="V1036" s="2" t="b">
        <f t="shared" si="167"/>
        <v>0</v>
      </c>
      <c r="W1036" s="2" t="b">
        <f t="shared" si="168"/>
        <v>0</v>
      </c>
      <c r="X1036" s="2" t="b">
        <f t="shared" si="169"/>
        <v>0</v>
      </c>
    </row>
    <row r="1037" spans="1:24" ht="10.5" customHeight="1">
      <c r="A1037" s="2" t="s">
        <v>1416</v>
      </c>
      <c r="B1037" s="3">
        <v>45863.50577546296</v>
      </c>
      <c r="C1037" s="2" t="s">
        <v>51</v>
      </c>
      <c r="D1037" s="2" t="s">
        <v>52</v>
      </c>
      <c r="E1037" s="2" t="s">
        <v>57</v>
      </c>
      <c r="F1037" s="4">
        <v>17500</v>
      </c>
      <c r="G1037" s="5">
        <v>2.8</v>
      </c>
      <c r="H1037" s="6">
        <v>5</v>
      </c>
      <c r="I1037" s="7">
        <f t="shared" si="160"/>
        <v>49000</v>
      </c>
      <c r="J1037" s="7">
        <f t="shared" si="161"/>
        <v>2450</v>
      </c>
      <c r="K1037" s="7">
        <f t="shared" si="162"/>
        <v>46550</v>
      </c>
      <c r="L1037" s="4">
        <v>80000</v>
      </c>
      <c r="M1037" s="7">
        <f t="shared" si="163"/>
        <v>126550</v>
      </c>
      <c r="N1037" s="2" t="s">
        <v>28</v>
      </c>
      <c r="O1037" t="s">
        <v>22</v>
      </c>
      <c r="P1037" s="2" t="s">
        <v>2368</v>
      </c>
      <c r="Q1037" s="2">
        <v>1</v>
      </c>
      <c r="R1037" s="2" t="s">
        <v>23</v>
      </c>
      <c r="S1037" s="2" t="str">
        <f t="shared" si="164"/>
        <v>Standar</v>
      </c>
      <c r="T1037" s="2" t="str">
        <f t="shared" si="165"/>
        <v>FALSE</v>
      </c>
      <c r="U1037" s="2" t="str">
        <f t="shared" si="166"/>
        <v>FALSE</v>
      </c>
      <c r="V1037" s="2" t="b">
        <f t="shared" si="167"/>
        <v>0</v>
      </c>
      <c r="W1037" s="2" t="b">
        <f t="shared" si="168"/>
        <v>0</v>
      </c>
      <c r="X1037" s="2" t="b">
        <f t="shared" si="169"/>
        <v>0</v>
      </c>
    </row>
    <row r="1038" spans="1:24" ht="10.5" customHeight="1">
      <c r="A1038" s="2" t="s">
        <v>1417</v>
      </c>
      <c r="B1038" s="3">
        <v>45863.528900462959</v>
      </c>
      <c r="C1038" s="2" t="s">
        <v>1307</v>
      </c>
      <c r="D1038" s="2" t="s">
        <v>105</v>
      </c>
      <c r="E1038" s="2" t="s">
        <v>20</v>
      </c>
      <c r="F1038" s="4">
        <v>10000</v>
      </c>
      <c r="G1038" s="5">
        <v>2.1</v>
      </c>
      <c r="H1038" s="6">
        <v>5</v>
      </c>
      <c r="I1038" s="7">
        <f t="shared" si="160"/>
        <v>21000</v>
      </c>
      <c r="J1038" s="7">
        <f t="shared" si="161"/>
        <v>1050</v>
      </c>
      <c r="K1038" s="7">
        <f t="shared" si="162"/>
        <v>19950</v>
      </c>
      <c r="L1038" s="4">
        <v>18000</v>
      </c>
      <c r="M1038" s="7">
        <f t="shared" si="163"/>
        <v>37950</v>
      </c>
      <c r="N1038" s="2" t="s">
        <v>58</v>
      </c>
      <c r="O1038" t="s">
        <v>22</v>
      </c>
      <c r="P1038" s="2" t="s">
        <v>2368</v>
      </c>
      <c r="Q1038" s="2">
        <v>3</v>
      </c>
      <c r="R1038" s="2" t="s">
        <v>34</v>
      </c>
      <c r="S1038" s="2" t="str">
        <f t="shared" si="164"/>
        <v>Sangat Rendah</v>
      </c>
      <c r="T1038" s="2" t="str">
        <f t="shared" si="165"/>
        <v>FALSE</v>
      </c>
      <c r="U1038" s="2" t="str">
        <f t="shared" si="166"/>
        <v>FALSE</v>
      </c>
      <c r="V1038" s="2" t="b">
        <f t="shared" si="167"/>
        <v>0</v>
      </c>
      <c r="W1038" s="2" t="b">
        <f t="shared" si="168"/>
        <v>0</v>
      </c>
      <c r="X1038" s="2" t="b">
        <f t="shared" si="169"/>
        <v>0</v>
      </c>
    </row>
    <row r="1039" spans="1:24" ht="10.5" customHeight="1">
      <c r="A1039" s="2" t="s">
        <v>1418</v>
      </c>
      <c r="B1039" s="3">
        <v>45863.565972222219</v>
      </c>
      <c r="C1039" s="2" t="s">
        <v>641</v>
      </c>
      <c r="D1039" s="2" t="s">
        <v>173</v>
      </c>
      <c r="E1039" s="2" t="s">
        <v>57</v>
      </c>
      <c r="F1039" s="4">
        <v>17500</v>
      </c>
      <c r="G1039" s="5">
        <v>1.6</v>
      </c>
      <c r="H1039" s="6">
        <v>5</v>
      </c>
      <c r="I1039" s="7">
        <f t="shared" si="160"/>
        <v>28000</v>
      </c>
      <c r="J1039" s="7">
        <f t="shared" si="161"/>
        <v>1400</v>
      </c>
      <c r="K1039" s="7">
        <f t="shared" si="162"/>
        <v>26600</v>
      </c>
      <c r="L1039" s="4">
        <v>48000</v>
      </c>
      <c r="M1039" s="7">
        <f t="shared" si="163"/>
        <v>74600</v>
      </c>
      <c r="N1039" s="2" t="s">
        <v>33</v>
      </c>
      <c r="O1039" t="s">
        <v>22</v>
      </c>
      <c r="P1039" s="2" t="s">
        <v>2367</v>
      </c>
      <c r="Q1039" s="2">
        <v>2</v>
      </c>
      <c r="R1039" s="2" t="s">
        <v>34</v>
      </c>
      <c r="S1039" s="2" t="str">
        <f t="shared" si="164"/>
        <v>Rendah</v>
      </c>
      <c r="T1039" s="2" t="str">
        <f t="shared" si="165"/>
        <v>FALSE</v>
      </c>
      <c r="U1039" s="2" t="str">
        <f t="shared" si="166"/>
        <v>FALSE</v>
      </c>
      <c r="V1039" s="2" t="b">
        <f t="shared" si="167"/>
        <v>0</v>
      </c>
      <c r="W1039" s="2" t="b">
        <f t="shared" si="168"/>
        <v>1</v>
      </c>
      <c r="X1039" s="2" t="b">
        <f t="shared" si="169"/>
        <v>0</v>
      </c>
    </row>
    <row r="1040" spans="1:24" ht="10.5" customHeight="1">
      <c r="A1040" s="2" t="s">
        <v>1419</v>
      </c>
      <c r="B1040" s="3">
        <v>45863.573993055557</v>
      </c>
      <c r="C1040" s="2" t="s">
        <v>152</v>
      </c>
      <c r="D1040" s="2" t="s">
        <v>153</v>
      </c>
      <c r="E1040" s="2" t="s">
        <v>170</v>
      </c>
      <c r="F1040" s="4">
        <v>12000</v>
      </c>
      <c r="G1040" s="5">
        <v>1.6</v>
      </c>
      <c r="H1040" s="6">
        <v>5</v>
      </c>
      <c r="I1040" s="7">
        <f t="shared" si="160"/>
        <v>19200</v>
      </c>
      <c r="J1040" s="7">
        <f t="shared" si="161"/>
        <v>960</v>
      </c>
      <c r="K1040" s="7">
        <f t="shared" si="162"/>
        <v>18240</v>
      </c>
      <c r="L1040" s="4">
        <v>50000</v>
      </c>
      <c r="M1040" s="7">
        <f t="shared" si="163"/>
        <v>68240</v>
      </c>
      <c r="N1040" s="2" t="s">
        <v>28</v>
      </c>
      <c r="O1040" t="s">
        <v>22</v>
      </c>
      <c r="P1040" s="2" t="s">
        <v>2365</v>
      </c>
      <c r="Q1040" s="2">
        <v>1</v>
      </c>
      <c r="R1040" s="2" t="s">
        <v>23</v>
      </c>
      <c r="S1040" s="2" t="str">
        <f t="shared" si="164"/>
        <v>Rendah</v>
      </c>
      <c r="T1040" s="2" t="str">
        <f t="shared" si="165"/>
        <v>FALSE</v>
      </c>
      <c r="U1040" s="2" t="str">
        <f t="shared" si="166"/>
        <v>FALSE</v>
      </c>
      <c r="V1040" s="2" t="b">
        <f t="shared" si="167"/>
        <v>0</v>
      </c>
      <c r="W1040" s="2" t="b">
        <f t="shared" si="168"/>
        <v>0</v>
      </c>
      <c r="X1040" s="2" t="b">
        <f t="shared" si="169"/>
        <v>0</v>
      </c>
    </row>
    <row r="1041" spans="1:24" ht="10.5" customHeight="1">
      <c r="A1041" s="2" t="s">
        <v>1420</v>
      </c>
      <c r="B1041" s="3">
        <v>45863.605949074074</v>
      </c>
      <c r="C1041" s="2" t="s">
        <v>205</v>
      </c>
      <c r="D1041" s="2" t="s">
        <v>123</v>
      </c>
      <c r="E1041" s="2" t="s">
        <v>20</v>
      </c>
      <c r="F1041" s="4">
        <v>10000</v>
      </c>
      <c r="G1041" s="5">
        <v>1.5</v>
      </c>
      <c r="H1041" s="6">
        <v>5</v>
      </c>
      <c r="I1041" s="7">
        <f t="shared" si="160"/>
        <v>15000</v>
      </c>
      <c r="J1041" s="7">
        <f t="shared" si="161"/>
        <v>750</v>
      </c>
      <c r="K1041" s="7">
        <f t="shared" si="162"/>
        <v>14250</v>
      </c>
      <c r="L1041" s="4">
        <v>59000</v>
      </c>
      <c r="M1041" s="7">
        <f t="shared" si="163"/>
        <v>73250</v>
      </c>
      <c r="N1041" s="2" t="s">
        <v>58</v>
      </c>
      <c r="O1041" t="s">
        <v>22</v>
      </c>
      <c r="P1041" s="2" t="s">
        <v>2366</v>
      </c>
      <c r="Q1041" s="2">
        <v>1</v>
      </c>
      <c r="R1041" s="2" t="s">
        <v>23</v>
      </c>
      <c r="S1041" s="2" t="str">
        <f t="shared" si="164"/>
        <v>Rendah</v>
      </c>
      <c r="T1041" s="2" t="str">
        <f t="shared" si="165"/>
        <v>FALSE</v>
      </c>
      <c r="U1041" s="2" t="str">
        <f t="shared" si="166"/>
        <v>FALSE</v>
      </c>
      <c r="V1041" s="2" t="b">
        <f t="shared" si="167"/>
        <v>0</v>
      </c>
      <c r="W1041" s="2" t="b">
        <f t="shared" si="168"/>
        <v>0</v>
      </c>
      <c r="X1041" s="2" t="b">
        <f t="shared" si="169"/>
        <v>0</v>
      </c>
    </row>
    <row r="1042" spans="1:24" ht="10.5" customHeight="1">
      <c r="A1042" s="2" t="s">
        <v>1421</v>
      </c>
      <c r="B1042" s="3">
        <v>45863.617893518523</v>
      </c>
      <c r="C1042" s="2" t="s">
        <v>86</v>
      </c>
      <c r="D1042" s="2" t="s">
        <v>87</v>
      </c>
      <c r="E1042" s="2" t="s">
        <v>27</v>
      </c>
      <c r="F1042" s="4">
        <v>15000</v>
      </c>
      <c r="G1042" s="5">
        <v>1.3</v>
      </c>
      <c r="H1042" s="6">
        <v>5</v>
      </c>
      <c r="I1042" s="7">
        <f t="shared" si="160"/>
        <v>19500</v>
      </c>
      <c r="J1042" s="7">
        <f t="shared" si="161"/>
        <v>975</v>
      </c>
      <c r="K1042" s="7">
        <f t="shared" si="162"/>
        <v>18525</v>
      </c>
      <c r="L1042" s="4">
        <v>49000</v>
      </c>
      <c r="M1042" s="7">
        <f t="shared" si="163"/>
        <v>67525</v>
      </c>
      <c r="N1042" s="2" t="s">
        <v>33</v>
      </c>
      <c r="O1042" t="s">
        <v>22</v>
      </c>
      <c r="P1042" s="2" t="s">
        <v>2366</v>
      </c>
      <c r="Q1042" s="2">
        <v>1</v>
      </c>
      <c r="R1042" s="2" t="s">
        <v>23</v>
      </c>
      <c r="S1042" s="2" t="str">
        <f t="shared" si="164"/>
        <v>Rendah</v>
      </c>
      <c r="T1042" s="2" t="str">
        <f t="shared" si="165"/>
        <v>FALSE</v>
      </c>
      <c r="U1042" s="2" t="str">
        <f t="shared" si="166"/>
        <v>FALSE</v>
      </c>
      <c r="V1042" s="2" t="b">
        <f t="shared" si="167"/>
        <v>0</v>
      </c>
      <c r="W1042" s="2" t="b">
        <f t="shared" si="168"/>
        <v>0</v>
      </c>
      <c r="X1042" s="2" t="b">
        <f t="shared" si="169"/>
        <v>0</v>
      </c>
    </row>
    <row r="1043" spans="1:24" ht="10.5" customHeight="1">
      <c r="A1043" s="2" t="s">
        <v>1422</v>
      </c>
      <c r="B1043" s="3">
        <v>45863.627372685187</v>
      </c>
      <c r="C1043" s="2" t="s">
        <v>1120</v>
      </c>
      <c r="D1043" s="2" t="s">
        <v>114</v>
      </c>
      <c r="E1043" s="2" t="s">
        <v>53</v>
      </c>
      <c r="F1043" s="4">
        <v>14000</v>
      </c>
      <c r="G1043" s="5">
        <v>0.6</v>
      </c>
      <c r="H1043" s="6">
        <v>5</v>
      </c>
      <c r="I1043" s="7">
        <f t="shared" si="160"/>
        <v>8400</v>
      </c>
      <c r="J1043" s="7">
        <f t="shared" si="161"/>
        <v>420</v>
      </c>
      <c r="K1043" s="7">
        <f t="shared" si="162"/>
        <v>7980</v>
      </c>
      <c r="L1043" s="4">
        <v>78000</v>
      </c>
      <c r="M1043" s="7">
        <f t="shared" si="163"/>
        <v>85980</v>
      </c>
      <c r="N1043" s="2" t="s">
        <v>28</v>
      </c>
      <c r="O1043" t="s">
        <v>115</v>
      </c>
      <c r="P1043" s="2" t="s">
        <v>2366</v>
      </c>
      <c r="Q1043" s="2">
        <v>4</v>
      </c>
      <c r="R1043" s="2" t="s">
        <v>23</v>
      </c>
      <c r="S1043" s="2" t="str">
        <f t="shared" si="164"/>
        <v>Rendah</v>
      </c>
      <c r="T1043" s="2" t="str">
        <f t="shared" si="165"/>
        <v>TRUE</v>
      </c>
      <c r="U1043" s="2" t="str">
        <f t="shared" si="166"/>
        <v>FALSE</v>
      </c>
      <c r="V1043" s="2" t="b">
        <f t="shared" si="167"/>
        <v>0</v>
      </c>
      <c r="W1043" s="2" t="b">
        <f t="shared" si="168"/>
        <v>0</v>
      </c>
      <c r="X1043" s="2" t="b">
        <f t="shared" si="169"/>
        <v>0</v>
      </c>
    </row>
    <row r="1044" spans="1:24" ht="10.5" customHeight="1">
      <c r="A1044" s="2" t="s">
        <v>1423</v>
      </c>
      <c r="B1044" s="3">
        <v>45863.634780092587</v>
      </c>
      <c r="C1044" s="2" t="s">
        <v>959</v>
      </c>
      <c r="D1044" s="2" t="s">
        <v>167</v>
      </c>
      <c r="E1044" s="2" t="s">
        <v>27</v>
      </c>
      <c r="F1044" s="4">
        <v>15000</v>
      </c>
      <c r="G1044" s="5">
        <v>0.7</v>
      </c>
      <c r="H1044" s="6">
        <v>5</v>
      </c>
      <c r="I1044" s="7">
        <f t="shared" si="160"/>
        <v>10500</v>
      </c>
      <c r="J1044" s="7">
        <f t="shared" si="161"/>
        <v>525</v>
      </c>
      <c r="K1044" s="7">
        <f t="shared" si="162"/>
        <v>9975</v>
      </c>
      <c r="L1044" s="4">
        <v>56000</v>
      </c>
      <c r="M1044" s="7">
        <f t="shared" si="163"/>
        <v>65975</v>
      </c>
      <c r="N1044" s="2" t="s">
        <v>58</v>
      </c>
      <c r="O1044" t="s">
        <v>69</v>
      </c>
      <c r="P1044" s="2" t="s">
        <v>2366</v>
      </c>
      <c r="Q1044" s="2">
        <v>1</v>
      </c>
      <c r="R1044" s="2" t="s">
        <v>23</v>
      </c>
      <c r="S1044" s="2" t="str">
        <f t="shared" si="164"/>
        <v>Rendah</v>
      </c>
      <c r="T1044" s="2" t="str">
        <f t="shared" si="165"/>
        <v>FALSE</v>
      </c>
      <c r="U1044" s="2" t="str">
        <f t="shared" si="166"/>
        <v>FALSE</v>
      </c>
      <c r="V1044" s="2" t="b">
        <f t="shared" si="167"/>
        <v>0</v>
      </c>
      <c r="W1044" s="2" t="b">
        <f t="shared" si="168"/>
        <v>0</v>
      </c>
      <c r="X1044" s="2" t="b">
        <f t="shared" si="169"/>
        <v>0</v>
      </c>
    </row>
    <row r="1045" spans="1:24" ht="10.5" customHeight="1">
      <c r="A1045" s="2" t="s">
        <v>1424</v>
      </c>
      <c r="B1045" s="3">
        <v>45863.686099537037</v>
      </c>
      <c r="C1045" s="2" t="s">
        <v>973</v>
      </c>
      <c r="D1045" s="2" t="s">
        <v>252</v>
      </c>
      <c r="E1045" s="2" t="s">
        <v>75</v>
      </c>
      <c r="F1045" s="4">
        <v>45000</v>
      </c>
      <c r="G1045" s="5">
        <v>0.6</v>
      </c>
      <c r="H1045" s="6">
        <v>5</v>
      </c>
      <c r="I1045" s="7">
        <f t="shared" si="160"/>
        <v>27000</v>
      </c>
      <c r="J1045" s="7">
        <f t="shared" si="161"/>
        <v>1350</v>
      </c>
      <c r="K1045" s="7">
        <f t="shared" si="162"/>
        <v>25650</v>
      </c>
      <c r="L1045" s="4">
        <v>18000</v>
      </c>
      <c r="M1045" s="7">
        <f t="shared" si="163"/>
        <v>43650</v>
      </c>
      <c r="N1045" s="2" t="s">
        <v>58</v>
      </c>
      <c r="O1045" t="s">
        <v>22</v>
      </c>
      <c r="P1045" s="2" t="s">
        <v>2367</v>
      </c>
      <c r="Q1045" s="2">
        <v>1</v>
      </c>
      <c r="R1045" s="2" t="s">
        <v>34</v>
      </c>
      <c r="S1045" s="2" t="str">
        <f t="shared" si="164"/>
        <v>Sangat Rendah</v>
      </c>
      <c r="T1045" s="2" t="str">
        <f t="shared" si="165"/>
        <v>FALSE</v>
      </c>
      <c r="U1045" s="2" t="str">
        <f t="shared" si="166"/>
        <v>FALSE</v>
      </c>
      <c r="V1045" s="2" t="b">
        <f t="shared" si="167"/>
        <v>0</v>
      </c>
      <c r="W1045" s="2" t="b">
        <f t="shared" si="168"/>
        <v>1</v>
      </c>
      <c r="X1045" s="2" t="b">
        <f t="shared" si="169"/>
        <v>0</v>
      </c>
    </row>
    <row r="1046" spans="1:24" ht="10.5" customHeight="1">
      <c r="A1046" s="2" t="s">
        <v>1425</v>
      </c>
      <c r="B1046" s="3">
        <v>45863.700879629629</v>
      </c>
      <c r="C1046" s="2" t="s">
        <v>1426</v>
      </c>
      <c r="D1046" s="2" t="s">
        <v>111</v>
      </c>
      <c r="E1046" s="2" t="s">
        <v>57</v>
      </c>
      <c r="F1046" s="4">
        <v>17500</v>
      </c>
      <c r="G1046" s="5">
        <v>1.2</v>
      </c>
      <c r="H1046" s="6">
        <v>5</v>
      </c>
      <c r="I1046" s="7">
        <f t="shared" si="160"/>
        <v>21000</v>
      </c>
      <c r="J1046" s="7">
        <f t="shared" si="161"/>
        <v>1050</v>
      </c>
      <c r="K1046" s="7">
        <f t="shared" si="162"/>
        <v>19950</v>
      </c>
      <c r="L1046" s="4">
        <v>0</v>
      </c>
      <c r="M1046" s="7">
        <f t="shared" si="163"/>
        <v>19950</v>
      </c>
      <c r="N1046" s="2" t="s">
        <v>58</v>
      </c>
      <c r="O1046" t="s">
        <v>22</v>
      </c>
      <c r="P1046" s="2" t="s">
        <v>2368</v>
      </c>
      <c r="Q1046" s="2">
        <v>2</v>
      </c>
      <c r="R1046" s="2" t="s">
        <v>23</v>
      </c>
      <c r="S1046" s="2" t="str">
        <f t="shared" si="164"/>
        <v>Sangat Rendah</v>
      </c>
      <c r="T1046" s="2" t="str">
        <f t="shared" si="165"/>
        <v>FALSE</v>
      </c>
      <c r="U1046" s="2" t="str">
        <f t="shared" si="166"/>
        <v>FALSE</v>
      </c>
      <c r="V1046" s="2" t="b">
        <f t="shared" si="167"/>
        <v>0</v>
      </c>
      <c r="W1046" s="2" t="b">
        <f t="shared" si="168"/>
        <v>0</v>
      </c>
      <c r="X1046" s="2" t="b">
        <f t="shared" si="169"/>
        <v>1</v>
      </c>
    </row>
    <row r="1047" spans="1:24" ht="10.5" customHeight="1">
      <c r="A1047" s="2" t="s">
        <v>1427</v>
      </c>
      <c r="B1047" s="3">
        <v>45863.748182870368</v>
      </c>
      <c r="C1047" s="2" t="s">
        <v>445</v>
      </c>
      <c r="D1047" s="2" t="s">
        <v>31</v>
      </c>
      <c r="E1047" s="2" t="s">
        <v>170</v>
      </c>
      <c r="F1047" s="4">
        <v>12000</v>
      </c>
      <c r="G1047" s="5">
        <v>1.5</v>
      </c>
      <c r="H1047" s="6">
        <v>5</v>
      </c>
      <c r="I1047" s="7">
        <f t="shared" si="160"/>
        <v>18000</v>
      </c>
      <c r="J1047" s="7">
        <f t="shared" si="161"/>
        <v>900</v>
      </c>
      <c r="K1047" s="7">
        <f t="shared" si="162"/>
        <v>17100</v>
      </c>
      <c r="L1047" s="4">
        <v>76000</v>
      </c>
      <c r="M1047" s="7">
        <f t="shared" si="163"/>
        <v>93100</v>
      </c>
      <c r="N1047" s="2" t="s">
        <v>58</v>
      </c>
      <c r="O1047" t="s">
        <v>22</v>
      </c>
      <c r="P1047" s="2" t="s">
        <v>2366</v>
      </c>
      <c r="Q1047" s="2">
        <v>1</v>
      </c>
      <c r="R1047" s="2" t="s">
        <v>23</v>
      </c>
      <c r="S1047" s="2" t="str">
        <f t="shared" si="164"/>
        <v>Rendah</v>
      </c>
      <c r="T1047" s="2" t="str">
        <f t="shared" si="165"/>
        <v>FALSE</v>
      </c>
      <c r="U1047" s="2" t="str">
        <f t="shared" si="166"/>
        <v>FALSE</v>
      </c>
      <c r="V1047" s="2" t="b">
        <f t="shared" si="167"/>
        <v>0</v>
      </c>
      <c r="W1047" s="2" t="b">
        <f t="shared" si="168"/>
        <v>0</v>
      </c>
      <c r="X1047" s="2" t="b">
        <f t="shared" si="169"/>
        <v>0</v>
      </c>
    </row>
    <row r="1048" spans="1:24" ht="10.5" customHeight="1">
      <c r="A1048" s="2" t="s">
        <v>1428</v>
      </c>
      <c r="B1048" s="3">
        <v>45863.833101851851</v>
      </c>
      <c r="C1048" s="2" t="s">
        <v>297</v>
      </c>
      <c r="D1048" s="2" t="s">
        <v>64</v>
      </c>
      <c r="E1048" s="2" t="s">
        <v>190</v>
      </c>
      <c r="F1048" s="4">
        <v>15500</v>
      </c>
      <c r="G1048" s="5">
        <v>0.4</v>
      </c>
      <c r="H1048" s="6">
        <v>5</v>
      </c>
      <c r="I1048" s="7">
        <f t="shared" si="160"/>
        <v>6200</v>
      </c>
      <c r="J1048" s="7">
        <f t="shared" si="161"/>
        <v>310</v>
      </c>
      <c r="K1048" s="7">
        <f t="shared" si="162"/>
        <v>5890</v>
      </c>
      <c r="L1048" s="4">
        <v>89000</v>
      </c>
      <c r="M1048" s="7">
        <f t="shared" si="163"/>
        <v>94890</v>
      </c>
      <c r="N1048" s="2" t="s">
        <v>21</v>
      </c>
      <c r="O1048" t="s">
        <v>22</v>
      </c>
      <c r="P1048" s="2" t="s">
        <v>2365</v>
      </c>
      <c r="Q1048" s="2">
        <v>5</v>
      </c>
      <c r="R1048" s="2" t="s">
        <v>23</v>
      </c>
      <c r="S1048" s="2" t="str">
        <f t="shared" si="164"/>
        <v>Rendah</v>
      </c>
      <c r="T1048" s="2" t="str">
        <f t="shared" si="165"/>
        <v>FALSE</v>
      </c>
      <c r="U1048" s="2" t="str">
        <f t="shared" si="166"/>
        <v>FALSE</v>
      </c>
      <c r="V1048" s="2" t="b">
        <f t="shared" si="167"/>
        <v>0</v>
      </c>
      <c r="W1048" s="2" t="b">
        <f t="shared" si="168"/>
        <v>0</v>
      </c>
      <c r="X1048" s="2" t="b">
        <f t="shared" si="169"/>
        <v>0</v>
      </c>
    </row>
    <row r="1049" spans="1:24" ht="10.5" customHeight="1">
      <c r="A1049" s="2" t="s">
        <v>1429</v>
      </c>
      <c r="B1049" s="3">
        <v>45863.85255787037</v>
      </c>
      <c r="C1049" s="2" t="s">
        <v>867</v>
      </c>
      <c r="D1049" s="2" t="s">
        <v>98</v>
      </c>
      <c r="E1049" s="2" t="s">
        <v>20</v>
      </c>
      <c r="F1049" s="4">
        <v>10000</v>
      </c>
      <c r="G1049" s="5">
        <v>2.4</v>
      </c>
      <c r="H1049" s="6">
        <v>5</v>
      </c>
      <c r="I1049" s="7">
        <f t="shared" si="160"/>
        <v>24000</v>
      </c>
      <c r="J1049" s="7">
        <f t="shared" si="161"/>
        <v>1200</v>
      </c>
      <c r="K1049" s="7">
        <f t="shared" si="162"/>
        <v>22800</v>
      </c>
      <c r="L1049" s="4">
        <v>97000</v>
      </c>
      <c r="M1049" s="7">
        <f t="shared" si="163"/>
        <v>119800</v>
      </c>
      <c r="N1049" s="2" t="s">
        <v>28</v>
      </c>
      <c r="O1049" t="s">
        <v>115</v>
      </c>
      <c r="P1049" s="2" t="s">
        <v>2367</v>
      </c>
      <c r="Q1049" s="2">
        <v>1</v>
      </c>
      <c r="R1049" s="2" t="s">
        <v>23</v>
      </c>
      <c r="S1049" s="2" t="str">
        <f t="shared" si="164"/>
        <v>Standar</v>
      </c>
      <c r="T1049" s="2" t="str">
        <f t="shared" si="165"/>
        <v>FALSE</v>
      </c>
      <c r="U1049" s="2" t="str">
        <f t="shared" si="166"/>
        <v>FALSE</v>
      </c>
      <c r="V1049" s="2" t="b">
        <f t="shared" si="167"/>
        <v>0</v>
      </c>
      <c r="W1049" s="2" t="b">
        <f t="shared" si="168"/>
        <v>1</v>
      </c>
      <c r="X1049" s="2" t="b">
        <f t="shared" si="169"/>
        <v>0</v>
      </c>
    </row>
    <row r="1050" spans="1:24" ht="10.5" customHeight="1">
      <c r="A1050" s="2" t="s">
        <v>1430</v>
      </c>
      <c r="B1050" s="3">
        <v>45863.865231481483</v>
      </c>
      <c r="C1050" s="2" t="s">
        <v>586</v>
      </c>
      <c r="D1050" s="2" t="s">
        <v>64</v>
      </c>
      <c r="E1050" s="2" t="s">
        <v>20</v>
      </c>
      <c r="F1050" s="4">
        <v>10000</v>
      </c>
      <c r="G1050" s="5">
        <v>3</v>
      </c>
      <c r="H1050" s="6">
        <v>5</v>
      </c>
      <c r="I1050" s="7">
        <f t="shared" si="160"/>
        <v>30000</v>
      </c>
      <c r="J1050" s="7">
        <f t="shared" si="161"/>
        <v>1500</v>
      </c>
      <c r="K1050" s="7">
        <f t="shared" si="162"/>
        <v>28500</v>
      </c>
      <c r="L1050" s="4">
        <v>89000</v>
      </c>
      <c r="M1050" s="7">
        <f t="shared" si="163"/>
        <v>117500</v>
      </c>
      <c r="N1050" s="2" t="s">
        <v>21</v>
      </c>
      <c r="O1050" t="s">
        <v>22</v>
      </c>
      <c r="P1050" s="2" t="s">
        <v>2370</v>
      </c>
      <c r="Q1050" s="2">
        <v>4</v>
      </c>
      <c r="R1050" s="2" t="s">
        <v>23</v>
      </c>
      <c r="S1050" s="2" t="str">
        <f t="shared" si="164"/>
        <v>Standar</v>
      </c>
      <c r="T1050" s="2" t="str">
        <f t="shared" si="165"/>
        <v>FALSE</v>
      </c>
      <c r="U1050" s="2" t="str">
        <f t="shared" si="166"/>
        <v>FALSE</v>
      </c>
      <c r="V1050" s="2" t="b">
        <f t="shared" si="167"/>
        <v>0</v>
      </c>
      <c r="W1050" s="2" t="b">
        <f t="shared" si="168"/>
        <v>0</v>
      </c>
      <c r="X1050" s="2" t="b">
        <f t="shared" si="169"/>
        <v>0</v>
      </c>
    </row>
    <row r="1051" spans="1:24" ht="10.5" customHeight="1">
      <c r="A1051" s="2" t="s">
        <v>1431</v>
      </c>
      <c r="B1051" s="3">
        <v>45863.872175925928</v>
      </c>
      <c r="C1051" s="2" t="s">
        <v>1227</v>
      </c>
      <c r="D1051" s="2" t="s">
        <v>84</v>
      </c>
      <c r="E1051" s="2" t="s">
        <v>75</v>
      </c>
      <c r="F1051" s="4">
        <v>45000</v>
      </c>
      <c r="G1051" s="5">
        <v>0.1</v>
      </c>
      <c r="H1051" s="6">
        <v>5</v>
      </c>
      <c r="I1051" s="7">
        <f t="shared" si="160"/>
        <v>4500</v>
      </c>
      <c r="J1051" s="7">
        <f t="shared" si="161"/>
        <v>225</v>
      </c>
      <c r="K1051" s="7">
        <f t="shared" si="162"/>
        <v>4275</v>
      </c>
      <c r="L1051" s="4">
        <v>30000</v>
      </c>
      <c r="M1051" s="7">
        <f t="shared" si="163"/>
        <v>34275</v>
      </c>
      <c r="N1051" s="2" t="s">
        <v>21</v>
      </c>
      <c r="O1051" t="s">
        <v>22</v>
      </c>
      <c r="P1051" s="2" t="s">
        <v>2368</v>
      </c>
      <c r="Q1051" s="2">
        <v>4</v>
      </c>
      <c r="R1051" s="2" t="s">
        <v>23</v>
      </c>
      <c r="S1051" s="2" t="str">
        <f t="shared" si="164"/>
        <v>Sangat Rendah</v>
      </c>
      <c r="T1051" s="2" t="str">
        <f t="shared" si="165"/>
        <v>FALSE</v>
      </c>
      <c r="U1051" s="2" t="str">
        <f t="shared" si="166"/>
        <v>FALSE</v>
      </c>
      <c r="V1051" s="2" t="b">
        <f t="shared" si="167"/>
        <v>0</v>
      </c>
      <c r="W1051" s="2" t="b">
        <f t="shared" si="168"/>
        <v>0</v>
      </c>
      <c r="X1051" s="2" t="b">
        <f t="shared" si="169"/>
        <v>1</v>
      </c>
    </row>
    <row r="1052" spans="1:24" ht="10.5" customHeight="1">
      <c r="A1052" s="2" t="s">
        <v>1432</v>
      </c>
      <c r="B1052" s="3">
        <v>45864.002418981479</v>
      </c>
      <c r="C1052" s="2" t="s">
        <v>716</v>
      </c>
      <c r="D1052" s="2" t="s">
        <v>48</v>
      </c>
      <c r="E1052" s="2" t="s">
        <v>99</v>
      </c>
      <c r="F1052" s="4">
        <v>10000</v>
      </c>
      <c r="G1052" s="5">
        <v>0.3</v>
      </c>
      <c r="H1052" s="6">
        <v>0</v>
      </c>
      <c r="I1052" s="7">
        <f t="shared" si="160"/>
        <v>3000</v>
      </c>
      <c r="J1052" s="7">
        <f t="shared" si="161"/>
        <v>0</v>
      </c>
      <c r="K1052" s="7">
        <f t="shared" si="162"/>
        <v>3000</v>
      </c>
      <c r="L1052" s="4">
        <v>18000</v>
      </c>
      <c r="M1052" s="7">
        <f t="shared" si="163"/>
        <v>21000</v>
      </c>
      <c r="N1052" s="2" t="s">
        <v>28</v>
      </c>
      <c r="O1052" t="s">
        <v>22</v>
      </c>
      <c r="P1052" s="2" t="s">
        <v>2370</v>
      </c>
      <c r="Q1052" s="2">
        <v>3</v>
      </c>
      <c r="R1052" s="2" t="s">
        <v>34</v>
      </c>
      <c r="S1052" s="2" t="str">
        <f t="shared" si="164"/>
        <v>Sangat Rendah</v>
      </c>
      <c r="T1052" s="2" t="str">
        <f t="shared" si="165"/>
        <v>FALSE</v>
      </c>
      <c r="U1052" s="2" t="str">
        <f t="shared" si="166"/>
        <v>FALSE</v>
      </c>
      <c r="V1052" s="2" t="b">
        <f t="shared" si="167"/>
        <v>0</v>
      </c>
      <c r="W1052" s="2" t="b">
        <f t="shared" si="168"/>
        <v>0</v>
      </c>
      <c r="X1052" s="2" t="b">
        <f t="shared" si="169"/>
        <v>0</v>
      </c>
    </row>
    <row r="1053" spans="1:24" ht="10.5" customHeight="1">
      <c r="A1053" s="2" t="s">
        <v>1433</v>
      </c>
      <c r="B1053" s="3">
        <v>45864.045543981483</v>
      </c>
      <c r="C1053" s="2" t="s">
        <v>520</v>
      </c>
      <c r="D1053" s="2" t="s">
        <v>140</v>
      </c>
      <c r="E1053" s="2" t="s">
        <v>80</v>
      </c>
      <c r="F1053" s="4">
        <v>15000</v>
      </c>
      <c r="G1053" s="5">
        <v>1.5</v>
      </c>
      <c r="H1053" s="6">
        <v>0</v>
      </c>
      <c r="I1053" s="7">
        <f t="shared" si="160"/>
        <v>22500</v>
      </c>
      <c r="J1053" s="7">
        <f t="shared" si="161"/>
        <v>0</v>
      </c>
      <c r="K1053" s="7">
        <f t="shared" si="162"/>
        <v>22500</v>
      </c>
      <c r="L1053" s="4">
        <v>55000</v>
      </c>
      <c r="M1053" s="7">
        <f t="shared" si="163"/>
        <v>77500</v>
      </c>
      <c r="N1053" s="2" t="s">
        <v>28</v>
      </c>
      <c r="O1053" t="s">
        <v>22</v>
      </c>
      <c r="P1053" s="2" t="s">
        <v>2367</v>
      </c>
      <c r="Q1053" s="2">
        <v>2</v>
      </c>
      <c r="R1053" s="2" t="s">
        <v>23</v>
      </c>
      <c r="S1053" s="2" t="str">
        <f t="shared" si="164"/>
        <v>Rendah</v>
      </c>
      <c r="T1053" s="2" t="str">
        <f t="shared" si="165"/>
        <v>FALSE</v>
      </c>
      <c r="U1053" s="2" t="str">
        <f t="shared" si="166"/>
        <v>FALSE</v>
      </c>
      <c r="V1053" s="2" t="b">
        <f t="shared" si="167"/>
        <v>0</v>
      </c>
      <c r="W1053" s="2" t="b">
        <f t="shared" si="168"/>
        <v>1</v>
      </c>
      <c r="X1053" s="2" t="b">
        <f t="shared" si="169"/>
        <v>0</v>
      </c>
    </row>
    <row r="1054" spans="1:24" ht="10.5" customHeight="1">
      <c r="A1054" s="2" t="s">
        <v>1433</v>
      </c>
      <c r="B1054" s="3">
        <v>45864.045543981483</v>
      </c>
      <c r="C1054" s="2" t="s">
        <v>520</v>
      </c>
      <c r="D1054" s="2" t="s">
        <v>140</v>
      </c>
      <c r="E1054" s="2" t="s">
        <v>27</v>
      </c>
      <c r="F1054" s="4">
        <v>15000</v>
      </c>
      <c r="G1054" s="5">
        <v>0.2</v>
      </c>
      <c r="H1054" s="6">
        <v>0</v>
      </c>
      <c r="I1054" s="7">
        <f t="shared" si="160"/>
        <v>3000</v>
      </c>
      <c r="J1054" s="7">
        <f t="shared" si="161"/>
        <v>0</v>
      </c>
      <c r="K1054" s="7">
        <f t="shared" si="162"/>
        <v>3000</v>
      </c>
      <c r="L1054" s="4">
        <v>0</v>
      </c>
      <c r="M1054" s="7">
        <f t="shared" si="163"/>
        <v>3000</v>
      </c>
      <c r="N1054" s="2" t="s">
        <v>28</v>
      </c>
      <c r="O1054" t="s">
        <v>22</v>
      </c>
      <c r="P1054" s="2" t="s">
        <v>2367</v>
      </c>
      <c r="Q1054" s="2">
        <v>2</v>
      </c>
      <c r="R1054" s="2" t="s">
        <v>23</v>
      </c>
      <c r="S1054" s="2" t="str">
        <f t="shared" si="164"/>
        <v>Sangat Rendah</v>
      </c>
      <c r="T1054" s="2" t="str">
        <f t="shared" si="165"/>
        <v>FALSE</v>
      </c>
      <c r="U1054" s="2" t="str">
        <f t="shared" si="166"/>
        <v>FALSE</v>
      </c>
      <c r="V1054" s="2" t="b">
        <f t="shared" si="167"/>
        <v>0</v>
      </c>
      <c r="W1054" s="2" t="b">
        <f t="shared" si="168"/>
        <v>1</v>
      </c>
      <c r="X1054" s="2" t="b">
        <f t="shared" si="169"/>
        <v>1</v>
      </c>
    </row>
    <row r="1055" spans="1:24" ht="10.5" customHeight="1">
      <c r="A1055" s="2" t="s">
        <v>1434</v>
      </c>
      <c r="B1055" s="3">
        <v>45864.079097222217</v>
      </c>
      <c r="C1055" s="2" t="s">
        <v>1435</v>
      </c>
      <c r="D1055" s="2" t="s">
        <v>286</v>
      </c>
      <c r="E1055" s="2" t="s">
        <v>35</v>
      </c>
      <c r="F1055" s="4">
        <v>13500</v>
      </c>
      <c r="G1055" s="5">
        <v>1.7</v>
      </c>
      <c r="H1055" s="6">
        <v>0</v>
      </c>
      <c r="I1055" s="7">
        <f t="shared" si="160"/>
        <v>22950</v>
      </c>
      <c r="J1055" s="7">
        <f t="shared" si="161"/>
        <v>0</v>
      </c>
      <c r="K1055" s="7">
        <f t="shared" si="162"/>
        <v>22950</v>
      </c>
      <c r="L1055" s="4">
        <v>79000</v>
      </c>
      <c r="M1055" s="7">
        <f t="shared" si="163"/>
        <v>101950</v>
      </c>
      <c r="N1055" s="2" t="s">
        <v>28</v>
      </c>
      <c r="O1055" t="s">
        <v>22</v>
      </c>
      <c r="P1055" s="2" t="s">
        <v>2366</v>
      </c>
      <c r="Q1055" s="2">
        <v>2</v>
      </c>
      <c r="R1055" s="2" t="s">
        <v>34</v>
      </c>
      <c r="S1055" s="2" t="str">
        <f t="shared" si="164"/>
        <v>Standar</v>
      </c>
      <c r="T1055" s="2" t="str">
        <f t="shared" si="165"/>
        <v>FALSE</v>
      </c>
      <c r="U1055" s="2" t="str">
        <f t="shared" si="166"/>
        <v>FALSE</v>
      </c>
      <c r="V1055" s="2" t="b">
        <f t="shared" si="167"/>
        <v>0</v>
      </c>
      <c r="W1055" s="2" t="b">
        <f t="shared" si="168"/>
        <v>0</v>
      </c>
      <c r="X1055" s="2" t="b">
        <f t="shared" si="169"/>
        <v>0</v>
      </c>
    </row>
    <row r="1056" spans="1:24" ht="10.5" customHeight="1">
      <c r="A1056" s="2" t="s">
        <v>1436</v>
      </c>
      <c r="B1056" s="3">
        <v>45864.137175925927</v>
      </c>
      <c r="C1056" s="2" t="s">
        <v>375</v>
      </c>
      <c r="D1056" s="2" t="s">
        <v>365</v>
      </c>
      <c r="E1056" s="2" t="s">
        <v>80</v>
      </c>
      <c r="F1056" s="4">
        <v>15000</v>
      </c>
      <c r="G1056" s="5">
        <v>1.9</v>
      </c>
      <c r="H1056" s="6">
        <v>0</v>
      </c>
      <c r="I1056" s="7">
        <f t="shared" si="160"/>
        <v>28500</v>
      </c>
      <c r="J1056" s="7">
        <f t="shared" si="161"/>
        <v>0</v>
      </c>
      <c r="K1056" s="7">
        <f t="shared" si="162"/>
        <v>28500</v>
      </c>
      <c r="L1056" s="4">
        <v>21000</v>
      </c>
      <c r="M1056" s="7">
        <f t="shared" si="163"/>
        <v>49500</v>
      </c>
      <c r="N1056" s="2" t="s">
        <v>33</v>
      </c>
      <c r="O1056" t="s">
        <v>22</v>
      </c>
      <c r="P1056" s="2" t="s">
        <v>2368</v>
      </c>
      <c r="Q1056" s="2">
        <v>2</v>
      </c>
      <c r="R1056" s="2" t="s">
        <v>23</v>
      </c>
      <c r="S1056" s="2" t="str">
        <f t="shared" si="164"/>
        <v>Sangat Rendah</v>
      </c>
      <c r="T1056" s="2" t="str">
        <f t="shared" si="165"/>
        <v>FALSE</v>
      </c>
      <c r="U1056" s="2" t="str">
        <f t="shared" si="166"/>
        <v>FALSE</v>
      </c>
      <c r="V1056" s="2" t="b">
        <f t="shared" si="167"/>
        <v>0</v>
      </c>
      <c r="W1056" s="2" t="b">
        <f t="shared" si="168"/>
        <v>0</v>
      </c>
      <c r="X1056" s="2" t="b">
        <f t="shared" si="169"/>
        <v>1</v>
      </c>
    </row>
    <row r="1057" spans="1:24" ht="10.5" customHeight="1">
      <c r="A1057" s="2" t="s">
        <v>1437</v>
      </c>
      <c r="B1057" s="3">
        <v>45864.360995370371</v>
      </c>
      <c r="C1057" s="2" t="s">
        <v>37</v>
      </c>
      <c r="D1057" s="2" t="s">
        <v>26</v>
      </c>
      <c r="E1057" s="2" t="s">
        <v>65</v>
      </c>
      <c r="F1057" s="4">
        <v>46000</v>
      </c>
      <c r="G1057" s="5">
        <v>0.5</v>
      </c>
      <c r="H1057" s="6">
        <v>0</v>
      </c>
      <c r="I1057" s="7">
        <f t="shared" si="160"/>
        <v>23000</v>
      </c>
      <c r="J1057" s="7">
        <f t="shared" si="161"/>
        <v>0</v>
      </c>
      <c r="K1057" s="7">
        <f t="shared" si="162"/>
        <v>23000</v>
      </c>
      <c r="L1057" s="4">
        <v>17000</v>
      </c>
      <c r="M1057" s="7">
        <f t="shared" si="163"/>
        <v>40000</v>
      </c>
      <c r="N1057" s="2" t="s">
        <v>58</v>
      </c>
      <c r="O1057" t="s">
        <v>22</v>
      </c>
      <c r="P1057" s="2" t="s">
        <v>2365</v>
      </c>
      <c r="Q1057" s="2">
        <v>1</v>
      </c>
      <c r="R1057" s="2" t="s">
        <v>23</v>
      </c>
      <c r="S1057" s="2" t="str">
        <f t="shared" si="164"/>
        <v>Sangat Rendah</v>
      </c>
      <c r="T1057" s="2" t="str">
        <f t="shared" si="165"/>
        <v>FALSE</v>
      </c>
      <c r="U1057" s="2" t="str">
        <f t="shared" si="166"/>
        <v>FALSE</v>
      </c>
      <c r="V1057" s="2" t="b">
        <f t="shared" si="167"/>
        <v>0</v>
      </c>
      <c r="W1057" s="2" t="b">
        <f t="shared" si="168"/>
        <v>0</v>
      </c>
      <c r="X1057" s="2" t="b">
        <f t="shared" si="169"/>
        <v>1</v>
      </c>
    </row>
    <row r="1058" spans="1:24" ht="10.5" customHeight="1">
      <c r="A1058" s="2" t="s">
        <v>1438</v>
      </c>
      <c r="B1058" s="3">
        <v>45864.364664351851</v>
      </c>
      <c r="C1058" s="2" t="s">
        <v>478</v>
      </c>
      <c r="D1058" s="2" t="s">
        <v>44</v>
      </c>
      <c r="E1058" s="2" t="s">
        <v>75</v>
      </c>
      <c r="F1058" s="4">
        <v>45000</v>
      </c>
      <c r="G1058" s="5">
        <v>0.7</v>
      </c>
      <c r="H1058" s="6">
        <v>0</v>
      </c>
      <c r="I1058" s="7">
        <f t="shared" si="160"/>
        <v>31499.999999999996</v>
      </c>
      <c r="J1058" s="7">
        <f t="shared" si="161"/>
        <v>0</v>
      </c>
      <c r="K1058" s="7">
        <f t="shared" si="162"/>
        <v>31499.999999999996</v>
      </c>
      <c r="L1058" s="4">
        <v>43000</v>
      </c>
      <c r="M1058" s="7">
        <f t="shared" si="163"/>
        <v>74500</v>
      </c>
      <c r="N1058" s="2" t="s">
        <v>33</v>
      </c>
      <c r="O1058" t="s">
        <v>22</v>
      </c>
      <c r="P1058" s="2" t="s">
        <v>2366</v>
      </c>
      <c r="Q1058" s="2">
        <v>4</v>
      </c>
      <c r="R1058" s="2" t="s">
        <v>23</v>
      </c>
      <c r="S1058" s="2" t="str">
        <f t="shared" si="164"/>
        <v>Rendah</v>
      </c>
      <c r="T1058" s="2" t="str">
        <f t="shared" si="165"/>
        <v>FALSE</v>
      </c>
      <c r="U1058" s="2" t="str">
        <f t="shared" si="166"/>
        <v>FALSE</v>
      </c>
      <c r="V1058" s="2" t="b">
        <f t="shared" si="167"/>
        <v>0</v>
      </c>
      <c r="W1058" s="2" t="b">
        <f t="shared" si="168"/>
        <v>0</v>
      </c>
      <c r="X1058" s="2" t="b">
        <f t="shared" si="169"/>
        <v>0</v>
      </c>
    </row>
    <row r="1059" spans="1:24" ht="10.5" customHeight="1">
      <c r="A1059" s="2" t="s">
        <v>1439</v>
      </c>
      <c r="B1059" s="3">
        <v>45864.45758101852</v>
      </c>
      <c r="C1059" s="2" t="s">
        <v>588</v>
      </c>
      <c r="D1059" s="2" t="s">
        <v>56</v>
      </c>
      <c r="E1059" s="2" t="s">
        <v>20</v>
      </c>
      <c r="F1059" s="4">
        <v>10000</v>
      </c>
      <c r="G1059" s="5">
        <v>1.9</v>
      </c>
      <c r="H1059" s="6">
        <v>0</v>
      </c>
      <c r="I1059" s="7">
        <f t="shared" si="160"/>
        <v>19000</v>
      </c>
      <c r="J1059" s="7">
        <f t="shared" si="161"/>
        <v>0</v>
      </c>
      <c r="K1059" s="7">
        <f t="shared" si="162"/>
        <v>19000</v>
      </c>
      <c r="L1059" s="4">
        <v>26000</v>
      </c>
      <c r="M1059" s="7">
        <f t="shared" si="163"/>
        <v>45000</v>
      </c>
      <c r="N1059" s="2" t="s">
        <v>21</v>
      </c>
      <c r="O1059" t="s">
        <v>69</v>
      </c>
      <c r="P1059" s="2" t="s">
        <v>2367</v>
      </c>
      <c r="Q1059" s="2">
        <v>3</v>
      </c>
      <c r="R1059" s="2" t="s">
        <v>23</v>
      </c>
      <c r="S1059" s="2" t="str">
        <f t="shared" si="164"/>
        <v>Sangat Rendah</v>
      </c>
      <c r="T1059" s="2" t="str">
        <f t="shared" si="165"/>
        <v>FALSE</v>
      </c>
      <c r="U1059" s="2" t="str">
        <f t="shared" si="166"/>
        <v>FALSE</v>
      </c>
      <c r="V1059" s="2" t="b">
        <f t="shared" si="167"/>
        <v>0</v>
      </c>
      <c r="W1059" s="2" t="b">
        <f t="shared" si="168"/>
        <v>1</v>
      </c>
      <c r="X1059" s="2" t="b">
        <f t="shared" si="169"/>
        <v>1</v>
      </c>
    </row>
    <row r="1060" spans="1:24" ht="10.5" customHeight="1">
      <c r="A1060" s="2" t="s">
        <v>1440</v>
      </c>
      <c r="B1060" s="3">
        <v>45864.474490740737</v>
      </c>
      <c r="C1060" s="2" t="s">
        <v>178</v>
      </c>
      <c r="D1060" s="2" t="s">
        <v>179</v>
      </c>
      <c r="E1060" s="2" t="s">
        <v>75</v>
      </c>
      <c r="F1060" s="4">
        <v>45000</v>
      </c>
      <c r="G1060" s="5">
        <v>1.3</v>
      </c>
      <c r="H1060" s="6">
        <v>0</v>
      </c>
      <c r="I1060" s="7">
        <f t="shared" si="160"/>
        <v>58500</v>
      </c>
      <c r="J1060" s="7">
        <f t="shared" si="161"/>
        <v>0</v>
      </c>
      <c r="K1060" s="7">
        <f t="shared" si="162"/>
        <v>58500</v>
      </c>
      <c r="L1060" s="4">
        <v>57000</v>
      </c>
      <c r="M1060" s="7">
        <f t="shared" si="163"/>
        <v>115500</v>
      </c>
      <c r="N1060" s="2" t="s">
        <v>28</v>
      </c>
      <c r="O1060" t="s">
        <v>22</v>
      </c>
      <c r="P1060" s="2" t="s">
        <v>2370</v>
      </c>
      <c r="Q1060" s="2">
        <v>5</v>
      </c>
      <c r="R1060" s="2" t="s">
        <v>23</v>
      </c>
      <c r="S1060" s="2" t="str">
        <f t="shared" si="164"/>
        <v>Standar</v>
      </c>
      <c r="T1060" s="2" t="str">
        <f t="shared" si="165"/>
        <v>FALSE</v>
      </c>
      <c r="U1060" s="2" t="str">
        <f t="shared" si="166"/>
        <v>FALSE</v>
      </c>
      <c r="V1060" s="2" t="b">
        <f t="shared" si="167"/>
        <v>0</v>
      </c>
      <c r="W1060" s="2" t="b">
        <f t="shared" si="168"/>
        <v>0</v>
      </c>
      <c r="X1060" s="2" t="b">
        <f t="shared" si="169"/>
        <v>0</v>
      </c>
    </row>
    <row r="1061" spans="1:24" ht="10.5" customHeight="1">
      <c r="A1061" s="2" t="s">
        <v>1441</v>
      </c>
      <c r="B1061" s="3">
        <v>45864.497465277767</v>
      </c>
      <c r="C1061" s="2" t="s">
        <v>73</v>
      </c>
      <c r="D1061" s="2" t="s">
        <v>74</v>
      </c>
      <c r="E1061" s="2" t="s">
        <v>80</v>
      </c>
      <c r="F1061" s="4">
        <v>15000</v>
      </c>
      <c r="G1061" s="5">
        <v>0.6</v>
      </c>
      <c r="H1061" s="6">
        <v>0</v>
      </c>
      <c r="I1061" s="7">
        <f t="shared" si="160"/>
        <v>9000</v>
      </c>
      <c r="J1061" s="7">
        <f t="shared" si="161"/>
        <v>0</v>
      </c>
      <c r="K1061" s="7">
        <f t="shared" si="162"/>
        <v>9000</v>
      </c>
      <c r="L1061" s="4">
        <v>74000</v>
      </c>
      <c r="M1061" s="7">
        <f t="shared" si="163"/>
        <v>83000</v>
      </c>
      <c r="N1061" s="2" t="s">
        <v>33</v>
      </c>
      <c r="O1061" t="s">
        <v>22</v>
      </c>
      <c r="P1061" s="2" t="s">
        <v>2365</v>
      </c>
      <c r="Q1061" s="2">
        <v>5</v>
      </c>
      <c r="R1061" s="2" t="s">
        <v>23</v>
      </c>
      <c r="S1061" s="2" t="str">
        <f t="shared" si="164"/>
        <v>Rendah</v>
      </c>
      <c r="T1061" s="2" t="str">
        <f t="shared" si="165"/>
        <v>FALSE</v>
      </c>
      <c r="U1061" s="2" t="str">
        <f t="shared" si="166"/>
        <v>FALSE</v>
      </c>
      <c r="V1061" s="2" t="b">
        <f t="shared" si="167"/>
        <v>0</v>
      </c>
      <c r="W1061" s="2" t="b">
        <f t="shared" si="168"/>
        <v>0</v>
      </c>
      <c r="X1061" s="2" t="b">
        <f t="shared" si="169"/>
        <v>0</v>
      </c>
    </row>
    <row r="1062" spans="1:24" ht="10.5" customHeight="1">
      <c r="A1062" s="2" t="s">
        <v>1442</v>
      </c>
      <c r="B1062" s="3">
        <v>45864.502696759257</v>
      </c>
      <c r="C1062" s="2" t="s">
        <v>18</v>
      </c>
      <c r="D1062" s="2" t="s">
        <v>19</v>
      </c>
      <c r="E1062" s="2" t="s">
        <v>182</v>
      </c>
      <c r="F1062" s="4">
        <v>11000</v>
      </c>
      <c r="G1062" s="5">
        <v>0.8</v>
      </c>
      <c r="H1062" s="6">
        <v>0</v>
      </c>
      <c r="I1062" s="7">
        <f t="shared" si="160"/>
        <v>8800</v>
      </c>
      <c r="J1062" s="7">
        <f t="shared" si="161"/>
        <v>0</v>
      </c>
      <c r="K1062" s="7">
        <f t="shared" si="162"/>
        <v>8800</v>
      </c>
      <c r="L1062" s="4">
        <v>15000</v>
      </c>
      <c r="M1062" s="7">
        <f t="shared" si="163"/>
        <v>23800</v>
      </c>
      <c r="N1062" s="2" t="s">
        <v>21</v>
      </c>
      <c r="O1062" t="s">
        <v>22</v>
      </c>
      <c r="P1062" s="2" t="s">
        <v>2370</v>
      </c>
      <c r="Q1062" s="2">
        <v>1</v>
      </c>
      <c r="R1062" s="2" t="s">
        <v>23</v>
      </c>
      <c r="S1062" s="2" t="str">
        <f t="shared" si="164"/>
        <v>Sangat Rendah</v>
      </c>
      <c r="T1062" s="2" t="str">
        <f t="shared" si="165"/>
        <v>FALSE</v>
      </c>
      <c r="U1062" s="2" t="str">
        <f t="shared" si="166"/>
        <v>FALSE</v>
      </c>
      <c r="V1062" s="2" t="b">
        <f t="shared" si="167"/>
        <v>0</v>
      </c>
      <c r="W1062" s="2" t="b">
        <f t="shared" si="168"/>
        <v>0</v>
      </c>
      <c r="X1062" s="2" t="b">
        <f t="shared" si="169"/>
        <v>1</v>
      </c>
    </row>
    <row r="1063" spans="1:24" ht="10.5" customHeight="1">
      <c r="A1063" s="2" t="s">
        <v>1443</v>
      </c>
      <c r="B1063" s="3">
        <v>45864.503252314818</v>
      </c>
      <c r="C1063" s="2" t="s">
        <v>155</v>
      </c>
      <c r="D1063" s="2" t="s">
        <v>133</v>
      </c>
      <c r="E1063" s="2" t="s">
        <v>65</v>
      </c>
      <c r="F1063" s="4">
        <v>46000</v>
      </c>
      <c r="G1063" s="5">
        <v>0.6</v>
      </c>
      <c r="H1063" s="6">
        <v>0</v>
      </c>
      <c r="I1063" s="7">
        <f t="shared" si="160"/>
        <v>27600</v>
      </c>
      <c r="J1063" s="7">
        <f t="shared" si="161"/>
        <v>0</v>
      </c>
      <c r="K1063" s="7">
        <f t="shared" si="162"/>
        <v>27600</v>
      </c>
      <c r="L1063" s="4">
        <v>50000</v>
      </c>
      <c r="M1063" s="7">
        <f t="shared" si="163"/>
        <v>77600</v>
      </c>
      <c r="N1063" s="2" t="s">
        <v>58</v>
      </c>
      <c r="O1063" t="s">
        <v>22</v>
      </c>
      <c r="P1063" s="2" t="s">
        <v>2365</v>
      </c>
      <c r="Q1063" s="2">
        <v>1</v>
      </c>
      <c r="R1063" s="2" t="s">
        <v>23</v>
      </c>
      <c r="S1063" s="2" t="str">
        <f t="shared" si="164"/>
        <v>Rendah</v>
      </c>
      <c r="T1063" s="2" t="str">
        <f t="shared" si="165"/>
        <v>FALSE</v>
      </c>
      <c r="U1063" s="2" t="str">
        <f t="shared" si="166"/>
        <v>FALSE</v>
      </c>
      <c r="V1063" s="2" t="b">
        <f t="shared" si="167"/>
        <v>0</v>
      </c>
      <c r="W1063" s="2" t="b">
        <f t="shared" si="168"/>
        <v>0</v>
      </c>
      <c r="X1063" s="2" t="b">
        <f t="shared" si="169"/>
        <v>0</v>
      </c>
    </row>
    <row r="1064" spans="1:24" ht="10.5" customHeight="1">
      <c r="A1064" s="2" t="s">
        <v>1444</v>
      </c>
      <c r="B1064" s="3">
        <v>45864.51122685185</v>
      </c>
      <c r="C1064" s="2" t="s">
        <v>770</v>
      </c>
      <c r="D1064" s="2" t="s">
        <v>105</v>
      </c>
      <c r="E1064" s="2" t="s">
        <v>27</v>
      </c>
      <c r="F1064" s="4">
        <v>15000</v>
      </c>
      <c r="G1064" s="5">
        <v>0.4</v>
      </c>
      <c r="H1064" s="6">
        <v>0</v>
      </c>
      <c r="I1064" s="7">
        <f t="shared" si="160"/>
        <v>6000</v>
      </c>
      <c r="J1064" s="7">
        <f t="shared" si="161"/>
        <v>0</v>
      </c>
      <c r="K1064" s="7">
        <f t="shared" si="162"/>
        <v>6000</v>
      </c>
      <c r="L1064" s="4">
        <v>18000</v>
      </c>
      <c r="M1064" s="7">
        <f t="shared" si="163"/>
        <v>24000</v>
      </c>
      <c r="N1064" s="2" t="s">
        <v>33</v>
      </c>
      <c r="O1064" t="s">
        <v>22</v>
      </c>
      <c r="P1064" s="2" t="s">
        <v>2365</v>
      </c>
      <c r="Q1064" s="2">
        <v>4</v>
      </c>
      <c r="R1064" s="2" t="s">
        <v>23</v>
      </c>
      <c r="S1064" s="2" t="str">
        <f t="shared" si="164"/>
        <v>Sangat Rendah</v>
      </c>
      <c r="T1064" s="2" t="str">
        <f t="shared" si="165"/>
        <v>FALSE</v>
      </c>
      <c r="U1064" s="2" t="str">
        <f t="shared" si="166"/>
        <v>FALSE</v>
      </c>
      <c r="V1064" s="2" t="b">
        <f t="shared" si="167"/>
        <v>0</v>
      </c>
      <c r="W1064" s="2" t="b">
        <f t="shared" si="168"/>
        <v>0</v>
      </c>
      <c r="X1064" s="2" t="b">
        <f t="shared" si="169"/>
        <v>1</v>
      </c>
    </row>
    <row r="1065" spans="1:24" ht="10.5" customHeight="1">
      <c r="A1065" s="2" t="s">
        <v>1445</v>
      </c>
      <c r="B1065" s="3">
        <v>45864.557152777779</v>
      </c>
      <c r="C1065" s="2" t="s">
        <v>419</v>
      </c>
      <c r="D1065" s="2" t="s">
        <v>167</v>
      </c>
      <c r="E1065" s="2" t="s">
        <v>53</v>
      </c>
      <c r="F1065" s="4">
        <v>14000</v>
      </c>
      <c r="G1065" s="5">
        <v>1.9</v>
      </c>
      <c r="H1065" s="6">
        <v>0</v>
      </c>
      <c r="I1065" s="7">
        <f t="shared" si="160"/>
        <v>26600</v>
      </c>
      <c r="J1065" s="7">
        <f t="shared" si="161"/>
        <v>0</v>
      </c>
      <c r="K1065" s="7">
        <f t="shared" si="162"/>
        <v>26600</v>
      </c>
      <c r="L1065" s="4">
        <v>56000</v>
      </c>
      <c r="M1065" s="7">
        <f t="shared" si="163"/>
        <v>82600</v>
      </c>
      <c r="N1065" s="2" t="s">
        <v>28</v>
      </c>
      <c r="O1065" t="s">
        <v>22</v>
      </c>
      <c r="P1065" s="2" t="s">
        <v>2368</v>
      </c>
      <c r="Q1065" s="2">
        <v>3</v>
      </c>
      <c r="R1065" s="2" t="s">
        <v>34</v>
      </c>
      <c r="S1065" s="2" t="str">
        <f t="shared" si="164"/>
        <v>Rendah</v>
      </c>
      <c r="T1065" s="2" t="str">
        <f t="shared" si="165"/>
        <v>FALSE</v>
      </c>
      <c r="U1065" s="2" t="str">
        <f t="shared" si="166"/>
        <v>FALSE</v>
      </c>
      <c r="V1065" s="2" t="b">
        <f t="shared" si="167"/>
        <v>0</v>
      </c>
      <c r="W1065" s="2" t="b">
        <f t="shared" si="168"/>
        <v>0</v>
      </c>
      <c r="X1065" s="2" t="b">
        <f t="shared" si="169"/>
        <v>0</v>
      </c>
    </row>
    <row r="1066" spans="1:24" ht="10.5" customHeight="1">
      <c r="A1066" s="2" t="s">
        <v>1446</v>
      </c>
      <c r="B1066" s="3">
        <v>45864.585011574083</v>
      </c>
      <c r="C1066" s="2" t="s">
        <v>1088</v>
      </c>
      <c r="D1066" s="2" t="s">
        <v>118</v>
      </c>
      <c r="E1066" s="2" t="s">
        <v>190</v>
      </c>
      <c r="F1066" s="4">
        <v>15500</v>
      </c>
      <c r="G1066" s="5">
        <v>0.4</v>
      </c>
      <c r="H1066" s="6">
        <v>0</v>
      </c>
      <c r="I1066" s="7">
        <f t="shared" si="160"/>
        <v>6200</v>
      </c>
      <c r="J1066" s="7">
        <f t="shared" si="161"/>
        <v>0</v>
      </c>
      <c r="K1066" s="7">
        <f t="shared" si="162"/>
        <v>6200</v>
      </c>
      <c r="L1066" s="4">
        <v>84000</v>
      </c>
      <c r="M1066" s="7">
        <f t="shared" si="163"/>
        <v>90200</v>
      </c>
      <c r="N1066" s="2" t="s">
        <v>21</v>
      </c>
      <c r="O1066" t="s">
        <v>22</v>
      </c>
      <c r="P1066" s="2" t="s">
        <v>2367</v>
      </c>
      <c r="Q1066" s="2">
        <v>1</v>
      </c>
      <c r="R1066" s="2" t="s">
        <v>34</v>
      </c>
      <c r="S1066" s="2" t="str">
        <f t="shared" si="164"/>
        <v>Rendah</v>
      </c>
      <c r="T1066" s="2" t="str">
        <f t="shared" si="165"/>
        <v>FALSE</v>
      </c>
      <c r="U1066" s="2" t="str">
        <f t="shared" si="166"/>
        <v>FALSE</v>
      </c>
      <c r="V1066" s="2" t="b">
        <f t="shared" si="167"/>
        <v>0</v>
      </c>
      <c r="W1066" s="2" t="b">
        <f t="shared" si="168"/>
        <v>1</v>
      </c>
      <c r="X1066" s="2" t="b">
        <f t="shared" si="169"/>
        <v>0</v>
      </c>
    </row>
    <row r="1067" spans="1:24" ht="10.5" customHeight="1">
      <c r="A1067" s="2" t="s">
        <v>1447</v>
      </c>
      <c r="B1067" s="3">
        <v>45864.58965277778</v>
      </c>
      <c r="C1067" s="2" t="s">
        <v>1275</v>
      </c>
      <c r="D1067" s="2" t="s">
        <v>153</v>
      </c>
      <c r="E1067" s="2" t="s">
        <v>35</v>
      </c>
      <c r="F1067" s="4">
        <v>13500</v>
      </c>
      <c r="G1067" s="5">
        <v>0.9</v>
      </c>
      <c r="H1067" s="6">
        <v>0</v>
      </c>
      <c r="I1067" s="7">
        <f t="shared" si="160"/>
        <v>12150</v>
      </c>
      <c r="J1067" s="7">
        <f t="shared" si="161"/>
        <v>0</v>
      </c>
      <c r="K1067" s="7">
        <f t="shared" si="162"/>
        <v>12150</v>
      </c>
      <c r="L1067" s="4">
        <v>50000</v>
      </c>
      <c r="M1067" s="7">
        <f t="shared" si="163"/>
        <v>62150</v>
      </c>
      <c r="N1067" s="2" t="s">
        <v>58</v>
      </c>
      <c r="O1067" t="s">
        <v>22</v>
      </c>
      <c r="P1067" s="2" t="s">
        <v>2370</v>
      </c>
      <c r="Q1067" s="2">
        <v>4</v>
      </c>
      <c r="R1067" s="2" t="s">
        <v>23</v>
      </c>
      <c r="S1067" s="2" t="str">
        <f t="shared" si="164"/>
        <v>Rendah</v>
      </c>
      <c r="T1067" s="2" t="str">
        <f t="shared" si="165"/>
        <v>FALSE</v>
      </c>
      <c r="U1067" s="2" t="str">
        <f t="shared" si="166"/>
        <v>FALSE</v>
      </c>
      <c r="V1067" s="2" t="b">
        <f t="shared" si="167"/>
        <v>0</v>
      </c>
      <c r="W1067" s="2" t="b">
        <f t="shared" si="168"/>
        <v>0</v>
      </c>
      <c r="X1067" s="2" t="b">
        <f t="shared" si="169"/>
        <v>0</v>
      </c>
    </row>
    <row r="1068" spans="1:24" ht="10.5" customHeight="1">
      <c r="A1068" s="2" t="s">
        <v>1448</v>
      </c>
      <c r="B1068" s="3">
        <v>45864.606585648151</v>
      </c>
      <c r="C1068" s="2" t="s">
        <v>659</v>
      </c>
      <c r="D1068" s="2" t="s">
        <v>140</v>
      </c>
      <c r="E1068" s="2" t="s">
        <v>45</v>
      </c>
      <c r="F1068" s="4">
        <v>10500</v>
      </c>
      <c r="G1068" s="5">
        <v>1.6</v>
      </c>
      <c r="H1068" s="6">
        <v>0</v>
      </c>
      <c r="I1068" s="7">
        <f t="shared" si="160"/>
        <v>16800</v>
      </c>
      <c r="J1068" s="7">
        <f t="shared" si="161"/>
        <v>0</v>
      </c>
      <c r="K1068" s="7">
        <f t="shared" si="162"/>
        <v>16800</v>
      </c>
      <c r="L1068" s="4">
        <v>55000</v>
      </c>
      <c r="M1068" s="7">
        <f t="shared" si="163"/>
        <v>71800</v>
      </c>
      <c r="N1068" s="2" t="s">
        <v>28</v>
      </c>
      <c r="O1068" t="s">
        <v>22</v>
      </c>
      <c r="P1068" s="2" t="s">
        <v>2367</v>
      </c>
      <c r="Q1068" s="2">
        <v>4</v>
      </c>
      <c r="R1068" s="2" t="s">
        <v>23</v>
      </c>
      <c r="S1068" s="2" t="str">
        <f t="shared" si="164"/>
        <v>Rendah</v>
      </c>
      <c r="T1068" s="2" t="str">
        <f t="shared" si="165"/>
        <v>FALSE</v>
      </c>
      <c r="U1068" s="2" t="str">
        <f t="shared" si="166"/>
        <v>FALSE</v>
      </c>
      <c r="V1068" s="2" t="b">
        <f t="shared" si="167"/>
        <v>0</v>
      </c>
      <c r="W1068" s="2" t="b">
        <f t="shared" si="168"/>
        <v>1</v>
      </c>
      <c r="X1068" s="2" t="b">
        <f t="shared" si="169"/>
        <v>0</v>
      </c>
    </row>
    <row r="1069" spans="1:24" ht="10.5" customHeight="1">
      <c r="A1069" s="2" t="s">
        <v>1449</v>
      </c>
      <c r="B1069" s="3">
        <v>45864.629004629627</v>
      </c>
      <c r="C1069" s="2" t="s">
        <v>361</v>
      </c>
      <c r="D1069" s="2" t="s">
        <v>26</v>
      </c>
      <c r="E1069" s="2" t="s">
        <v>190</v>
      </c>
      <c r="F1069" s="4">
        <v>15500</v>
      </c>
      <c r="G1069" s="5">
        <v>0.6</v>
      </c>
      <c r="H1069" s="6">
        <v>0</v>
      </c>
      <c r="I1069" s="7">
        <f t="shared" si="160"/>
        <v>9300</v>
      </c>
      <c r="J1069" s="7">
        <f t="shared" si="161"/>
        <v>0</v>
      </c>
      <c r="K1069" s="7">
        <f t="shared" si="162"/>
        <v>9300</v>
      </c>
      <c r="L1069" s="4">
        <v>17000</v>
      </c>
      <c r="M1069" s="7">
        <f t="shared" si="163"/>
        <v>26300</v>
      </c>
      <c r="N1069" s="2" t="s">
        <v>33</v>
      </c>
      <c r="O1069" t="s">
        <v>22</v>
      </c>
      <c r="P1069" s="2" t="s">
        <v>2366</v>
      </c>
      <c r="Q1069" s="2">
        <v>5</v>
      </c>
      <c r="R1069" s="2" t="s">
        <v>23</v>
      </c>
      <c r="S1069" s="2" t="str">
        <f t="shared" si="164"/>
        <v>Sangat Rendah</v>
      </c>
      <c r="T1069" s="2" t="str">
        <f t="shared" si="165"/>
        <v>FALSE</v>
      </c>
      <c r="U1069" s="2" t="str">
        <f t="shared" si="166"/>
        <v>FALSE</v>
      </c>
      <c r="V1069" s="2" t="b">
        <f t="shared" si="167"/>
        <v>0</v>
      </c>
      <c r="W1069" s="2" t="b">
        <f t="shared" si="168"/>
        <v>0</v>
      </c>
      <c r="X1069" s="2" t="b">
        <f t="shared" si="169"/>
        <v>1</v>
      </c>
    </row>
    <row r="1070" spans="1:24" ht="10.5" customHeight="1">
      <c r="A1070" s="2" t="s">
        <v>1450</v>
      </c>
      <c r="B1070" s="3">
        <v>45864.677824074082</v>
      </c>
      <c r="C1070" s="2" t="s">
        <v>766</v>
      </c>
      <c r="D1070" s="2" t="s">
        <v>94</v>
      </c>
      <c r="E1070" s="2" t="s">
        <v>57</v>
      </c>
      <c r="F1070" s="4">
        <v>17500</v>
      </c>
      <c r="G1070" s="5">
        <v>1.6</v>
      </c>
      <c r="H1070" s="6">
        <v>0</v>
      </c>
      <c r="I1070" s="7">
        <f t="shared" si="160"/>
        <v>28000</v>
      </c>
      <c r="J1070" s="7">
        <f t="shared" si="161"/>
        <v>0</v>
      </c>
      <c r="K1070" s="7">
        <f t="shared" si="162"/>
        <v>28000</v>
      </c>
      <c r="L1070" s="4">
        <v>85000</v>
      </c>
      <c r="M1070" s="7">
        <f t="shared" si="163"/>
        <v>113000</v>
      </c>
      <c r="N1070" s="2" t="s">
        <v>21</v>
      </c>
      <c r="O1070" t="s">
        <v>22</v>
      </c>
      <c r="P1070" s="2" t="s">
        <v>2365</v>
      </c>
      <c r="Q1070" s="2">
        <v>1</v>
      </c>
      <c r="R1070" s="2" t="s">
        <v>23</v>
      </c>
      <c r="S1070" s="2" t="str">
        <f t="shared" si="164"/>
        <v>Standar</v>
      </c>
      <c r="T1070" s="2" t="str">
        <f t="shared" si="165"/>
        <v>FALSE</v>
      </c>
      <c r="U1070" s="2" t="str">
        <f t="shared" si="166"/>
        <v>FALSE</v>
      </c>
      <c r="V1070" s="2" t="b">
        <f t="shared" si="167"/>
        <v>0</v>
      </c>
      <c r="W1070" s="2" t="b">
        <f t="shared" si="168"/>
        <v>0</v>
      </c>
      <c r="X1070" s="2" t="b">
        <f t="shared" si="169"/>
        <v>0</v>
      </c>
    </row>
    <row r="1071" spans="1:24" ht="10.5" customHeight="1">
      <c r="A1071" s="2" t="s">
        <v>1451</v>
      </c>
      <c r="B1071" s="3">
        <v>45864.743101851847</v>
      </c>
      <c r="C1071" s="2" t="s">
        <v>639</v>
      </c>
      <c r="D1071" s="2" t="s">
        <v>167</v>
      </c>
      <c r="E1071" s="2" t="s">
        <v>143</v>
      </c>
      <c r="F1071" s="4">
        <v>10000</v>
      </c>
      <c r="G1071" s="5">
        <v>0.9</v>
      </c>
      <c r="H1071" s="6">
        <v>0</v>
      </c>
      <c r="I1071" s="7">
        <f t="shared" si="160"/>
        <v>9000</v>
      </c>
      <c r="J1071" s="7">
        <f t="shared" si="161"/>
        <v>0</v>
      </c>
      <c r="K1071" s="7">
        <f t="shared" si="162"/>
        <v>9000</v>
      </c>
      <c r="L1071" s="4">
        <v>56000</v>
      </c>
      <c r="M1071" s="7">
        <f t="shared" si="163"/>
        <v>65000</v>
      </c>
      <c r="N1071" s="2" t="s">
        <v>21</v>
      </c>
      <c r="O1071" t="s">
        <v>69</v>
      </c>
      <c r="P1071" s="2" t="s">
        <v>2367</v>
      </c>
      <c r="Q1071" s="2">
        <v>1</v>
      </c>
      <c r="R1071" s="2" t="s">
        <v>23</v>
      </c>
      <c r="S1071" s="2" t="str">
        <f t="shared" si="164"/>
        <v>Rendah</v>
      </c>
      <c r="T1071" s="2" t="str">
        <f t="shared" si="165"/>
        <v>FALSE</v>
      </c>
      <c r="U1071" s="2" t="str">
        <f t="shared" si="166"/>
        <v>TRUE</v>
      </c>
      <c r="V1071" s="2" t="b">
        <f t="shared" si="167"/>
        <v>0</v>
      </c>
      <c r="W1071" s="2" t="b">
        <f t="shared" si="168"/>
        <v>1</v>
      </c>
      <c r="X1071" s="2" t="b">
        <f t="shared" si="169"/>
        <v>0</v>
      </c>
    </row>
    <row r="1072" spans="1:24" ht="10.5" customHeight="1">
      <c r="A1072" s="2" t="s">
        <v>1452</v>
      </c>
      <c r="B1072" s="3">
        <v>45864.810752314806</v>
      </c>
      <c r="C1072" s="2" t="s">
        <v>226</v>
      </c>
      <c r="D1072" s="2" t="s">
        <v>179</v>
      </c>
      <c r="E1072" s="2" t="s">
        <v>41</v>
      </c>
      <c r="F1072" s="4">
        <v>40000</v>
      </c>
      <c r="G1072" s="5">
        <v>1</v>
      </c>
      <c r="H1072" s="6">
        <v>0</v>
      </c>
      <c r="I1072" s="7">
        <f t="shared" si="160"/>
        <v>40000</v>
      </c>
      <c r="J1072" s="7">
        <f t="shared" si="161"/>
        <v>0</v>
      </c>
      <c r="K1072" s="7">
        <f t="shared" si="162"/>
        <v>40000</v>
      </c>
      <c r="L1072" s="4">
        <v>57000</v>
      </c>
      <c r="M1072" s="7">
        <f t="shared" si="163"/>
        <v>97000</v>
      </c>
      <c r="N1072" s="2" t="s">
        <v>58</v>
      </c>
      <c r="O1072" t="s">
        <v>22</v>
      </c>
      <c r="P1072" s="2" t="s">
        <v>2368</v>
      </c>
      <c r="Q1072" s="2">
        <v>3</v>
      </c>
      <c r="R1072" s="2" t="s">
        <v>34</v>
      </c>
      <c r="S1072" s="2" t="str">
        <f t="shared" si="164"/>
        <v>Rendah</v>
      </c>
      <c r="T1072" s="2" t="str">
        <f t="shared" si="165"/>
        <v>FALSE</v>
      </c>
      <c r="U1072" s="2" t="str">
        <f t="shared" si="166"/>
        <v>FALSE</v>
      </c>
      <c r="V1072" s="2" t="b">
        <f t="shared" si="167"/>
        <v>0</v>
      </c>
      <c r="W1072" s="2" t="b">
        <f t="shared" si="168"/>
        <v>0</v>
      </c>
      <c r="X1072" s="2" t="b">
        <f t="shared" si="169"/>
        <v>0</v>
      </c>
    </row>
    <row r="1073" spans="1:24" ht="10.5" customHeight="1">
      <c r="A1073" s="2" t="s">
        <v>1453</v>
      </c>
      <c r="B1073" s="3">
        <v>45865.192986111113</v>
      </c>
      <c r="C1073" s="2" t="s">
        <v>639</v>
      </c>
      <c r="D1073" s="2" t="s">
        <v>167</v>
      </c>
      <c r="E1073" s="2" t="s">
        <v>35</v>
      </c>
      <c r="F1073" s="4">
        <v>13500</v>
      </c>
      <c r="G1073" s="5">
        <v>2.8</v>
      </c>
      <c r="H1073" s="6">
        <v>0</v>
      </c>
      <c r="I1073" s="7">
        <f t="shared" si="160"/>
        <v>37800</v>
      </c>
      <c r="J1073" s="7">
        <f t="shared" si="161"/>
        <v>0</v>
      </c>
      <c r="K1073" s="7">
        <f t="shared" si="162"/>
        <v>37800</v>
      </c>
      <c r="L1073" s="4">
        <v>56000</v>
      </c>
      <c r="M1073" s="7">
        <f t="shared" si="163"/>
        <v>93800</v>
      </c>
      <c r="N1073" s="2" t="s">
        <v>58</v>
      </c>
      <c r="O1073" t="s">
        <v>22</v>
      </c>
      <c r="P1073" s="2" t="s">
        <v>2370</v>
      </c>
      <c r="Q1073" s="2">
        <v>1</v>
      </c>
      <c r="R1073" s="2" t="s">
        <v>23</v>
      </c>
      <c r="S1073" s="2" t="str">
        <f t="shared" si="164"/>
        <v>Rendah</v>
      </c>
      <c r="T1073" s="2" t="str">
        <f t="shared" si="165"/>
        <v>FALSE</v>
      </c>
      <c r="U1073" s="2" t="str">
        <f t="shared" si="166"/>
        <v>FALSE</v>
      </c>
      <c r="V1073" s="2" t="b">
        <f t="shared" si="167"/>
        <v>0</v>
      </c>
      <c r="W1073" s="2" t="b">
        <f t="shared" si="168"/>
        <v>0</v>
      </c>
      <c r="X1073" s="2" t="b">
        <f t="shared" si="169"/>
        <v>0</v>
      </c>
    </row>
    <row r="1074" spans="1:24" ht="10.5" customHeight="1">
      <c r="A1074" s="2" t="s">
        <v>1453</v>
      </c>
      <c r="B1074" s="3">
        <v>45865.192986111113</v>
      </c>
      <c r="C1074" s="2" t="s">
        <v>639</v>
      </c>
      <c r="D1074" s="2" t="s">
        <v>167</v>
      </c>
      <c r="E1074" s="2" t="s">
        <v>41</v>
      </c>
      <c r="F1074" s="4">
        <v>40000</v>
      </c>
      <c r="G1074" s="5">
        <v>1.2</v>
      </c>
      <c r="H1074" s="6">
        <v>0</v>
      </c>
      <c r="I1074" s="7">
        <f t="shared" si="160"/>
        <v>48000</v>
      </c>
      <c r="J1074" s="7">
        <f t="shared" si="161"/>
        <v>0</v>
      </c>
      <c r="K1074" s="7">
        <f t="shared" si="162"/>
        <v>48000</v>
      </c>
      <c r="L1074" s="4">
        <v>0</v>
      </c>
      <c r="M1074" s="7">
        <f t="shared" si="163"/>
        <v>48000</v>
      </c>
      <c r="N1074" s="2" t="s">
        <v>58</v>
      </c>
      <c r="O1074" t="s">
        <v>22</v>
      </c>
      <c r="P1074" s="2" t="s">
        <v>2370</v>
      </c>
      <c r="Q1074" s="2">
        <v>1</v>
      </c>
      <c r="R1074" s="2" t="s">
        <v>23</v>
      </c>
      <c r="S1074" s="2" t="str">
        <f t="shared" si="164"/>
        <v>Sangat Rendah</v>
      </c>
      <c r="T1074" s="2" t="str">
        <f t="shared" si="165"/>
        <v>FALSE</v>
      </c>
      <c r="U1074" s="2" t="str">
        <f t="shared" si="166"/>
        <v>FALSE</v>
      </c>
      <c r="V1074" s="2" t="b">
        <f t="shared" si="167"/>
        <v>0</v>
      </c>
      <c r="W1074" s="2" t="b">
        <f t="shared" si="168"/>
        <v>0</v>
      </c>
      <c r="X1074" s="2" t="b">
        <f t="shared" si="169"/>
        <v>1</v>
      </c>
    </row>
    <row r="1075" spans="1:24" ht="10.5" customHeight="1">
      <c r="A1075" s="2" t="s">
        <v>1454</v>
      </c>
      <c r="B1075" s="3">
        <v>45865.439282407409</v>
      </c>
      <c r="C1075" s="2" t="s">
        <v>698</v>
      </c>
      <c r="D1075" s="2" t="s">
        <v>108</v>
      </c>
      <c r="E1075" s="2" t="s">
        <v>35</v>
      </c>
      <c r="F1075" s="4">
        <v>13500</v>
      </c>
      <c r="G1075" s="5">
        <v>3.7</v>
      </c>
      <c r="H1075" s="6">
        <v>0</v>
      </c>
      <c r="I1075" s="7">
        <f t="shared" si="160"/>
        <v>49950</v>
      </c>
      <c r="J1075" s="7">
        <f t="shared" si="161"/>
        <v>0</v>
      </c>
      <c r="K1075" s="7">
        <f t="shared" si="162"/>
        <v>49950</v>
      </c>
      <c r="L1075" s="4">
        <v>72000</v>
      </c>
      <c r="M1075" s="7">
        <f t="shared" si="163"/>
        <v>121950</v>
      </c>
      <c r="N1075" s="2" t="s">
        <v>58</v>
      </c>
      <c r="O1075" t="s">
        <v>22</v>
      </c>
      <c r="P1075" s="2" t="s">
        <v>2366</v>
      </c>
      <c r="Q1075" s="2">
        <v>2</v>
      </c>
      <c r="R1075" s="2" t="s">
        <v>23</v>
      </c>
      <c r="S1075" s="2" t="str">
        <f t="shared" si="164"/>
        <v>Standar</v>
      </c>
      <c r="T1075" s="2" t="str">
        <f t="shared" si="165"/>
        <v>FALSE</v>
      </c>
      <c r="U1075" s="2" t="str">
        <f t="shared" si="166"/>
        <v>FALSE</v>
      </c>
      <c r="V1075" s="2" t="b">
        <f t="shared" si="167"/>
        <v>0</v>
      </c>
      <c r="W1075" s="2" t="b">
        <f t="shared" si="168"/>
        <v>0</v>
      </c>
      <c r="X1075" s="2" t="b">
        <f t="shared" si="169"/>
        <v>0</v>
      </c>
    </row>
    <row r="1076" spans="1:24" ht="10.5" customHeight="1">
      <c r="A1076" s="2" t="s">
        <v>1455</v>
      </c>
      <c r="B1076" s="3">
        <v>45865.452962962961</v>
      </c>
      <c r="C1076" s="2" t="s">
        <v>822</v>
      </c>
      <c r="D1076" s="2" t="s">
        <v>123</v>
      </c>
      <c r="E1076" s="2" t="s">
        <v>35</v>
      </c>
      <c r="F1076" s="4">
        <v>13500</v>
      </c>
      <c r="G1076" s="5">
        <v>1.3</v>
      </c>
      <c r="H1076" s="6">
        <v>0</v>
      </c>
      <c r="I1076" s="7">
        <f t="shared" si="160"/>
        <v>17550</v>
      </c>
      <c r="J1076" s="7">
        <f t="shared" si="161"/>
        <v>0</v>
      </c>
      <c r="K1076" s="7">
        <f t="shared" si="162"/>
        <v>17550</v>
      </c>
      <c r="L1076" s="4">
        <v>59000</v>
      </c>
      <c r="M1076" s="7">
        <f t="shared" si="163"/>
        <v>76550</v>
      </c>
      <c r="N1076" s="2" t="s">
        <v>21</v>
      </c>
      <c r="O1076" t="s">
        <v>22</v>
      </c>
      <c r="P1076" s="2" t="s">
        <v>2370</v>
      </c>
      <c r="Q1076" s="2">
        <v>3</v>
      </c>
      <c r="R1076" s="2" t="s">
        <v>23</v>
      </c>
      <c r="S1076" s="2" t="str">
        <f t="shared" si="164"/>
        <v>Rendah</v>
      </c>
      <c r="T1076" s="2" t="str">
        <f t="shared" si="165"/>
        <v>FALSE</v>
      </c>
      <c r="U1076" s="2" t="str">
        <f t="shared" si="166"/>
        <v>FALSE</v>
      </c>
      <c r="V1076" s="2" t="b">
        <f t="shared" si="167"/>
        <v>0</v>
      </c>
      <c r="W1076" s="2" t="b">
        <f t="shared" si="168"/>
        <v>0</v>
      </c>
      <c r="X1076" s="2" t="b">
        <f t="shared" si="169"/>
        <v>0</v>
      </c>
    </row>
    <row r="1077" spans="1:24" ht="10.5" customHeight="1">
      <c r="A1077" s="2" t="s">
        <v>1456</v>
      </c>
      <c r="B1077" s="3">
        <v>45865.574687499997</v>
      </c>
      <c r="C1077" s="2" t="s">
        <v>532</v>
      </c>
      <c r="D1077" s="2" t="s">
        <v>114</v>
      </c>
      <c r="E1077" s="2" t="s">
        <v>182</v>
      </c>
      <c r="F1077" s="4">
        <v>11000</v>
      </c>
      <c r="G1077" s="5">
        <v>1.6</v>
      </c>
      <c r="H1077" s="6">
        <v>0</v>
      </c>
      <c r="I1077" s="7">
        <f t="shared" si="160"/>
        <v>17600</v>
      </c>
      <c r="J1077" s="7">
        <f t="shared" si="161"/>
        <v>0</v>
      </c>
      <c r="K1077" s="7">
        <f t="shared" si="162"/>
        <v>17600</v>
      </c>
      <c r="L1077" s="4">
        <v>78000</v>
      </c>
      <c r="M1077" s="7">
        <f t="shared" si="163"/>
        <v>95600</v>
      </c>
      <c r="N1077" s="2" t="s">
        <v>33</v>
      </c>
      <c r="O1077" t="s">
        <v>22</v>
      </c>
      <c r="P1077" s="2" t="s">
        <v>2365</v>
      </c>
      <c r="Q1077" s="2">
        <v>1</v>
      </c>
      <c r="R1077" s="2" t="s">
        <v>23</v>
      </c>
      <c r="S1077" s="2" t="str">
        <f t="shared" si="164"/>
        <v>Rendah</v>
      </c>
      <c r="T1077" s="2" t="str">
        <f t="shared" si="165"/>
        <v>TRUE</v>
      </c>
      <c r="U1077" s="2" t="str">
        <f t="shared" si="166"/>
        <v>FALSE</v>
      </c>
      <c r="V1077" s="2" t="b">
        <f t="shared" si="167"/>
        <v>0</v>
      </c>
      <c r="W1077" s="2" t="b">
        <f t="shared" si="168"/>
        <v>0</v>
      </c>
      <c r="X1077" s="2" t="b">
        <f t="shared" si="169"/>
        <v>0</v>
      </c>
    </row>
    <row r="1078" spans="1:24" ht="10.5" customHeight="1">
      <c r="A1078" s="2" t="s">
        <v>1457</v>
      </c>
      <c r="B1078" s="3">
        <v>45865.588877314818</v>
      </c>
      <c r="C1078" s="2" t="s">
        <v>605</v>
      </c>
      <c r="D1078" s="2" t="s">
        <v>84</v>
      </c>
      <c r="E1078" s="2" t="s">
        <v>143</v>
      </c>
      <c r="F1078" s="4">
        <v>10000</v>
      </c>
      <c r="G1078" s="5">
        <v>0.6</v>
      </c>
      <c r="H1078" s="6">
        <v>0</v>
      </c>
      <c r="I1078" s="7">
        <f t="shared" si="160"/>
        <v>6000</v>
      </c>
      <c r="J1078" s="7">
        <f t="shared" si="161"/>
        <v>0</v>
      </c>
      <c r="K1078" s="7">
        <f t="shared" si="162"/>
        <v>6000</v>
      </c>
      <c r="L1078" s="4">
        <v>30000</v>
      </c>
      <c r="M1078" s="7">
        <f t="shared" si="163"/>
        <v>36000</v>
      </c>
      <c r="N1078" s="2" t="s">
        <v>21</v>
      </c>
      <c r="O1078" t="s">
        <v>22</v>
      </c>
      <c r="P1078" s="2" t="s">
        <v>2370</v>
      </c>
      <c r="Q1078" s="2">
        <v>1</v>
      </c>
      <c r="R1078" s="2" t="s">
        <v>23</v>
      </c>
      <c r="S1078" s="2" t="str">
        <f t="shared" si="164"/>
        <v>Sangat Rendah</v>
      </c>
      <c r="T1078" s="2" t="str">
        <f t="shared" si="165"/>
        <v>FALSE</v>
      </c>
      <c r="U1078" s="2" t="str">
        <f t="shared" si="166"/>
        <v>TRUE</v>
      </c>
      <c r="V1078" s="2" t="b">
        <f t="shared" si="167"/>
        <v>0</v>
      </c>
      <c r="W1078" s="2" t="b">
        <f t="shared" si="168"/>
        <v>0</v>
      </c>
      <c r="X1078" s="2" t="b">
        <f t="shared" si="169"/>
        <v>1</v>
      </c>
    </row>
    <row r="1079" spans="1:24" ht="10.5" customHeight="1">
      <c r="A1079" s="2" t="s">
        <v>1458</v>
      </c>
      <c r="B1079" s="3">
        <v>45865.61787037037</v>
      </c>
      <c r="C1079" s="2" t="s">
        <v>127</v>
      </c>
      <c r="D1079" s="2" t="s">
        <v>26</v>
      </c>
      <c r="E1079" s="2" t="s">
        <v>35</v>
      </c>
      <c r="F1079" s="4">
        <v>13500</v>
      </c>
      <c r="G1079" s="5">
        <v>2.6</v>
      </c>
      <c r="H1079" s="6">
        <v>0</v>
      </c>
      <c r="I1079" s="7">
        <f t="shared" si="160"/>
        <v>35100</v>
      </c>
      <c r="J1079" s="7">
        <f t="shared" si="161"/>
        <v>0</v>
      </c>
      <c r="K1079" s="7">
        <f t="shared" si="162"/>
        <v>35100</v>
      </c>
      <c r="L1079" s="4">
        <v>17000</v>
      </c>
      <c r="M1079" s="7">
        <f t="shared" si="163"/>
        <v>52100</v>
      </c>
      <c r="N1079" s="2" t="s">
        <v>58</v>
      </c>
      <c r="O1079" t="s">
        <v>22</v>
      </c>
      <c r="P1079" s="2" t="s">
        <v>2365</v>
      </c>
      <c r="Q1079" s="2">
        <v>2</v>
      </c>
      <c r="R1079" s="2" t="s">
        <v>23</v>
      </c>
      <c r="S1079" s="2" t="str">
        <f t="shared" si="164"/>
        <v>Rendah</v>
      </c>
      <c r="T1079" s="2" t="str">
        <f t="shared" si="165"/>
        <v>FALSE</v>
      </c>
      <c r="U1079" s="2" t="str">
        <f t="shared" si="166"/>
        <v>FALSE</v>
      </c>
      <c r="V1079" s="2" t="b">
        <f t="shared" si="167"/>
        <v>0</v>
      </c>
      <c r="W1079" s="2" t="b">
        <f t="shared" si="168"/>
        <v>0</v>
      </c>
      <c r="X1079" s="2" t="b">
        <f t="shared" si="169"/>
        <v>0</v>
      </c>
    </row>
    <row r="1080" spans="1:24" ht="10.5" customHeight="1">
      <c r="A1080" s="2" t="s">
        <v>1459</v>
      </c>
      <c r="B1080" s="3">
        <v>45865.738807870373</v>
      </c>
      <c r="C1080" s="2" t="s">
        <v>194</v>
      </c>
      <c r="D1080" s="2" t="s">
        <v>19</v>
      </c>
      <c r="E1080" s="2" t="s">
        <v>53</v>
      </c>
      <c r="F1080" s="4">
        <v>14000</v>
      </c>
      <c r="G1080" s="5">
        <v>0.6</v>
      </c>
      <c r="H1080" s="6">
        <v>0</v>
      </c>
      <c r="I1080" s="7">
        <f t="shared" si="160"/>
        <v>8400</v>
      </c>
      <c r="J1080" s="7">
        <f t="shared" si="161"/>
        <v>0</v>
      </c>
      <c r="K1080" s="7">
        <f t="shared" si="162"/>
        <v>8400</v>
      </c>
      <c r="L1080" s="4">
        <v>15000</v>
      </c>
      <c r="M1080" s="7">
        <f t="shared" si="163"/>
        <v>23400</v>
      </c>
      <c r="N1080" s="2" t="s">
        <v>28</v>
      </c>
      <c r="O1080" t="s">
        <v>22</v>
      </c>
      <c r="P1080" s="2" t="s">
        <v>2370</v>
      </c>
      <c r="Q1080" s="2">
        <v>4</v>
      </c>
      <c r="R1080" s="2" t="s">
        <v>23</v>
      </c>
      <c r="S1080" s="2" t="str">
        <f t="shared" si="164"/>
        <v>Sangat Rendah</v>
      </c>
      <c r="T1080" s="2" t="str">
        <f t="shared" si="165"/>
        <v>FALSE</v>
      </c>
      <c r="U1080" s="2" t="str">
        <f t="shared" si="166"/>
        <v>FALSE</v>
      </c>
      <c r="V1080" s="2" t="b">
        <f t="shared" si="167"/>
        <v>0</v>
      </c>
      <c r="W1080" s="2" t="b">
        <f t="shared" si="168"/>
        <v>0</v>
      </c>
      <c r="X1080" s="2" t="b">
        <f t="shared" si="169"/>
        <v>1</v>
      </c>
    </row>
    <row r="1081" spans="1:24" ht="10.5" customHeight="1">
      <c r="A1081" s="2" t="s">
        <v>1460</v>
      </c>
      <c r="B1081" s="3">
        <v>45865.765451388892</v>
      </c>
      <c r="C1081" s="2" t="s">
        <v>857</v>
      </c>
      <c r="D1081" s="2" t="s">
        <v>19</v>
      </c>
      <c r="E1081" s="2" t="s">
        <v>170</v>
      </c>
      <c r="F1081" s="4">
        <v>12000</v>
      </c>
      <c r="G1081" s="5">
        <v>0.9</v>
      </c>
      <c r="H1081" s="6">
        <v>0</v>
      </c>
      <c r="I1081" s="7">
        <f t="shared" si="160"/>
        <v>10800</v>
      </c>
      <c r="J1081" s="7">
        <f t="shared" si="161"/>
        <v>0</v>
      </c>
      <c r="K1081" s="7">
        <f t="shared" si="162"/>
        <v>10800</v>
      </c>
      <c r="L1081" s="4">
        <v>15000</v>
      </c>
      <c r="M1081" s="7">
        <f t="shared" si="163"/>
        <v>25800</v>
      </c>
      <c r="N1081" s="2" t="s">
        <v>33</v>
      </c>
      <c r="O1081" t="s">
        <v>22</v>
      </c>
      <c r="P1081" s="2" t="s">
        <v>2365</v>
      </c>
      <c r="Q1081" s="2">
        <v>2</v>
      </c>
      <c r="R1081" s="2" t="s">
        <v>34</v>
      </c>
      <c r="S1081" s="2" t="str">
        <f t="shared" si="164"/>
        <v>Sangat Rendah</v>
      </c>
      <c r="T1081" s="2" t="str">
        <f t="shared" si="165"/>
        <v>FALSE</v>
      </c>
      <c r="U1081" s="2" t="str">
        <f t="shared" si="166"/>
        <v>FALSE</v>
      </c>
      <c r="V1081" s="2" t="b">
        <f t="shared" si="167"/>
        <v>0</v>
      </c>
      <c r="W1081" s="2" t="b">
        <f t="shared" si="168"/>
        <v>0</v>
      </c>
      <c r="X1081" s="2" t="b">
        <f t="shared" si="169"/>
        <v>0</v>
      </c>
    </row>
    <row r="1082" spans="1:24" ht="10.5" customHeight="1">
      <c r="A1082" s="2" t="s">
        <v>1461</v>
      </c>
      <c r="B1082" s="3">
        <v>45865.900543981479</v>
      </c>
      <c r="C1082" s="2" t="s">
        <v>117</v>
      </c>
      <c r="D1082" s="2" t="s">
        <v>118</v>
      </c>
      <c r="E1082" s="2" t="s">
        <v>182</v>
      </c>
      <c r="F1082" s="4">
        <v>11000</v>
      </c>
      <c r="G1082" s="5">
        <v>2.1</v>
      </c>
      <c r="H1082" s="6">
        <v>0</v>
      </c>
      <c r="I1082" s="7">
        <f t="shared" si="160"/>
        <v>23100</v>
      </c>
      <c r="J1082" s="7">
        <f t="shared" si="161"/>
        <v>0</v>
      </c>
      <c r="K1082" s="7">
        <f t="shared" si="162"/>
        <v>23100</v>
      </c>
      <c r="L1082" s="4">
        <v>84000</v>
      </c>
      <c r="M1082" s="7">
        <f t="shared" si="163"/>
        <v>107100</v>
      </c>
      <c r="N1082" s="2" t="s">
        <v>58</v>
      </c>
      <c r="O1082" t="s">
        <v>22</v>
      </c>
      <c r="P1082" s="2" t="s">
        <v>2368</v>
      </c>
      <c r="Q1082" s="2">
        <v>5</v>
      </c>
      <c r="R1082" s="2" t="s">
        <v>23</v>
      </c>
      <c r="S1082" s="2" t="str">
        <f t="shared" si="164"/>
        <v>Standar</v>
      </c>
      <c r="T1082" s="2" t="str">
        <f t="shared" si="165"/>
        <v>FALSE</v>
      </c>
      <c r="U1082" s="2" t="str">
        <f t="shared" si="166"/>
        <v>FALSE</v>
      </c>
      <c r="V1082" s="2" t="b">
        <f t="shared" si="167"/>
        <v>0</v>
      </c>
      <c r="W1082" s="2" t="b">
        <f t="shared" si="168"/>
        <v>0</v>
      </c>
      <c r="X1082" s="2" t="b">
        <f t="shared" si="169"/>
        <v>0</v>
      </c>
    </row>
    <row r="1083" spans="1:24" ht="10.5" customHeight="1">
      <c r="A1083" s="2" t="s">
        <v>1462</v>
      </c>
      <c r="B1083" s="3">
        <v>45866.022604166668</v>
      </c>
      <c r="C1083" s="2" t="s">
        <v>381</v>
      </c>
      <c r="D1083" s="2" t="s">
        <v>114</v>
      </c>
      <c r="E1083" s="2" t="s">
        <v>80</v>
      </c>
      <c r="F1083" s="4">
        <v>15000</v>
      </c>
      <c r="G1083" s="5">
        <v>1</v>
      </c>
      <c r="H1083" s="6">
        <v>0</v>
      </c>
      <c r="I1083" s="7">
        <f t="shared" si="160"/>
        <v>15000</v>
      </c>
      <c r="J1083" s="7">
        <f t="shared" si="161"/>
        <v>0</v>
      </c>
      <c r="K1083" s="7">
        <f t="shared" si="162"/>
        <v>15000</v>
      </c>
      <c r="L1083" s="4">
        <v>78000</v>
      </c>
      <c r="M1083" s="7">
        <f t="shared" si="163"/>
        <v>93000</v>
      </c>
      <c r="N1083" s="2" t="s">
        <v>58</v>
      </c>
      <c r="O1083" t="s">
        <v>22</v>
      </c>
      <c r="P1083" s="2" t="s">
        <v>2370</v>
      </c>
      <c r="Q1083" s="2">
        <v>2</v>
      </c>
      <c r="R1083" s="2" t="s">
        <v>23</v>
      </c>
      <c r="S1083" s="2" t="str">
        <f t="shared" si="164"/>
        <v>Rendah</v>
      </c>
      <c r="T1083" s="2" t="str">
        <f t="shared" si="165"/>
        <v>TRUE</v>
      </c>
      <c r="U1083" s="2" t="str">
        <f t="shared" si="166"/>
        <v>FALSE</v>
      </c>
      <c r="V1083" s="2" t="b">
        <f t="shared" si="167"/>
        <v>0</v>
      </c>
      <c r="W1083" s="2" t="b">
        <f t="shared" si="168"/>
        <v>0</v>
      </c>
      <c r="X1083" s="2" t="b">
        <f t="shared" si="169"/>
        <v>0</v>
      </c>
    </row>
    <row r="1084" spans="1:24" ht="10.5" customHeight="1">
      <c r="A1084" s="2" t="s">
        <v>1463</v>
      </c>
      <c r="B1084" s="3">
        <v>45866.033194444448</v>
      </c>
      <c r="C1084" s="2" t="s">
        <v>345</v>
      </c>
      <c r="D1084" s="2" t="s">
        <v>108</v>
      </c>
      <c r="E1084" s="2" t="s">
        <v>170</v>
      </c>
      <c r="F1084" s="4">
        <v>12000</v>
      </c>
      <c r="G1084" s="5">
        <v>1.7</v>
      </c>
      <c r="H1084" s="6">
        <v>0</v>
      </c>
      <c r="I1084" s="7">
        <f t="shared" si="160"/>
        <v>20400</v>
      </c>
      <c r="J1084" s="7">
        <f t="shared" si="161"/>
        <v>0</v>
      </c>
      <c r="K1084" s="7">
        <f t="shared" si="162"/>
        <v>20400</v>
      </c>
      <c r="L1084" s="4">
        <v>72000</v>
      </c>
      <c r="M1084" s="7">
        <f t="shared" si="163"/>
        <v>92400</v>
      </c>
      <c r="N1084" s="2" t="s">
        <v>21</v>
      </c>
      <c r="O1084" t="s">
        <v>22</v>
      </c>
      <c r="P1084" s="2" t="s">
        <v>2366</v>
      </c>
      <c r="Q1084" s="2">
        <v>3</v>
      </c>
      <c r="R1084" s="2" t="s">
        <v>23</v>
      </c>
      <c r="S1084" s="2" t="str">
        <f t="shared" si="164"/>
        <v>Rendah</v>
      </c>
      <c r="T1084" s="2" t="str">
        <f t="shared" si="165"/>
        <v>FALSE</v>
      </c>
      <c r="U1084" s="2" t="str">
        <f t="shared" si="166"/>
        <v>FALSE</v>
      </c>
      <c r="V1084" s="2" t="b">
        <f t="shared" si="167"/>
        <v>0</v>
      </c>
      <c r="W1084" s="2" t="b">
        <f t="shared" si="168"/>
        <v>0</v>
      </c>
      <c r="X1084" s="2" t="b">
        <f t="shared" si="169"/>
        <v>0</v>
      </c>
    </row>
    <row r="1085" spans="1:24" ht="10.5" customHeight="1">
      <c r="A1085" s="2" t="s">
        <v>1464</v>
      </c>
      <c r="B1085" s="3">
        <v>45866.100439814807</v>
      </c>
      <c r="C1085" s="2" t="s">
        <v>671</v>
      </c>
      <c r="D1085" s="2" t="s">
        <v>252</v>
      </c>
      <c r="E1085" s="2" t="s">
        <v>161</v>
      </c>
      <c r="F1085" s="4">
        <v>115000</v>
      </c>
      <c r="G1085" s="5">
        <v>0.4</v>
      </c>
      <c r="H1085" s="6">
        <v>0</v>
      </c>
      <c r="I1085" s="7">
        <f t="shared" si="160"/>
        <v>46000</v>
      </c>
      <c r="J1085" s="7">
        <f t="shared" si="161"/>
        <v>0</v>
      </c>
      <c r="K1085" s="7">
        <f t="shared" si="162"/>
        <v>46000</v>
      </c>
      <c r="L1085" s="4">
        <v>18000</v>
      </c>
      <c r="M1085" s="7">
        <f t="shared" si="163"/>
        <v>64000</v>
      </c>
      <c r="N1085" s="2" t="s">
        <v>33</v>
      </c>
      <c r="O1085" t="s">
        <v>69</v>
      </c>
      <c r="P1085" s="2" t="s">
        <v>2370</v>
      </c>
      <c r="Q1085" s="2">
        <v>3</v>
      </c>
      <c r="R1085" s="2" t="s">
        <v>23</v>
      </c>
      <c r="S1085" s="2" t="str">
        <f t="shared" si="164"/>
        <v>Rendah</v>
      </c>
      <c r="T1085" s="2" t="str">
        <f t="shared" si="165"/>
        <v>FALSE</v>
      </c>
      <c r="U1085" s="2" t="str">
        <f t="shared" si="166"/>
        <v>FALSE</v>
      </c>
      <c r="V1085" s="2" t="b">
        <f t="shared" si="167"/>
        <v>0</v>
      </c>
      <c r="W1085" s="2" t="b">
        <f t="shared" si="168"/>
        <v>0</v>
      </c>
      <c r="X1085" s="2" t="b">
        <f t="shared" si="169"/>
        <v>0</v>
      </c>
    </row>
    <row r="1086" spans="1:24" ht="10.5" customHeight="1">
      <c r="A1086" s="2" t="s">
        <v>1465</v>
      </c>
      <c r="B1086" s="3">
        <v>45866.132835648154</v>
      </c>
      <c r="C1086" s="2" t="s">
        <v>1435</v>
      </c>
      <c r="D1086" s="2" t="s">
        <v>286</v>
      </c>
      <c r="E1086" s="2" t="s">
        <v>32</v>
      </c>
      <c r="F1086" s="4">
        <v>20000</v>
      </c>
      <c r="G1086" s="5">
        <v>2.2000000000000002</v>
      </c>
      <c r="H1086" s="6">
        <v>0</v>
      </c>
      <c r="I1086" s="7">
        <f t="shared" si="160"/>
        <v>44000</v>
      </c>
      <c r="J1086" s="7">
        <f t="shared" si="161"/>
        <v>0</v>
      </c>
      <c r="K1086" s="7">
        <f t="shared" si="162"/>
        <v>44000</v>
      </c>
      <c r="L1086" s="4">
        <v>79000</v>
      </c>
      <c r="M1086" s="7">
        <f t="shared" si="163"/>
        <v>123000</v>
      </c>
      <c r="N1086" s="2" t="s">
        <v>28</v>
      </c>
      <c r="O1086" t="s">
        <v>22</v>
      </c>
      <c r="P1086" s="2" t="s">
        <v>2367</v>
      </c>
      <c r="Q1086" s="2">
        <v>2</v>
      </c>
      <c r="R1086" s="2" t="s">
        <v>34</v>
      </c>
      <c r="S1086" s="2" t="str">
        <f t="shared" si="164"/>
        <v>Standar</v>
      </c>
      <c r="T1086" s="2" t="str">
        <f t="shared" si="165"/>
        <v>FALSE</v>
      </c>
      <c r="U1086" s="2" t="str">
        <f t="shared" si="166"/>
        <v>FALSE</v>
      </c>
      <c r="V1086" s="2" t="b">
        <f t="shared" si="167"/>
        <v>0</v>
      </c>
      <c r="W1086" s="2" t="b">
        <f t="shared" si="168"/>
        <v>1</v>
      </c>
      <c r="X1086" s="2" t="b">
        <f t="shared" si="169"/>
        <v>0</v>
      </c>
    </row>
    <row r="1087" spans="1:24" ht="10.5" customHeight="1">
      <c r="A1087" s="2" t="s">
        <v>1466</v>
      </c>
      <c r="B1087" s="3">
        <v>45866.154953703714</v>
      </c>
      <c r="C1087" s="2" t="s">
        <v>351</v>
      </c>
      <c r="D1087" s="2" t="s">
        <v>64</v>
      </c>
      <c r="E1087" s="2" t="s">
        <v>27</v>
      </c>
      <c r="F1087" s="4">
        <v>15000</v>
      </c>
      <c r="G1087" s="5">
        <v>0.3</v>
      </c>
      <c r="H1087" s="6">
        <v>0</v>
      </c>
      <c r="I1087" s="7">
        <f t="shared" si="160"/>
        <v>4500</v>
      </c>
      <c r="J1087" s="7">
        <f t="shared" si="161"/>
        <v>0</v>
      </c>
      <c r="K1087" s="7">
        <f t="shared" si="162"/>
        <v>4500</v>
      </c>
      <c r="L1087" s="4">
        <v>89000</v>
      </c>
      <c r="M1087" s="7">
        <f t="shared" si="163"/>
        <v>93500</v>
      </c>
      <c r="N1087" s="2" t="s">
        <v>21</v>
      </c>
      <c r="O1087" t="s">
        <v>115</v>
      </c>
      <c r="P1087" s="2" t="s">
        <v>2365</v>
      </c>
      <c r="Q1087" s="2">
        <v>1</v>
      </c>
      <c r="R1087" s="2" t="s">
        <v>34</v>
      </c>
      <c r="S1087" s="2" t="str">
        <f t="shared" si="164"/>
        <v>Rendah</v>
      </c>
      <c r="T1087" s="2" t="str">
        <f t="shared" si="165"/>
        <v>FALSE</v>
      </c>
      <c r="U1087" s="2" t="str">
        <f t="shared" si="166"/>
        <v>FALSE</v>
      </c>
      <c r="V1087" s="2" t="b">
        <f t="shared" si="167"/>
        <v>0</v>
      </c>
      <c r="W1087" s="2" t="b">
        <f t="shared" si="168"/>
        <v>0</v>
      </c>
      <c r="X1087" s="2" t="b">
        <f t="shared" si="169"/>
        <v>0</v>
      </c>
    </row>
    <row r="1088" spans="1:24" ht="10.5" customHeight="1">
      <c r="A1088" s="2" t="s">
        <v>1467</v>
      </c>
      <c r="B1088" s="3">
        <v>45866.299421296288</v>
      </c>
      <c r="C1088" s="2" t="s">
        <v>86</v>
      </c>
      <c r="D1088" s="2" t="s">
        <v>87</v>
      </c>
      <c r="E1088" s="2" t="s">
        <v>57</v>
      </c>
      <c r="F1088" s="4">
        <v>17500</v>
      </c>
      <c r="G1088" s="5">
        <v>4</v>
      </c>
      <c r="H1088" s="6">
        <v>0</v>
      </c>
      <c r="I1088" s="7">
        <f t="shared" si="160"/>
        <v>70000</v>
      </c>
      <c r="J1088" s="7">
        <f t="shared" si="161"/>
        <v>0</v>
      </c>
      <c r="K1088" s="7">
        <f t="shared" si="162"/>
        <v>70000</v>
      </c>
      <c r="L1088" s="4">
        <v>49000</v>
      </c>
      <c r="M1088" s="7">
        <f t="shared" si="163"/>
        <v>119000</v>
      </c>
      <c r="N1088" s="2" t="s">
        <v>58</v>
      </c>
      <c r="O1088" t="s">
        <v>22</v>
      </c>
      <c r="P1088" s="2" t="s">
        <v>2365</v>
      </c>
      <c r="Q1088" s="2">
        <v>1</v>
      </c>
      <c r="R1088" s="2" t="s">
        <v>23</v>
      </c>
      <c r="S1088" s="2" t="str">
        <f t="shared" si="164"/>
        <v>Standar</v>
      </c>
      <c r="T1088" s="2" t="str">
        <f t="shared" si="165"/>
        <v>FALSE</v>
      </c>
      <c r="U1088" s="2" t="str">
        <f t="shared" si="166"/>
        <v>FALSE</v>
      </c>
      <c r="V1088" s="2" t="b">
        <f t="shared" si="167"/>
        <v>0</v>
      </c>
      <c r="W1088" s="2" t="b">
        <f t="shared" si="168"/>
        <v>0</v>
      </c>
      <c r="X1088" s="2" t="b">
        <f t="shared" si="169"/>
        <v>0</v>
      </c>
    </row>
    <row r="1089" spans="1:24" ht="10.5" customHeight="1">
      <c r="A1089" s="2" t="s">
        <v>1468</v>
      </c>
      <c r="B1089" s="3">
        <v>45866.316087962958</v>
      </c>
      <c r="C1089" s="2" t="s">
        <v>149</v>
      </c>
      <c r="D1089" s="2" t="s">
        <v>150</v>
      </c>
      <c r="E1089" s="2" t="s">
        <v>32</v>
      </c>
      <c r="F1089" s="4">
        <v>20000</v>
      </c>
      <c r="G1089" s="5">
        <v>1.8</v>
      </c>
      <c r="H1089" s="6">
        <v>0</v>
      </c>
      <c r="I1089" s="7">
        <f t="shared" si="160"/>
        <v>36000</v>
      </c>
      <c r="J1089" s="7">
        <f t="shared" si="161"/>
        <v>0</v>
      </c>
      <c r="K1089" s="7">
        <f t="shared" si="162"/>
        <v>36000</v>
      </c>
      <c r="L1089" s="4">
        <v>68000</v>
      </c>
      <c r="M1089" s="7">
        <f t="shared" si="163"/>
        <v>104000</v>
      </c>
      <c r="N1089" s="2" t="s">
        <v>58</v>
      </c>
      <c r="O1089" t="s">
        <v>22</v>
      </c>
      <c r="P1089" s="2" t="s">
        <v>2366</v>
      </c>
      <c r="Q1089" s="2">
        <v>3</v>
      </c>
      <c r="R1089" s="2" t="s">
        <v>23</v>
      </c>
      <c r="S1089" s="2" t="str">
        <f t="shared" si="164"/>
        <v>Standar</v>
      </c>
      <c r="T1089" s="2" t="str">
        <f t="shared" si="165"/>
        <v>FALSE</v>
      </c>
      <c r="U1089" s="2" t="str">
        <f t="shared" si="166"/>
        <v>FALSE</v>
      </c>
      <c r="V1089" s="2" t="b">
        <f t="shared" si="167"/>
        <v>0</v>
      </c>
      <c r="W1089" s="2" t="b">
        <f t="shared" si="168"/>
        <v>0</v>
      </c>
      <c r="X1089" s="2" t="b">
        <f t="shared" si="169"/>
        <v>0</v>
      </c>
    </row>
    <row r="1090" spans="1:24" ht="10.5" customHeight="1">
      <c r="A1090" s="2" t="s">
        <v>1469</v>
      </c>
      <c r="B1090" s="3">
        <v>45866.318113425928</v>
      </c>
      <c r="C1090" s="2" t="s">
        <v>731</v>
      </c>
      <c r="D1090" s="2" t="s">
        <v>179</v>
      </c>
      <c r="E1090" s="2" t="s">
        <v>41</v>
      </c>
      <c r="F1090" s="4">
        <v>40000</v>
      </c>
      <c r="G1090" s="5">
        <v>0.7</v>
      </c>
      <c r="H1090" s="6">
        <v>0</v>
      </c>
      <c r="I1090" s="7">
        <f t="shared" si="160"/>
        <v>28000</v>
      </c>
      <c r="J1090" s="7">
        <f t="shared" si="161"/>
        <v>0</v>
      </c>
      <c r="K1090" s="7">
        <f t="shared" si="162"/>
        <v>28000</v>
      </c>
      <c r="L1090" s="4">
        <v>57000</v>
      </c>
      <c r="M1090" s="7">
        <f t="shared" si="163"/>
        <v>85000</v>
      </c>
      <c r="N1090" s="2" t="s">
        <v>21</v>
      </c>
      <c r="O1090" t="s">
        <v>22</v>
      </c>
      <c r="P1090" s="2" t="s">
        <v>2370</v>
      </c>
      <c r="Q1090" s="2">
        <v>3</v>
      </c>
      <c r="R1090" s="2" t="s">
        <v>23</v>
      </c>
      <c r="S1090" s="2" t="str">
        <f t="shared" si="164"/>
        <v>Rendah</v>
      </c>
      <c r="T1090" s="2" t="str">
        <f t="shared" si="165"/>
        <v>FALSE</v>
      </c>
      <c r="U1090" s="2" t="str">
        <f t="shared" si="166"/>
        <v>FALSE</v>
      </c>
      <c r="V1090" s="2" t="b">
        <f t="shared" si="167"/>
        <v>0</v>
      </c>
      <c r="W1090" s="2" t="b">
        <f t="shared" si="168"/>
        <v>0</v>
      </c>
      <c r="X1090" s="2" t="b">
        <f t="shared" si="169"/>
        <v>0</v>
      </c>
    </row>
    <row r="1091" spans="1:24" ht="10.5" customHeight="1">
      <c r="A1091" s="2" t="s">
        <v>1470</v>
      </c>
      <c r="B1091" s="3">
        <v>45866.318159722221</v>
      </c>
      <c r="C1091" s="2" t="s">
        <v>439</v>
      </c>
      <c r="D1091" s="2" t="s">
        <v>140</v>
      </c>
      <c r="E1091" s="2" t="s">
        <v>32</v>
      </c>
      <c r="F1091" s="4">
        <v>20000</v>
      </c>
      <c r="G1091" s="5">
        <v>2.9</v>
      </c>
      <c r="H1091" s="6">
        <v>0</v>
      </c>
      <c r="I1091" s="7">
        <f t="shared" si="160"/>
        <v>58000</v>
      </c>
      <c r="J1091" s="7">
        <f t="shared" si="161"/>
        <v>0</v>
      </c>
      <c r="K1091" s="7">
        <f t="shared" si="162"/>
        <v>58000</v>
      </c>
      <c r="L1091" s="4">
        <v>55000</v>
      </c>
      <c r="M1091" s="7">
        <f t="shared" si="163"/>
        <v>113000</v>
      </c>
      <c r="N1091" s="2" t="s">
        <v>21</v>
      </c>
      <c r="O1091" t="s">
        <v>22</v>
      </c>
      <c r="P1091" s="2" t="s">
        <v>2370</v>
      </c>
      <c r="Q1091" s="2">
        <v>2</v>
      </c>
      <c r="R1091" s="2" t="s">
        <v>23</v>
      </c>
      <c r="S1091" s="2" t="str">
        <f t="shared" si="164"/>
        <v>Standar</v>
      </c>
      <c r="T1091" s="2" t="str">
        <f t="shared" si="165"/>
        <v>FALSE</v>
      </c>
      <c r="U1091" s="2" t="str">
        <f t="shared" si="166"/>
        <v>FALSE</v>
      </c>
      <c r="V1091" s="2" t="b">
        <f t="shared" si="167"/>
        <v>0</v>
      </c>
      <c r="W1091" s="2" t="b">
        <f t="shared" si="168"/>
        <v>0</v>
      </c>
      <c r="X1091" s="2" t="b">
        <f t="shared" si="169"/>
        <v>0</v>
      </c>
    </row>
    <row r="1092" spans="1:24" ht="10.5" customHeight="1">
      <c r="A1092" s="2" t="s">
        <v>1471</v>
      </c>
      <c r="B1092" s="3">
        <v>45866.361956018518</v>
      </c>
      <c r="C1092" s="2" t="s">
        <v>261</v>
      </c>
      <c r="D1092" s="2" t="s">
        <v>44</v>
      </c>
      <c r="E1092" s="2" t="s">
        <v>161</v>
      </c>
      <c r="F1092" s="4">
        <v>115000</v>
      </c>
      <c r="G1092" s="5">
        <v>1</v>
      </c>
      <c r="H1092" s="6">
        <v>0</v>
      </c>
      <c r="I1092" s="7">
        <f t="shared" ref="I1092:I1155" si="170">F1092*G1092</f>
        <v>115000</v>
      </c>
      <c r="J1092" s="7">
        <f t="shared" ref="J1092:J1155" si="171">I1092*(H1092/100)</f>
        <v>0</v>
      </c>
      <c r="K1092" s="7">
        <f t="shared" ref="K1092:K1155" si="172">I1092-J1092</f>
        <v>115000</v>
      </c>
      <c r="L1092" s="4">
        <v>43000</v>
      </c>
      <c r="M1092" s="7">
        <f t="shared" ref="M1092:M1155" si="173">K1092+L1092</f>
        <v>158000</v>
      </c>
      <c r="N1092" s="2" t="s">
        <v>21</v>
      </c>
      <c r="O1092" t="s">
        <v>69</v>
      </c>
      <c r="P1092" s="2" t="s">
        <v>2365</v>
      </c>
      <c r="Q1092" s="2">
        <v>2</v>
      </c>
      <c r="R1092" s="2" t="s">
        <v>23</v>
      </c>
      <c r="S1092" s="2" t="str">
        <f t="shared" ref="S1092:S1155" si="174">IF(M1092&lt;=50000,"Sangat Rendah",IF(M1092&lt;=100000,"Rendah",IF(M1092&lt;=150000,"Standar",IF(M1092&lt;=200000,"Tinggi","Sangat Tinggi"))))</f>
        <v>Tinggi</v>
      </c>
      <c r="T1092" s="2" t="str">
        <f t="shared" ref="T1092:T1155" si="175">IF(AND(S1092="Rendah",D1092="Yogyakarta"),"TRUE","FALSE")</f>
        <v>FALSE</v>
      </c>
      <c r="U1092" s="2" t="str">
        <f t="shared" ref="U1092:U1155" si="176">IF(OR(S1092="Tinggi",E1092="Bayam"),"TRUE","FALSE")</f>
        <v>TRUE</v>
      </c>
      <c r="V1092" s="2" t="b">
        <f t="shared" ref="V1092:V1155" si="177">IF(AND(S1092="Standar",N1092="Transef Bank"),TRUE,FALSE)</f>
        <v>0</v>
      </c>
      <c r="W1092" s="2" t="b">
        <f t="shared" ref="W1092:W1155" si="178">IF(OR(S1092="Sangat Tinggi",P1092="FoodMart"),TRUE,FALSE)</f>
        <v>0</v>
      </c>
      <c r="X1092" s="2" t="b">
        <f t="shared" ref="X1092:X1155" si="179">IF(AND(S1092="Sangat Rendah",R1092="Perempuan"),TRUE,FALSE)</f>
        <v>0</v>
      </c>
    </row>
    <row r="1093" spans="1:24" ht="10.5" customHeight="1">
      <c r="A1093" s="2" t="s">
        <v>1472</v>
      </c>
      <c r="B1093" s="3">
        <v>45866.363217592603</v>
      </c>
      <c r="C1093" s="2" t="s">
        <v>794</v>
      </c>
      <c r="D1093" s="2" t="s">
        <v>44</v>
      </c>
      <c r="E1093" s="2" t="s">
        <v>53</v>
      </c>
      <c r="F1093" s="4">
        <v>14000</v>
      </c>
      <c r="G1093" s="5">
        <v>0.4</v>
      </c>
      <c r="H1093" s="6">
        <v>0</v>
      </c>
      <c r="I1093" s="7">
        <f t="shared" si="170"/>
        <v>5600</v>
      </c>
      <c r="J1093" s="7">
        <f t="shared" si="171"/>
        <v>0</v>
      </c>
      <c r="K1093" s="7">
        <f t="shared" si="172"/>
        <v>5600</v>
      </c>
      <c r="L1093" s="4">
        <v>43000</v>
      </c>
      <c r="M1093" s="7">
        <f t="shared" si="173"/>
        <v>48600</v>
      </c>
      <c r="N1093" s="2" t="s">
        <v>21</v>
      </c>
      <c r="O1093" t="s">
        <v>22</v>
      </c>
      <c r="P1093" s="2" t="s">
        <v>2367</v>
      </c>
      <c r="Q1093" s="2">
        <v>3</v>
      </c>
      <c r="R1093" s="2" t="s">
        <v>23</v>
      </c>
      <c r="S1093" s="2" t="str">
        <f t="shared" si="174"/>
        <v>Sangat Rendah</v>
      </c>
      <c r="T1093" s="2" t="str">
        <f t="shared" si="175"/>
        <v>FALSE</v>
      </c>
      <c r="U1093" s="2" t="str">
        <f t="shared" si="176"/>
        <v>FALSE</v>
      </c>
      <c r="V1093" s="2" t="b">
        <f t="shared" si="177"/>
        <v>0</v>
      </c>
      <c r="W1093" s="2" t="b">
        <f t="shared" si="178"/>
        <v>1</v>
      </c>
      <c r="X1093" s="2" t="b">
        <f t="shared" si="179"/>
        <v>1</v>
      </c>
    </row>
    <row r="1094" spans="1:24" ht="10.5" customHeight="1">
      <c r="A1094" s="2" t="s">
        <v>1473</v>
      </c>
      <c r="B1094" s="3">
        <v>45866.391331018523</v>
      </c>
      <c r="C1094" s="2" t="s">
        <v>205</v>
      </c>
      <c r="D1094" s="2" t="s">
        <v>123</v>
      </c>
      <c r="E1094" s="2" t="s">
        <v>27</v>
      </c>
      <c r="F1094" s="4">
        <v>15000</v>
      </c>
      <c r="G1094" s="5">
        <v>0.9</v>
      </c>
      <c r="H1094" s="6">
        <v>0</v>
      </c>
      <c r="I1094" s="7">
        <f t="shared" si="170"/>
        <v>13500</v>
      </c>
      <c r="J1094" s="7">
        <f t="shared" si="171"/>
        <v>0</v>
      </c>
      <c r="K1094" s="7">
        <f t="shared" si="172"/>
        <v>13500</v>
      </c>
      <c r="L1094" s="4">
        <v>59000</v>
      </c>
      <c r="M1094" s="7">
        <f t="shared" si="173"/>
        <v>72500</v>
      </c>
      <c r="N1094" s="2" t="s">
        <v>21</v>
      </c>
      <c r="O1094" t="s">
        <v>69</v>
      </c>
      <c r="P1094" s="2" t="s">
        <v>2368</v>
      </c>
      <c r="Q1094" s="2">
        <v>5</v>
      </c>
      <c r="R1094" s="2" t="s">
        <v>23</v>
      </c>
      <c r="S1094" s="2" t="str">
        <f t="shared" si="174"/>
        <v>Rendah</v>
      </c>
      <c r="T1094" s="2" t="str">
        <f t="shared" si="175"/>
        <v>FALSE</v>
      </c>
      <c r="U1094" s="2" t="str">
        <f t="shared" si="176"/>
        <v>FALSE</v>
      </c>
      <c r="V1094" s="2" t="b">
        <f t="shared" si="177"/>
        <v>0</v>
      </c>
      <c r="W1094" s="2" t="b">
        <f t="shared" si="178"/>
        <v>0</v>
      </c>
      <c r="X1094" s="2" t="b">
        <f t="shared" si="179"/>
        <v>0</v>
      </c>
    </row>
    <row r="1095" spans="1:24" ht="10.5" customHeight="1">
      <c r="A1095" s="2" t="s">
        <v>1474</v>
      </c>
      <c r="B1095" s="3">
        <v>45866.441412037027</v>
      </c>
      <c r="C1095" s="2" t="s">
        <v>515</v>
      </c>
      <c r="D1095" s="2" t="s">
        <v>87</v>
      </c>
      <c r="E1095" s="2" t="s">
        <v>170</v>
      </c>
      <c r="F1095" s="4">
        <v>12000</v>
      </c>
      <c r="G1095" s="5">
        <v>0.4</v>
      </c>
      <c r="H1095" s="6">
        <v>0</v>
      </c>
      <c r="I1095" s="7">
        <f t="shared" si="170"/>
        <v>4800</v>
      </c>
      <c r="J1095" s="7">
        <f t="shared" si="171"/>
        <v>0</v>
      </c>
      <c r="K1095" s="7">
        <f t="shared" si="172"/>
        <v>4800</v>
      </c>
      <c r="L1095" s="4">
        <v>49000</v>
      </c>
      <c r="M1095" s="7">
        <f t="shared" si="173"/>
        <v>53800</v>
      </c>
      <c r="N1095" s="2" t="s">
        <v>21</v>
      </c>
      <c r="O1095" t="s">
        <v>22</v>
      </c>
      <c r="P1095" s="2" t="s">
        <v>2367</v>
      </c>
      <c r="Q1095" s="2">
        <v>3</v>
      </c>
      <c r="R1095" s="2" t="s">
        <v>23</v>
      </c>
      <c r="S1095" s="2" t="str">
        <f t="shared" si="174"/>
        <v>Rendah</v>
      </c>
      <c r="T1095" s="2" t="str">
        <f t="shared" si="175"/>
        <v>FALSE</v>
      </c>
      <c r="U1095" s="2" t="str">
        <f t="shared" si="176"/>
        <v>FALSE</v>
      </c>
      <c r="V1095" s="2" t="b">
        <f t="shared" si="177"/>
        <v>0</v>
      </c>
      <c r="W1095" s="2" t="b">
        <f t="shared" si="178"/>
        <v>1</v>
      </c>
      <c r="X1095" s="2" t="b">
        <f t="shared" si="179"/>
        <v>0</v>
      </c>
    </row>
    <row r="1096" spans="1:24" ht="10.5" customHeight="1">
      <c r="A1096" s="2" t="s">
        <v>1475</v>
      </c>
      <c r="B1096" s="3">
        <v>45866.465798611112</v>
      </c>
      <c r="C1096" s="2" t="s">
        <v>406</v>
      </c>
      <c r="D1096" s="2" t="s">
        <v>123</v>
      </c>
      <c r="E1096" s="2" t="s">
        <v>99</v>
      </c>
      <c r="F1096" s="4">
        <v>10000</v>
      </c>
      <c r="G1096" s="5">
        <v>0.9</v>
      </c>
      <c r="H1096" s="6">
        <v>0</v>
      </c>
      <c r="I1096" s="7">
        <f t="shared" si="170"/>
        <v>9000</v>
      </c>
      <c r="J1096" s="7">
        <f t="shared" si="171"/>
        <v>0</v>
      </c>
      <c r="K1096" s="7">
        <f t="shared" si="172"/>
        <v>9000</v>
      </c>
      <c r="L1096" s="4">
        <v>59000</v>
      </c>
      <c r="M1096" s="7">
        <f t="shared" si="173"/>
        <v>68000</v>
      </c>
      <c r="N1096" s="2" t="s">
        <v>28</v>
      </c>
      <c r="O1096" t="s">
        <v>22</v>
      </c>
      <c r="P1096" s="2" t="s">
        <v>2368</v>
      </c>
      <c r="Q1096" s="2">
        <v>3</v>
      </c>
      <c r="R1096" s="2" t="s">
        <v>23</v>
      </c>
      <c r="S1096" s="2" t="str">
        <f t="shared" si="174"/>
        <v>Rendah</v>
      </c>
      <c r="T1096" s="2" t="str">
        <f t="shared" si="175"/>
        <v>FALSE</v>
      </c>
      <c r="U1096" s="2" t="str">
        <f t="shared" si="176"/>
        <v>FALSE</v>
      </c>
      <c r="V1096" s="2" t="b">
        <f t="shared" si="177"/>
        <v>0</v>
      </c>
      <c r="W1096" s="2" t="b">
        <f t="shared" si="178"/>
        <v>0</v>
      </c>
      <c r="X1096" s="2" t="b">
        <f t="shared" si="179"/>
        <v>0</v>
      </c>
    </row>
    <row r="1097" spans="1:24" ht="10.5" customHeight="1">
      <c r="A1097" s="2" t="s">
        <v>1476</v>
      </c>
      <c r="B1097" s="3">
        <v>45866.572187500002</v>
      </c>
      <c r="C1097" s="2" t="s">
        <v>198</v>
      </c>
      <c r="D1097" s="2" t="s">
        <v>87</v>
      </c>
      <c r="E1097" s="2" t="s">
        <v>161</v>
      </c>
      <c r="F1097" s="4">
        <v>115000</v>
      </c>
      <c r="G1097" s="5">
        <v>0.6</v>
      </c>
      <c r="H1097" s="6">
        <v>0</v>
      </c>
      <c r="I1097" s="7">
        <f t="shared" si="170"/>
        <v>69000</v>
      </c>
      <c r="J1097" s="7">
        <f t="shared" si="171"/>
        <v>0</v>
      </c>
      <c r="K1097" s="7">
        <f t="shared" si="172"/>
        <v>69000</v>
      </c>
      <c r="L1097" s="4">
        <v>49000</v>
      </c>
      <c r="M1097" s="7">
        <f t="shared" si="173"/>
        <v>118000</v>
      </c>
      <c r="N1097" s="2" t="s">
        <v>21</v>
      </c>
      <c r="O1097" t="s">
        <v>115</v>
      </c>
      <c r="P1097" s="2" t="s">
        <v>2367</v>
      </c>
      <c r="Q1097" s="2">
        <v>4</v>
      </c>
      <c r="R1097" s="2" t="s">
        <v>23</v>
      </c>
      <c r="S1097" s="2" t="str">
        <f t="shared" si="174"/>
        <v>Standar</v>
      </c>
      <c r="T1097" s="2" t="str">
        <f t="shared" si="175"/>
        <v>FALSE</v>
      </c>
      <c r="U1097" s="2" t="str">
        <f t="shared" si="176"/>
        <v>FALSE</v>
      </c>
      <c r="V1097" s="2" t="b">
        <f t="shared" si="177"/>
        <v>0</v>
      </c>
      <c r="W1097" s="2" t="b">
        <f t="shared" si="178"/>
        <v>1</v>
      </c>
      <c r="X1097" s="2" t="b">
        <f t="shared" si="179"/>
        <v>0</v>
      </c>
    </row>
    <row r="1098" spans="1:24" ht="10.5" customHeight="1">
      <c r="A1098" s="2" t="s">
        <v>1476</v>
      </c>
      <c r="B1098" s="3">
        <v>45866.572187500002</v>
      </c>
      <c r="C1098" s="2" t="s">
        <v>198</v>
      </c>
      <c r="D1098" s="2" t="s">
        <v>87</v>
      </c>
      <c r="E1098" s="2" t="s">
        <v>143</v>
      </c>
      <c r="F1098" s="4">
        <v>10000</v>
      </c>
      <c r="G1098" s="5">
        <v>0.6</v>
      </c>
      <c r="H1098" s="6">
        <v>0</v>
      </c>
      <c r="I1098" s="7">
        <f t="shared" si="170"/>
        <v>6000</v>
      </c>
      <c r="J1098" s="7">
        <f t="shared" si="171"/>
        <v>0</v>
      </c>
      <c r="K1098" s="7">
        <f t="shared" si="172"/>
        <v>6000</v>
      </c>
      <c r="L1098" s="4">
        <v>0</v>
      </c>
      <c r="M1098" s="7">
        <f t="shared" si="173"/>
        <v>6000</v>
      </c>
      <c r="N1098" s="2" t="s">
        <v>21</v>
      </c>
      <c r="O1098" t="s">
        <v>115</v>
      </c>
      <c r="P1098" s="2" t="s">
        <v>2367</v>
      </c>
      <c r="Q1098" s="2">
        <v>4</v>
      </c>
      <c r="R1098" s="2" t="s">
        <v>23</v>
      </c>
      <c r="S1098" s="2" t="str">
        <f t="shared" si="174"/>
        <v>Sangat Rendah</v>
      </c>
      <c r="T1098" s="2" t="str">
        <f t="shared" si="175"/>
        <v>FALSE</v>
      </c>
      <c r="U1098" s="2" t="str">
        <f t="shared" si="176"/>
        <v>TRUE</v>
      </c>
      <c r="V1098" s="2" t="b">
        <f t="shared" si="177"/>
        <v>0</v>
      </c>
      <c r="W1098" s="2" t="b">
        <f t="shared" si="178"/>
        <v>1</v>
      </c>
      <c r="X1098" s="2" t="b">
        <f t="shared" si="179"/>
        <v>1</v>
      </c>
    </row>
    <row r="1099" spans="1:24" ht="10.5" customHeight="1">
      <c r="A1099" s="2" t="s">
        <v>1477</v>
      </c>
      <c r="B1099" s="3">
        <v>45866.820844907408</v>
      </c>
      <c r="C1099" s="2" t="s">
        <v>120</v>
      </c>
      <c r="D1099" s="2" t="s">
        <v>94</v>
      </c>
      <c r="E1099" s="2" t="s">
        <v>27</v>
      </c>
      <c r="F1099" s="4">
        <v>15000</v>
      </c>
      <c r="G1099" s="5">
        <v>0.6</v>
      </c>
      <c r="H1099" s="6">
        <v>0</v>
      </c>
      <c r="I1099" s="7">
        <f t="shared" si="170"/>
        <v>9000</v>
      </c>
      <c r="J1099" s="7">
        <f t="shared" si="171"/>
        <v>0</v>
      </c>
      <c r="K1099" s="7">
        <f t="shared" si="172"/>
        <v>9000</v>
      </c>
      <c r="L1099" s="4">
        <v>85000</v>
      </c>
      <c r="M1099" s="7">
        <f t="shared" si="173"/>
        <v>94000</v>
      </c>
      <c r="N1099" s="2" t="s">
        <v>28</v>
      </c>
      <c r="O1099" t="s">
        <v>22</v>
      </c>
      <c r="P1099" s="2" t="s">
        <v>2370</v>
      </c>
      <c r="Q1099" s="2">
        <v>4</v>
      </c>
      <c r="R1099" s="2" t="s">
        <v>34</v>
      </c>
      <c r="S1099" s="2" t="str">
        <f t="shared" si="174"/>
        <v>Rendah</v>
      </c>
      <c r="T1099" s="2" t="str">
        <f t="shared" si="175"/>
        <v>FALSE</v>
      </c>
      <c r="U1099" s="2" t="str">
        <f t="shared" si="176"/>
        <v>FALSE</v>
      </c>
      <c r="V1099" s="2" t="b">
        <f t="shared" si="177"/>
        <v>0</v>
      </c>
      <c r="W1099" s="2" t="b">
        <f t="shared" si="178"/>
        <v>0</v>
      </c>
      <c r="X1099" s="2" t="b">
        <f t="shared" si="179"/>
        <v>0</v>
      </c>
    </row>
    <row r="1100" spans="1:24" ht="10.5" customHeight="1">
      <c r="A1100" s="2" t="s">
        <v>1478</v>
      </c>
      <c r="B1100" s="3">
        <v>45866.821377314824</v>
      </c>
      <c r="C1100" s="2" t="s">
        <v>1118</v>
      </c>
      <c r="D1100" s="2" t="s">
        <v>105</v>
      </c>
      <c r="E1100" s="2" t="s">
        <v>57</v>
      </c>
      <c r="F1100" s="4">
        <v>17500</v>
      </c>
      <c r="G1100" s="5">
        <v>3</v>
      </c>
      <c r="H1100" s="6">
        <v>0</v>
      </c>
      <c r="I1100" s="7">
        <f t="shared" si="170"/>
        <v>52500</v>
      </c>
      <c r="J1100" s="7">
        <f t="shared" si="171"/>
        <v>0</v>
      </c>
      <c r="K1100" s="7">
        <f t="shared" si="172"/>
        <v>52500</v>
      </c>
      <c r="L1100" s="4">
        <v>18000</v>
      </c>
      <c r="M1100" s="7">
        <f t="shared" si="173"/>
        <v>70500</v>
      </c>
      <c r="N1100" s="2" t="s">
        <v>58</v>
      </c>
      <c r="O1100" t="s">
        <v>22</v>
      </c>
      <c r="P1100" s="2" t="s">
        <v>2368</v>
      </c>
      <c r="Q1100" s="2">
        <v>3</v>
      </c>
      <c r="R1100" s="2" t="s">
        <v>23</v>
      </c>
      <c r="S1100" s="2" t="str">
        <f t="shared" si="174"/>
        <v>Rendah</v>
      </c>
      <c r="T1100" s="2" t="str">
        <f t="shared" si="175"/>
        <v>FALSE</v>
      </c>
      <c r="U1100" s="2" t="str">
        <f t="shared" si="176"/>
        <v>FALSE</v>
      </c>
      <c r="V1100" s="2" t="b">
        <f t="shared" si="177"/>
        <v>0</v>
      </c>
      <c r="W1100" s="2" t="b">
        <f t="shared" si="178"/>
        <v>0</v>
      </c>
      <c r="X1100" s="2" t="b">
        <f t="shared" si="179"/>
        <v>0</v>
      </c>
    </row>
    <row r="1101" spans="1:24" ht="10.5" customHeight="1">
      <c r="A1101" s="2" t="s">
        <v>1479</v>
      </c>
      <c r="B1101" s="3">
        <v>45866.871770833342</v>
      </c>
      <c r="C1101" s="2" t="s">
        <v>574</v>
      </c>
      <c r="D1101" s="2" t="s">
        <v>84</v>
      </c>
      <c r="E1101" s="2" t="s">
        <v>49</v>
      </c>
      <c r="F1101" s="4">
        <v>26000</v>
      </c>
      <c r="G1101" s="5">
        <v>2</v>
      </c>
      <c r="H1101" s="6">
        <v>0</v>
      </c>
      <c r="I1101" s="7">
        <f t="shared" si="170"/>
        <v>52000</v>
      </c>
      <c r="J1101" s="7">
        <f t="shared" si="171"/>
        <v>0</v>
      </c>
      <c r="K1101" s="7">
        <f t="shared" si="172"/>
        <v>52000</v>
      </c>
      <c r="L1101" s="4">
        <v>30000</v>
      </c>
      <c r="M1101" s="7">
        <f t="shared" si="173"/>
        <v>82000</v>
      </c>
      <c r="N1101" s="2" t="s">
        <v>58</v>
      </c>
      <c r="O1101" t="s">
        <v>69</v>
      </c>
      <c r="P1101" s="2" t="s">
        <v>2370</v>
      </c>
      <c r="Q1101" s="2">
        <v>5</v>
      </c>
      <c r="R1101" s="2" t="s">
        <v>23</v>
      </c>
      <c r="S1101" s="2" t="str">
        <f t="shared" si="174"/>
        <v>Rendah</v>
      </c>
      <c r="T1101" s="2" t="str">
        <f t="shared" si="175"/>
        <v>FALSE</v>
      </c>
      <c r="U1101" s="2" t="str">
        <f t="shared" si="176"/>
        <v>FALSE</v>
      </c>
      <c r="V1101" s="2" t="b">
        <f t="shared" si="177"/>
        <v>0</v>
      </c>
      <c r="W1101" s="2" t="b">
        <f t="shared" si="178"/>
        <v>0</v>
      </c>
      <c r="X1101" s="2" t="b">
        <f t="shared" si="179"/>
        <v>0</v>
      </c>
    </row>
    <row r="1102" spans="1:24" ht="10.5" customHeight="1">
      <c r="A1102" s="2" t="s">
        <v>1480</v>
      </c>
      <c r="B1102" s="3">
        <v>45866.898032407407</v>
      </c>
      <c r="C1102" s="2" t="s">
        <v>841</v>
      </c>
      <c r="D1102" s="2" t="s">
        <v>61</v>
      </c>
      <c r="E1102" s="2" t="s">
        <v>99</v>
      </c>
      <c r="F1102" s="4">
        <v>10000</v>
      </c>
      <c r="G1102" s="5">
        <v>0.9</v>
      </c>
      <c r="H1102" s="6">
        <v>0</v>
      </c>
      <c r="I1102" s="7">
        <f t="shared" si="170"/>
        <v>9000</v>
      </c>
      <c r="J1102" s="7">
        <f t="shared" si="171"/>
        <v>0</v>
      </c>
      <c r="K1102" s="7">
        <f t="shared" si="172"/>
        <v>9000</v>
      </c>
      <c r="L1102" s="4">
        <v>59000</v>
      </c>
      <c r="M1102" s="7">
        <f t="shared" si="173"/>
        <v>68000</v>
      </c>
      <c r="N1102" s="2" t="s">
        <v>21</v>
      </c>
      <c r="O1102" t="s">
        <v>22</v>
      </c>
      <c r="P1102" s="2" t="s">
        <v>2368</v>
      </c>
      <c r="Q1102" s="2">
        <v>1</v>
      </c>
      <c r="R1102" s="2" t="s">
        <v>34</v>
      </c>
      <c r="S1102" s="2" t="str">
        <f t="shared" si="174"/>
        <v>Rendah</v>
      </c>
      <c r="T1102" s="2" t="str">
        <f t="shared" si="175"/>
        <v>FALSE</v>
      </c>
      <c r="U1102" s="2" t="str">
        <f t="shared" si="176"/>
        <v>FALSE</v>
      </c>
      <c r="V1102" s="2" t="b">
        <f t="shared" si="177"/>
        <v>0</v>
      </c>
      <c r="W1102" s="2" t="b">
        <f t="shared" si="178"/>
        <v>0</v>
      </c>
      <c r="X1102" s="2" t="b">
        <f t="shared" si="179"/>
        <v>0</v>
      </c>
    </row>
    <row r="1103" spans="1:24" ht="10.5" customHeight="1">
      <c r="A1103" s="2" t="s">
        <v>1481</v>
      </c>
      <c r="B1103" s="3">
        <v>45867.186828703707</v>
      </c>
      <c r="C1103" s="2" t="s">
        <v>248</v>
      </c>
      <c r="D1103" s="2" t="s">
        <v>40</v>
      </c>
      <c r="E1103" s="2" t="s">
        <v>65</v>
      </c>
      <c r="F1103" s="4">
        <v>46000</v>
      </c>
      <c r="G1103" s="5">
        <v>1.6</v>
      </c>
      <c r="H1103" s="6">
        <v>0</v>
      </c>
      <c r="I1103" s="7">
        <f t="shared" si="170"/>
        <v>73600</v>
      </c>
      <c r="J1103" s="7">
        <f t="shared" si="171"/>
        <v>0</v>
      </c>
      <c r="K1103" s="7">
        <f t="shared" si="172"/>
        <v>73600</v>
      </c>
      <c r="L1103" s="4">
        <v>93000</v>
      </c>
      <c r="M1103" s="7">
        <f t="shared" si="173"/>
        <v>166600</v>
      </c>
      <c r="N1103" s="2" t="s">
        <v>33</v>
      </c>
      <c r="O1103" t="s">
        <v>22</v>
      </c>
      <c r="P1103" s="2" t="s">
        <v>2365</v>
      </c>
      <c r="Q1103" s="2">
        <v>3</v>
      </c>
      <c r="R1103" s="2" t="s">
        <v>23</v>
      </c>
      <c r="S1103" s="2" t="str">
        <f t="shared" si="174"/>
        <v>Tinggi</v>
      </c>
      <c r="T1103" s="2" t="str">
        <f t="shared" si="175"/>
        <v>FALSE</v>
      </c>
      <c r="U1103" s="2" t="str">
        <f t="shared" si="176"/>
        <v>TRUE</v>
      </c>
      <c r="V1103" s="2" t="b">
        <f t="shared" si="177"/>
        <v>0</v>
      </c>
      <c r="W1103" s="2" t="b">
        <f t="shared" si="178"/>
        <v>0</v>
      </c>
      <c r="X1103" s="2" t="b">
        <f t="shared" si="179"/>
        <v>0</v>
      </c>
    </row>
    <row r="1104" spans="1:24" ht="10.5" customHeight="1">
      <c r="A1104" s="2" t="s">
        <v>1482</v>
      </c>
      <c r="B1104" s="3">
        <v>45867.396296296298</v>
      </c>
      <c r="C1104" s="2" t="s">
        <v>572</v>
      </c>
      <c r="D1104" s="2" t="s">
        <v>425</v>
      </c>
      <c r="E1104" s="2" t="s">
        <v>102</v>
      </c>
      <c r="F1104" s="4">
        <v>55000</v>
      </c>
      <c r="G1104" s="5">
        <v>0.9</v>
      </c>
      <c r="H1104" s="6">
        <v>0</v>
      </c>
      <c r="I1104" s="7">
        <f t="shared" si="170"/>
        <v>49500</v>
      </c>
      <c r="J1104" s="7">
        <f t="shared" si="171"/>
        <v>0</v>
      </c>
      <c r="K1104" s="7">
        <f t="shared" si="172"/>
        <v>49500</v>
      </c>
      <c r="L1104" s="4">
        <v>67000</v>
      </c>
      <c r="M1104" s="7">
        <f t="shared" si="173"/>
        <v>116500</v>
      </c>
      <c r="N1104" s="2" t="s">
        <v>33</v>
      </c>
      <c r="O1104" t="s">
        <v>22</v>
      </c>
      <c r="P1104" s="2" t="s">
        <v>2365</v>
      </c>
      <c r="Q1104" s="2">
        <v>5</v>
      </c>
      <c r="R1104" s="2" t="s">
        <v>23</v>
      </c>
      <c r="S1104" s="2" t="str">
        <f t="shared" si="174"/>
        <v>Standar</v>
      </c>
      <c r="T1104" s="2" t="str">
        <f t="shared" si="175"/>
        <v>FALSE</v>
      </c>
      <c r="U1104" s="2" t="str">
        <f t="shared" si="176"/>
        <v>FALSE</v>
      </c>
      <c r="V1104" s="2" t="b">
        <f t="shared" si="177"/>
        <v>0</v>
      </c>
      <c r="W1104" s="2" t="b">
        <f t="shared" si="178"/>
        <v>0</v>
      </c>
      <c r="X1104" s="2" t="b">
        <f t="shared" si="179"/>
        <v>0</v>
      </c>
    </row>
    <row r="1105" spans="1:24" ht="10.5" customHeight="1">
      <c r="A1105" s="2" t="s">
        <v>1482</v>
      </c>
      <c r="B1105" s="3">
        <v>45867.396296296298</v>
      </c>
      <c r="C1105" s="2" t="s">
        <v>572</v>
      </c>
      <c r="D1105" s="2" t="s">
        <v>425</v>
      </c>
      <c r="E1105" s="2" t="s">
        <v>80</v>
      </c>
      <c r="F1105" s="4">
        <v>15000</v>
      </c>
      <c r="G1105" s="5">
        <v>1.9</v>
      </c>
      <c r="H1105" s="6">
        <v>0</v>
      </c>
      <c r="I1105" s="7">
        <f t="shared" si="170"/>
        <v>28500</v>
      </c>
      <c r="J1105" s="7">
        <f t="shared" si="171"/>
        <v>0</v>
      </c>
      <c r="K1105" s="7">
        <f t="shared" si="172"/>
        <v>28500</v>
      </c>
      <c r="L1105" s="4">
        <v>0</v>
      </c>
      <c r="M1105" s="7">
        <f t="shared" si="173"/>
        <v>28500</v>
      </c>
      <c r="N1105" s="2" t="s">
        <v>33</v>
      </c>
      <c r="O1105" t="s">
        <v>22</v>
      </c>
      <c r="P1105" s="2" t="s">
        <v>2365</v>
      </c>
      <c r="Q1105" s="2">
        <v>5</v>
      </c>
      <c r="R1105" s="2" t="s">
        <v>23</v>
      </c>
      <c r="S1105" s="2" t="str">
        <f t="shared" si="174"/>
        <v>Sangat Rendah</v>
      </c>
      <c r="T1105" s="2" t="str">
        <f t="shared" si="175"/>
        <v>FALSE</v>
      </c>
      <c r="U1105" s="2" t="str">
        <f t="shared" si="176"/>
        <v>FALSE</v>
      </c>
      <c r="V1105" s="2" t="b">
        <f t="shared" si="177"/>
        <v>0</v>
      </c>
      <c r="W1105" s="2" t="b">
        <f t="shared" si="178"/>
        <v>0</v>
      </c>
      <c r="X1105" s="2" t="b">
        <f t="shared" si="179"/>
        <v>1</v>
      </c>
    </row>
    <row r="1106" spans="1:24" ht="10.5" customHeight="1">
      <c r="A1106" s="2" t="s">
        <v>1483</v>
      </c>
      <c r="B1106" s="3">
        <v>45867.421458333331</v>
      </c>
      <c r="C1106" s="2" t="s">
        <v>93</v>
      </c>
      <c r="D1106" s="2" t="s">
        <v>94</v>
      </c>
      <c r="E1106" s="2" t="s">
        <v>20</v>
      </c>
      <c r="F1106" s="4">
        <v>10000</v>
      </c>
      <c r="G1106" s="5">
        <v>3.3</v>
      </c>
      <c r="H1106" s="6">
        <v>0</v>
      </c>
      <c r="I1106" s="7">
        <f t="shared" si="170"/>
        <v>33000</v>
      </c>
      <c r="J1106" s="7">
        <f t="shared" si="171"/>
        <v>0</v>
      </c>
      <c r="K1106" s="7">
        <f t="shared" si="172"/>
        <v>33000</v>
      </c>
      <c r="L1106" s="4">
        <v>85000</v>
      </c>
      <c r="M1106" s="7">
        <f t="shared" si="173"/>
        <v>118000</v>
      </c>
      <c r="N1106" s="2" t="s">
        <v>58</v>
      </c>
      <c r="O1106" t="s">
        <v>69</v>
      </c>
      <c r="P1106" s="2" t="s">
        <v>2370</v>
      </c>
      <c r="Q1106" s="2">
        <v>2</v>
      </c>
      <c r="R1106" s="2" t="s">
        <v>23</v>
      </c>
      <c r="S1106" s="2" t="str">
        <f t="shared" si="174"/>
        <v>Standar</v>
      </c>
      <c r="T1106" s="2" t="str">
        <f t="shared" si="175"/>
        <v>FALSE</v>
      </c>
      <c r="U1106" s="2" t="str">
        <f t="shared" si="176"/>
        <v>FALSE</v>
      </c>
      <c r="V1106" s="2" t="b">
        <f t="shared" si="177"/>
        <v>0</v>
      </c>
      <c r="W1106" s="2" t="b">
        <f t="shared" si="178"/>
        <v>0</v>
      </c>
      <c r="X1106" s="2" t="b">
        <f t="shared" si="179"/>
        <v>0</v>
      </c>
    </row>
    <row r="1107" spans="1:24" ht="10.5" customHeight="1">
      <c r="A1107" s="2" t="s">
        <v>1484</v>
      </c>
      <c r="B1107" s="3">
        <v>45867.424155092587</v>
      </c>
      <c r="C1107" s="2" t="s">
        <v>572</v>
      </c>
      <c r="D1107" s="2" t="s">
        <v>425</v>
      </c>
      <c r="E1107" s="2" t="s">
        <v>45</v>
      </c>
      <c r="F1107" s="4">
        <v>10500</v>
      </c>
      <c r="G1107" s="5">
        <v>2.5</v>
      </c>
      <c r="H1107" s="6">
        <v>0</v>
      </c>
      <c r="I1107" s="7">
        <f t="shared" si="170"/>
        <v>26250</v>
      </c>
      <c r="J1107" s="7">
        <f t="shared" si="171"/>
        <v>0</v>
      </c>
      <c r="K1107" s="7">
        <f t="shared" si="172"/>
        <v>26250</v>
      </c>
      <c r="L1107" s="4">
        <v>67000</v>
      </c>
      <c r="M1107" s="7">
        <f t="shared" si="173"/>
        <v>93250</v>
      </c>
      <c r="N1107" s="2" t="s">
        <v>33</v>
      </c>
      <c r="O1107" t="s">
        <v>22</v>
      </c>
      <c r="P1107" s="2" t="s">
        <v>2370</v>
      </c>
      <c r="Q1107" s="2">
        <v>3</v>
      </c>
      <c r="R1107" s="2" t="s">
        <v>23</v>
      </c>
      <c r="S1107" s="2" t="str">
        <f t="shared" si="174"/>
        <v>Rendah</v>
      </c>
      <c r="T1107" s="2" t="str">
        <f t="shared" si="175"/>
        <v>FALSE</v>
      </c>
      <c r="U1107" s="2" t="str">
        <f t="shared" si="176"/>
        <v>FALSE</v>
      </c>
      <c r="V1107" s="2" t="b">
        <f t="shared" si="177"/>
        <v>0</v>
      </c>
      <c r="W1107" s="2" t="b">
        <f t="shared" si="178"/>
        <v>0</v>
      </c>
      <c r="X1107" s="2" t="b">
        <f t="shared" si="179"/>
        <v>0</v>
      </c>
    </row>
    <row r="1108" spans="1:24" ht="10.5" customHeight="1">
      <c r="A1108" s="2" t="s">
        <v>1484</v>
      </c>
      <c r="B1108" s="3">
        <v>45867.424155092587</v>
      </c>
      <c r="C1108" s="2" t="s">
        <v>572</v>
      </c>
      <c r="D1108" s="2" t="s">
        <v>425</v>
      </c>
      <c r="E1108" s="2" t="s">
        <v>80</v>
      </c>
      <c r="F1108" s="4">
        <v>15000</v>
      </c>
      <c r="G1108" s="5">
        <v>0.7</v>
      </c>
      <c r="H1108" s="6">
        <v>0</v>
      </c>
      <c r="I1108" s="7">
        <f t="shared" si="170"/>
        <v>10500</v>
      </c>
      <c r="J1108" s="7">
        <f t="shared" si="171"/>
        <v>0</v>
      </c>
      <c r="K1108" s="7">
        <f t="shared" si="172"/>
        <v>10500</v>
      </c>
      <c r="L1108" s="4">
        <v>0</v>
      </c>
      <c r="M1108" s="7">
        <f t="shared" si="173"/>
        <v>10500</v>
      </c>
      <c r="N1108" s="2" t="s">
        <v>33</v>
      </c>
      <c r="O1108" t="s">
        <v>22</v>
      </c>
      <c r="P1108" s="2" t="s">
        <v>2370</v>
      </c>
      <c r="Q1108" s="2">
        <v>3</v>
      </c>
      <c r="R1108" s="2" t="s">
        <v>23</v>
      </c>
      <c r="S1108" s="2" t="str">
        <f t="shared" si="174"/>
        <v>Sangat Rendah</v>
      </c>
      <c r="T1108" s="2" t="str">
        <f t="shared" si="175"/>
        <v>FALSE</v>
      </c>
      <c r="U1108" s="2" t="str">
        <f t="shared" si="176"/>
        <v>FALSE</v>
      </c>
      <c r="V1108" s="2" t="b">
        <f t="shared" si="177"/>
        <v>0</v>
      </c>
      <c r="W1108" s="2" t="b">
        <f t="shared" si="178"/>
        <v>0</v>
      </c>
      <c r="X1108" s="2" t="b">
        <f t="shared" si="179"/>
        <v>1</v>
      </c>
    </row>
    <row r="1109" spans="1:24" ht="10.5" customHeight="1">
      <c r="A1109" s="2" t="s">
        <v>1485</v>
      </c>
      <c r="B1109" s="3">
        <v>45867.470775462964</v>
      </c>
      <c r="C1109" s="2" t="s">
        <v>67</v>
      </c>
      <c r="D1109" s="2" t="s">
        <v>68</v>
      </c>
      <c r="E1109" s="2" t="s">
        <v>27</v>
      </c>
      <c r="F1109" s="4">
        <v>15000</v>
      </c>
      <c r="G1109" s="5">
        <v>0.9</v>
      </c>
      <c r="H1109" s="6">
        <v>0</v>
      </c>
      <c r="I1109" s="7">
        <f t="shared" si="170"/>
        <v>13500</v>
      </c>
      <c r="J1109" s="7">
        <f t="shared" si="171"/>
        <v>0</v>
      </c>
      <c r="K1109" s="7">
        <f t="shared" si="172"/>
        <v>13500</v>
      </c>
      <c r="L1109" s="4">
        <v>87000</v>
      </c>
      <c r="M1109" s="7">
        <f t="shared" si="173"/>
        <v>100500</v>
      </c>
      <c r="N1109" s="2" t="s">
        <v>33</v>
      </c>
      <c r="O1109" t="s">
        <v>22</v>
      </c>
      <c r="P1109" s="2" t="s">
        <v>2368</v>
      </c>
      <c r="Q1109" s="2">
        <v>2</v>
      </c>
      <c r="R1109" s="2" t="s">
        <v>23</v>
      </c>
      <c r="S1109" s="2" t="str">
        <f t="shared" si="174"/>
        <v>Standar</v>
      </c>
      <c r="T1109" s="2" t="str">
        <f t="shared" si="175"/>
        <v>FALSE</v>
      </c>
      <c r="U1109" s="2" t="str">
        <f t="shared" si="176"/>
        <v>FALSE</v>
      </c>
      <c r="V1109" s="2" t="b">
        <f t="shared" si="177"/>
        <v>0</v>
      </c>
      <c r="W1109" s="2" t="b">
        <f t="shared" si="178"/>
        <v>0</v>
      </c>
      <c r="X1109" s="2" t="b">
        <f t="shared" si="179"/>
        <v>0</v>
      </c>
    </row>
    <row r="1110" spans="1:24" ht="10.5" customHeight="1">
      <c r="A1110" s="2" t="s">
        <v>1486</v>
      </c>
      <c r="B1110" s="3">
        <v>45867.513993055552</v>
      </c>
      <c r="C1110" s="2" t="s">
        <v>628</v>
      </c>
      <c r="D1110" s="2" t="s">
        <v>185</v>
      </c>
      <c r="E1110" s="2" t="s">
        <v>80</v>
      </c>
      <c r="F1110" s="4">
        <v>15000</v>
      </c>
      <c r="G1110" s="5">
        <v>0.8</v>
      </c>
      <c r="H1110" s="6">
        <v>0</v>
      </c>
      <c r="I1110" s="7">
        <f t="shared" si="170"/>
        <v>12000</v>
      </c>
      <c r="J1110" s="7">
        <f t="shared" si="171"/>
        <v>0</v>
      </c>
      <c r="K1110" s="7">
        <f t="shared" si="172"/>
        <v>12000</v>
      </c>
      <c r="L1110" s="4">
        <v>87000</v>
      </c>
      <c r="M1110" s="7">
        <f t="shared" si="173"/>
        <v>99000</v>
      </c>
      <c r="N1110" s="2" t="s">
        <v>28</v>
      </c>
      <c r="O1110" t="s">
        <v>22</v>
      </c>
      <c r="P1110" s="2" t="s">
        <v>2367</v>
      </c>
      <c r="Q1110" s="2">
        <v>1</v>
      </c>
      <c r="R1110" s="2" t="s">
        <v>34</v>
      </c>
      <c r="S1110" s="2" t="str">
        <f t="shared" si="174"/>
        <v>Rendah</v>
      </c>
      <c r="T1110" s="2" t="str">
        <f t="shared" si="175"/>
        <v>FALSE</v>
      </c>
      <c r="U1110" s="2" t="str">
        <f t="shared" si="176"/>
        <v>FALSE</v>
      </c>
      <c r="V1110" s="2" t="b">
        <f t="shared" si="177"/>
        <v>0</v>
      </c>
      <c r="W1110" s="2" t="b">
        <f t="shared" si="178"/>
        <v>1</v>
      </c>
      <c r="X1110" s="2" t="b">
        <f t="shared" si="179"/>
        <v>0</v>
      </c>
    </row>
    <row r="1111" spans="1:24" ht="10.5" customHeight="1">
      <c r="A1111" s="2" t="s">
        <v>1487</v>
      </c>
      <c r="B1111" s="3">
        <v>45867.546574074076</v>
      </c>
      <c r="C1111" s="2" t="s">
        <v>86</v>
      </c>
      <c r="D1111" s="2" t="s">
        <v>87</v>
      </c>
      <c r="E1111" s="2" t="s">
        <v>35</v>
      </c>
      <c r="F1111" s="4">
        <v>13500</v>
      </c>
      <c r="G1111" s="5">
        <v>1.2</v>
      </c>
      <c r="H1111" s="6">
        <v>0</v>
      </c>
      <c r="I1111" s="7">
        <f t="shared" si="170"/>
        <v>16200</v>
      </c>
      <c r="J1111" s="7">
        <f t="shared" si="171"/>
        <v>0</v>
      </c>
      <c r="K1111" s="7">
        <f t="shared" si="172"/>
        <v>16200</v>
      </c>
      <c r="L1111" s="4">
        <v>49000</v>
      </c>
      <c r="M1111" s="7">
        <f t="shared" si="173"/>
        <v>65200</v>
      </c>
      <c r="N1111" s="2" t="s">
        <v>28</v>
      </c>
      <c r="O1111" t="s">
        <v>115</v>
      </c>
      <c r="P1111" s="2" t="s">
        <v>2368</v>
      </c>
      <c r="Q1111" s="2">
        <v>4</v>
      </c>
      <c r="R1111" s="2" t="s">
        <v>23</v>
      </c>
      <c r="S1111" s="2" t="str">
        <f t="shared" si="174"/>
        <v>Rendah</v>
      </c>
      <c r="T1111" s="2" t="str">
        <f t="shared" si="175"/>
        <v>FALSE</v>
      </c>
      <c r="U1111" s="2" t="str">
        <f t="shared" si="176"/>
        <v>FALSE</v>
      </c>
      <c r="V1111" s="2" t="b">
        <f t="shared" si="177"/>
        <v>0</v>
      </c>
      <c r="W1111" s="2" t="b">
        <f t="shared" si="178"/>
        <v>0</v>
      </c>
      <c r="X1111" s="2" t="b">
        <f t="shared" si="179"/>
        <v>0</v>
      </c>
    </row>
    <row r="1112" spans="1:24" ht="10.5" customHeight="1">
      <c r="A1112" s="2" t="s">
        <v>1488</v>
      </c>
      <c r="B1112" s="3">
        <v>45867.665462962963</v>
      </c>
      <c r="C1112" s="2" t="s">
        <v>259</v>
      </c>
      <c r="D1112" s="2" t="s">
        <v>164</v>
      </c>
      <c r="E1112" s="2" t="s">
        <v>35</v>
      </c>
      <c r="F1112" s="4">
        <v>13500</v>
      </c>
      <c r="G1112" s="5">
        <v>3</v>
      </c>
      <c r="H1112" s="6">
        <v>0</v>
      </c>
      <c r="I1112" s="7">
        <f t="shared" si="170"/>
        <v>40500</v>
      </c>
      <c r="J1112" s="7">
        <f t="shared" si="171"/>
        <v>0</v>
      </c>
      <c r="K1112" s="7">
        <f t="shared" si="172"/>
        <v>40500</v>
      </c>
      <c r="L1112" s="4">
        <v>49000</v>
      </c>
      <c r="M1112" s="7">
        <f t="shared" si="173"/>
        <v>89500</v>
      </c>
      <c r="N1112" s="2" t="s">
        <v>28</v>
      </c>
      <c r="O1112" t="s">
        <v>22</v>
      </c>
      <c r="P1112" s="2" t="s">
        <v>2366</v>
      </c>
      <c r="Q1112" s="2">
        <v>2</v>
      </c>
      <c r="R1112" s="2" t="s">
        <v>34</v>
      </c>
      <c r="S1112" s="2" t="str">
        <f t="shared" si="174"/>
        <v>Rendah</v>
      </c>
      <c r="T1112" s="2" t="str">
        <f t="shared" si="175"/>
        <v>FALSE</v>
      </c>
      <c r="U1112" s="2" t="str">
        <f t="shared" si="176"/>
        <v>FALSE</v>
      </c>
      <c r="V1112" s="2" t="b">
        <f t="shared" si="177"/>
        <v>0</v>
      </c>
      <c r="W1112" s="2" t="b">
        <f t="shared" si="178"/>
        <v>0</v>
      </c>
      <c r="X1112" s="2" t="b">
        <f t="shared" si="179"/>
        <v>0</v>
      </c>
    </row>
    <row r="1113" spans="1:24" ht="10.5" customHeight="1">
      <c r="A1113" s="2" t="s">
        <v>1489</v>
      </c>
      <c r="B1113" s="3">
        <v>45867.665706018517</v>
      </c>
      <c r="C1113" s="2" t="s">
        <v>764</v>
      </c>
      <c r="D1113" s="2" t="s">
        <v>252</v>
      </c>
      <c r="E1113" s="2" t="s">
        <v>102</v>
      </c>
      <c r="F1113" s="4">
        <v>55000</v>
      </c>
      <c r="G1113" s="5">
        <v>0.8</v>
      </c>
      <c r="H1113" s="6">
        <v>0</v>
      </c>
      <c r="I1113" s="7">
        <f t="shared" si="170"/>
        <v>44000</v>
      </c>
      <c r="J1113" s="7">
        <f t="shared" si="171"/>
        <v>0</v>
      </c>
      <c r="K1113" s="7">
        <f t="shared" si="172"/>
        <v>44000</v>
      </c>
      <c r="L1113" s="4">
        <v>18000</v>
      </c>
      <c r="M1113" s="7">
        <f t="shared" si="173"/>
        <v>62000</v>
      </c>
      <c r="N1113" s="2" t="s">
        <v>28</v>
      </c>
      <c r="O1113" t="s">
        <v>69</v>
      </c>
      <c r="P1113" s="2" t="s">
        <v>2367</v>
      </c>
      <c r="Q1113" s="2">
        <v>5</v>
      </c>
      <c r="R1113" s="2" t="s">
        <v>23</v>
      </c>
      <c r="S1113" s="2" t="str">
        <f t="shared" si="174"/>
        <v>Rendah</v>
      </c>
      <c r="T1113" s="2" t="str">
        <f t="shared" si="175"/>
        <v>FALSE</v>
      </c>
      <c r="U1113" s="2" t="str">
        <f t="shared" si="176"/>
        <v>FALSE</v>
      </c>
      <c r="V1113" s="2" t="b">
        <f t="shared" si="177"/>
        <v>0</v>
      </c>
      <c r="W1113" s="2" t="b">
        <f t="shared" si="178"/>
        <v>1</v>
      </c>
      <c r="X1113" s="2" t="b">
        <f t="shared" si="179"/>
        <v>0</v>
      </c>
    </row>
    <row r="1114" spans="1:24" ht="10.5" customHeight="1">
      <c r="A1114" s="2" t="s">
        <v>1490</v>
      </c>
      <c r="B1114" s="3">
        <v>45867.732731481483</v>
      </c>
      <c r="C1114" s="2" t="s">
        <v>683</v>
      </c>
      <c r="D1114" s="2" t="s">
        <v>111</v>
      </c>
      <c r="E1114" s="2" t="s">
        <v>75</v>
      </c>
      <c r="F1114" s="4">
        <v>45000</v>
      </c>
      <c r="G1114" s="5">
        <v>0.6</v>
      </c>
      <c r="H1114" s="6">
        <v>0</v>
      </c>
      <c r="I1114" s="7">
        <f t="shared" si="170"/>
        <v>27000</v>
      </c>
      <c r="J1114" s="7">
        <f t="shared" si="171"/>
        <v>0</v>
      </c>
      <c r="K1114" s="7">
        <f t="shared" si="172"/>
        <v>27000</v>
      </c>
      <c r="L1114" s="4">
        <v>0</v>
      </c>
      <c r="M1114" s="7">
        <f t="shared" si="173"/>
        <v>27000</v>
      </c>
      <c r="N1114" s="2" t="s">
        <v>21</v>
      </c>
      <c r="O1114" t="s">
        <v>22</v>
      </c>
      <c r="P1114" s="2" t="s">
        <v>2367</v>
      </c>
      <c r="Q1114" s="2">
        <v>5</v>
      </c>
      <c r="R1114" s="2" t="s">
        <v>23</v>
      </c>
      <c r="S1114" s="2" t="str">
        <f t="shared" si="174"/>
        <v>Sangat Rendah</v>
      </c>
      <c r="T1114" s="2" t="str">
        <f t="shared" si="175"/>
        <v>FALSE</v>
      </c>
      <c r="U1114" s="2" t="str">
        <f t="shared" si="176"/>
        <v>FALSE</v>
      </c>
      <c r="V1114" s="2" t="b">
        <f t="shared" si="177"/>
        <v>0</v>
      </c>
      <c r="W1114" s="2" t="b">
        <f t="shared" si="178"/>
        <v>1</v>
      </c>
      <c r="X1114" s="2" t="b">
        <f t="shared" si="179"/>
        <v>1</v>
      </c>
    </row>
    <row r="1115" spans="1:24" ht="10.5" customHeight="1">
      <c r="A1115" s="2" t="s">
        <v>1491</v>
      </c>
      <c r="B1115" s="3">
        <v>45867.757094907407</v>
      </c>
      <c r="C1115" s="2" t="s">
        <v>73</v>
      </c>
      <c r="D1115" s="2" t="s">
        <v>74</v>
      </c>
      <c r="E1115" s="2" t="s">
        <v>99</v>
      </c>
      <c r="F1115" s="4">
        <v>10000</v>
      </c>
      <c r="G1115" s="5">
        <v>1.3</v>
      </c>
      <c r="H1115" s="6">
        <v>0</v>
      </c>
      <c r="I1115" s="7">
        <f t="shared" si="170"/>
        <v>13000</v>
      </c>
      <c r="J1115" s="7">
        <f t="shared" si="171"/>
        <v>0</v>
      </c>
      <c r="K1115" s="7">
        <f t="shared" si="172"/>
        <v>13000</v>
      </c>
      <c r="L1115" s="4">
        <v>74000</v>
      </c>
      <c r="M1115" s="7">
        <f t="shared" si="173"/>
        <v>87000</v>
      </c>
      <c r="N1115" s="2" t="s">
        <v>28</v>
      </c>
      <c r="O1115" t="s">
        <v>22</v>
      </c>
      <c r="P1115" s="2" t="s">
        <v>2367</v>
      </c>
      <c r="Q1115" s="2">
        <v>1</v>
      </c>
      <c r="R1115" s="2" t="s">
        <v>23</v>
      </c>
      <c r="S1115" s="2" t="str">
        <f t="shared" si="174"/>
        <v>Rendah</v>
      </c>
      <c r="T1115" s="2" t="str">
        <f t="shared" si="175"/>
        <v>FALSE</v>
      </c>
      <c r="U1115" s="2" t="str">
        <f t="shared" si="176"/>
        <v>FALSE</v>
      </c>
      <c r="V1115" s="2" t="b">
        <f t="shared" si="177"/>
        <v>0</v>
      </c>
      <c r="W1115" s="2" t="b">
        <f t="shared" si="178"/>
        <v>1</v>
      </c>
      <c r="X1115" s="2" t="b">
        <f t="shared" si="179"/>
        <v>0</v>
      </c>
    </row>
    <row r="1116" spans="1:24" ht="10.5" customHeight="1">
      <c r="A1116" s="2" t="s">
        <v>1492</v>
      </c>
      <c r="B1116" s="3">
        <v>45867.775208333333</v>
      </c>
      <c r="C1116" s="2" t="s">
        <v>285</v>
      </c>
      <c r="D1116" s="2" t="s">
        <v>286</v>
      </c>
      <c r="E1116" s="2" t="s">
        <v>53</v>
      </c>
      <c r="F1116" s="4">
        <v>14000</v>
      </c>
      <c r="G1116" s="5">
        <v>0.9</v>
      </c>
      <c r="H1116" s="6">
        <v>0</v>
      </c>
      <c r="I1116" s="7">
        <f t="shared" si="170"/>
        <v>12600</v>
      </c>
      <c r="J1116" s="7">
        <f t="shared" si="171"/>
        <v>0</v>
      </c>
      <c r="K1116" s="7">
        <f t="shared" si="172"/>
        <v>12600</v>
      </c>
      <c r="L1116" s="4">
        <v>79000</v>
      </c>
      <c r="M1116" s="7">
        <f t="shared" si="173"/>
        <v>91600</v>
      </c>
      <c r="N1116" s="2" t="s">
        <v>28</v>
      </c>
      <c r="O1116" t="s">
        <v>22</v>
      </c>
      <c r="P1116" s="2" t="s">
        <v>2368</v>
      </c>
      <c r="Q1116" s="2">
        <v>3</v>
      </c>
      <c r="R1116" s="2" t="s">
        <v>23</v>
      </c>
      <c r="S1116" s="2" t="str">
        <f t="shared" si="174"/>
        <v>Rendah</v>
      </c>
      <c r="T1116" s="2" t="str">
        <f t="shared" si="175"/>
        <v>FALSE</v>
      </c>
      <c r="U1116" s="2" t="str">
        <f t="shared" si="176"/>
        <v>FALSE</v>
      </c>
      <c r="V1116" s="2" t="b">
        <f t="shared" si="177"/>
        <v>0</v>
      </c>
      <c r="W1116" s="2" t="b">
        <f t="shared" si="178"/>
        <v>0</v>
      </c>
      <c r="X1116" s="2" t="b">
        <f t="shared" si="179"/>
        <v>0</v>
      </c>
    </row>
    <row r="1117" spans="1:24" ht="10.5" customHeight="1">
      <c r="A1117" s="2" t="s">
        <v>1493</v>
      </c>
      <c r="B1117" s="3">
        <v>45868.295694444438</v>
      </c>
      <c r="C1117" s="2" t="s">
        <v>449</v>
      </c>
      <c r="D1117" s="2" t="s">
        <v>56</v>
      </c>
      <c r="E1117" s="2" t="s">
        <v>161</v>
      </c>
      <c r="F1117" s="4">
        <v>115000</v>
      </c>
      <c r="G1117" s="5">
        <v>0.6</v>
      </c>
      <c r="H1117" s="6">
        <v>0</v>
      </c>
      <c r="I1117" s="7">
        <f t="shared" si="170"/>
        <v>69000</v>
      </c>
      <c r="J1117" s="7">
        <f t="shared" si="171"/>
        <v>0</v>
      </c>
      <c r="K1117" s="7">
        <f t="shared" si="172"/>
        <v>69000</v>
      </c>
      <c r="L1117" s="4">
        <v>26000</v>
      </c>
      <c r="M1117" s="7">
        <f t="shared" si="173"/>
        <v>95000</v>
      </c>
      <c r="N1117" s="2" t="s">
        <v>58</v>
      </c>
      <c r="O1117" t="s">
        <v>22</v>
      </c>
      <c r="P1117" s="2" t="s">
        <v>2370</v>
      </c>
      <c r="Q1117" s="2">
        <v>5</v>
      </c>
      <c r="R1117" s="2" t="s">
        <v>23</v>
      </c>
      <c r="S1117" s="2" t="str">
        <f t="shared" si="174"/>
        <v>Rendah</v>
      </c>
      <c r="T1117" s="2" t="str">
        <f t="shared" si="175"/>
        <v>FALSE</v>
      </c>
      <c r="U1117" s="2" t="str">
        <f t="shared" si="176"/>
        <v>FALSE</v>
      </c>
      <c r="V1117" s="2" t="b">
        <f t="shared" si="177"/>
        <v>0</v>
      </c>
      <c r="W1117" s="2" t="b">
        <f t="shared" si="178"/>
        <v>0</v>
      </c>
      <c r="X1117" s="2" t="b">
        <f t="shared" si="179"/>
        <v>0</v>
      </c>
    </row>
    <row r="1118" spans="1:24" ht="10.5" customHeight="1">
      <c r="A1118" s="2" t="s">
        <v>1494</v>
      </c>
      <c r="B1118" s="3">
        <v>45868.38616898148</v>
      </c>
      <c r="C1118" s="2" t="s">
        <v>364</v>
      </c>
      <c r="D1118" s="2" t="s">
        <v>365</v>
      </c>
      <c r="E1118" s="2" t="s">
        <v>41</v>
      </c>
      <c r="F1118" s="4">
        <v>40000</v>
      </c>
      <c r="G1118" s="5">
        <v>0.9</v>
      </c>
      <c r="H1118" s="6">
        <v>0</v>
      </c>
      <c r="I1118" s="7">
        <f t="shared" si="170"/>
        <v>36000</v>
      </c>
      <c r="J1118" s="7">
        <f t="shared" si="171"/>
        <v>0</v>
      </c>
      <c r="K1118" s="7">
        <f t="shared" si="172"/>
        <v>36000</v>
      </c>
      <c r="L1118" s="4">
        <v>21000</v>
      </c>
      <c r="M1118" s="7">
        <f t="shared" si="173"/>
        <v>57000</v>
      </c>
      <c r="N1118" s="2" t="s">
        <v>58</v>
      </c>
      <c r="O1118" t="s">
        <v>22</v>
      </c>
      <c r="P1118" s="2" t="s">
        <v>2366</v>
      </c>
      <c r="Q1118" s="2">
        <v>5</v>
      </c>
      <c r="R1118" s="2" t="s">
        <v>34</v>
      </c>
      <c r="S1118" s="2" t="str">
        <f t="shared" si="174"/>
        <v>Rendah</v>
      </c>
      <c r="T1118" s="2" t="str">
        <f t="shared" si="175"/>
        <v>FALSE</v>
      </c>
      <c r="U1118" s="2" t="str">
        <f t="shared" si="176"/>
        <v>FALSE</v>
      </c>
      <c r="V1118" s="2" t="b">
        <f t="shared" si="177"/>
        <v>0</v>
      </c>
      <c r="W1118" s="2" t="b">
        <f t="shared" si="178"/>
        <v>0</v>
      </c>
      <c r="X1118" s="2" t="b">
        <f t="shared" si="179"/>
        <v>0</v>
      </c>
    </row>
    <row r="1119" spans="1:24" ht="10.5" customHeight="1">
      <c r="A1119" s="2" t="s">
        <v>1495</v>
      </c>
      <c r="B1119" s="3">
        <v>45868.532037037039</v>
      </c>
      <c r="C1119" s="2" t="s">
        <v>794</v>
      </c>
      <c r="D1119" s="2" t="s">
        <v>44</v>
      </c>
      <c r="E1119" s="2" t="s">
        <v>45</v>
      </c>
      <c r="F1119" s="4">
        <v>10500</v>
      </c>
      <c r="G1119" s="5">
        <v>2.4</v>
      </c>
      <c r="H1119" s="6">
        <v>0</v>
      </c>
      <c r="I1119" s="7">
        <f t="shared" si="170"/>
        <v>25200</v>
      </c>
      <c r="J1119" s="7">
        <f t="shared" si="171"/>
        <v>0</v>
      </c>
      <c r="K1119" s="7">
        <f t="shared" si="172"/>
        <v>25200</v>
      </c>
      <c r="L1119" s="4">
        <v>43000</v>
      </c>
      <c r="M1119" s="7">
        <f t="shared" si="173"/>
        <v>68200</v>
      </c>
      <c r="N1119" s="2" t="s">
        <v>21</v>
      </c>
      <c r="O1119" t="s">
        <v>69</v>
      </c>
      <c r="P1119" s="2" t="s">
        <v>2365</v>
      </c>
      <c r="Q1119" s="2">
        <v>2</v>
      </c>
      <c r="R1119" s="2" t="s">
        <v>23</v>
      </c>
      <c r="S1119" s="2" t="str">
        <f t="shared" si="174"/>
        <v>Rendah</v>
      </c>
      <c r="T1119" s="2" t="str">
        <f t="shared" si="175"/>
        <v>FALSE</v>
      </c>
      <c r="U1119" s="2" t="str">
        <f t="shared" si="176"/>
        <v>FALSE</v>
      </c>
      <c r="V1119" s="2" t="b">
        <f t="shared" si="177"/>
        <v>0</v>
      </c>
      <c r="W1119" s="2" t="b">
        <f t="shared" si="178"/>
        <v>0</v>
      </c>
      <c r="X1119" s="2" t="b">
        <f t="shared" si="179"/>
        <v>0</v>
      </c>
    </row>
    <row r="1120" spans="1:24" ht="10.5" customHeight="1">
      <c r="A1120" s="2" t="s">
        <v>1496</v>
      </c>
      <c r="B1120" s="3">
        <v>45868.579097222217</v>
      </c>
      <c r="C1120" s="2" t="s">
        <v>822</v>
      </c>
      <c r="D1120" s="2" t="s">
        <v>123</v>
      </c>
      <c r="E1120" s="2" t="s">
        <v>102</v>
      </c>
      <c r="F1120" s="4">
        <v>55000</v>
      </c>
      <c r="G1120" s="5">
        <v>0.4</v>
      </c>
      <c r="H1120" s="6">
        <v>0</v>
      </c>
      <c r="I1120" s="7">
        <f t="shared" si="170"/>
        <v>22000</v>
      </c>
      <c r="J1120" s="7">
        <f t="shared" si="171"/>
        <v>0</v>
      </c>
      <c r="K1120" s="7">
        <f t="shared" si="172"/>
        <v>22000</v>
      </c>
      <c r="L1120" s="4">
        <v>59000</v>
      </c>
      <c r="M1120" s="7">
        <f t="shared" si="173"/>
        <v>81000</v>
      </c>
      <c r="N1120" s="2" t="s">
        <v>28</v>
      </c>
      <c r="O1120" t="s">
        <v>22</v>
      </c>
      <c r="P1120" s="2" t="s">
        <v>2365</v>
      </c>
      <c r="Q1120" s="2">
        <v>2</v>
      </c>
      <c r="R1120" s="2" t="s">
        <v>23</v>
      </c>
      <c r="S1120" s="2" t="str">
        <f t="shared" si="174"/>
        <v>Rendah</v>
      </c>
      <c r="T1120" s="2" t="str">
        <f t="shared" si="175"/>
        <v>FALSE</v>
      </c>
      <c r="U1120" s="2" t="str">
        <f t="shared" si="176"/>
        <v>FALSE</v>
      </c>
      <c r="V1120" s="2" t="b">
        <f t="shared" si="177"/>
        <v>0</v>
      </c>
      <c r="W1120" s="2" t="b">
        <f t="shared" si="178"/>
        <v>0</v>
      </c>
      <c r="X1120" s="2" t="b">
        <f t="shared" si="179"/>
        <v>0</v>
      </c>
    </row>
    <row r="1121" spans="1:24" ht="10.5" customHeight="1">
      <c r="A1121" s="2" t="s">
        <v>1497</v>
      </c>
      <c r="B1121" s="3">
        <v>45868.659178240741</v>
      </c>
      <c r="C1121" s="2" t="s">
        <v>458</v>
      </c>
      <c r="D1121" s="2" t="s">
        <v>153</v>
      </c>
      <c r="E1121" s="2" t="s">
        <v>49</v>
      </c>
      <c r="F1121" s="4">
        <v>26000</v>
      </c>
      <c r="G1121" s="5">
        <v>1.7</v>
      </c>
      <c r="H1121" s="6">
        <v>0</v>
      </c>
      <c r="I1121" s="7">
        <f t="shared" si="170"/>
        <v>44200</v>
      </c>
      <c r="J1121" s="7">
        <f t="shared" si="171"/>
        <v>0</v>
      </c>
      <c r="K1121" s="7">
        <f t="shared" si="172"/>
        <v>44200</v>
      </c>
      <c r="L1121" s="4">
        <v>50000</v>
      </c>
      <c r="M1121" s="7">
        <f t="shared" si="173"/>
        <v>94200</v>
      </c>
      <c r="N1121" s="2" t="s">
        <v>21</v>
      </c>
      <c r="O1121" t="s">
        <v>22</v>
      </c>
      <c r="P1121" s="2" t="s">
        <v>2367</v>
      </c>
      <c r="Q1121" s="2">
        <v>4</v>
      </c>
      <c r="R1121" s="2" t="s">
        <v>23</v>
      </c>
      <c r="S1121" s="2" t="str">
        <f t="shared" si="174"/>
        <v>Rendah</v>
      </c>
      <c r="T1121" s="2" t="str">
        <f t="shared" si="175"/>
        <v>FALSE</v>
      </c>
      <c r="U1121" s="2" t="str">
        <f t="shared" si="176"/>
        <v>FALSE</v>
      </c>
      <c r="V1121" s="2" t="b">
        <f t="shared" si="177"/>
        <v>0</v>
      </c>
      <c r="W1121" s="2" t="b">
        <f t="shared" si="178"/>
        <v>1</v>
      </c>
      <c r="X1121" s="2" t="b">
        <f t="shared" si="179"/>
        <v>0</v>
      </c>
    </row>
    <row r="1122" spans="1:24" ht="10.5" customHeight="1">
      <c r="A1122" s="2" t="s">
        <v>1498</v>
      </c>
      <c r="B1122" s="3">
        <v>45868.698784722219</v>
      </c>
      <c r="C1122" s="2" t="s">
        <v>1499</v>
      </c>
      <c r="D1122" s="2" t="s">
        <v>114</v>
      </c>
      <c r="E1122" s="2" t="s">
        <v>95</v>
      </c>
      <c r="F1122" s="4">
        <v>9500</v>
      </c>
      <c r="G1122" s="5">
        <v>1.8</v>
      </c>
      <c r="H1122" s="6">
        <v>0</v>
      </c>
      <c r="I1122" s="7">
        <f t="shared" si="170"/>
        <v>17100</v>
      </c>
      <c r="J1122" s="7">
        <f t="shared" si="171"/>
        <v>0</v>
      </c>
      <c r="K1122" s="7">
        <f t="shared" si="172"/>
        <v>17100</v>
      </c>
      <c r="L1122" s="4">
        <v>78000</v>
      </c>
      <c r="M1122" s="7">
        <f t="shared" si="173"/>
        <v>95100</v>
      </c>
      <c r="N1122" s="2" t="s">
        <v>33</v>
      </c>
      <c r="O1122" t="s">
        <v>69</v>
      </c>
      <c r="P1122" s="2" t="s">
        <v>2367</v>
      </c>
      <c r="Q1122" s="2">
        <v>1</v>
      </c>
      <c r="R1122" s="2" t="s">
        <v>23</v>
      </c>
      <c r="S1122" s="2" t="str">
        <f t="shared" si="174"/>
        <v>Rendah</v>
      </c>
      <c r="T1122" s="2" t="str">
        <f t="shared" si="175"/>
        <v>TRUE</v>
      </c>
      <c r="U1122" s="2" t="str">
        <f t="shared" si="176"/>
        <v>FALSE</v>
      </c>
      <c r="V1122" s="2" t="b">
        <f t="shared" si="177"/>
        <v>0</v>
      </c>
      <c r="W1122" s="2" t="b">
        <f t="shared" si="178"/>
        <v>1</v>
      </c>
      <c r="X1122" s="2" t="b">
        <f t="shared" si="179"/>
        <v>0</v>
      </c>
    </row>
    <row r="1123" spans="1:24" ht="10.5" customHeight="1">
      <c r="A1123" s="2" t="s">
        <v>1500</v>
      </c>
      <c r="B1123" s="3">
        <v>45868.725763888891</v>
      </c>
      <c r="C1123" s="2" t="s">
        <v>30</v>
      </c>
      <c r="D1123" s="2" t="s">
        <v>31</v>
      </c>
      <c r="E1123" s="2" t="s">
        <v>32</v>
      </c>
      <c r="F1123" s="4">
        <v>20000</v>
      </c>
      <c r="G1123" s="5">
        <v>0.8</v>
      </c>
      <c r="H1123" s="6">
        <v>0</v>
      </c>
      <c r="I1123" s="7">
        <f t="shared" si="170"/>
        <v>16000</v>
      </c>
      <c r="J1123" s="7">
        <f t="shared" si="171"/>
        <v>0</v>
      </c>
      <c r="K1123" s="7">
        <f t="shared" si="172"/>
        <v>16000</v>
      </c>
      <c r="L1123" s="4">
        <v>76000</v>
      </c>
      <c r="M1123" s="7">
        <f t="shared" si="173"/>
        <v>92000</v>
      </c>
      <c r="N1123" s="2" t="s">
        <v>58</v>
      </c>
      <c r="O1123" t="s">
        <v>22</v>
      </c>
      <c r="P1123" s="2" t="s">
        <v>2366</v>
      </c>
      <c r="Q1123" s="2">
        <v>1</v>
      </c>
      <c r="R1123" s="2" t="s">
        <v>34</v>
      </c>
      <c r="S1123" s="2" t="str">
        <f t="shared" si="174"/>
        <v>Rendah</v>
      </c>
      <c r="T1123" s="2" t="str">
        <f t="shared" si="175"/>
        <v>FALSE</v>
      </c>
      <c r="U1123" s="2" t="str">
        <f t="shared" si="176"/>
        <v>FALSE</v>
      </c>
      <c r="V1123" s="2" t="b">
        <f t="shared" si="177"/>
        <v>0</v>
      </c>
      <c r="W1123" s="2" t="b">
        <f t="shared" si="178"/>
        <v>0</v>
      </c>
      <c r="X1123" s="2" t="b">
        <f t="shared" si="179"/>
        <v>0</v>
      </c>
    </row>
    <row r="1124" spans="1:24" ht="10.5" customHeight="1">
      <c r="A1124" s="2" t="s">
        <v>1501</v>
      </c>
      <c r="B1124" s="3">
        <v>45868.783784722233</v>
      </c>
      <c r="C1124" s="2" t="s">
        <v>255</v>
      </c>
      <c r="D1124" s="2" t="s">
        <v>111</v>
      </c>
      <c r="E1124" s="2" t="s">
        <v>102</v>
      </c>
      <c r="F1124" s="4">
        <v>55000</v>
      </c>
      <c r="G1124" s="5">
        <v>0.7</v>
      </c>
      <c r="H1124" s="6">
        <v>0</v>
      </c>
      <c r="I1124" s="7">
        <f t="shared" si="170"/>
        <v>38500</v>
      </c>
      <c r="J1124" s="7">
        <f t="shared" si="171"/>
        <v>0</v>
      </c>
      <c r="K1124" s="7">
        <f t="shared" si="172"/>
        <v>38500</v>
      </c>
      <c r="L1124" s="4">
        <v>0</v>
      </c>
      <c r="M1124" s="7">
        <f t="shared" si="173"/>
        <v>38500</v>
      </c>
      <c r="N1124" s="2" t="s">
        <v>58</v>
      </c>
      <c r="O1124" t="s">
        <v>22</v>
      </c>
      <c r="P1124" s="2" t="s">
        <v>2366</v>
      </c>
      <c r="Q1124" s="2">
        <v>1</v>
      </c>
      <c r="R1124" s="2" t="s">
        <v>23</v>
      </c>
      <c r="S1124" s="2" t="str">
        <f t="shared" si="174"/>
        <v>Sangat Rendah</v>
      </c>
      <c r="T1124" s="2" t="str">
        <f t="shared" si="175"/>
        <v>FALSE</v>
      </c>
      <c r="U1124" s="2" t="str">
        <f t="shared" si="176"/>
        <v>FALSE</v>
      </c>
      <c r="V1124" s="2" t="b">
        <f t="shared" si="177"/>
        <v>0</v>
      </c>
      <c r="W1124" s="2" t="b">
        <f t="shared" si="178"/>
        <v>0</v>
      </c>
      <c r="X1124" s="2" t="b">
        <f t="shared" si="179"/>
        <v>1</v>
      </c>
    </row>
    <row r="1125" spans="1:24" ht="10.5" customHeight="1">
      <c r="A1125" s="2" t="s">
        <v>1502</v>
      </c>
      <c r="B1125" s="3">
        <v>45868.826168981483</v>
      </c>
      <c r="C1125" s="2" t="s">
        <v>113</v>
      </c>
      <c r="D1125" s="2" t="s">
        <v>114</v>
      </c>
      <c r="E1125" s="2" t="s">
        <v>35</v>
      </c>
      <c r="F1125" s="4">
        <v>13500</v>
      </c>
      <c r="G1125" s="5">
        <v>2.6</v>
      </c>
      <c r="H1125" s="6">
        <v>0</v>
      </c>
      <c r="I1125" s="7">
        <f t="shared" si="170"/>
        <v>35100</v>
      </c>
      <c r="J1125" s="7">
        <f t="shared" si="171"/>
        <v>0</v>
      </c>
      <c r="K1125" s="7">
        <f t="shared" si="172"/>
        <v>35100</v>
      </c>
      <c r="L1125" s="4">
        <v>78000</v>
      </c>
      <c r="M1125" s="7">
        <f t="shared" si="173"/>
        <v>113100</v>
      </c>
      <c r="N1125" s="2" t="s">
        <v>28</v>
      </c>
      <c r="O1125" t="s">
        <v>22</v>
      </c>
      <c r="P1125" s="2" t="s">
        <v>2368</v>
      </c>
      <c r="Q1125" s="2">
        <v>3</v>
      </c>
      <c r="R1125" s="2" t="s">
        <v>23</v>
      </c>
      <c r="S1125" s="2" t="str">
        <f t="shared" si="174"/>
        <v>Standar</v>
      </c>
      <c r="T1125" s="2" t="str">
        <f t="shared" si="175"/>
        <v>FALSE</v>
      </c>
      <c r="U1125" s="2" t="str">
        <f t="shared" si="176"/>
        <v>FALSE</v>
      </c>
      <c r="V1125" s="2" t="b">
        <f t="shared" si="177"/>
        <v>0</v>
      </c>
      <c r="W1125" s="2" t="b">
        <f t="shared" si="178"/>
        <v>0</v>
      </c>
      <c r="X1125" s="2" t="b">
        <f t="shared" si="179"/>
        <v>0</v>
      </c>
    </row>
    <row r="1126" spans="1:24" ht="10.5" customHeight="1">
      <c r="A1126" s="2" t="s">
        <v>1503</v>
      </c>
      <c r="B1126" s="3">
        <v>45868.948738425926</v>
      </c>
      <c r="C1126" s="2" t="s">
        <v>200</v>
      </c>
      <c r="D1126" s="2" t="s">
        <v>133</v>
      </c>
      <c r="E1126" s="2" t="s">
        <v>182</v>
      </c>
      <c r="F1126" s="4">
        <v>11000</v>
      </c>
      <c r="G1126" s="5">
        <v>1</v>
      </c>
      <c r="H1126" s="6">
        <v>0</v>
      </c>
      <c r="I1126" s="7">
        <f t="shared" si="170"/>
        <v>11000</v>
      </c>
      <c r="J1126" s="7">
        <f t="shared" si="171"/>
        <v>0</v>
      </c>
      <c r="K1126" s="7">
        <f t="shared" si="172"/>
        <v>11000</v>
      </c>
      <c r="L1126" s="4">
        <v>50000</v>
      </c>
      <c r="M1126" s="7">
        <f t="shared" si="173"/>
        <v>61000</v>
      </c>
      <c r="N1126" s="2" t="s">
        <v>28</v>
      </c>
      <c r="O1126" t="s">
        <v>22</v>
      </c>
      <c r="P1126" s="2" t="s">
        <v>2367</v>
      </c>
      <c r="Q1126" s="2">
        <v>5</v>
      </c>
      <c r="R1126" s="2" t="s">
        <v>34</v>
      </c>
      <c r="S1126" s="2" t="str">
        <f t="shared" si="174"/>
        <v>Rendah</v>
      </c>
      <c r="T1126" s="2" t="str">
        <f t="shared" si="175"/>
        <v>FALSE</v>
      </c>
      <c r="U1126" s="2" t="str">
        <f t="shared" si="176"/>
        <v>FALSE</v>
      </c>
      <c r="V1126" s="2" t="b">
        <f t="shared" si="177"/>
        <v>0</v>
      </c>
      <c r="W1126" s="2" t="b">
        <f t="shared" si="178"/>
        <v>1</v>
      </c>
      <c r="X1126" s="2" t="b">
        <f t="shared" si="179"/>
        <v>0</v>
      </c>
    </row>
    <row r="1127" spans="1:24" ht="10.5" customHeight="1">
      <c r="A1127" s="2" t="s">
        <v>1504</v>
      </c>
      <c r="B1127" s="3">
        <v>45869.171122685177</v>
      </c>
      <c r="C1127" s="2" t="s">
        <v>421</v>
      </c>
      <c r="D1127" s="2" t="s">
        <v>31</v>
      </c>
      <c r="E1127" s="2" t="s">
        <v>20</v>
      </c>
      <c r="F1127" s="4">
        <v>10000</v>
      </c>
      <c r="G1127" s="5">
        <v>1.3</v>
      </c>
      <c r="H1127" s="6">
        <v>0</v>
      </c>
      <c r="I1127" s="7">
        <f t="shared" si="170"/>
        <v>13000</v>
      </c>
      <c r="J1127" s="7">
        <f t="shared" si="171"/>
        <v>0</v>
      </c>
      <c r="K1127" s="7">
        <f t="shared" si="172"/>
        <v>13000</v>
      </c>
      <c r="L1127" s="4">
        <v>76000</v>
      </c>
      <c r="M1127" s="7">
        <f t="shared" si="173"/>
        <v>89000</v>
      </c>
      <c r="N1127" s="2" t="s">
        <v>33</v>
      </c>
      <c r="O1127" t="s">
        <v>22</v>
      </c>
      <c r="P1127" s="2" t="s">
        <v>2367</v>
      </c>
      <c r="Q1127" s="2">
        <v>5</v>
      </c>
      <c r="R1127" s="2" t="s">
        <v>23</v>
      </c>
      <c r="S1127" s="2" t="str">
        <f t="shared" si="174"/>
        <v>Rendah</v>
      </c>
      <c r="T1127" s="2" t="str">
        <f t="shared" si="175"/>
        <v>FALSE</v>
      </c>
      <c r="U1127" s="2" t="str">
        <f t="shared" si="176"/>
        <v>FALSE</v>
      </c>
      <c r="V1127" s="2" t="b">
        <f t="shared" si="177"/>
        <v>0</v>
      </c>
      <c r="W1127" s="2" t="b">
        <f t="shared" si="178"/>
        <v>1</v>
      </c>
      <c r="X1127" s="2" t="b">
        <f t="shared" si="179"/>
        <v>0</v>
      </c>
    </row>
    <row r="1128" spans="1:24" ht="10.5" customHeight="1">
      <c r="A1128" s="2" t="s">
        <v>1505</v>
      </c>
      <c r="B1128" s="3">
        <v>45869.421446759261</v>
      </c>
      <c r="C1128" s="2" t="s">
        <v>449</v>
      </c>
      <c r="D1128" s="2" t="s">
        <v>56</v>
      </c>
      <c r="E1128" s="2" t="s">
        <v>32</v>
      </c>
      <c r="F1128" s="4">
        <v>20000</v>
      </c>
      <c r="G1128" s="5">
        <v>2.2000000000000002</v>
      </c>
      <c r="H1128" s="6">
        <v>0</v>
      </c>
      <c r="I1128" s="7">
        <f t="shared" si="170"/>
        <v>44000</v>
      </c>
      <c r="J1128" s="7">
        <f t="shared" si="171"/>
        <v>0</v>
      </c>
      <c r="K1128" s="7">
        <f t="shared" si="172"/>
        <v>44000</v>
      </c>
      <c r="L1128" s="4">
        <v>26000</v>
      </c>
      <c r="M1128" s="7">
        <f t="shared" si="173"/>
        <v>70000</v>
      </c>
      <c r="N1128" s="2" t="s">
        <v>21</v>
      </c>
      <c r="O1128" t="s">
        <v>22</v>
      </c>
      <c r="P1128" s="2" t="s">
        <v>2370</v>
      </c>
      <c r="Q1128" s="2">
        <v>2</v>
      </c>
      <c r="R1128" s="2" t="s">
        <v>23</v>
      </c>
      <c r="S1128" s="2" t="str">
        <f t="shared" si="174"/>
        <v>Rendah</v>
      </c>
      <c r="T1128" s="2" t="str">
        <f t="shared" si="175"/>
        <v>FALSE</v>
      </c>
      <c r="U1128" s="2" t="str">
        <f t="shared" si="176"/>
        <v>FALSE</v>
      </c>
      <c r="V1128" s="2" t="b">
        <f t="shared" si="177"/>
        <v>0</v>
      </c>
      <c r="W1128" s="2" t="b">
        <f t="shared" si="178"/>
        <v>0</v>
      </c>
      <c r="X1128" s="2" t="b">
        <f t="shared" si="179"/>
        <v>0</v>
      </c>
    </row>
    <row r="1129" spans="1:24" ht="10.5" customHeight="1">
      <c r="A1129" s="2" t="s">
        <v>1506</v>
      </c>
      <c r="B1129" s="3">
        <v>45869.454143518517</v>
      </c>
      <c r="C1129" s="2" t="s">
        <v>912</v>
      </c>
      <c r="D1129" s="2" t="s">
        <v>31</v>
      </c>
      <c r="E1129" s="2" t="s">
        <v>53</v>
      </c>
      <c r="F1129" s="4">
        <v>14000</v>
      </c>
      <c r="G1129" s="5">
        <v>0.8</v>
      </c>
      <c r="H1129" s="6">
        <v>0</v>
      </c>
      <c r="I1129" s="7">
        <f t="shared" si="170"/>
        <v>11200</v>
      </c>
      <c r="J1129" s="7">
        <f t="shared" si="171"/>
        <v>0</v>
      </c>
      <c r="K1129" s="7">
        <f t="shared" si="172"/>
        <v>11200</v>
      </c>
      <c r="L1129" s="4">
        <v>76000</v>
      </c>
      <c r="M1129" s="7">
        <f t="shared" si="173"/>
        <v>87200</v>
      </c>
      <c r="N1129" s="2" t="s">
        <v>33</v>
      </c>
      <c r="O1129" t="s">
        <v>22</v>
      </c>
      <c r="P1129" s="2" t="s">
        <v>2367</v>
      </c>
      <c r="Q1129" s="2">
        <v>5</v>
      </c>
      <c r="R1129" s="2" t="s">
        <v>34</v>
      </c>
      <c r="S1129" s="2" t="str">
        <f t="shared" si="174"/>
        <v>Rendah</v>
      </c>
      <c r="T1129" s="2" t="str">
        <f t="shared" si="175"/>
        <v>FALSE</v>
      </c>
      <c r="U1129" s="2" t="str">
        <f t="shared" si="176"/>
        <v>FALSE</v>
      </c>
      <c r="V1129" s="2" t="b">
        <f t="shared" si="177"/>
        <v>0</v>
      </c>
      <c r="W1129" s="2" t="b">
        <f t="shared" si="178"/>
        <v>1</v>
      </c>
      <c r="X1129" s="2" t="b">
        <f t="shared" si="179"/>
        <v>0</v>
      </c>
    </row>
    <row r="1130" spans="1:24" ht="10.5" customHeight="1">
      <c r="A1130" s="2" t="s">
        <v>1507</v>
      </c>
      <c r="B1130" s="3">
        <v>45869.466643518521</v>
      </c>
      <c r="C1130" s="2" t="s">
        <v>562</v>
      </c>
      <c r="D1130" s="2" t="s">
        <v>31</v>
      </c>
      <c r="E1130" s="2" t="s">
        <v>80</v>
      </c>
      <c r="F1130" s="4">
        <v>15000</v>
      </c>
      <c r="G1130" s="5">
        <v>0.5</v>
      </c>
      <c r="H1130" s="6">
        <v>0</v>
      </c>
      <c r="I1130" s="7">
        <f t="shared" si="170"/>
        <v>7500</v>
      </c>
      <c r="J1130" s="7">
        <f t="shared" si="171"/>
        <v>0</v>
      </c>
      <c r="K1130" s="7">
        <f t="shared" si="172"/>
        <v>7500</v>
      </c>
      <c r="L1130" s="4">
        <v>76000</v>
      </c>
      <c r="M1130" s="7">
        <f t="shared" si="173"/>
        <v>83500</v>
      </c>
      <c r="N1130" s="2" t="s">
        <v>33</v>
      </c>
      <c r="O1130" t="s">
        <v>22</v>
      </c>
      <c r="P1130" s="2" t="s">
        <v>2365</v>
      </c>
      <c r="Q1130" s="2">
        <v>2</v>
      </c>
      <c r="R1130" s="2" t="s">
        <v>23</v>
      </c>
      <c r="S1130" s="2" t="str">
        <f t="shared" si="174"/>
        <v>Rendah</v>
      </c>
      <c r="T1130" s="2" t="str">
        <f t="shared" si="175"/>
        <v>FALSE</v>
      </c>
      <c r="U1130" s="2" t="str">
        <f t="shared" si="176"/>
        <v>FALSE</v>
      </c>
      <c r="V1130" s="2" t="b">
        <f t="shared" si="177"/>
        <v>0</v>
      </c>
      <c r="W1130" s="2" t="b">
        <f t="shared" si="178"/>
        <v>0</v>
      </c>
      <c r="X1130" s="2" t="b">
        <f t="shared" si="179"/>
        <v>0</v>
      </c>
    </row>
    <row r="1131" spans="1:24" ht="10.5" customHeight="1">
      <c r="A1131" s="2" t="s">
        <v>1508</v>
      </c>
      <c r="B1131" s="3">
        <v>45869.477418981478</v>
      </c>
      <c r="C1131" s="2" t="s">
        <v>586</v>
      </c>
      <c r="D1131" s="2" t="s">
        <v>64</v>
      </c>
      <c r="E1131" s="2" t="s">
        <v>35</v>
      </c>
      <c r="F1131" s="4">
        <v>13500</v>
      </c>
      <c r="G1131" s="5">
        <v>1.5</v>
      </c>
      <c r="H1131" s="6">
        <v>0</v>
      </c>
      <c r="I1131" s="7">
        <f t="shared" si="170"/>
        <v>20250</v>
      </c>
      <c r="J1131" s="7">
        <f t="shared" si="171"/>
        <v>0</v>
      </c>
      <c r="K1131" s="7">
        <f t="shared" si="172"/>
        <v>20250</v>
      </c>
      <c r="L1131" s="4">
        <v>89000</v>
      </c>
      <c r="M1131" s="7">
        <f t="shared" si="173"/>
        <v>109250</v>
      </c>
      <c r="N1131" s="2" t="s">
        <v>58</v>
      </c>
      <c r="O1131" t="s">
        <v>22</v>
      </c>
      <c r="P1131" s="2" t="s">
        <v>2367</v>
      </c>
      <c r="Q1131" s="2">
        <v>4</v>
      </c>
      <c r="R1131" s="2" t="s">
        <v>23</v>
      </c>
      <c r="S1131" s="2" t="str">
        <f t="shared" si="174"/>
        <v>Standar</v>
      </c>
      <c r="T1131" s="2" t="str">
        <f t="shared" si="175"/>
        <v>FALSE</v>
      </c>
      <c r="U1131" s="2" t="str">
        <f t="shared" si="176"/>
        <v>FALSE</v>
      </c>
      <c r="V1131" s="2" t="b">
        <f t="shared" si="177"/>
        <v>0</v>
      </c>
      <c r="W1131" s="2" t="b">
        <f t="shared" si="178"/>
        <v>1</v>
      </c>
      <c r="X1131" s="2" t="b">
        <f t="shared" si="179"/>
        <v>0</v>
      </c>
    </row>
    <row r="1132" spans="1:24" ht="10.5" customHeight="1">
      <c r="A1132" s="2" t="s">
        <v>1509</v>
      </c>
      <c r="B1132" s="3">
        <v>45869.491354166668</v>
      </c>
      <c r="C1132" s="2" t="s">
        <v>888</v>
      </c>
      <c r="D1132" s="2" t="s">
        <v>185</v>
      </c>
      <c r="E1132" s="2" t="s">
        <v>53</v>
      </c>
      <c r="F1132" s="4">
        <v>14000</v>
      </c>
      <c r="G1132" s="5">
        <v>0.8</v>
      </c>
      <c r="H1132" s="6">
        <v>0</v>
      </c>
      <c r="I1132" s="7">
        <f t="shared" si="170"/>
        <v>11200</v>
      </c>
      <c r="J1132" s="7">
        <f t="shared" si="171"/>
        <v>0</v>
      </c>
      <c r="K1132" s="7">
        <f t="shared" si="172"/>
        <v>11200</v>
      </c>
      <c r="L1132" s="4">
        <v>87000</v>
      </c>
      <c r="M1132" s="7">
        <f t="shared" si="173"/>
        <v>98200</v>
      </c>
      <c r="N1132" s="2" t="s">
        <v>28</v>
      </c>
      <c r="O1132" t="s">
        <v>22</v>
      </c>
      <c r="P1132" s="2" t="s">
        <v>2366</v>
      </c>
      <c r="Q1132" s="2">
        <v>2</v>
      </c>
      <c r="R1132" s="2" t="s">
        <v>23</v>
      </c>
      <c r="S1132" s="2" t="str">
        <f t="shared" si="174"/>
        <v>Rendah</v>
      </c>
      <c r="T1132" s="2" t="str">
        <f t="shared" si="175"/>
        <v>FALSE</v>
      </c>
      <c r="U1132" s="2" t="str">
        <f t="shared" si="176"/>
        <v>FALSE</v>
      </c>
      <c r="V1132" s="2" t="b">
        <f t="shared" si="177"/>
        <v>0</v>
      </c>
      <c r="W1132" s="2" t="b">
        <f t="shared" si="178"/>
        <v>0</v>
      </c>
      <c r="X1132" s="2" t="b">
        <f t="shared" si="179"/>
        <v>0</v>
      </c>
    </row>
    <row r="1133" spans="1:24" ht="10.5" customHeight="1">
      <c r="A1133" s="2" t="s">
        <v>1510</v>
      </c>
      <c r="B1133" s="3">
        <v>45869.508101851847</v>
      </c>
      <c r="C1133" s="2" t="s">
        <v>373</v>
      </c>
      <c r="D1133" s="2" t="s">
        <v>114</v>
      </c>
      <c r="E1133" s="2" t="s">
        <v>80</v>
      </c>
      <c r="F1133" s="4">
        <v>15000</v>
      </c>
      <c r="G1133" s="5">
        <v>2.5</v>
      </c>
      <c r="H1133" s="6">
        <v>0</v>
      </c>
      <c r="I1133" s="7">
        <f t="shared" si="170"/>
        <v>37500</v>
      </c>
      <c r="J1133" s="7">
        <f t="shared" si="171"/>
        <v>0</v>
      </c>
      <c r="K1133" s="7">
        <f t="shared" si="172"/>
        <v>37500</v>
      </c>
      <c r="L1133" s="4">
        <v>78000</v>
      </c>
      <c r="M1133" s="7">
        <f t="shared" si="173"/>
        <v>115500</v>
      </c>
      <c r="N1133" s="2" t="s">
        <v>58</v>
      </c>
      <c r="O1133" t="s">
        <v>22</v>
      </c>
      <c r="P1133" s="2" t="s">
        <v>2368</v>
      </c>
      <c r="Q1133" s="2">
        <v>5</v>
      </c>
      <c r="R1133" s="2" t="s">
        <v>23</v>
      </c>
      <c r="S1133" s="2" t="str">
        <f t="shared" si="174"/>
        <v>Standar</v>
      </c>
      <c r="T1133" s="2" t="str">
        <f t="shared" si="175"/>
        <v>FALSE</v>
      </c>
      <c r="U1133" s="2" t="str">
        <f t="shared" si="176"/>
        <v>FALSE</v>
      </c>
      <c r="V1133" s="2" t="b">
        <f t="shared" si="177"/>
        <v>0</v>
      </c>
      <c r="W1133" s="2" t="b">
        <f t="shared" si="178"/>
        <v>0</v>
      </c>
      <c r="X1133" s="2" t="b">
        <f t="shared" si="179"/>
        <v>0</v>
      </c>
    </row>
    <row r="1134" spans="1:24" ht="10.5" customHeight="1">
      <c r="A1134" s="2" t="s">
        <v>1511</v>
      </c>
      <c r="B1134" s="3">
        <v>45869.575381944444</v>
      </c>
      <c r="C1134" s="2" t="s">
        <v>433</v>
      </c>
      <c r="D1134" s="2" t="s">
        <v>48</v>
      </c>
      <c r="E1134" s="2" t="s">
        <v>35</v>
      </c>
      <c r="F1134" s="4">
        <v>13500</v>
      </c>
      <c r="G1134" s="5">
        <v>2.9</v>
      </c>
      <c r="H1134" s="6">
        <v>0</v>
      </c>
      <c r="I1134" s="7">
        <f t="shared" si="170"/>
        <v>39150</v>
      </c>
      <c r="J1134" s="7">
        <f t="shared" si="171"/>
        <v>0</v>
      </c>
      <c r="K1134" s="7">
        <f t="shared" si="172"/>
        <v>39150</v>
      </c>
      <c r="L1134" s="4">
        <v>18000</v>
      </c>
      <c r="M1134" s="7">
        <f t="shared" si="173"/>
        <v>57150</v>
      </c>
      <c r="N1134" s="2" t="s">
        <v>58</v>
      </c>
      <c r="O1134" t="s">
        <v>22</v>
      </c>
      <c r="P1134" s="2" t="s">
        <v>2366</v>
      </c>
      <c r="Q1134" s="2">
        <v>4</v>
      </c>
      <c r="R1134" s="2" t="s">
        <v>23</v>
      </c>
      <c r="S1134" s="2" t="str">
        <f t="shared" si="174"/>
        <v>Rendah</v>
      </c>
      <c r="T1134" s="2" t="str">
        <f t="shared" si="175"/>
        <v>FALSE</v>
      </c>
      <c r="U1134" s="2" t="str">
        <f t="shared" si="176"/>
        <v>FALSE</v>
      </c>
      <c r="V1134" s="2" t="b">
        <f t="shared" si="177"/>
        <v>0</v>
      </c>
      <c r="W1134" s="2" t="b">
        <f t="shared" si="178"/>
        <v>0</v>
      </c>
      <c r="X1134" s="2" t="b">
        <f t="shared" si="179"/>
        <v>0</v>
      </c>
    </row>
    <row r="1135" spans="1:24" ht="10.5" customHeight="1">
      <c r="A1135" s="2" t="s">
        <v>1512</v>
      </c>
      <c r="B1135" s="3">
        <v>45869.644212962958</v>
      </c>
      <c r="C1135" s="2" t="s">
        <v>1513</v>
      </c>
      <c r="D1135" s="2" t="s">
        <v>87</v>
      </c>
      <c r="E1135" s="2" t="s">
        <v>143</v>
      </c>
      <c r="F1135" s="4">
        <v>10000</v>
      </c>
      <c r="G1135" s="5">
        <v>0.9</v>
      </c>
      <c r="H1135" s="6">
        <v>0</v>
      </c>
      <c r="I1135" s="7">
        <f t="shared" si="170"/>
        <v>9000</v>
      </c>
      <c r="J1135" s="7">
        <f t="shared" si="171"/>
        <v>0</v>
      </c>
      <c r="K1135" s="7">
        <f t="shared" si="172"/>
        <v>9000</v>
      </c>
      <c r="L1135" s="4">
        <v>49000</v>
      </c>
      <c r="M1135" s="7">
        <f t="shared" si="173"/>
        <v>58000</v>
      </c>
      <c r="N1135" s="2" t="s">
        <v>58</v>
      </c>
      <c r="O1135" t="s">
        <v>22</v>
      </c>
      <c r="P1135" s="2" t="s">
        <v>2366</v>
      </c>
      <c r="Q1135" s="2">
        <v>4</v>
      </c>
      <c r="R1135" s="2" t="s">
        <v>23</v>
      </c>
      <c r="S1135" s="2" t="str">
        <f t="shared" si="174"/>
        <v>Rendah</v>
      </c>
      <c r="T1135" s="2" t="str">
        <f t="shared" si="175"/>
        <v>FALSE</v>
      </c>
      <c r="U1135" s="2" t="str">
        <f t="shared" si="176"/>
        <v>TRUE</v>
      </c>
      <c r="V1135" s="2" t="b">
        <f t="shared" si="177"/>
        <v>0</v>
      </c>
      <c r="W1135" s="2" t="b">
        <f t="shared" si="178"/>
        <v>0</v>
      </c>
      <c r="X1135" s="2" t="b">
        <f t="shared" si="179"/>
        <v>0</v>
      </c>
    </row>
    <row r="1136" spans="1:24" ht="10.5" customHeight="1">
      <c r="A1136" s="2" t="s">
        <v>1514</v>
      </c>
      <c r="B1136" s="3">
        <v>45869.729490740741</v>
      </c>
      <c r="C1136" s="2" t="s">
        <v>1253</v>
      </c>
      <c r="D1136" s="2" t="s">
        <v>425</v>
      </c>
      <c r="E1136" s="2" t="s">
        <v>65</v>
      </c>
      <c r="F1136" s="4">
        <v>46000</v>
      </c>
      <c r="G1136" s="5">
        <v>0.8</v>
      </c>
      <c r="H1136" s="6">
        <v>0</v>
      </c>
      <c r="I1136" s="7">
        <f t="shared" si="170"/>
        <v>36800</v>
      </c>
      <c r="J1136" s="7">
        <f t="shared" si="171"/>
        <v>0</v>
      </c>
      <c r="K1136" s="7">
        <f t="shared" si="172"/>
        <v>36800</v>
      </c>
      <c r="L1136" s="4">
        <v>67000</v>
      </c>
      <c r="M1136" s="7">
        <f t="shared" si="173"/>
        <v>103800</v>
      </c>
      <c r="N1136" s="2" t="s">
        <v>33</v>
      </c>
      <c r="O1136" t="s">
        <v>22</v>
      </c>
      <c r="P1136" s="2" t="s">
        <v>2366</v>
      </c>
      <c r="Q1136" s="2">
        <v>2</v>
      </c>
      <c r="R1136" s="2" t="s">
        <v>23</v>
      </c>
      <c r="S1136" s="2" t="str">
        <f t="shared" si="174"/>
        <v>Standar</v>
      </c>
      <c r="T1136" s="2" t="str">
        <f t="shared" si="175"/>
        <v>FALSE</v>
      </c>
      <c r="U1136" s="2" t="str">
        <f t="shared" si="176"/>
        <v>FALSE</v>
      </c>
      <c r="V1136" s="2" t="b">
        <f t="shared" si="177"/>
        <v>0</v>
      </c>
      <c r="W1136" s="2" t="b">
        <f t="shared" si="178"/>
        <v>0</v>
      </c>
      <c r="X1136" s="2" t="b">
        <f t="shared" si="179"/>
        <v>0</v>
      </c>
    </row>
    <row r="1137" spans="1:24" ht="10.5" customHeight="1">
      <c r="A1137" s="2" t="s">
        <v>1515</v>
      </c>
      <c r="B1137" s="3">
        <v>45869.802418981482</v>
      </c>
      <c r="C1137" s="2" t="s">
        <v>373</v>
      </c>
      <c r="D1137" s="2" t="s">
        <v>114</v>
      </c>
      <c r="E1137" s="2" t="s">
        <v>53</v>
      </c>
      <c r="F1137" s="4">
        <v>14000</v>
      </c>
      <c r="G1137" s="5">
        <v>1.2</v>
      </c>
      <c r="H1137" s="6">
        <v>0</v>
      </c>
      <c r="I1137" s="7">
        <f t="shared" si="170"/>
        <v>16800</v>
      </c>
      <c r="J1137" s="7">
        <f t="shared" si="171"/>
        <v>0</v>
      </c>
      <c r="K1137" s="7">
        <f t="shared" si="172"/>
        <v>16800</v>
      </c>
      <c r="L1137" s="4">
        <v>78000</v>
      </c>
      <c r="M1137" s="7">
        <f t="shared" si="173"/>
        <v>94800</v>
      </c>
      <c r="N1137" s="2" t="s">
        <v>21</v>
      </c>
      <c r="O1137" t="s">
        <v>22</v>
      </c>
      <c r="P1137" s="2" t="s">
        <v>2365</v>
      </c>
      <c r="Q1137" s="2">
        <v>1</v>
      </c>
      <c r="R1137" s="2" t="s">
        <v>23</v>
      </c>
      <c r="S1137" s="2" t="str">
        <f t="shared" si="174"/>
        <v>Rendah</v>
      </c>
      <c r="T1137" s="2" t="str">
        <f t="shared" si="175"/>
        <v>TRUE</v>
      </c>
      <c r="U1137" s="2" t="str">
        <f t="shared" si="176"/>
        <v>FALSE</v>
      </c>
      <c r="V1137" s="2" t="b">
        <f t="shared" si="177"/>
        <v>0</v>
      </c>
      <c r="W1137" s="2" t="b">
        <f t="shared" si="178"/>
        <v>0</v>
      </c>
      <c r="X1137" s="2" t="b">
        <f t="shared" si="179"/>
        <v>0</v>
      </c>
    </row>
    <row r="1138" spans="1:24" ht="10.5" customHeight="1">
      <c r="A1138" s="2" t="s">
        <v>1516</v>
      </c>
      <c r="B1138" s="3">
        <v>45870.402268518519</v>
      </c>
      <c r="C1138" s="2" t="s">
        <v>86</v>
      </c>
      <c r="D1138" s="2" t="s">
        <v>87</v>
      </c>
      <c r="E1138" s="2" t="s">
        <v>45</v>
      </c>
      <c r="F1138" s="4">
        <v>10500</v>
      </c>
      <c r="G1138" s="5">
        <v>1.3</v>
      </c>
      <c r="H1138" s="6">
        <v>0</v>
      </c>
      <c r="I1138" s="7">
        <f t="shared" si="170"/>
        <v>13650</v>
      </c>
      <c r="J1138" s="7">
        <f t="shared" si="171"/>
        <v>0</v>
      </c>
      <c r="K1138" s="7">
        <f t="shared" si="172"/>
        <v>13650</v>
      </c>
      <c r="L1138" s="4">
        <v>49000</v>
      </c>
      <c r="M1138" s="7">
        <f t="shared" si="173"/>
        <v>62650</v>
      </c>
      <c r="N1138" s="2" t="s">
        <v>33</v>
      </c>
      <c r="O1138" t="s">
        <v>115</v>
      </c>
      <c r="P1138" s="2" t="s">
        <v>2367</v>
      </c>
      <c r="Q1138" s="2">
        <v>1</v>
      </c>
      <c r="R1138" s="2" t="s">
        <v>23</v>
      </c>
      <c r="S1138" s="2" t="str">
        <f t="shared" si="174"/>
        <v>Rendah</v>
      </c>
      <c r="T1138" s="2" t="str">
        <f t="shared" si="175"/>
        <v>FALSE</v>
      </c>
      <c r="U1138" s="2" t="str">
        <f t="shared" si="176"/>
        <v>FALSE</v>
      </c>
      <c r="V1138" s="2" t="b">
        <f t="shared" si="177"/>
        <v>0</v>
      </c>
      <c r="W1138" s="2" t="b">
        <f t="shared" si="178"/>
        <v>1</v>
      </c>
      <c r="X1138" s="2" t="b">
        <f t="shared" si="179"/>
        <v>0</v>
      </c>
    </row>
    <row r="1139" spans="1:24" ht="10.5" customHeight="1">
      <c r="A1139" s="2" t="s">
        <v>1517</v>
      </c>
      <c r="B1139" s="3">
        <v>45870.539467592593</v>
      </c>
      <c r="C1139" s="2" t="s">
        <v>656</v>
      </c>
      <c r="D1139" s="2" t="s">
        <v>61</v>
      </c>
      <c r="E1139" s="2" t="s">
        <v>75</v>
      </c>
      <c r="F1139" s="4">
        <v>45000</v>
      </c>
      <c r="G1139" s="5">
        <v>2.2000000000000002</v>
      </c>
      <c r="H1139" s="6">
        <v>0</v>
      </c>
      <c r="I1139" s="7">
        <f t="shared" si="170"/>
        <v>99000.000000000015</v>
      </c>
      <c r="J1139" s="7">
        <f t="shared" si="171"/>
        <v>0</v>
      </c>
      <c r="K1139" s="7">
        <f t="shared" si="172"/>
        <v>99000.000000000015</v>
      </c>
      <c r="L1139" s="4">
        <v>59000</v>
      </c>
      <c r="M1139" s="7">
        <f t="shared" si="173"/>
        <v>158000</v>
      </c>
      <c r="N1139" s="2" t="s">
        <v>33</v>
      </c>
      <c r="O1139" t="s">
        <v>22</v>
      </c>
      <c r="P1139" s="2" t="s">
        <v>2368</v>
      </c>
      <c r="Q1139" s="2">
        <v>1</v>
      </c>
      <c r="R1139" s="2" t="s">
        <v>23</v>
      </c>
      <c r="S1139" s="2" t="str">
        <f t="shared" si="174"/>
        <v>Tinggi</v>
      </c>
      <c r="T1139" s="2" t="str">
        <f t="shared" si="175"/>
        <v>FALSE</v>
      </c>
      <c r="U1139" s="2" t="str">
        <f t="shared" si="176"/>
        <v>TRUE</v>
      </c>
      <c r="V1139" s="2" t="b">
        <f t="shared" si="177"/>
        <v>0</v>
      </c>
      <c r="W1139" s="2" t="b">
        <f t="shared" si="178"/>
        <v>0</v>
      </c>
      <c r="X1139" s="2" t="b">
        <f t="shared" si="179"/>
        <v>0</v>
      </c>
    </row>
    <row r="1140" spans="1:24" ht="10.5" customHeight="1">
      <c r="A1140" s="2" t="s">
        <v>1518</v>
      </c>
      <c r="B1140" s="3">
        <v>45870.55741898148</v>
      </c>
      <c r="C1140" s="2" t="s">
        <v>784</v>
      </c>
      <c r="D1140" s="2" t="s">
        <v>56</v>
      </c>
      <c r="E1140" s="2" t="s">
        <v>80</v>
      </c>
      <c r="F1140" s="4">
        <v>15000</v>
      </c>
      <c r="G1140" s="5">
        <v>1.1000000000000001</v>
      </c>
      <c r="H1140" s="6">
        <v>0</v>
      </c>
      <c r="I1140" s="7">
        <f t="shared" si="170"/>
        <v>16500</v>
      </c>
      <c r="J1140" s="7">
        <f t="shared" si="171"/>
        <v>0</v>
      </c>
      <c r="K1140" s="7">
        <f t="shared" si="172"/>
        <v>16500</v>
      </c>
      <c r="L1140" s="4">
        <v>26000</v>
      </c>
      <c r="M1140" s="7">
        <f t="shared" si="173"/>
        <v>42500</v>
      </c>
      <c r="N1140" s="2" t="s">
        <v>28</v>
      </c>
      <c r="O1140" t="s">
        <v>22</v>
      </c>
      <c r="P1140" s="2" t="s">
        <v>2365</v>
      </c>
      <c r="Q1140" s="2">
        <v>5</v>
      </c>
      <c r="R1140" s="2" t="s">
        <v>34</v>
      </c>
      <c r="S1140" s="2" t="str">
        <f t="shared" si="174"/>
        <v>Sangat Rendah</v>
      </c>
      <c r="T1140" s="2" t="str">
        <f t="shared" si="175"/>
        <v>FALSE</v>
      </c>
      <c r="U1140" s="2" t="str">
        <f t="shared" si="176"/>
        <v>FALSE</v>
      </c>
      <c r="V1140" s="2" t="b">
        <f t="shared" si="177"/>
        <v>0</v>
      </c>
      <c r="W1140" s="2" t="b">
        <f t="shared" si="178"/>
        <v>0</v>
      </c>
      <c r="X1140" s="2" t="b">
        <f t="shared" si="179"/>
        <v>0</v>
      </c>
    </row>
    <row r="1141" spans="1:24" ht="10.5" customHeight="1">
      <c r="A1141" s="2" t="s">
        <v>1519</v>
      </c>
      <c r="B1141" s="3">
        <v>45870.574675925927</v>
      </c>
      <c r="C1141" s="2" t="s">
        <v>1520</v>
      </c>
      <c r="D1141" s="2" t="s">
        <v>114</v>
      </c>
      <c r="E1141" s="2" t="s">
        <v>35</v>
      </c>
      <c r="F1141" s="4">
        <v>13500</v>
      </c>
      <c r="G1141" s="5">
        <v>3.2</v>
      </c>
      <c r="H1141" s="6">
        <v>0</v>
      </c>
      <c r="I1141" s="7">
        <f t="shared" si="170"/>
        <v>43200</v>
      </c>
      <c r="J1141" s="7">
        <f t="shared" si="171"/>
        <v>0</v>
      </c>
      <c r="K1141" s="7">
        <f t="shared" si="172"/>
        <v>43200</v>
      </c>
      <c r="L1141" s="4">
        <v>78000</v>
      </c>
      <c r="M1141" s="7">
        <f t="shared" si="173"/>
        <v>121200</v>
      </c>
      <c r="N1141" s="2" t="s">
        <v>58</v>
      </c>
      <c r="O1141" t="s">
        <v>69</v>
      </c>
      <c r="P1141" s="2" t="s">
        <v>2366</v>
      </c>
      <c r="Q1141" s="2">
        <v>2</v>
      </c>
      <c r="R1141" s="2" t="s">
        <v>23</v>
      </c>
      <c r="S1141" s="2" t="str">
        <f t="shared" si="174"/>
        <v>Standar</v>
      </c>
      <c r="T1141" s="2" t="str">
        <f t="shared" si="175"/>
        <v>FALSE</v>
      </c>
      <c r="U1141" s="2" t="str">
        <f t="shared" si="176"/>
        <v>FALSE</v>
      </c>
      <c r="V1141" s="2" t="b">
        <f t="shared" si="177"/>
        <v>0</v>
      </c>
      <c r="W1141" s="2" t="b">
        <f t="shared" si="178"/>
        <v>0</v>
      </c>
      <c r="X1141" s="2" t="b">
        <f t="shared" si="179"/>
        <v>0</v>
      </c>
    </row>
    <row r="1142" spans="1:24" ht="10.5" customHeight="1">
      <c r="A1142" s="2" t="s">
        <v>1521</v>
      </c>
      <c r="B1142" s="3">
        <v>45870.613923611112</v>
      </c>
      <c r="C1142" s="2" t="s">
        <v>881</v>
      </c>
      <c r="D1142" s="2" t="s">
        <v>118</v>
      </c>
      <c r="E1142" s="2" t="s">
        <v>32</v>
      </c>
      <c r="F1142" s="4">
        <v>20000</v>
      </c>
      <c r="G1142" s="5">
        <v>2.4</v>
      </c>
      <c r="H1142" s="6">
        <v>0</v>
      </c>
      <c r="I1142" s="7">
        <f t="shared" si="170"/>
        <v>48000</v>
      </c>
      <c r="J1142" s="7">
        <f t="shared" si="171"/>
        <v>0</v>
      </c>
      <c r="K1142" s="7">
        <f t="shared" si="172"/>
        <v>48000</v>
      </c>
      <c r="L1142" s="4">
        <v>84000</v>
      </c>
      <c r="M1142" s="7">
        <f t="shared" si="173"/>
        <v>132000</v>
      </c>
      <c r="N1142" s="2" t="s">
        <v>58</v>
      </c>
      <c r="O1142" t="s">
        <v>69</v>
      </c>
      <c r="P1142" s="2" t="s">
        <v>2370</v>
      </c>
      <c r="Q1142" s="2">
        <v>1</v>
      </c>
      <c r="R1142" s="2" t="s">
        <v>34</v>
      </c>
      <c r="S1142" s="2" t="str">
        <f t="shared" si="174"/>
        <v>Standar</v>
      </c>
      <c r="T1142" s="2" t="str">
        <f t="shared" si="175"/>
        <v>FALSE</v>
      </c>
      <c r="U1142" s="2" t="str">
        <f t="shared" si="176"/>
        <v>FALSE</v>
      </c>
      <c r="V1142" s="2" t="b">
        <f t="shared" si="177"/>
        <v>0</v>
      </c>
      <c r="W1142" s="2" t="b">
        <f t="shared" si="178"/>
        <v>0</v>
      </c>
      <c r="X1142" s="2" t="b">
        <f t="shared" si="179"/>
        <v>0</v>
      </c>
    </row>
    <row r="1143" spans="1:24" ht="10.5" customHeight="1">
      <c r="A1143" s="2" t="s">
        <v>1522</v>
      </c>
      <c r="B1143" s="3">
        <v>45873.453530092593</v>
      </c>
      <c r="C1143" s="2" t="s">
        <v>693</v>
      </c>
      <c r="D1143" s="2" t="s">
        <v>114</v>
      </c>
      <c r="E1143" s="2" t="s">
        <v>53</v>
      </c>
      <c r="F1143" s="4">
        <v>14000</v>
      </c>
      <c r="G1143" s="5">
        <v>0.8</v>
      </c>
      <c r="H1143" s="6">
        <v>0</v>
      </c>
      <c r="I1143" s="7">
        <f t="shared" si="170"/>
        <v>11200</v>
      </c>
      <c r="J1143" s="7">
        <f t="shared" si="171"/>
        <v>0</v>
      </c>
      <c r="K1143" s="7">
        <f t="shared" si="172"/>
        <v>11200</v>
      </c>
      <c r="L1143" s="4">
        <v>78000</v>
      </c>
      <c r="M1143" s="7">
        <f t="shared" si="173"/>
        <v>89200</v>
      </c>
      <c r="N1143" s="2" t="s">
        <v>28</v>
      </c>
      <c r="O1143" t="s">
        <v>22</v>
      </c>
      <c r="P1143" s="2" t="s">
        <v>2365</v>
      </c>
      <c r="Q1143" s="2">
        <v>3</v>
      </c>
      <c r="R1143" s="2" t="s">
        <v>23</v>
      </c>
      <c r="S1143" s="2" t="str">
        <f t="shared" si="174"/>
        <v>Rendah</v>
      </c>
      <c r="T1143" s="2" t="str">
        <f t="shared" si="175"/>
        <v>TRUE</v>
      </c>
      <c r="U1143" s="2" t="str">
        <f t="shared" si="176"/>
        <v>FALSE</v>
      </c>
      <c r="V1143" s="2" t="b">
        <f t="shared" si="177"/>
        <v>0</v>
      </c>
      <c r="W1143" s="2" t="b">
        <f t="shared" si="178"/>
        <v>0</v>
      </c>
      <c r="X1143" s="2" t="b">
        <f t="shared" si="179"/>
        <v>0</v>
      </c>
    </row>
    <row r="1144" spans="1:24" ht="10.5" customHeight="1">
      <c r="A1144" s="2" t="s">
        <v>1523</v>
      </c>
      <c r="B1144" s="3">
        <v>45873.905555555553</v>
      </c>
      <c r="C1144" s="2" t="s">
        <v>117</v>
      </c>
      <c r="D1144" s="2" t="s">
        <v>118</v>
      </c>
      <c r="E1144" s="2" t="s">
        <v>75</v>
      </c>
      <c r="F1144" s="4">
        <v>45000</v>
      </c>
      <c r="G1144" s="5">
        <v>0.9</v>
      </c>
      <c r="H1144" s="6">
        <v>0</v>
      </c>
      <c r="I1144" s="7">
        <f t="shared" si="170"/>
        <v>40500</v>
      </c>
      <c r="J1144" s="7">
        <f t="shared" si="171"/>
        <v>0</v>
      </c>
      <c r="K1144" s="7">
        <f t="shared" si="172"/>
        <v>40500</v>
      </c>
      <c r="L1144" s="4">
        <v>84000</v>
      </c>
      <c r="M1144" s="7">
        <f t="shared" si="173"/>
        <v>124500</v>
      </c>
      <c r="N1144" s="2" t="s">
        <v>58</v>
      </c>
      <c r="O1144" t="s">
        <v>22</v>
      </c>
      <c r="P1144" s="2" t="s">
        <v>2367</v>
      </c>
      <c r="Q1144" s="2">
        <v>5</v>
      </c>
      <c r="R1144" s="2" t="s">
        <v>23</v>
      </c>
      <c r="S1144" s="2" t="str">
        <f t="shared" si="174"/>
        <v>Standar</v>
      </c>
      <c r="T1144" s="2" t="str">
        <f t="shared" si="175"/>
        <v>FALSE</v>
      </c>
      <c r="U1144" s="2" t="str">
        <f t="shared" si="176"/>
        <v>FALSE</v>
      </c>
      <c r="V1144" s="2" t="b">
        <f t="shared" si="177"/>
        <v>0</v>
      </c>
      <c r="W1144" s="2" t="b">
        <f t="shared" si="178"/>
        <v>1</v>
      </c>
      <c r="X1144" s="2" t="b">
        <f t="shared" si="179"/>
        <v>0</v>
      </c>
    </row>
    <row r="1145" spans="1:24" ht="10.5" customHeight="1">
      <c r="A1145" s="2" t="s">
        <v>1524</v>
      </c>
      <c r="B1145" s="3">
        <v>45874.625601851847</v>
      </c>
      <c r="C1145" s="2" t="s">
        <v>325</v>
      </c>
      <c r="D1145" s="2" t="s">
        <v>74</v>
      </c>
      <c r="E1145" s="2" t="s">
        <v>57</v>
      </c>
      <c r="F1145" s="4">
        <v>17500</v>
      </c>
      <c r="G1145" s="5">
        <v>1</v>
      </c>
      <c r="H1145" s="6">
        <v>0</v>
      </c>
      <c r="I1145" s="7">
        <f t="shared" si="170"/>
        <v>17500</v>
      </c>
      <c r="J1145" s="7">
        <f t="shared" si="171"/>
        <v>0</v>
      </c>
      <c r="K1145" s="7">
        <f t="shared" si="172"/>
        <v>17500</v>
      </c>
      <c r="L1145" s="4">
        <v>74000</v>
      </c>
      <c r="M1145" s="7">
        <f t="shared" si="173"/>
        <v>91500</v>
      </c>
      <c r="N1145" s="2" t="s">
        <v>33</v>
      </c>
      <c r="O1145" t="s">
        <v>115</v>
      </c>
      <c r="P1145" s="2" t="s">
        <v>2370</v>
      </c>
      <c r="Q1145" s="2">
        <v>2</v>
      </c>
      <c r="R1145" s="2" t="s">
        <v>34</v>
      </c>
      <c r="S1145" s="2" t="str">
        <f t="shared" si="174"/>
        <v>Rendah</v>
      </c>
      <c r="T1145" s="2" t="str">
        <f t="shared" si="175"/>
        <v>FALSE</v>
      </c>
      <c r="U1145" s="2" t="str">
        <f t="shared" si="176"/>
        <v>FALSE</v>
      </c>
      <c r="V1145" s="2" t="b">
        <f t="shared" si="177"/>
        <v>0</v>
      </c>
      <c r="W1145" s="2" t="b">
        <f t="shared" si="178"/>
        <v>0</v>
      </c>
      <c r="X1145" s="2" t="b">
        <f t="shared" si="179"/>
        <v>0</v>
      </c>
    </row>
    <row r="1146" spans="1:24" ht="10.5" customHeight="1">
      <c r="A1146" s="2" t="s">
        <v>1525</v>
      </c>
      <c r="B1146" s="3">
        <v>45875.474652777782</v>
      </c>
      <c r="C1146" s="2" t="s">
        <v>698</v>
      </c>
      <c r="D1146" s="2" t="s">
        <v>108</v>
      </c>
      <c r="E1146" s="2" t="s">
        <v>80</v>
      </c>
      <c r="F1146" s="4">
        <v>15000</v>
      </c>
      <c r="G1146" s="5">
        <v>1</v>
      </c>
      <c r="H1146" s="6">
        <v>0</v>
      </c>
      <c r="I1146" s="7">
        <f t="shared" si="170"/>
        <v>15000</v>
      </c>
      <c r="J1146" s="7">
        <f t="shared" si="171"/>
        <v>0</v>
      </c>
      <c r="K1146" s="7">
        <f t="shared" si="172"/>
        <v>15000</v>
      </c>
      <c r="L1146" s="4">
        <v>72000</v>
      </c>
      <c r="M1146" s="7">
        <f t="shared" si="173"/>
        <v>87000</v>
      </c>
      <c r="N1146" s="2" t="s">
        <v>58</v>
      </c>
      <c r="O1146" t="s">
        <v>22</v>
      </c>
      <c r="P1146" s="2" t="s">
        <v>2367</v>
      </c>
      <c r="Q1146" s="2">
        <v>5</v>
      </c>
      <c r="R1146" s="2" t="s">
        <v>23</v>
      </c>
      <c r="S1146" s="2" t="str">
        <f t="shared" si="174"/>
        <v>Rendah</v>
      </c>
      <c r="T1146" s="2" t="str">
        <f t="shared" si="175"/>
        <v>FALSE</v>
      </c>
      <c r="U1146" s="2" t="str">
        <f t="shared" si="176"/>
        <v>FALSE</v>
      </c>
      <c r="V1146" s="2" t="b">
        <f t="shared" si="177"/>
        <v>0</v>
      </c>
      <c r="W1146" s="2" t="b">
        <f t="shared" si="178"/>
        <v>1</v>
      </c>
      <c r="X1146" s="2" t="b">
        <f t="shared" si="179"/>
        <v>0</v>
      </c>
    </row>
    <row r="1147" spans="1:24" ht="10.5" customHeight="1">
      <c r="A1147" s="2" t="s">
        <v>1526</v>
      </c>
      <c r="B1147" s="3">
        <v>45877.35837962963</v>
      </c>
      <c r="C1147" s="2" t="s">
        <v>1408</v>
      </c>
      <c r="D1147" s="2" t="s">
        <v>252</v>
      </c>
      <c r="E1147" s="2" t="s">
        <v>65</v>
      </c>
      <c r="F1147" s="4">
        <v>46000</v>
      </c>
      <c r="G1147" s="5">
        <v>0.2</v>
      </c>
      <c r="H1147" s="6">
        <v>5</v>
      </c>
      <c r="I1147" s="7">
        <f t="shared" si="170"/>
        <v>9200</v>
      </c>
      <c r="J1147" s="7">
        <f t="shared" si="171"/>
        <v>460</v>
      </c>
      <c r="K1147" s="7">
        <f t="shared" si="172"/>
        <v>8740</v>
      </c>
      <c r="L1147" s="4">
        <v>18000</v>
      </c>
      <c r="M1147" s="7">
        <f t="shared" si="173"/>
        <v>26740</v>
      </c>
      <c r="N1147" s="2" t="s">
        <v>28</v>
      </c>
      <c r="O1147" t="s">
        <v>22</v>
      </c>
      <c r="P1147" s="2" t="s">
        <v>2365</v>
      </c>
      <c r="Q1147" s="2">
        <v>5</v>
      </c>
      <c r="R1147" s="2" t="s">
        <v>23</v>
      </c>
      <c r="S1147" s="2" t="str">
        <f t="shared" si="174"/>
        <v>Sangat Rendah</v>
      </c>
      <c r="T1147" s="2" t="str">
        <f t="shared" si="175"/>
        <v>FALSE</v>
      </c>
      <c r="U1147" s="2" t="str">
        <f t="shared" si="176"/>
        <v>FALSE</v>
      </c>
      <c r="V1147" s="2" t="b">
        <f t="shared" si="177"/>
        <v>0</v>
      </c>
      <c r="W1147" s="2" t="b">
        <f t="shared" si="178"/>
        <v>0</v>
      </c>
      <c r="X1147" s="2" t="b">
        <f t="shared" si="179"/>
        <v>1</v>
      </c>
    </row>
    <row r="1148" spans="1:24" ht="10.5" customHeight="1">
      <c r="A1148" s="2" t="s">
        <v>1527</v>
      </c>
      <c r="B1148" s="3">
        <v>45877.398553240739</v>
      </c>
      <c r="C1148" s="2" t="s">
        <v>304</v>
      </c>
      <c r="D1148" s="2" t="s">
        <v>105</v>
      </c>
      <c r="E1148" s="2" t="s">
        <v>190</v>
      </c>
      <c r="F1148" s="4">
        <v>15500</v>
      </c>
      <c r="G1148" s="5">
        <v>0.3</v>
      </c>
      <c r="H1148" s="6">
        <v>5</v>
      </c>
      <c r="I1148" s="7">
        <f t="shared" si="170"/>
        <v>4650</v>
      </c>
      <c r="J1148" s="7">
        <f t="shared" si="171"/>
        <v>232.5</v>
      </c>
      <c r="K1148" s="7">
        <f t="shared" si="172"/>
        <v>4417.5</v>
      </c>
      <c r="L1148" s="4">
        <v>18000</v>
      </c>
      <c r="M1148" s="7">
        <f t="shared" si="173"/>
        <v>22417.5</v>
      </c>
      <c r="N1148" s="2" t="s">
        <v>21</v>
      </c>
      <c r="O1148" t="s">
        <v>22</v>
      </c>
      <c r="P1148" s="2" t="s">
        <v>2366</v>
      </c>
      <c r="Q1148" s="2">
        <v>3</v>
      </c>
      <c r="R1148" s="2" t="s">
        <v>23</v>
      </c>
      <c r="S1148" s="2" t="str">
        <f t="shared" si="174"/>
        <v>Sangat Rendah</v>
      </c>
      <c r="T1148" s="2" t="str">
        <f t="shared" si="175"/>
        <v>FALSE</v>
      </c>
      <c r="U1148" s="2" t="str">
        <f t="shared" si="176"/>
        <v>FALSE</v>
      </c>
      <c r="V1148" s="2" t="b">
        <f t="shared" si="177"/>
        <v>0</v>
      </c>
      <c r="W1148" s="2" t="b">
        <f t="shared" si="178"/>
        <v>0</v>
      </c>
      <c r="X1148" s="2" t="b">
        <f t="shared" si="179"/>
        <v>1</v>
      </c>
    </row>
    <row r="1149" spans="1:24" ht="10.5" customHeight="1">
      <c r="A1149" s="2" t="s">
        <v>1528</v>
      </c>
      <c r="B1149" s="3">
        <v>45877.421180555553</v>
      </c>
      <c r="C1149" s="2" t="s">
        <v>1338</v>
      </c>
      <c r="D1149" s="2" t="s">
        <v>286</v>
      </c>
      <c r="E1149" s="2" t="s">
        <v>41</v>
      </c>
      <c r="F1149" s="4">
        <v>40000</v>
      </c>
      <c r="G1149" s="5">
        <v>0.7</v>
      </c>
      <c r="H1149" s="6">
        <v>5</v>
      </c>
      <c r="I1149" s="7">
        <f t="shared" si="170"/>
        <v>28000</v>
      </c>
      <c r="J1149" s="7">
        <f t="shared" si="171"/>
        <v>1400</v>
      </c>
      <c r="K1149" s="7">
        <f t="shared" si="172"/>
        <v>26600</v>
      </c>
      <c r="L1149" s="4">
        <v>79000</v>
      </c>
      <c r="M1149" s="7">
        <f t="shared" si="173"/>
        <v>105600</v>
      </c>
      <c r="N1149" s="2" t="s">
        <v>58</v>
      </c>
      <c r="O1149" t="s">
        <v>22</v>
      </c>
      <c r="P1149" s="2" t="s">
        <v>2365</v>
      </c>
      <c r="Q1149" s="2">
        <v>4</v>
      </c>
      <c r="R1149" s="2" t="s">
        <v>23</v>
      </c>
      <c r="S1149" s="2" t="str">
        <f t="shared" si="174"/>
        <v>Standar</v>
      </c>
      <c r="T1149" s="2" t="str">
        <f t="shared" si="175"/>
        <v>FALSE</v>
      </c>
      <c r="U1149" s="2" t="str">
        <f t="shared" si="176"/>
        <v>FALSE</v>
      </c>
      <c r="V1149" s="2" t="b">
        <f t="shared" si="177"/>
        <v>0</v>
      </c>
      <c r="W1149" s="2" t="b">
        <f t="shared" si="178"/>
        <v>0</v>
      </c>
      <c r="X1149" s="2" t="b">
        <f t="shared" si="179"/>
        <v>0</v>
      </c>
    </row>
    <row r="1150" spans="1:24" ht="10.5" customHeight="1">
      <c r="A1150" s="2" t="s">
        <v>1529</v>
      </c>
      <c r="B1150" s="3">
        <v>45877.460162037038</v>
      </c>
      <c r="C1150" s="2" t="s">
        <v>400</v>
      </c>
      <c r="D1150" s="2" t="s">
        <v>140</v>
      </c>
      <c r="E1150" s="2" t="s">
        <v>53</v>
      </c>
      <c r="F1150" s="4">
        <v>14000</v>
      </c>
      <c r="G1150" s="5">
        <v>1.2</v>
      </c>
      <c r="H1150" s="6">
        <v>5</v>
      </c>
      <c r="I1150" s="7">
        <f t="shared" si="170"/>
        <v>16800</v>
      </c>
      <c r="J1150" s="7">
        <f t="shared" si="171"/>
        <v>840</v>
      </c>
      <c r="K1150" s="7">
        <f t="shared" si="172"/>
        <v>15960</v>
      </c>
      <c r="L1150" s="4">
        <v>55000</v>
      </c>
      <c r="M1150" s="7">
        <f t="shared" si="173"/>
        <v>70960</v>
      </c>
      <c r="N1150" s="2" t="s">
        <v>28</v>
      </c>
      <c r="O1150" t="s">
        <v>22</v>
      </c>
      <c r="P1150" s="2" t="s">
        <v>2367</v>
      </c>
      <c r="Q1150" s="2">
        <v>2</v>
      </c>
      <c r="R1150" s="2" t="s">
        <v>23</v>
      </c>
      <c r="S1150" s="2" t="str">
        <f t="shared" si="174"/>
        <v>Rendah</v>
      </c>
      <c r="T1150" s="2" t="str">
        <f t="shared" si="175"/>
        <v>FALSE</v>
      </c>
      <c r="U1150" s="2" t="str">
        <f t="shared" si="176"/>
        <v>FALSE</v>
      </c>
      <c r="V1150" s="2" t="b">
        <f t="shared" si="177"/>
        <v>0</v>
      </c>
      <c r="W1150" s="2" t="b">
        <f t="shared" si="178"/>
        <v>1</v>
      </c>
      <c r="X1150" s="2" t="b">
        <f t="shared" si="179"/>
        <v>0</v>
      </c>
    </row>
    <row r="1151" spans="1:24" ht="10.5" customHeight="1">
      <c r="A1151" s="2" t="s">
        <v>1530</v>
      </c>
      <c r="B1151" s="3">
        <v>45877.481122685182</v>
      </c>
      <c r="C1151" s="2" t="s">
        <v>275</v>
      </c>
      <c r="D1151" s="2" t="s">
        <v>19</v>
      </c>
      <c r="E1151" s="2" t="s">
        <v>102</v>
      </c>
      <c r="F1151" s="4">
        <v>55000</v>
      </c>
      <c r="G1151" s="5">
        <v>0.4</v>
      </c>
      <c r="H1151" s="6">
        <v>5</v>
      </c>
      <c r="I1151" s="7">
        <f t="shared" si="170"/>
        <v>22000</v>
      </c>
      <c r="J1151" s="7">
        <f t="shared" si="171"/>
        <v>1100</v>
      </c>
      <c r="K1151" s="7">
        <f t="shared" si="172"/>
        <v>20900</v>
      </c>
      <c r="L1151" s="4">
        <v>15000</v>
      </c>
      <c r="M1151" s="7">
        <f t="shared" si="173"/>
        <v>35900</v>
      </c>
      <c r="N1151" s="2" t="s">
        <v>21</v>
      </c>
      <c r="O1151" t="s">
        <v>22</v>
      </c>
      <c r="P1151" s="2" t="s">
        <v>2368</v>
      </c>
      <c r="Q1151" s="2">
        <v>2</v>
      </c>
      <c r="R1151" s="2" t="s">
        <v>34</v>
      </c>
      <c r="S1151" s="2" t="str">
        <f t="shared" si="174"/>
        <v>Sangat Rendah</v>
      </c>
      <c r="T1151" s="2" t="str">
        <f t="shared" si="175"/>
        <v>FALSE</v>
      </c>
      <c r="U1151" s="2" t="str">
        <f t="shared" si="176"/>
        <v>FALSE</v>
      </c>
      <c r="V1151" s="2" t="b">
        <f t="shared" si="177"/>
        <v>0</v>
      </c>
      <c r="W1151" s="2" t="b">
        <f t="shared" si="178"/>
        <v>0</v>
      </c>
      <c r="X1151" s="2" t="b">
        <f t="shared" si="179"/>
        <v>0</v>
      </c>
    </row>
    <row r="1152" spans="1:24" ht="10.5" customHeight="1">
      <c r="A1152" s="2" t="s">
        <v>1531</v>
      </c>
      <c r="B1152" s="3">
        <v>45877.5621875</v>
      </c>
      <c r="C1152" s="2" t="s">
        <v>257</v>
      </c>
      <c r="D1152" s="2" t="s">
        <v>123</v>
      </c>
      <c r="E1152" s="2" t="s">
        <v>75</v>
      </c>
      <c r="F1152" s="4">
        <v>45000</v>
      </c>
      <c r="G1152" s="5">
        <v>1</v>
      </c>
      <c r="H1152" s="6">
        <v>5</v>
      </c>
      <c r="I1152" s="7">
        <f t="shared" si="170"/>
        <v>45000</v>
      </c>
      <c r="J1152" s="7">
        <f t="shared" si="171"/>
        <v>2250</v>
      </c>
      <c r="K1152" s="7">
        <f t="shared" si="172"/>
        <v>42750</v>
      </c>
      <c r="L1152" s="4">
        <v>59000</v>
      </c>
      <c r="M1152" s="7">
        <f t="shared" si="173"/>
        <v>101750</v>
      </c>
      <c r="N1152" s="2" t="s">
        <v>21</v>
      </c>
      <c r="O1152" t="s">
        <v>69</v>
      </c>
      <c r="P1152" s="2" t="s">
        <v>2370</v>
      </c>
      <c r="Q1152" s="2">
        <v>5</v>
      </c>
      <c r="R1152" s="2" t="s">
        <v>23</v>
      </c>
      <c r="S1152" s="2" t="str">
        <f t="shared" si="174"/>
        <v>Standar</v>
      </c>
      <c r="T1152" s="2" t="str">
        <f t="shared" si="175"/>
        <v>FALSE</v>
      </c>
      <c r="U1152" s="2" t="str">
        <f t="shared" si="176"/>
        <v>FALSE</v>
      </c>
      <c r="V1152" s="2" t="b">
        <f t="shared" si="177"/>
        <v>0</v>
      </c>
      <c r="W1152" s="2" t="b">
        <f t="shared" si="178"/>
        <v>0</v>
      </c>
      <c r="X1152" s="2" t="b">
        <f t="shared" si="179"/>
        <v>0</v>
      </c>
    </row>
    <row r="1153" spans="1:24" ht="10.5" customHeight="1">
      <c r="A1153" s="2" t="s">
        <v>1532</v>
      </c>
      <c r="B1153" s="3">
        <v>45877.579456018517</v>
      </c>
      <c r="C1153" s="2" t="s">
        <v>566</v>
      </c>
      <c r="D1153" s="2" t="s">
        <v>52</v>
      </c>
      <c r="E1153" s="2" t="s">
        <v>75</v>
      </c>
      <c r="F1153" s="4">
        <v>45000</v>
      </c>
      <c r="G1153" s="5">
        <v>1.9</v>
      </c>
      <c r="H1153" s="6">
        <v>5</v>
      </c>
      <c r="I1153" s="7">
        <f t="shared" si="170"/>
        <v>85500</v>
      </c>
      <c r="J1153" s="7">
        <f t="shared" si="171"/>
        <v>4275</v>
      </c>
      <c r="K1153" s="7">
        <f t="shared" si="172"/>
        <v>81225</v>
      </c>
      <c r="L1153" s="4">
        <v>80000</v>
      </c>
      <c r="M1153" s="7">
        <f t="shared" si="173"/>
        <v>161225</v>
      </c>
      <c r="N1153" s="2" t="s">
        <v>58</v>
      </c>
      <c r="O1153" t="s">
        <v>22</v>
      </c>
      <c r="P1153" s="2" t="s">
        <v>2367</v>
      </c>
      <c r="Q1153" s="2">
        <v>5</v>
      </c>
      <c r="R1153" s="2" t="s">
        <v>34</v>
      </c>
      <c r="S1153" s="2" t="str">
        <f t="shared" si="174"/>
        <v>Tinggi</v>
      </c>
      <c r="T1153" s="2" t="str">
        <f t="shared" si="175"/>
        <v>FALSE</v>
      </c>
      <c r="U1153" s="2" t="str">
        <f t="shared" si="176"/>
        <v>TRUE</v>
      </c>
      <c r="V1153" s="2" t="b">
        <f t="shared" si="177"/>
        <v>0</v>
      </c>
      <c r="W1153" s="2" t="b">
        <f t="shared" si="178"/>
        <v>1</v>
      </c>
      <c r="X1153" s="2" t="b">
        <f t="shared" si="179"/>
        <v>0</v>
      </c>
    </row>
    <row r="1154" spans="1:24" ht="10.5" customHeight="1">
      <c r="A1154" s="2" t="s">
        <v>1533</v>
      </c>
      <c r="B1154" s="3">
        <v>45877.642245370371</v>
      </c>
      <c r="C1154" s="2" t="s">
        <v>560</v>
      </c>
      <c r="D1154" s="2" t="s">
        <v>74</v>
      </c>
      <c r="E1154" s="2" t="s">
        <v>75</v>
      </c>
      <c r="F1154" s="4">
        <v>45000</v>
      </c>
      <c r="G1154" s="5">
        <v>1.6</v>
      </c>
      <c r="H1154" s="6">
        <v>5</v>
      </c>
      <c r="I1154" s="7">
        <f t="shared" si="170"/>
        <v>72000</v>
      </c>
      <c r="J1154" s="7">
        <f t="shared" si="171"/>
        <v>3600</v>
      </c>
      <c r="K1154" s="7">
        <f t="shared" si="172"/>
        <v>68400</v>
      </c>
      <c r="L1154" s="4">
        <v>74000</v>
      </c>
      <c r="M1154" s="7">
        <f t="shared" si="173"/>
        <v>142400</v>
      </c>
      <c r="N1154" s="2" t="s">
        <v>58</v>
      </c>
      <c r="O1154" t="s">
        <v>115</v>
      </c>
      <c r="P1154" s="2" t="s">
        <v>2368</v>
      </c>
      <c r="Q1154" s="2">
        <v>1</v>
      </c>
      <c r="R1154" s="2" t="s">
        <v>23</v>
      </c>
      <c r="S1154" s="2" t="str">
        <f t="shared" si="174"/>
        <v>Standar</v>
      </c>
      <c r="T1154" s="2" t="str">
        <f t="shared" si="175"/>
        <v>FALSE</v>
      </c>
      <c r="U1154" s="2" t="str">
        <f t="shared" si="176"/>
        <v>FALSE</v>
      </c>
      <c r="V1154" s="2" t="b">
        <f t="shared" si="177"/>
        <v>0</v>
      </c>
      <c r="W1154" s="2" t="b">
        <f t="shared" si="178"/>
        <v>0</v>
      </c>
      <c r="X1154" s="2" t="b">
        <f t="shared" si="179"/>
        <v>0</v>
      </c>
    </row>
    <row r="1155" spans="1:24" ht="10.5" customHeight="1">
      <c r="A1155" s="2" t="s">
        <v>1534</v>
      </c>
      <c r="B1155" s="3">
        <v>45877.643275462957</v>
      </c>
      <c r="C1155" s="2" t="s">
        <v>539</v>
      </c>
      <c r="D1155" s="2" t="s">
        <v>98</v>
      </c>
      <c r="E1155" s="2" t="s">
        <v>65</v>
      </c>
      <c r="F1155" s="4">
        <v>46000</v>
      </c>
      <c r="G1155" s="5">
        <v>0.6</v>
      </c>
      <c r="H1155" s="6">
        <v>5</v>
      </c>
      <c r="I1155" s="7">
        <f t="shared" si="170"/>
        <v>27600</v>
      </c>
      <c r="J1155" s="7">
        <f t="shared" si="171"/>
        <v>1380</v>
      </c>
      <c r="K1155" s="7">
        <f t="shared" si="172"/>
        <v>26220</v>
      </c>
      <c r="L1155" s="4">
        <v>97000</v>
      </c>
      <c r="M1155" s="7">
        <f t="shared" si="173"/>
        <v>123220</v>
      </c>
      <c r="N1155" s="2" t="s">
        <v>28</v>
      </c>
      <c r="O1155" t="s">
        <v>22</v>
      </c>
      <c r="P1155" s="2" t="s">
        <v>2366</v>
      </c>
      <c r="Q1155" s="2">
        <v>1</v>
      </c>
      <c r="R1155" s="2" t="s">
        <v>23</v>
      </c>
      <c r="S1155" s="2" t="str">
        <f t="shared" si="174"/>
        <v>Standar</v>
      </c>
      <c r="T1155" s="2" t="str">
        <f t="shared" si="175"/>
        <v>FALSE</v>
      </c>
      <c r="U1155" s="2" t="str">
        <f t="shared" si="176"/>
        <v>FALSE</v>
      </c>
      <c r="V1155" s="2" t="b">
        <f t="shared" si="177"/>
        <v>0</v>
      </c>
      <c r="W1155" s="2" t="b">
        <f t="shared" si="178"/>
        <v>0</v>
      </c>
      <c r="X1155" s="2" t="b">
        <f t="shared" si="179"/>
        <v>0</v>
      </c>
    </row>
    <row r="1156" spans="1:24" ht="10.5" customHeight="1">
      <c r="A1156" s="2" t="s">
        <v>1535</v>
      </c>
      <c r="B1156" s="3">
        <v>45877.677939814806</v>
      </c>
      <c r="C1156" s="2" t="s">
        <v>867</v>
      </c>
      <c r="D1156" s="2" t="s">
        <v>98</v>
      </c>
      <c r="E1156" s="2" t="s">
        <v>53</v>
      </c>
      <c r="F1156" s="4">
        <v>14000</v>
      </c>
      <c r="G1156" s="5">
        <v>1.1000000000000001</v>
      </c>
      <c r="H1156" s="6">
        <v>5</v>
      </c>
      <c r="I1156" s="7">
        <f t="shared" ref="I1156:I1219" si="180">F1156*G1156</f>
        <v>15400.000000000002</v>
      </c>
      <c r="J1156" s="7">
        <f t="shared" ref="J1156:J1219" si="181">I1156*(H1156/100)</f>
        <v>770.00000000000011</v>
      </c>
      <c r="K1156" s="7">
        <f t="shared" ref="K1156:K1219" si="182">I1156-J1156</f>
        <v>14630.000000000002</v>
      </c>
      <c r="L1156" s="4">
        <v>97000</v>
      </c>
      <c r="M1156" s="7">
        <f t="shared" ref="M1156:M1219" si="183">K1156+L1156</f>
        <v>111630</v>
      </c>
      <c r="N1156" s="2" t="s">
        <v>21</v>
      </c>
      <c r="O1156" t="s">
        <v>22</v>
      </c>
      <c r="P1156" s="2" t="s">
        <v>2367</v>
      </c>
      <c r="Q1156" s="2">
        <v>3</v>
      </c>
      <c r="R1156" s="2" t="s">
        <v>23</v>
      </c>
      <c r="S1156" s="2" t="str">
        <f t="shared" ref="S1156:S1219" si="184">IF(M1156&lt;=50000,"Sangat Rendah",IF(M1156&lt;=100000,"Rendah",IF(M1156&lt;=150000,"Standar",IF(M1156&lt;=200000,"Tinggi","Sangat Tinggi"))))</f>
        <v>Standar</v>
      </c>
      <c r="T1156" s="2" t="str">
        <f t="shared" ref="T1156:T1219" si="185">IF(AND(S1156="Rendah",D1156="Yogyakarta"),"TRUE","FALSE")</f>
        <v>FALSE</v>
      </c>
      <c r="U1156" s="2" t="str">
        <f t="shared" ref="U1156:U1219" si="186">IF(OR(S1156="Tinggi",E1156="Bayam"),"TRUE","FALSE")</f>
        <v>FALSE</v>
      </c>
      <c r="V1156" s="2" t="b">
        <f t="shared" ref="V1156:V1219" si="187">IF(AND(S1156="Standar",N1156="Transef Bank"),TRUE,FALSE)</f>
        <v>0</v>
      </c>
      <c r="W1156" s="2" t="b">
        <f t="shared" ref="W1156:W1219" si="188">IF(OR(S1156="Sangat Tinggi",P1156="FoodMart"),TRUE,FALSE)</f>
        <v>1</v>
      </c>
      <c r="X1156" s="2" t="b">
        <f t="shared" ref="X1156:X1219" si="189">IF(AND(S1156="Sangat Rendah",R1156="Perempuan"),TRUE,FALSE)</f>
        <v>0</v>
      </c>
    </row>
    <row r="1157" spans="1:24" ht="10.5" customHeight="1">
      <c r="A1157" s="2" t="s">
        <v>1536</v>
      </c>
      <c r="B1157" s="3">
        <v>45878.033148148148</v>
      </c>
      <c r="C1157" s="2" t="s">
        <v>237</v>
      </c>
      <c r="D1157" s="2" t="s">
        <v>229</v>
      </c>
      <c r="E1157" s="2" t="s">
        <v>41</v>
      </c>
      <c r="F1157" s="4">
        <v>40000</v>
      </c>
      <c r="G1157" s="5">
        <v>0.9</v>
      </c>
      <c r="H1157" s="6">
        <v>0</v>
      </c>
      <c r="I1157" s="7">
        <f t="shared" si="180"/>
        <v>36000</v>
      </c>
      <c r="J1157" s="7">
        <f t="shared" si="181"/>
        <v>0</v>
      </c>
      <c r="K1157" s="7">
        <f t="shared" si="182"/>
        <v>36000</v>
      </c>
      <c r="L1157" s="4">
        <v>28000</v>
      </c>
      <c r="M1157" s="7">
        <f t="shared" si="183"/>
        <v>64000</v>
      </c>
      <c r="N1157" s="2" t="s">
        <v>21</v>
      </c>
      <c r="O1157" t="s">
        <v>22</v>
      </c>
      <c r="P1157" s="2" t="s">
        <v>2365</v>
      </c>
      <c r="Q1157" s="2">
        <v>4</v>
      </c>
      <c r="R1157" s="2" t="s">
        <v>23</v>
      </c>
      <c r="S1157" s="2" t="str">
        <f t="shared" si="184"/>
        <v>Rendah</v>
      </c>
      <c r="T1157" s="2" t="str">
        <f t="shared" si="185"/>
        <v>FALSE</v>
      </c>
      <c r="U1157" s="2" t="str">
        <f t="shared" si="186"/>
        <v>FALSE</v>
      </c>
      <c r="V1157" s="2" t="b">
        <f t="shared" si="187"/>
        <v>0</v>
      </c>
      <c r="W1157" s="2" t="b">
        <f t="shared" si="188"/>
        <v>0</v>
      </c>
      <c r="X1157" s="2" t="b">
        <f t="shared" si="189"/>
        <v>0</v>
      </c>
    </row>
    <row r="1158" spans="1:24" ht="10.5" customHeight="1">
      <c r="A1158" s="2" t="s">
        <v>1537</v>
      </c>
      <c r="B1158" s="3">
        <v>45878.692499999997</v>
      </c>
      <c r="C1158" s="2" t="s">
        <v>277</v>
      </c>
      <c r="D1158" s="2" t="s">
        <v>252</v>
      </c>
      <c r="E1158" s="2" t="s">
        <v>161</v>
      </c>
      <c r="F1158" s="4">
        <v>115000</v>
      </c>
      <c r="G1158" s="5">
        <v>0.7</v>
      </c>
      <c r="H1158" s="6">
        <v>0</v>
      </c>
      <c r="I1158" s="7">
        <f t="shared" si="180"/>
        <v>80500</v>
      </c>
      <c r="J1158" s="7">
        <f t="shared" si="181"/>
        <v>0</v>
      </c>
      <c r="K1158" s="7">
        <f t="shared" si="182"/>
        <v>80500</v>
      </c>
      <c r="L1158" s="4">
        <v>18000</v>
      </c>
      <c r="M1158" s="7">
        <f t="shared" si="183"/>
        <v>98500</v>
      </c>
      <c r="N1158" s="2" t="s">
        <v>33</v>
      </c>
      <c r="O1158" t="s">
        <v>22</v>
      </c>
      <c r="P1158" s="2" t="s">
        <v>2368</v>
      </c>
      <c r="Q1158" s="2">
        <v>4</v>
      </c>
      <c r="R1158" s="2" t="s">
        <v>23</v>
      </c>
      <c r="S1158" s="2" t="str">
        <f t="shared" si="184"/>
        <v>Rendah</v>
      </c>
      <c r="T1158" s="2" t="str">
        <f t="shared" si="185"/>
        <v>FALSE</v>
      </c>
      <c r="U1158" s="2" t="str">
        <f t="shared" si="186"/>
        <v>FALSE</v>
      </c>
      <c r="V1158" s="2" t="b">
        <f t="shared" si="187"/>
        <v>0</v>
      </c>
      <c r="W1158" s="2" t="b">
        <f t="shared" si="188"/>
        <v>0</v>
      </c>
      <c r="X1158" s="2" t="b">
        <f t="shared" si="189"/>
        <v>0</v>
      </c>
    </row>
    <row r="1159" spans="1:24" ht="10.5" customHeight="1">
      <c r="A1159" s="2" t="s">
        <v>1538</v>
      </c>
      <c r="B1159" s="3">
        <v>45879.507893518523</v>
      </c>
      <c r="C1159" s="2" t="s">
        <v>478</v>
      </c>
      <c r="D1159" s="2" t="s">
        <v>44</v>
      </c>
      <c r="E1159" s="2" t="s">
        <v>143</v>
      </c>
      <c r="F1159" s="4">
        <v>10000</v>
      </c>
      <c r="G1159" s="5">
        <v>0.2</v>
      </c>
      <c r="H1159" s="6">
        <v>0</v>
      </c>
      <c r="I1159" s="7">
        <f t="shared" si="180"/>
        <v>2000</v>
      </c>
      <c r="J1159" s="7">
        <f t="shared" si="181"/>
        <v>0</v>
      </c>
      <c r="K1159" s="7">
        <f t="shared" si="182"/>
        <v>2000</v>
      </c>
      <c r="L1159" s="4">
        <v>43000</v>
      </c>
      <c r="M1159" s="7">
        <f t="shared" si="183"/>
        <v>45000</v>
      </c>
      <c r="N1159" s="2" t="s">
        <v>21</v>
      </c>
      <c r="O1159" t="s">
        <v>69</v>
      </c>
      <c r="P1159" s="2" t="s">
        <v>2366</v>
      </c>
      <c r="Q1159" s="2">
        <v>3</v>
      </c>
      <c r="R1159" s="2" t="s">
        <v>23</v>
      </c>
      <c r="S1159" s="2" t="str">
        <f t="shared" si="184"/>
        <v>Sangat Rendah</v>
      </c>
      <c r="T1159" s="2" t="str">
        <f t="shared" si="185"/>
        <v>FALSE</v>
      </c>
      <c r="U1159" s="2" t="str">
        <f t="shared" si="186"/>
        <v>TRUE</v>
      </c>
      <c r="V1159" s="2" t="b">
        <f t="shared" si="187"/>
        <v>0</v>
      </c>
      <c r="W1159" s="2" t="b">
        <f t="shared" si="188"/>
        <v>0</v>
      </c>
      <c r="X1159" s="2" t="b">
        <f t="shared" si="189"/>
        <v>1</v>
      </c>
    </row>
    <row r="1160" spans="1:24" ht="10.5" customHeight="1">
      <c r="A1160" s="2" t="s">
        <v>1539</v>
      </c>
      <c r="B1160" s="3">
        <v>45879.513912037037</v>
      </c>
      <c r="C1160" s="2" t="s">
        <v>834</v>
      </c>
      <c r="D1160" s="2" t="s">
        <v>111</v>
      </c>
      <c r="E1160" s="2" t="s">
        <v>32</v>
      </c>
      <c r="F1160" s="4">
        <v>20000</v>
      </c>
      <c r="G1160" s="5">
        <v>0.8</v>
      </c>
      <c r="H1160" s="6">
        <v>0</v>
      </c>
      <c r="I1160" s="7">
        <f t="shared" si="180"/>
        <v>16000</v>
      </c>
      <c r="J1160" s="7">
        <f t="shared" si="181"/>
        <v>0</v>
      </c>
      <c r="K1160" s="7">
        <f t="shared" si="182"/>
        <v>16000</v>
      </c>
      <c r="L1160" s="4">
        <v>0</v>
      </c>
      <c r="M1160" s="7">
        <f t="shared" si="183"/>
        <v>16000</v>
      </c>
      <c r="N1160" s="2" t="s">
        <v>28</v>
      </c>
      <c r="O1160" t="s">
        <v>22</v>
      </c>
      <c r="P1160" s="2" t="s">
        <v>2370</v>
      </c>
      <c r="Q1160" s="2">
        <v>3</v>
      </c>
      <c r="R1160" s="2" t="s">
        <v>23</v>
      </c>
      <c r="S1160" s="2" t="str">
        <f t="shared" si="184"/>
        <v>Sangat Rendah</v>
      </c>
      <c r="T1160" s="2" t="str">
        <f t="shared" si="185"/>
        <v>FALSE</v>
      </c>
      <c r="U1160" s="2" t="str">
        <f t="shared" si="186"/>
        <v>FALSE</v>
      </c>
      <c r="V1160" s="2" t="b">
        <f t="shared" si="187"/>
        <v>0</v>
      </c>
      <c r="W1160" s="2" t="b">
        <f t="shared" si="188"/>
        <v>0</v>
      </c>
      <c r="X1160" s="2" t="b">
        <f t="shared" si="189"/>
        <v>1</v>
      </c>
    </row>
    <row r="1161" spans="1:24" ht="10.5" customHeight="1">
      <c r="A1161" s="2" t="s">
        <v>1540</v>
      </c>
      <c r="B1161" s="3">
        <v>45881.371180555558</v>
      </c>
      <c r="C1161" s="2" t="s">
        <v>369</v>
      </c>
      <c r="D1161" s="2" t="s">
        <v>26</v>
      </c>
      <c r="E1161" s="2" t="s">
        <v>75</v>
      </c>
      <c r="F1161" s="4">
        <v>45000</v>
      </c>
      <c r="G1161" s="5">
        <v>0.7</v>
      </c>
      <c r="H1161" s="6">
        <v>0</v>
      </c>
      <c r="I1161" s="7">
        <f t="shared" si="180"/>
        <v>31499.999999999996</v>
      </c>
      <c r="J1161" s="7">
        <f t="shared" si="181"/>
        <v>0</v>
      </c>
      <c r="K1161" s="7">
        <f t="shared" si="182"/>
        <v>31499.999999999996</v>
      </c>
      <c r="L1161" s="4">
        <v>17000</v>
      </c>
      <c r="M1161" s="7">
        <f t="shared" si="183"/>
        <v>48500</v>
      </c>
      <c r="N1161" s="2" t="s">
        <v>58</v>
      </c>
      <c r="O1161" t="s">
        <v>22</v>
      </c>
      <c r="P1161" s="2" t="s">
        <v>2366</v>
      </c>
      <c r="Q1161" s="2">
        <v>1</v>
      </c>
      <c r="R1161" s="2" t="s">
        <v>23</v>
      </c>
      <c r="S1161" s="2" t="str">
        <f t="shared" si="184"/>
        <v>Sangat Rendah</v>
      </c>
      <c r="T1161" s="2" t="str">
        <f t="shared" si="185"/>
        <v>FALSE</v>
      </c>
      <c r="U1161" s="2" t="str">
        <f t="shared" si="186"/>
        <v>FALSE</v>
      </c>
      <c r="V1161" s="2" t="b">
        <f t="shared" si="187"/>
        <v>0</v>
      </c>
      <c r="W1161" s="2" t="b">
        <f t="shared" si="188"/>
        <v>0</v>
      </c>
      <c r="X1161" s="2" t="b">
        <f t="shared" si="189"/>
        <v>1</v>
      </c>
    </row>
    <row r="1162" spans="1:24" ht="10.5" customHeight="1">
      <c r="A1162" s="2" t="s">
        <v>1541</v>
      </c>
      <c r="B1162" s="3">
        <v>45881.687835648147</v>
      </c>
      <c r="C1162" s="2" t="s">
        <v>1372</v>
      </c>
      <c r="D1162" s="2" t="s">
        <v>68</v>
      </c>
      <c r="E1162" s="2" t="s">
        <v>41</v>
      </c>
      <c r="F1162" s="4">
        <v>40000</v>
      </c>
      <c r="G1162" s="5">
        <v>1.8</v>
      </c>
      <c r="H1162" s="6">
        <v>0</v>
      </c>
      <c r="I1162" s="7">
        <f t="shared" si="180"/>
        <v>72000</v>
      </c>
      <c r="J1162" s="7">
        <f t="shared" si="181"/>
        <v>0</v>
      </c>
      <c r="K1162" s="7">
        <f t="shared" si="182"/>
        <v>72000</v>
      </c>
      <c r="L1162" s="4">
        <v>87000</v>
      </c>
      <c r="M1162" s="7">
        <f t="shared" si="183"/>
        <v>159000</v>
      </c>
      <c r="N1162" s="2" t="s">
        <v>28</v>
      </c>
      <c r="O1162" t="s">
        <v>22</v>
      </c>
      <c r="P1162" s="2" t="s">
        <v>2367</v>
      </c>
      <c r="Q1162" s="2">
        <v>3</v>
      </c>
      <c r="R1162" s="2" t="s">
        <v>23</v>
      </c>
      <c r="S1162" s="2" t="str">
        <f t="shared" si="184"/>
        <v>Tinggi</v>
      </c>
      <c r="T1162" s="2" t="str">
        <f t="shared" si="185"/>
        <v>FALSE</v>
      </c>
      <c r="U1162" s="2" t="str">
        <f t="shared" si="186"/>
        <v>TRUE</v>
      </c>
      <c r="V1162" s="2" t="b">
        <f t="shared" si="187"/>
        <v>0</v>
      </c>
      <c r="W1162" s="2" t="b">
        <f t="shared" si="188"/>
        <v>1</v>
      </c>
      <c r="X1162" s="2" t="b">
        <f t="shared" si="189"/>
        <v>0</v>
      </c>
    </row>
    <row r="1163" spans="1:24" ht="10.5" customHeight="1">
      <c r="A1163" s="2" t="s">
        <v>1542</v>
      </c>
      <c r="B1163" s="3">
        <v>45883.385115740741</v>
      </c>
      <c r="C1163" s="2" t="s">
        <v>671</v>
      </c>
      <c r="D1163" s="2" t="s">
        <v>252</v>
      </c>
      <c r="E1163" s="2" t="s">
        <v>27</v>
      </c>
      <c r="F1163" s="4">
        <v>15000</v>
      </c>
      <c r="G1163" s="5">
        <v>0.9</v>
      </c>
      <c r="H1163" s="6">
        <v>0</v>
      </c>
      <c r="I1163" s="7">
        <f t="shared" si="180"/>
        <v>13500</v>
      </c>
      <c r="J1163" s="7">
        <f t="shared" si="181"/>
        <v>0</v>
      </c>
      <c r="K1163" s="7">
        <f t="shared" si="182"/>
        <v>13500</v>
      </c>
      <c r="L1163" s="4">
        <v>18000</v>
      </c>
      <c r="M1163" s="7">
        <f t="shared" si="183"/>
        <v>31500</v>
      </c>
      <c r="N1163" s="2" t="s">
        <v>21</v>
      </c>
      <c r="O1163" t="s">
        <v>69</v>
      </c>
      <c r="P1163" s="2" t="s">
        <v>2367</v>
      </c>
      <c r="Q1163" s="2">
        <v>4</v>
      </c>
      <c r="R1163" s="2" t="s">
        <v>23</v>
      </c>
      <c r="S1163" s="2" t="str">
        <f t="shared" si="184"/>
        <v>Sangat Rendah</v>
      </c>
      <c r="T1163" s="2" t="str">
        <f t="shared" si="185"/>
        <v>FALSE</v>
      </c>
      <c r="U1163" s="2" t="str">
        <f t="shared" si="186"/>
        <v>FALSE</v>
      </c>
      <c r="V1163" s="2" t="b">
        <f t="shared" si="187"/>
        <v>0</v>
      </c>
      <c r="W1163" s="2" t="b">
        <f t="shared" si="188"/>
        <v>1</v>
      </c>
      <c r="X1163" s="2" t="b">
        <f t="shared" si="189"/>
        <v>1</v>
      </c>
    </row>
    <row r="1164" spans="1:24" ht="10.5" customHeight="1">
      <c r="A1164" s="2" t="s">
        <v>1543</v>
      </c>
      <c r="B1164" s="3">
        <v>45885.353842592587</v>
      </c>
      <c r="C1164" s="2" t="s">
        <v>323</v>
      </c>
      <c r="D1164" s="2" t="s">
        <v>98</v>
      </c>
      <c r="E1164" s="2" t="s">
        <v>27</v>
      </c>
      <c r="F1164" s="4">
        <v>15000</v>
      </c>
      <c r="G1164" s="5">
        <v>0.7</v>
      </c>
      <c r="H1164" s="6">
        <v>0</v>
      </c>
      <c r="I1164" s="7">
        <f t="shared" si="180"/>
        <v>10500</v>
      </c>
      <c r="J1164" s="7">
        <f t="shared" si="181"/>
        <v>0</v>
      </c>
      <c r="K1164" s="7">
        <f t="shared" si="182"/>
        <v>10500</v>
      </c>
      <c r="L1164" s="4">
        <v>97000</v>
      </c>
      <c r="M1164" s="7">
        <f t="shared" si="183"/>
        <v>107500</v>
      </c>
      <c r="N1164" s="2" t="s">
        <v>33</v>
      </c>
      <c r="O1164" t="s">
        <v>69</v>
      </c>
      <c r="P1164" s="2" t="s">
        <v>2367</v>
      </c>
      <c r="Q1164" s="2">
        <v>3</v>
      </c>
      <c r="R1164" s="2" t="s">
        <v>34</v>
      </c>
      <c r="S1164" s="2" t="str">
        <f t="shared" si="184"/>
        <v>Standar</v>
      </c>
      <c r="T1164" s="2" t="str">
        <f t="shared" si="185"/>
        <v>FALSE</v>
      </c>
      <c r="U1164" s="2" t="str">
        <f t="shared" si="186"/>
        <v>FALSE</v>
      </c>
      <c r="V1164" s="2" t="b">
        <f t="shared" si="187"/>
        <v>0</v>
      </c>
      <c r="W1164" s="2" t="b">
        <f t="shared" si="188"/>
        <v>1</v>
      </c>
      <c r="X1164" s="2" t="b">
        <f t="shared" si="189"/>
        <v>0</v>
      </c>
    </row>
    <row r="1165" spans="1:24" ht="10.5" customHeight="1">
      <c r="A1165" s="2" t="s">
        <v>1544</v>
      </c>
      <c r="B1165" s="3">
        <v>45886.517685185187</v>
      </c>
      <c r="C1165" s="2" t="s">
        <v>175</v>
      </c>
      <c r="D1165" s="2" t="s">
        <v>94</v>
      </c>
      <c r="E1165" s="2" t="s">
        <v>161</v>
      </c>
      <c r="F1165" s="4">
        <v>115000</v>
      </c>
      <c r="G1165" s="5">
        <v>0.6</v>
      </c>
      <c r="H1165" s="6">
        <v>0</v>
      </c>
      <c r="I1165" s="7">
        <f t="shared" si="180"/>
        <v>69000</v>
      </c>
      <c r="J1165" s="7">
        <f t="shared" si="181"/>
        <v>0</v>
      </c>
      <c r="K1165" s="7">
        <f t="shared" si="182"/>
        <v>69000</v>
      </c>
      <c r="L1165" s="4">
        <v>85000</v>
      </c>
      <c r="M1165" s="7">
        <f t="shared" si="183"/>
        <v>154000</v>
      </c>
      <c r="N1165" s="2" t="s">
        <v>21</v>
      </c>
      <c r="O1165" t="s">
        <v>69</v>
      </c>
      <c r="P1165" s="2" t="s">
        <v>2366</v>
      </c>
      <c r="Q1165" s="2">
        <v>5</v>
      </c>
      <c r="R1165" s="2" t="s">
        <v>23</v>
      </c>
      <c r="S1165" s="2" t="str">
        <f t="shared" si="184"/>
        <v>Tinggi</v>
      </c>
      <c r="T1165" s="2" t="str">
        <f t="shared" si="185"/>
        <v>FALSE</v>
      </c>
      <c r="U1165" s="2" t="str">
        <f t="shared" si="186"/>
        <v>TRUE</v>
      </c>
      <c r="V1165" s="2" t="b">
        <f t="shared" si="187"/>
        <v>0</v>
      </c>
      <c r="W1165" s="2" t="b">
        <f t="shared" si="188"/>
        <v>0</v>
      </c>
      <c r="X1165" s="2" t="b">
        <f t="shared" si="189"/>
        <v>0</v>
      </c>
    </row>
    <row r="1166" spans="1:24" ht="10.5" customHeight="1">
      <c r="A1166" s="2" t="s">
        <v>1545</v>
      </c>
      <c r="B1166" s="3">
        <v>45886.59269675926</v>
      </c>
      <c r="C1166" s="2" t="s">
        <v>419</v>
      </c>
      <c r="D1166" s="2" t="s">
        <v>167</v>
      </c>
      <c r="E1166" s="2" t="s">
        <v>41</v>
      </c>
      <c r="F1166" s="4">
        <v>40000</v>
      </c>
      <c r="G1166" s="5">
        <v>0.3</v>
      </c>
      <c r="H1166" s="6">
        <v>0</v>
      </c>
      <c r="I1166" s="7">
        <f t="shared" si="180"/>
        <v>12000</v>
      </c>
      <c r="J1166" s="7">
        <f t="shared" si="181"/>
        <v>0</v>
      </c>
      <c r="K1166" s="7">
        <f t="shared" si="182"/>
        <v>12000</v>
      </c>
      <c r="L1166" s="4">
        <v>56000</v>
      </c>
      <c r="M1166" s="7">
        <f t="shared" si="183"/>
        <v>68000</v>
      </c>
      <c r="N1166" s="2" t="s">
        <v>33</v>
      </c>
      <c r="O1166" t="s">
        <v>22</v>
      </c>
      <c r="P1166" s="2" t="s">
        <v>2367</v>
      </c>
      <c r="Q1166" s="2">
        <v>3</v>
      </c>
      <c r="R1166" s="2" t="s">
        <v>34</v>
      </c>
      <c r="S1166" s="2" t="str">
        <f t="shared" si="184"/>
        <v>Rendah</v>
      </c>
      <c r="T1166" s="2" t="str">
        <f t="shared" si="185"/>
        <v>FALSE</v>
      </c>
      <c r="U1166" s="2" t="str">
        <f t="shared" si="186"/>
        <v>FALSE</v>
      </c>
      <c r="V1166" s="2" t="b">
        <f t="shared" si="187"/>
        <v>0</v>
      </c>
      <c r="W1166" s="2" t="b">
        <f t="shared" si="188"/>
        <v>1</v>
      </c>
      <c r="X1166" s="2" t="b">
        <f t="shared" si="189"/>
        <v>0</v>
      </c>
    </row>
    <row r="1167" spans="1:24" ht="10.5" customHeight="1">
      <c r="A1167" s="2" t="s">
        <v>1546</v>
      </c>
      <c r="B1167" s="3">
        <v>45886.829641203702</v>
      </c>
      <c r="C1167" s="2" t="s">
        <v>240</v>
      </c>
      <c r="D1167" s="2" t="s">
        <v>44</v>
      </c>
      <c r="E1167" s="2" t="s">
        <v>35</v>
      </c>
      <c r="F1167" s="4">
        <v>13500</v>
      </c>
      <c r="G1167" s="5">
        <v>1.5</v>
      </c>
      <c r="H1167" s="6">
        <v>0</v>
      </c>
      <c r="I1167" s="7">
        <f t="shared" si="180"/>
        <v>20250</v>
      </c>
      <c r="J1167" s="7">
        <f t="shared" si="181"/>
        <v>0</v>
      </c>
      <c r="K1167" s="7">
        <f t="shared" si="182"/>
        <v>20250</v>
      </c>
      <c r="L1167" s="4">
        <v>43000</v>
      </c>
      <c r="M1167" s="7">
        <f t="shared" si="183"/>
        <v>63250</v>
      </c>
      <c r="N1167" s="2" t="s">
        <v>33</v>
      </c>
      <c r="O1167" t="s">
        <v>22</v>
      </c>
      <c r="P1167" s="2" t="s">
        <v>2370</v>
      </c>
      <c r="Q1167" s="2">
        <v>3</v>
      </c>
      <c r="R1167" s="2" t="s">
        <v>23</v>
      </c>
      <c r="S1167" s="2" t="str">
        <f t="shared" si="184"/>
        <v>Rendah</v>
      </c>
      <c r="T1167" s="2" t="str">
        <f t="shared" si="185"/>
        <v>FALSE</v>
      </c>
      <c r="U1167" s="2" t="str">
        <f t="shared" si="186"/>
        <v>FALSE</v>
      </c>
      <c r="V1167" s="2" t="b">
        <f t="shared" si="187"/>
        <v>0</v>
      </c>
      <c r="W1167" s="2" t="b">
        <f t="shared" si="188"/>
        <v>0</v>
      </c>
      <c r="X1167" s="2" t="b">
        <f t="shared" si="189"/>
        <v>0</v>
      </c>
    </row>
    <row r="1168" spans="1:24" ht="10.5" customHeight="1">
      <c r="A1168" s="2" t="s">
        <v>1547</v>
      </c>
      <c r="B1168" s="3">
        <v>45887.446238425917</v>
      </c>
      <c r="C1168" s="2" t="s">
        <v>729</v>
      </c>
      <c r="D1168" s="2" t="s">
        <v>167</v>
      </c>
      <c r="E1168" s="2" t="s">
        <v>99</v>
      </c>
      <c r="F1168" s="4">
        <v>10000</v>
      </c>
      <c r="G1168" s="5">
        <v>0.5</v>
      </c>
      <c r="H1168" s="6">
        <v>0</v>
      </c>
      <c r="I1168" s="7">
        <f t="shared" si="180"/>
        <v>5000</v>
      </c>
      <c r="J1168" s="7">
        <f t="shared" si="181"/>
        <v>0</v>
      </c>
      <c r="K1168" s="7">
        <f t="shared" si="182"/>
        <v>5000</v>
      </c>
      <c r="L1168" s="4">
        <v>56000</v>
      </c>
      <c r="M1168" s="7">
        <f t="shared" si="183"/>
        <v>61000</v>
      </c>
      <c r="N1168" s="2" t="s">
        <v>33</v>
      </c>
      <c r="O1168" t="s">
        <v>22</v>
      </c>
      <c r="P1168" s="2" t="s">
        <v>2367</v>
      </c>
      <c r="Q1168" s="2">
        <v>3</v>
      </c>
      <c r="R1168" s="2" t="s">
        <v>23</v>
      </c>
      <c r="S1168" s="2" t="str">
        <f t="shared" si="184"/>
        <v>Rendah</v>
      </c>
      <c r="T1168" s="2" t="str">
        <f t="shared" si="185"/>
        <v>FALSE</v>
      </c>
      <c r="U1168" s="2" t="str">
        <f t="shared" si="186"/>
        <v>FALSE</v>
      </c>
      <c r="V1168" s="2" t="b">
        <f t="shared" si="187"/>
        <v>0</v>
      </c>
      <c r="W1168" s="2" t="b">
        <f t="shared" si="188"/>
        <v>1</v>
      </c>
      <c r="X1168" s="2" t="b">
        <f t="shared" si="189"/>
        <v>0</v>
      </c>
    </row>
    <row r="1169" spans="1:24" ht="10.5" customHeight="1">
      <c r="A1169" s="2" t="s">
        <v>1548</v>
      </c>
      <c r="B1169" s="3">
        <v>45889.509004629632</v>
      </c>
      <c r="C1169" s="2" t="s">
        <v>1136</v>
      </c>
      <c r="D1169" s="2" t="s">
        <v>108</v>
      </c>
      <c r="E1169" s="2" t="s">
        <v>161</v>
      </c>
      <c r="F1169" s="4">
        <v>115000</v>
      </c>
      <c r="G1169" s="5">
        <v>0.7</v>
      </c>
      <c r="H1169" s="6">
        <v>0</v>
      </c>
      <c r="I1169" s="7">
        <f t="shared" si="180"/>
        <v>80500</v>
      </c>
      <c r="J1169" s="7">
        <f t="shared" si="181"/>
        <v>0</v>
      </c>
      <c r="K1169" s="7">
        <f t="shared" si="182"/>
        <v>80500</v>
      </c>
      <c r="L1169" s="4">
        <v>72000</v>
      </c>
      <c r="M1169" s="7">
        <f t="shared" si="183"/>
        <v>152500</v>
      </c>
      <c r="N1169" s="2" t="s">
        <v>33</v>
      </c>
      <c r="O1169" t="s">
        <v>22</v>
      </c>
      <c r="P1169" s="2" t="s">
        <v>2370</v>
      </c>
      <c r="Q1169" s="2">
        <v>5</v>
      </c>
      <c r="R1169" s="2" t="s">
        <v>23</v>
      </c>
      <c r="S1169" s="2" t="str">
        <f t="shared" si="184"/>
        <v>Tinggi</v>
      </c>
      <c r="T1169" s="2" t="str">
        <f t="shared" si="185"/>
        <v>FALSE</v>
      </c>
      <c r="U1169" s="2" t="str">
        <f t="shared" si="186"/>
        <v>TRUE</v>
      </c>
      <c r="V1169" s="2" t="b">
        <f t="shared" si="187"/>
        <v>0</v>
      </c>
      <c r="W1169" s="2" t="b">
        <f t="shared" si="188"/>
        <v>0</v>
      </c>
      <c r="X1169" s="2" t="b">
        <f t="shared" si="189"/>
        <v>0</v>
      </c>
    </row>
    <row r="1170" spans="1:24" ht="10.5" customHeight="1">
      <c r="A1170" s="2" t="s">
        <v>1549</v>
      </c>
      <c r="B1170" s="3">
        <v>45890.599861111114</v>
      </c>
      <c r="C1170" s="2" t="s">
        <v>373</v>
      </c>
      <c r="D1170" s="2" t="s">
        <v>114</v>
      </c>
      <c r="E1170" s="2" t="s">
        <v>75</v>
      </c>
      <c r="F1170" s="4">
        <v>45000</v>
      </c>
      <c r="G1170" s="5">
        <v>1.1000000000000001</v>
      </c>
      <c r="H1170" s="6">
        <v>0</v>
      </c>
      <c r="I1170" s="7">
        <f t="shared" si="180"/>
        <v>49500.000000000007</v>
      </c>
      <c r="J1170" s="7">
        <f t="shared" si="181"/>
        <v>0</v>
      </c>
      <c r="K1170" s="7">
        <f t="shared" si="182"/>
        <v>49500.000000000007</v>
      </c>
      <c r="L1170" s="4">
        <v>78000</v>
      </c>
      <c r="M1170" s="7">
        <f t="shared" si="183"/>
        <v>127500</v>
      </c>
      <c r="N1170" s="2" t="s">
        <v>58</v>
      </c>
      <c r="O1170" t="s">
        <v>22</v>
      </c>
      <c r="P1170" s="2" t="s">
        <v>2367</v>
      </c>
      <c r="Q1170" s="2">
        <v>2</v>
      </c>
      <c r="R1170" s="2" t="s">
        <v>23</v>
      </c>
      <c r="S1170" s="2" t="str">
        <f t="shared" si="184"/>
        <v>Standar</v>
      </c>
      <c r="T1170" s="2" t="str">
        <f t="shared" si="185"/>
        <v>FALSE</v>
      </c>
      <c r="U1170" s="2" t="str">
        <f t="shared" si="186"/>
        <v>FALSE</v>
      </c>
      <c r="V1170" s="2" t="b">
        <f t="shared" si="187"/>
        <v>0</v>
      </c>
      <c r="W1170" s="2" t="b">
        <f t="shared" si="188"/>
        <v>1</v>
      </c>
      <c r="X1170" s="2" t="b">
        <f t="shared" si="189"/>
        <v>0</v>
      </c>
    </row>
    <row r="1171" spans="1:24" ht="10.5" customHeight="1">
      <c r="A1171" s="2" t="s">
        <v>1550</v>
      </c>
      <c r="B1171" s="3">
        <v>45890.774872685193</v>
      </c>
      <c r="C1171" s="2" t="s">
        <v>1551</v>
      </c>
      <c r="D1171" s="2" t="s">
        <v>150</v>
      </c>
      <c r="E1171" s="2" t="s">
        <v>95</v>
      </c>
      <c r="F1171" s="4">
        <v>9500</v>
      </c>
      <c r="G1171" s="5">
        <v>1.7</v>
      </c>
      <c r="H1171" s="6">
        <v>0</v>
      </c>
      <c r="I1171" s="7">
        <f t="shared" si="180"/>
        <v>16150</v>
      </c>
      <c r="J1171" s="7">
        <f t="shared" si="181"/>
        <v>0</v>
      </c>
      <c r="K1171" s="7">
        <f t="shared" si="182"/>
        <v>16150</v>
      </c>
      <c r="L1171" s="4">
        <v>68000</v>
      </c>
      <c r="M1171" s="7">
        <f t="shared" si="183"/>
        <v>84150</v>
      </c>
      <c r="N1171" s="2" t="s">
        <v>58</v>
      </c>
      <c r="O1171" t="s">
        <v>22</v>
      </c>
      <c r="P1171" s="2" t="s">
        <v>2366</v>
      </c>
      <c r="Q1171" s="2">
        <v>4</v>
      </c>
      <c r="R1171" s="2" t="s">
        <v>23</v>
      </c>
      <c r="S1171" s="2" t="str">
        <f t="shared" si="184"/>
        <v>Rendah</v>
      </c>
      <c r="T1171" s="2" t="str">
        <f t="shared" si="185"/>
        <v>FALSE</v>
      </c>
      <c r="U1171" s="2" t="str">
        <f t="shared" si="186"/>
        <v>FALSE</v>
      </c>
      <c r="V1171" s="2" t="b">
        <f t="shared" si="187"/>
        <v>0</v>
      </c>
      <c r="W1171" s="2" t="b">
        <f t="shared" si="188"/>
        <v>0</v>
      </c>
      <c r="X1171" s="2" t="b">
        <f t="shared" si="189"/>
        <v>0</v>
      </c>
    </row>
    <row r="1172" spans="1:24" ht="10.5" customHeight="1">
      <c r="A1172" s="2" t="s">
        <v>1552</v>
      </c>
      <c r="B1172" s="3">
        <v>45891.086539351847</v>
      </c>
      <c r="C1172" s="2" t="s">
        <v>222</v>
      </c>
      <c r="D1172" s="2" t="s">
        <v>61</v>
      </c>
      <c r="E1172" s="2" t="s">
        <v>65</v>
      </c>
      <c r="F1172" s="4">
        <v>46000</v>
      </c>
      <c r="G1172" s="5">
        <v>0.9</v>
      </c>
      <c r="H1172" s="6">
        <v>0</v>
      </c>
      <c r="I1172" s="7">
        <f t="shared" si="180"/>
        <v>41400</v>
      </c>
      <c r="J1172" s="7">
        <f t="shared" si="181"/>
        <v>0</v>
      </c>
      <c r="K1172" s="7">
        <f t="shared" si="182"/>
        <v>41400</v>
      </c>
      <c r="L1172" s="4">
        <v>59000</v>
      </c>
      <c r="M1172" s="7">
        <f t="shared" si="183"/>
        <v>100400</v>
      </c>
      <c r="N1172" s="2" t="s">
        <v>33</v>
      </c>
      <c r="O1172" t="s">
        <v>22</v>
      </c>
      <c r="P1172" s="2" t="s">
        <v>2370</v>
      </c>
      <c r="Q1172" s="2">
        <v>4</v>
      </c>
      <c r="R1172" s="2" t="s">
        <v>23</v>
      </c>
      <c r="S1172" s="2" t="str">
        <f t="shared" si="184"/>
        <v>Standar</v>
      </c>
      <c r="T1172" s="2" t="str">
        <f t="shared" si="185"/>
        <v>FALSE</v>
      </c>
      <c r="U1172" s="2" t="str">
        <f t="shared" si="186"/>
        <v>FALSE</v>
      </c>
      <c r="V1172" s="2" t="b">
        <f t="shared" si="187"/>
        <v>0</v>
      </c>
      <c r="W1172" s="2" t="b">
        <f t="shared" si="188"/>
        <v>0</v>
      </c>
      <c r="X1172" s="2" t="b">
        <f t="shared" si="189"/>
        <v>0</v>
      </c>
    </row>
    <row r="1173" spans="1:24" ht="10.5" customHeight="1">
      <c r="A1173" s="2" t="s">
        <v>1552</v>
      </c>
      <c r="B1173" s="3">
        <v>45891.086539351847</v>
      </c>
      <c r="C1173" s="2" t="s">
        <v>222</v>
      </c>
      <c r="D1173" s="2" t="s">
        <v>61</v>
      </c>
      <c r="E1173" s="2" t="s">
        <v>35</v>
      </c>
      <c r="F1173" s="4">
        <v>13500</v>
      </c>
      <c r="G1173" s="5">
        <v>3.1</v>
      </c>
      <c r="H1173" s="6">
        <v>0</v>
      </c>
      <c r="I1173" s="7">
        <f t="shared" si="180"/>
        <v>41850</v>
      </c>
      <c r="J1173" s="7">
        <f t="shared" si="181"/>
        <v>0</v>
      </c>
      <c r="K1173" s="7">
        <f t="shared" si="182"/>
        <v>41850</v>
      </c>
      <c r="L1173" s="4">
        <v>0</v>
      </c>
      <c r="M1173" s="7">
        <f t="shared" si="183"/>
        <v>41850</v>
      </c>
      <c r="N1173" s="2" t="s">
        <v>33</v>
      </c>
      <c r="O1173" t="s">
        <v>22</v>
      </c>
      <c r="P1173" s="2" t="s">
        <v>2370</v>
      </c>
      <c r="Q1173" s="2">
        <v>4</v>
      </c>
      <c r="R1173" s="2" t="s">
        <v>23</v>
      </c>
      <c r="S1173" s="2" t="str">
        <f t="shared" si="184"/>
        <v>Sangat Rendah</v>
      </c>
      <c r="T1173" s="2" t="str">
        <f t="shared" si="185"/>
        <v>FALSE</v>
      </c>
      <c r="U1173" s="2" t="str">
        <f t="shared" si="186"/>
        <v>FALSE</v>
      </c>
      <c r="V1173" s="2" t="b">
        <f t="shared" si="187"/>
        <v>0</v>
      </c>
      <c r="W1173" s="2" t="b">
        <f t="shared" si="188"/>
        <v>0</v>
      </c>
      <c r="X1173" s="2" t="b">
        <f t="shared" si="189"/>
        <v>1</v>
      </c>
    </row>
    <row r="1174" spans="1:24" ht="10.5" customHeight="1">
      <c r="A1174" s="2" t="s">
        <v>1553</v>
      </c>
      <c r="B1174" s="3">
        <v>45891.660810185182</v>
      </c>
      <c r="C1174" s="2" t="s">
        <v>494</v>
      </c>
      <c r="D1174" s="2" t="s">
        <v>185</v>
      </c>
      <c r="E1174" s="2" t="s">
        <v>170</v>
      </c>
      <c r="F1174" s="4">
        <v>12000</v>
      </c>
      <c r="G1174" s="5">
        <v>0.7</v>
      </c>
      <c r="H1174" s="6">
        <v>0</v>
      </c>
      <c r="I1174" s="7">
        <f t="shared" si="180"/>
        <v>8400</v>
      </c>
      <c r="J1174" s="7">
        <f t="shared" si="181"/>
        <v>0</v>
      </c>
      <c r="K1174" s="7">
        <f t="shared" si="182"/>
        <v>8400</v>
      </c>
      <c r="L1174" s="4">
        <v>87000</v>
      </c>
      <c r="M1174" s="7">
        <f t="shared" si="183"/>
        <v>95400</v>
      </c>
      <c r="N1174" s="2" t="s">
        <v>21</v>
      </c>
      <c r="O1174" t="s">
        <v>22</v>
      </c>
      <c r="P1174" s="2" t="s">
        <v>2365</v>
      </c>
      <c r="Q1174" s="2">
        <v>3</v>
      </c>
      <c r="R1174" s="2" t="s">
        <v>23</v>
      </c>
      <c r="S1174" s="2" t="str">
        <f t="shared" si="184"/>
        <v>Rendah</v>
      </c>
      <c r="T1174" s="2" t="str">
        <f t="shared" si="185"/>
        <v>FALSE</v>
      </c>
      <c r="U1174" s="2" t="str">
        <f t="shared" si="186"/>
        <v>FALSE</v>
      </c>
      <c r="V1174" s="2" t="b">
        <f t="shared" si="187"/>
        <v>0</v>
      </c>
      <c r="W1174" s="2" t="b">
        <f t="shared" si="188"/>
        <v>0</v>
      </c>
      <c r="X1174" s="2" t="b">
        <f t="shared" si="189"/>
        <v>0</v>
      </c>
    </row>
    <row r="1175" spans="1:24" ht="10.5" customHeight="1">
      <c r="A1175" s="2" t="s">
        <v>1554</v>
      </c>
      <c r="B1175" s="3">
        <v>45891.686157407406</v>
      </c>
      <c r="C1175" s="2" t="s">
        <v>980</v>
      </c>
      <c r="D1175" s="2" t="s">
        <v>164</v>
      </c>
      <c r="E1175" s="2" t="s">
        <v>80</v>
      </c>
      <c r="F1175" s="4">
        <v>15000</v>
      </c>
      <c r="G1175" s="5">
        <v>1.7</v>
      </c>
      <c r="H1175" s="6">
        <v>0</v>
      </c>
      <c r="I1175" s="7">
        <f t="shared" si="180"/>
        <v>25500</v>
      </c>
      <c r="J1175" s="7">
        <f t="shared" si="181"/>
        <v>0</v>
      </c>
      <c r="K1175" s="7">
        <f t="shared" si="182"/>
        <v>25500</v>
      </c>
      <c r="L1175" s="4">
        <v>49000</v>
      </c>
      <c r="M1175" s="7">
        <f t="shared" si="183"/>
        <v>74500</v>
      </c>
      <c r="N1175" s="2" t="s">
        <v>21</v>
      </c>
      <c r="O1175" t="s">
        <v>22</v>
      </c>
      <c r="P1175" s="2" t="s">
        <v>2366</v>
      </c>
      <c r="Q1175" s="2">
        <v>1</v>
      </c>
      <c r="R1175" s="2" t="s">
        <v>23</v>
      </c>
      <c r="S1175" s="2" t="str">
        <f t="shared" si="184"/>
        <v>Rendah</v>
      </c>
      <c r="T1175" s="2" t="str">
        <f t="shared" si="185"/>
        <v>FALSE</v>
      </c>
      <c r="U1175" s="2" t="str">
        <f t="shared" si="186"/>
        <v>FALSE</v>
      </c>
      <c r="V1175" s="2" t="b">
        <f t="shared" si="187"/>
        <v>0</v>
      </c>
      <c r="W1175" s="2" t="b">
        <f t="shared" si="188"/>
        <v>0</v>
      </c>
      <c r="X1175" s="2" t="b">
        <f t="shared" si="189"/>
        <v>0</v>
      </c>
    </row>
    <row r="1176" spans="1:24" ht="10.5" customHeight="1">
      <c r="A1176" s="2" t="s">
        <v>1555</v>
      </c>
      <c r="B1176" s="3">
        <v>45892.537187499998</v>
      </c>
      <c r="C1176" s="2" t="s">
        <v>263</v>
      </c>
      <c r="D1176" s="2" t="s">
        <v>185</v>
      </c>
      <c r="E1176" s="2" t="s">
        <v>102</v>
      </c>
      <c r="F1176" s="4">
        <v>55000</v>
      </c>
      <c r="G1176" s="5">
        <v>0.4</v>
      </c>
      <c r="H1176" s="6">
        <v>0</v>
      </c>
      <c r="I1176" s="7">
        <f t="shared" si="180"/>
        <v>22000</v>
      </c>
      <c r="J1176" s="7">
        <f t="shared" si="181"/>
        <v>0</v>
      </c>
      <c r="K1176" s="7">
        <f t="shared" si="182"/>
        <v>22000</v>
      </c>
      <c r="L1176" s="4">
        <v>87000</v>
      </c>
      <c r="M1176" s="7">
        <f t="shared" si="183"/>
        <v>109000</v>
      </c>
      <c r="N1176" s="2" t="s">
        <v>21</v>
      </c>
      <c r="O1176" t="s">
        <v>22</v>
      </c>
      <c r="P1176" s="2" t="s">
        <v>2368</v>
      </c>
      <c r="Q1176" s="2">
        <v>5</v>
      </c>
      <c r="R1176" s="2" t="s">
        <v>23</v>
      </c>
      <c r="S1176" s="2" t="str">
        <f t="shared" si="184"/>
        <v>Standar</v>
      </c>
      <c r="T1176" s="2" t="str">
        <f t="shared" si="185"/>
        <v>FALSE</v>
      </c>
      <c r="U1176" s="2" t="str">
        <f t="shared" si="186"/>
        <v>FALSE</v>
      </c>
      <c r="V1176" s="2" t="b">
        <f t="shared" si="187"/>
        <v>0</v>
      </c>
      <c r="W1176" s="2" t="b">
        <f t="shared" si="188"/>
        <v>0</v>
      </c>
      <c r="X1176" s="2" t="b">
        <f t="shared" si="189"/>
        <v>0</v>
      </c>
    </row>
    <row r="1177" spans="1:24" ht="10.5" customHeight="1">
      <c r="A1177" s="2" t="s">
        <v>1556</v>
      </c>
      <c r="B1177" s="3">
        <v>45892.624282407407</v>
      </c>
      <c r="C1177" s="2" t="s">
        <v>71</v>
      </c>
      <c r="D1177" s="2" t="s">
        <v>56</v>
      </c>
      <c r="E1177" s="2" t="s">
        <v>57</v>
      </c>
      <c r="F1177" s="4">
        <v>17500</v>
      </c>
      <c r="G1177" s="5">
        <v>2.7</v>
      </c>
      <c r="H1177" s="6">
        <v>0</v>
      </c>
      <c r="I1177" s="7">
        <f t="shared" si="180"/>
        <v>47250</v>
      </c>
      <c r="J1177" s="7">
        <f t="shared" si="181"/>
        <v>0</v>
      </c>
      <c r="K1177" s="7">
        <f t="shared" si="182"/>
        <v>47250</v>
      </c>
      <c r="L1177" s="4">
        <v>26000</v>
      </c>
      <c r="M1177" s="7">
        <f t="shared" si="183"/>
        <v>73250</v>
      </c>
      <c r="N1177" s="2" t="s">
        <v>28</v>
      </c>
      <c r="O1177" t="s">
        <v>22</v>
      </c>
      <c r="P1177" s="2" t="s">
        <v>2370</v>
      </c>
      <c r="Q1177" s="2">
        <v>1</v>
      </c>
      <c r="R1177" s="2" t="s">
        <v>23</v>
      </c>
      <c r="S1177" s="2" t="str">
        <f t="shared" si="184"/>
        <v>Rendah</v>
      </c>
      <c r="T1177" s="2" t="str">
        <f t="shared" si="185"/>
        <v>FALSE</v>
      </c>
      <c r="U1177" s="2" t="str">
        <f t="shared" si="186"/>
        <v>FALSE</v>
      </c>
      <c r="V1177" s="2" t="b">
        <f t="shared" si="187"/>
        <v>0</v>
      </c>
      <c r="W1177" s="2" t="b">
        <f t="shared" si="188"/>
        <v>0</v>
      </c>
      <c r="X1177" s="2" t="b">
        <f t="shared" si="189"/>
        <v>0</v>
      </c>
    </row>
    <row r="1178" spans="1:24" ht="10.5" customHeight="1">
      <c r="A1178" s="2" t="s">
        <v>1556</v>
      </c>
      <c r="B1178" s="3">
        <v>45892.624282407407</v>
      </c>
      <c r="C1178" s="2" t="s">
        <v>71</v>
      </c>
      <c r="D1178" s="2" t="s">
        <v>56</v>
      </c>
      <c r="E1178" s="2" t="s">
        <v>65</v>
      </c>
      <c r="F1178" s="4">
        <v>46000</v>
      </c>
      <c r="G1178" s="5">
        <v>0.5</v>
      </c>
      <c r="H1178" s="6">
        <v>0</v>
      </c>
      <c r="I1178" s="7">
        <f t="shared" si="180"/>
        <v>23000</v>
      </c>
      <c r="J1178" s="7">
        <f t="shared" si="181"/>
        <v>0</v>
      </c>
      <c r="K1178" s="7">
        <f t="shared" si="182"/>
        <v>23000</v>
      </c>
      <c r="L1178" s="4">
        <v>0</v>
      </c>
      <c r="M1178" s="7">
        <f t="shared" si="183"/>
        <v>23000</v>
      </c>
      <c r="N1178" s="2" t="s">
        <v>28</v>
      </c>
      <c r="O1178" t="s">
        <v>22</v>
      </c>
      <c r="P1178" s="2" t="s">
        <v>2370</v>
      </c>
      <c r="Q1178" s="2">
        <v>1</v>
      </c>
      <c r="R1178" s="2" t="s">
        <v>23</v>
      </c>
      <c r="S1178" s="2" t="str">
        <f t="shared" si="184"/>
        <v>Sangat Rendah</v>
      </c>
      <c r="T1178" s="2" t="str">
        <f t="shared" si="185"/>
        <v>FALSE</v>
      </c>
      <c r="U1178" s="2" t="str">
        <f t="shared" si="186"/>
        <v>FALSE</v>
      </c>
      <c r="V1178" s="2" t="b">
        <f t="shared" si="187"/>
        <v>0</v>
      </c>
      <c r="W1178" s="2" t="b">
        <f t="shared" si="188"/>
        <v>0</v>
      </c>
      <c r="X1178" s="2" t="b">
        <f t="shared" si="189"/>
        <v>1</v>
      </c>
    </row>
    <row r="1179" spans="1:24" ht="10.5" customHeight="1">
      <c r="A1179" s="2" t="s">
        <v>1557</v>
      </c>
      <c r="B1179" s="3">
        <v>45894.088587962957</v>
      </c>
      <c r="C1179" s="2" t="s">
        <v>449</v>
      </c>
      <c r="D1179" s="2" t="s">
        <v>56</v>
      </c>
      <c r="E1179" s="2" t="s">
        <v>20</v>
      </c>
      <c r="F1179" s="4">
        <v>10000</v>
      </c>
      <c r="G1179" s="5">
        <v>1.4</v>
      </c>
      <c r="H1179" s="6">
        <v>5</v>
      </c>
      <c r="I1179" s="7">
        <f t="shared" si="180"/>
        <v>14000</v>
      </c>
      <c r="J1179" s="7">
        <f t="shared" si="181"/>
        <v>700</v>
      </c>
      <c r="K1179" s="7">
        <f t="shared" si="182"/>
        <v>13300</v>
      </c>
      <c r="L1179" s="4">
        <v>26000</v>
      </c>
      <c r="M1179" s="7">
        <f t="shared" si="183"/>
        <v>39300</v>
      </c>
      <c r="N1179" s="2" t="s">
        <v>58</v>
      </c>
      <c r="O1179" t="s">
        <v>22</v>
      </c>
      <c r="P1179" s="2" t="s">
        <v>2370</v>
      </c>
      <c r="Q1179" s="2">
        <v>5</v>
      </c>
      <c r="R1179" s="2" t="s">
        <v>23</v>
      </c>
      <c r="S1179" s="2" t="str">
        <f t="shared" si="184"/>
        <v>Sangat Rendah</v>
      </c>
      <c r="T1179" s="2" t="str">
        <f t="shared" si="185"/>
        <v>FALSE</v>
      </c>
      <c r="U1179" s="2" t="str">
        <f t="shared" si="186"/>
        <v>FALSE</v>
      </c>
      <c r="V1179" s="2" t="b">
        <f t="shared" si="187"/>
        <v>0</v>
      </c>
      <c r="W1179" s="2" t="b">
        <f t="shared" si="188"/>
        <v>0</v>
      </c>
      <c r="X1179" s="2" t="b">
        <f t="shared" si="189"/>
        <v>1</v>
      </c>
    </row>
    <row r="1180" spans="1:24" ht="10.5" customHeight="1">
      <c r="A1180" s="2" t="s">
        <v>1558</v>
      </c>
      <c r="B1180" s="3">
        <v>45894.152974537043</v>
      </c>
      <c r="C1180" s="2" t="s">
        <v>323</v>
      </c>
      <c r="D1180" s="2" t="s">
        <v>98</v>
      </c>
      <c r="E1180" s="2" t="s">
        <v>41</v>
      </c>
      <c r="F1180" s="4">
        <v>40000</v>
      </c>
      <c r="G1180" s="5">
        <v>1.6</v>
      </c>
      <c r="H1180" s="6">
        <v>5</v>
      </c>
      <c r="I1180" s="7">
        <f t="shared" si="180"/>
        <v>64000</v>
      </c>
      <c r="J1180" s="7">
        <f t="shared" si="181"/>
        <v>3200</v>
      </c>
      <c r="K1180" s="7">
        <f t="shared" si="182"/>
        <v>60800</v>
      </c>
      <c r="L1180" s="4">
        <v>97000</v>
      </c>
      <c r="M1180" s="7">
        <f t="shared" si="183"/>
        <v>157800</v>
      </c>
      <c r="N1180" s="2" t="s">
        <v>58</v>
      </c>
      <c r="O1180" t="s">
        <v>22</v>
      </c>
      <c r="P1180" s="2" t="s">
        <v>2367</v>
      </c>
      <c r="Q1180" s="2">
        <v>3</v>
      </c>
      <c r="R1180" s="2" t="s">
        <v>34</v>
      </c>
      <c r="S1180" s="2" t="str">
        <f t="shared" si="184"/>
        <v>Tinggi</v>
      </c>
      <c r="T1180" s="2" t="str">
        <f t="shared" si="185"/>
        <v>FALSE</v>
      </c>
      <c r="U1180" s="2" t="str">
        <f t="shared" si="186"/>
        <v>TRUE</v>
      </c>
      <c r="V1180" s="2" t="b">
        <f t="shared" si="187"/>
        <v>0</v>
      </c>
      <c r="W1180" s="2" t="b">
        <f t="shared" si="188"/>
        <v>1</v>
      </c>
      <c r="X1180" s="2" t="b">
        <f t="shared" si="189"/>
        <v>0</v>
      </c>
    </row>
    <row r="1181" spans="1:24" ht="10.5" customHeight="1">
      <c r="A1181" s="2" t="s">
        <v>1559</v>
      </c>
      <c r="B1181" s="3">
        <v>45894.275509259263</v>
      </c>
      <c r="C1181" s="2" t="s">
        <v>205</v>
      </c>
      <c r="D1181" s="2" t="s">
        <v>123</v>
      </c>
      <c r="E1181" s="2" t="s">
        <v>182</v>
      </c>
      <c r="F1181" s="4">
        <v>11000</v>
      </c>
      <c r="G1181" s="5">
        <v>1.8</v>
      </c>
      <c r="H1181" s="6">
        <v>5</v>
      </c>
      <c r="I1181" s="7">
        <f t="shared" si="180"/>
        <v>19800</v>
      </c>
      <c r="J1181" s="7">
        <f t="shared" si="181"/>
        <v>990</v>
      </c>
      <c r="K1181" s="7">
        <f t="shared" si="182"/>
        <v>18810</v>
      </c>
      <c r="L1181" s="4">
        <v>59000</v>
      </c>
      <c r="M1181" s="7">
        <f t="shared" si="183"/>
        <v>77810</v>
      </c>
      <c r="N1181" s="2" t="s">
        <v>33</v>
      </c>
      <c r="O1181" t="s">
        <v>115</v>
      </c>
      <c r="P1181" s="2" t="s">
        <v>2367</v>
      </c>
      <c r="Q1181" s="2">
        <v>3</v>
      </c>
      <c r="R1181" s="2" t="s">
        <v>23</v>
      </c>
      <c r="S1181" s="2" t="str">
        <f t="shared" si="184"/>
        <v>Rendah</v>
      </c>
      <c r="T1181" s="2" t="str">
        <f t="shared" si="185"/>
        <v>FALSE</v>
      </c>
      <c r="U1181" s="2" t="str">
        <f t="shared" si="186"/>
        <v>FALSE</v>
      </c>
      <c r="V1181" s="2" t="b">
        <f t="shared" si="187"/>
        <v>0</v>
      </c>
      <c r="W1181" s="2" t="b">
        <f t="shared" si="188"/>
        <v>1</v>
      </c>
      <c r="X1181" s="2" t="b">
        <f t="shared" si="189"/>
        <v>0</v>
      </c>
    </row>
    <row r="1182" spans="1:24" ht="10.5" customHeight="1">
      <c r="A1182" s="2" t="s">
        <v>1560</v>
      </c>
      <c r="B1182" s="3">
        <v>45894.293217592603</v>
      </c>
      <c r="C1182" s="2" t="s">
        <v>1414</v>
      </c>
      <c r="D1182" s="2" t="s">
        <v>286</v>
      </c>
      <c r="E1182" s="2" t="s">
        <v>32</v>
      </c>
      <c r="F1182" s="4">
        <v>20000</v>
      </c>
      <c r="G1182" s="5">
        <v>2.4</v>
      </c>
      <c r="H1182" s="6">
        <v>5</v>
      </c>
      <c r="I1182" s="7">
        <f t="shared" si="180"/>
        <v>48000</v>
      </c>
      <c r="J1182" s="7">
        <f t="shared" si="181"/>
        <v>2400</v>
      </c>
      <c r="K1182" s="7">
        <f t="shared" si="182"/>
        <v>45600</v>
      </c>
      <c r="L1182" s="4">
        <v>79000</v>
      </c>
      <c r="M1182" s="7">
        <f t="shared" si="183"/>
        <v>124600</v>
      </c>
      <c r="N1182" s="2" t="s">
        <v>58</v>
      </c>
      <c r="O1182" t="s">
        <v>22</v>
      </c>
      <c r="P1182" s="2" t="s">
        <v>2368</v>
      </c>
      <c r="Q1182" s="2">
        <v>4</v>
      </c>
      <c r="R1182" s="2" t="s">
        <v>23</v>
      </c>
      <c r="S1182" s="2" t="str">
        <f t="shared" si="184"/>
        <v>Standar</v>
      </c>
      <c r="T1182" s="2" t="str">
        <f t="shared" si="185"/>
        <v>FALSE</v>
      </c>
      <c r="U1182" s="2" t="str">
        <f t="shared" si="186"/>
        <v>FALSE</v>
      </c>
      <c r="V1182" s="2" t="b">
        <f t="shared" si="187"/>
        <v>0</v>
      </c>
      <c r="W1182" s="2" t="b">
        <f t="shared" si="188"/>
        <v>0</v>
      </c>
      <c r="X1182" s="2" t="b">
        <f t="shared" si="189"/>
        <v>0</v>
      </c>
    </row>
    <row r="1183" spans="1:24" ht="10.5" customHeight="1">
      <c r="A1183" s="2" t="s">
        <v>1561</v>
      </c>
      <c r="B1183" s="3">
        <v>45894.335925925923</v>
      </c>
      <c r="C1183" s="2" t="s">
        <v>478</v>
      </c>
      <c r="D1183" s="2" t="s">
        <v>44</v>
      </c>
      <c r="E1183" s="2" t="s">
        <v>182</v>
      </c>
      <c r="F1183" s="4">
        <v>11000</v>
      </c>
      <c r="G1183" s="5">
        <v>2</v>
      </c>
      <c r="H1183" s="6">
        <v>5</v>
      </c>
      <c r="I1183" s="7">
        <f t="shared" si="180"/>
        <v>22000</v>
      </c>
      <c r="J1183" s="7">
        <f t="shared" si="181"/>
        <v>1100</v>
      </c>
      <c r="K1183" s="7">
        <f t="shared" si="182"/>
        <v>20900</v>
      </c>
      <c r="L1183" s="4">
        <v>43000</v>
      </c>
      <c r="M1183" s="7">
        <f t="shared" si="183"/>
        <v>63900</v>
      </c>
      <c r="N1183" s="2" t="s">
        <v>21</v>
      </c>
      <c r="O1183" t="s">
        <v>22</v>
      </c>
      <c r="P1183" s="2" t="s">
        <v>2370</v>
      </c>
      <c r="Q1183" s="2">
        <v>2</v>
      </c>
      <c r="R1183" s="2" t="s">
        <v>23</v>
      </c>
      <c r="S1183" s="2" t="str">
        <f t="shared" si="184"/>
        <v>Rendah</v>
      </c>
      <c r="T1183" s="2" t="str">
        <f t="shared" si="185"/>
        <v>FALSE</v>
      </c>
      <c r="U1183" s="2" t="str">
        <f t="shared" si="186"/>
        <v>FALSE</v>
      </c>
      <c r="V1183" s="2" t="b">
        <f t="shared" si="187"/>
        <v>0</v>
      </c>
      <c r="W1183" s="2" t="b">
        <f t="shared" si="188"/>
        <v>0</v>
      </c>
      <c r="X1183" s="2" t="b">
        <f t="shared" si="189"/>
        <v>0</v>
      </c>
    </row>
    <row r="1184" spans="1:24" ht="10.5" customHeight="1">
      <c r="A1184" s="2" t="s">
        <v>1562</v>
      </c>
      <c r="B1184" s="3">
        <v>45894.393854166658</v>
      </c>
      <c r="C1184" s="2" t="s">
        <v>539</v>
      </c>
      <c r="D1184" s="2" t="s">
        <v>98</v>
      </c>
      <c r="E1184" s="2" t="s">
        <v>161</v>
      </c>
      <c r="F1184" s="4">
        <v>115000</v>
      </c>
      <c r="G1184" s="5">
        <v>0.4</v>
      </c>
      <c r="H1184" s="6">
        <v>5</v>
      </c>
      <c r="I1184" s="7">
        <f t="shared" si="180"/>
        <v>46000</v>
      </c>
      <c r="J1184" s="7">
        <f t="shared" si="181"/>
        <v>2300</v>
      </c>
      <c r="K1184" s="7">
        <f t="shared" si="182"/>
        <v>43700</v>
      </c>
      <c r="L1184" s="4">
        <v>97000</v>
      </c>
      <c r="M1184" s="7">
        <f t="shared" si="183"/>
        <v>140700</v>
      </c>
      <c r="N1184" s="2" t="s">
        <v>21</v>
      </c>
      <c r="O1184" t="s">
        <v>22</v>
      </c>
      <c r="P1184" s="2" t="s">
        <v>2365</v>
      </c>
      <c r="Q1184" s="2">
        <v>4</v>
      </c>
      <c r="R1184" s="2" t="s">
        <v>23</v>
      </c>
      <c r="S1184" s="2" t="str">
        <f t="shared" si="184"/>
        <v>Standar</v>
      </c>
      <c r="T1184" s="2" t="str">
        <f t="shared" si="185"/>
        <v>FALSE</v>
      </c>
      <c r="U1184" s="2" t="str">
        <f t="shared" si="186"/>
        <v>FALSE</v>
      </c>
      <c r="V1184" s="2" t="b">
        <f t="shared" si="187"/>
        <v>0</v>
      </c>
      <c r="W1184" s="2" t="b">
        <f t="shared" si="188"/>
        <v>0</v>
      </c>
      <c r="X1184" s="2" t="b">
        <f t="shared" si="189"/>
        <v>0</v>
      </c>
    </row>
    <row r="1185" spans="1:24" ht="10.5" customHeight="1">
      <c r="A1185" s="2" t="s">
        <v>1563</v>
      </c>
      <c r="B1185" s="3">
        <v>45894.447777777779</v>
      </c>
      <c r="C1185" s="2" t="s">
        <v>1564</v>
      </c>
      <c r="D1185" s="2" t="s">
        <v>31</v>
      </c>
      <c r="E1185" s="2" t="s">
        <v>65</v>
      </c>
      <c r="F1185" s="4">
        <v>46000</v>
      </c>
      <c r="G1185" s="5">
        <v>0.8</v>
      </c>
      <c r="H1185" s="6">
        <v>5</v>
      </c>
      <c r="I1185" s="7">
        <f t="shared" si="180"/>
        <v>36800</v>
      </c>
      <c r="J1185" s="7">
        <f t="shared" si="181"/>
        <v>1840</v>
      </c>
      <c r="K1185" s="7">
        <f t="shared" si="182"/>
        <v>34960</v>
      </c>
      <c r="L1185" s="4">
        <v>76000</v>
      </c>
      <c r="M1185" s="7">
        <f t="shared" si="183"/>
        <v>110960</v>
      </c>
      <c r="N1185" s="2" t="s">
        <v>33</v>
      </c>
      <c r="O1185" t="s">
        <v>22</v>
      </c>
      <c r="P1185" s="2" t="s">
        <v>2367</v>
      </c>
      <c r="Q1185" s="2">
        <v>3</v>
      </c>
      <c r="R1185" s="2" t="s">
        <v>23</v>
      </c>
      <c r="S1185" s="2" t="str">
        <f t="shared" si="184"/>
        <v>Standar</v>
      </c>
      <c r="T1185" s="2" t="str">
        <f t="shared" si="185"/>
        <v>FALSE</v>
      </c>
      <c r="U1185" s="2" t="str">
        <f t="shared" si="186"/>
        <v>FALSE</v>
      </c>
      <c r="V1185" s="2" t="b">
        <f t="shared" si="187"/>
        <v>0</v>
      </c>
      <c r="W1185" s="2" t="b">
        <f t="shared" si="188"/>
        <v>1</v>
      </c>
      <c r="X1185" s="2" t="b">
        <f t="shared" si="189"/>
        <v>0</v>
      </c>
    </row>
    <row r="1186" spans="1:24" ht="10.5" customHeight="1">
      <c r="A1186" s="2" t="s">
        <v>1565</v>
      </c>
      <c r="B1186" s="3">
        <v>45894.46166666667</v>
      </c>
      <c r="C1186" s="2" t="s">
        <v>71</v>
      </c>
      <c r="D1186" s="2" t="s">
        <v>56</v>
      </c>
      <c r="E1186" s="2" t="s">
        <v>20</v>
      </c>
      <c r="F1186" s="4">
        <v>10000</v>
      </c>
      <c r="G1186" s="5">
        <v>2.2000000000000002</v>
      </c>
      <c r="H1186" s="6">
        <v>5</v>
      </c>
      <c r="I1186" s="7">
        <f t="shared" si="180"/>
        <v>22000</v>
      </c>
      <c r="J1186" s="7">
        <f t="shared" si="181"/>
        <v>1100</v>
      </c>
      <c r="K1186" s="7">
        <f t="shared" si="182"/>
        <v>20900</v>
      </c>
      <c r="L1186" s="4">
        <v>26000</v>
      </c>
      <c r="M1186" s="7">
        <f t="shared" si="183"/>
        <v>46900</v>
      </c>
      <c r="N1186" s="2" t="s">
        <v>33</v>
      </c>
      <c r="O1186" t="s">
        <v>22</v>
      </c>
      <c r="P1186" s="2" t="s">
        <v>2370</v>
      </c>
      <c r="Q1186" s="2">
        <v>3</v>
      </c>
      <c r="R1186" s="2" t="s">
        <v>23</v>
      </c>
      <c r="S1186" s="2" t="str">
        <f t="shared" si="184"/>
        <v>Sangat Rendah</v>
      </c>
      <c r="T1186" s="2" t="str">
        <f t="shared" si="185"/>
        <v>FALSE</v>
      </c>
      <c r="U1186" s="2" t="str">
        <f t="shared" si="186"/>
        <v>FALSE</v>
      </c>
      <c r="V1186" s="2" t="b">
        <f t="shared" si="187"/>
        <v>0</v>
      </c>
      <c r="W1186" s="2" t="b">
        <f t="shared" si="188"/>
        <v>0</v>
      </c>
      <c r="X1186" s="2" t="b">
        <f t="shared" si="189"/>
        <v>1</v>
      </c>
    </row>
    <row r="1187" spans="1:24" ht="10.5" customHeight="1">
      <c r="A1187" s="2" t="s">
        <v>1565</v>
      </c>
      <c r="B1187" s="3">
        <v>45894.46166666667</v>
      </c>
      <c r="C1187" s="2" t="s">
        <v>71</v>
      </c>
      <c r="D1187" s="2" t="s">
        <v>56</v>
      </c>
      <c r="E1187" s="2" t="s">
        <v>75</v>
      </c>
      <c r="F1187" s="4">
        <v>45000</v>
      </c>
      <c r="G1187" s="5">
        <v>0.9</v>
      </c>
      <c r="H1187" s="6">
        <v>5</v>
      </c>
      <c r="I1187" s="7">
        <f t="shared" si="180"/>
        <v>40500</v>
      </c>
      <c r="J1187" s="7">
        <f t="shared" si="181"/>
        <v>2025</v>
      </c>
      <c r="K1187" s="7">
        <f t="shared" si="182"/>
        <v>38475</v>
      </c>
      <c r="L1187" s="4">
        <v>0</v>
      </c>
      <c r="M1187" s="7">
        <f t="shared" si="183"/>
        <v>38475</v>
      </c>
      <c r="N1187" s="2" t="s">
        <v>33</v>
      </c>
      <c r="O1187" t="s">
        <v>22</v>
      </c>
      <c r="P1187" s="2" t="s">
        <v>2370</v>
      </c>
      <c r="Q1187" s="2">
        <v>3</v>
      </c>
      <c r="R1187" s="2" t="s">
        <v>23</v>
      </c>
      <c r="S1187" s="2" t="str">
        <f t="shared" si="184"/>
        <v>Sangat Rendah</v>
      </c>
      <c r="T1187" s="2" t="str">
        <f t="shared" si="185"/>
        <v>FALSE</v>
      </c>
      <c r="U1187" s="2" t="str">
        <f t="shared" si="186"/>
        <v>FALSE</v>
      </c>
      <c r="V1187" s="2" t="b">
        <f t="shared" si="187"/>
        <v>0</v>
      </c>
      <c r="W1187" s="2" t="b">
        <f t="shared" si="188"/>
        <v>0</v>
      </c>
      <c r="X1187" s="2" t="b">
        <f t="shared" si="189"/>
        <v>1</v>
      </c>
    </row>
    <row r="1188" spans="1:24" ht="10.5" customHeight="1">
      <c r="A1188" s="2" t="s">
        <v>1566</v>
      </c>
      <c r="B1188" s="3">
        <v>45894.471782407411</v>
      </c>
      <c r="C1188" s="2" t="s">
        <v>1218</v>
      </c>
      <c r="D1188" s="2" t="s">
        <v>31</v>
      </c>
      <c r="E1188" s="2" t="s">
        <v>65</v>
      </c>
      <c r="F1188" s="4">
        <v>46000</v>
      </c>
      <c r="G1188" s="5">
        <v>0.7</v>
      </c>
      <c r="H1188" s="6">
        <v>5</v>
      </c>
      <c r="I1188" s="7">
        <f t="shared" si="180"/>
        <v>32199.999999999996</v>
      </c>
      <c r="J1188" s="7">
        <f t="shared" si="181"/>
        <v>1610</v>
      </c>
      <c r="K1188" s="7">
        <f t="shared" si="182"/>
        <v>30589.999999999996</v>
      </c>
      <c r="L1188" s="4">
        <v>76000</v>
      </c>
      <c r="M1188" s="7">
        <f t="shared" si="183"/>
        <v>106590</v>
      </c>
      <c r="N1188" s="2" t="s">
        <v>28</v>
      </c>
      <c r="O1188" t="s">
        <v>22</v>
      </c>
      <c r="P1188" s="2" t="s">
        <v>2365</v>
      </c>
      <c r="Q1188" s="2">
        <v>2</v>
      </c>
      <c r="R1188" s="2" t="s">
        <v>23</v>
      </c>
      <c r="S1188" s="2" t="str">
        <f t="shared" si="184"/>
        <v>Standar</v>
      </c>
      <c r="T1188" s="2" t="str">
        <f t="shared" si="185"/>
        <v>FALSE</v>
      </c>
      <c r="U1188" s="2" t="str">
        <f t="shared" si="186"/>
        <v>FALSE</v>
      </c>
      <c r="V1188" s="2" t="b">
        <f t="shared" si="187"/>
        <v>0</v>
      </c>
      <c r="W1188" s="2" t="b">
        <f t="shared" si="188"/>
        <v>0</v>
      </c>
      <c r="X1188" s="2" t="b">
        <f t="shared" si="189"/>
        <v>0</v>
      </c>
    </row>
    <row r="1189" spans="1:24" ht="10.5" customHeight="1">
      <c r="A1189" s="2" t="s">
        <v>1567</v>
      </c>
      <c r="B1189" s="3">
        <v>45894.472280092603</v>
      </c>
      <c r="C1189" s="2" t="s">
        <v>641</v>
      </c>
      <c r="D1189" s="2" t="s">
        <v>173</v>
      </c>
      <c r="E1189" s="2" t="s">
        <v>80</v>
      </c>
      <c r="F1189" s="4">
        <v>15000</v>
      </c>
      <c r="G1189" s="5">
        <v>2</v>
      </c>
      <c r="H1189" s="6">
        <v>5</v>
      </c>
      <c r="I1189" s="7">
        <f t="shared" si="180"/>
        <v>30000</v>
      </c>
      <c r="J1189" s="7">
        <f t="shared" si="181"/>
        <v>1500</v>
      </c>
      <c r="K1189" s="7">
        <f t="shared" si="182"/>
        <v>28500</v>
      </c>
      <c r="L1189" s="4">
        <v>48000</v>
      </c>
      <c r="M1189" s="7">
        <f t="shared" si="183"/>
        <v>76500</v>
      </c>
      <c r="N1189" s="2" t="s">
        <v>33</v>
      </c>
      <c r="O1189" t="s">
        <v>22</v>
      </c>
      <c r="P1189" s="2" t="s">
        <v>2367</v>
      </c>
      <c r="Q1189" s="2">
        <v>4</v>
      </c>
      <c r="R1189" s="2" t="s">
        <v>34</v>
      </c>
      <c r="S1189" s="2" t="str">
        <f t="shared" si="184"/>
        <v>Rendah</v>
      </c>
      <c r="T1189" s="2" t="str">
        <f t="shared" si="185"/>
        <v>FALSE</v>
      </c>
      <c r="U1189" s="2" t="str">
        <f t="shared" si="186"/>
        <v>FALSE</v>
      </c>
      <c r="V1189" s="2" t="b">
        <f t="shared" si="187"/>
        <v>0</v>
      </c>
      <c r="W1189" s="2" t="b">
        <f t="shared" si="188"/>
        <v>1</v>
      </c>
      <c r="X1189" s="2" t="b">
        <f t="shared" si="189"/>
        <v>0</v>
      </c>
    </row>
    <row r="1190" spans="1:24" ht="10.5" customHeight="1">
      <c r="A1190" s="2" t="s">
        <v>1568</v>
      </c>
      <c r="B1190" s="3">
        <v>45894.513831018521</v>
      </c>
      <c r="C1190" s="2" t="s">
        <v>313</v>
      </c>
      <c r="D1190" s="2" t="s">
        <v>94</v>
      </c>
      <c r="E1190" s="2" t="s">
        <v>75</v>
      </c>
      <c r="F1190" s="4">
        <v>45000</v>
      </c>
      <c r="G1190" s="5">
        <v>0.7</v>
      </c>
      <c r="H1190" s="6">
        <v>5</v>
      </c>
      <c r="I1190" s="7">
        <f t="shared" si="180"/>
        <v>31499.999999999996</v>
      </c>
      <c r="J1190" s="7">
        <f t="shared" si="181"/>
        <v>1575</v>
      </c>
      <c r="K1190" s="7">
        <f t="shared" si="182"/>
        <v>29924.999999999996</v>
      </c>
      <c r="L1190" s="4">
        <v>85000</v>
      </c>
      <c r="M1190" s="7">
        <f t="shared" si="183"/>
        <v>114925</v>
      </c>
      <c r="N1190" s="2" t="s">
        <v>58</v>
      </c>
      <c r="O1190" t="s">
        <v>22</v>
      </c>
      <c r="P1190" s="2" t="s">
        <v>2366</v>
      </c>
      <c r="Q1190" s="2">
        <v>4</v>
      </c>
      <c r="R1190" s="2" t="s">
        <v>23</v>
      </c>
      <c r="S1190" s="2" t="str">
        <f t="shared" si="184"/>
        <v>Standar</v>
      </c>
      <c r="T1190" s="2" t="str">
        <f t="shared" si="185"/>
        <v>FALSE</v>
      </c>
      <c r="U1190" s="2" t="str">
        <f t="shared" si="186"/>
        <v>FALSE</v>
      </c>
      <c r="V1190" s="2" t="b">
        <f t="shared" si="187"/>
        <v>0</v>
      </c>
      <c r="W1190" s="2" t="b">
        <f t="shared" si="188"/>
        <v>0</v>
      </c>
      <c r="X1190" s="2" t="b">
        <f t="shared" si="189"/>
        <v>0</v>
      </c>
    </row>
    <row r="1191" spans="1:24" ht="10.5" customHeight="1">
      <c r="A1191" s="2" t="s">
        <v>1569</v>
      </c>
      <c r="B1191" s="3">
        <v>45894.526076388887</v>
      </c>
      <c r="C1191" s="2" t="s">
        <v>894</v>
      </c>
      <c r="D1191" s="2" t="s">
        <v>286</v>
      </c>
      <c r="E1191" s="2" t="s">
        <v>49</v>
      </c>
      <c r="F1191" s="4">
        <v>26000</v>
      </c>
      <c r="G1191" s="5">
        <v>1.2</v>
      </c>
      <c r="H1191" s="6">
        <v>5</v>
      </c>
      <c r="I1191" s="7">
        <f t="shared" si="180"/>
        <v>31200</v>
      </c>
      <c r="J1191" s="7">
        <f t="shared" si="181"/>
        <v>1560</v>
      </c>
      <c r="K1191" s="7">
        <f t="shared" si="182"/>
        <v>29640</v>
      </c>
      <c r="L1191" s="4">
        <v>79000</v>
      </c>
      <c r="M1191" s="7">
        <f t="shared" si="183"/>
        <v>108640</v>
      </c>
      <c r="N1191" s="2" t="s">
        <v>21</v>
      </c>
      <c r="O1191" t="s">
        <v>22</v>
      </c>
      <c r="P1191" s="2" t="s">
        <v>2365</v>
      </c>
      <c r="Q1191" s="2">
        <v>3</v>
      </c>
      <c r="R1191" s="2" t="s">
        <v>34</v>
      </c>
      <c r="S1191" s="2" t="str">
        <f t="shared" si="184"/>
        <v>Standar</v>
      </c>
      <c r="T1191" s="2" t="str">
        <f t="shared" si="185"/>
        <v>FALSE</v>
      </c>
      <c r="U1191" s="2" t="str">
        <f t="shared" si="186"/>
        <v>FALSE</v>
      </c>
      <c r="V1191" s="2" t="b">
        <f t="shared" si="187"/>
        <v>0</v>
      </c>
      <c r="W1191" s="2" t="b">
        <f t="shared" si="188"/>
        <v>0</v>
      </c>
      <c r="X1191" s="2" t="b">
        <f t="shared" si="189"/>
        <v>0</v>
      </c>
    </row>
    <row r="1192" spans="1:24" ht="10.5" customHeight="1">
      <c r="A1192" s="2" t="s">
        <v>1570</v>
      </c>
      <c r="B1192" s="3">
        <v>45894.554872685178</v>
      </c>
      <c r="C1192" s="2" t="s">
        <v>202</v>
      </c>
      <c r="D1192" s="2" t="s">
        <v>44</v>
      </c>
      <c r="E1192" s="2" t="s">
        <v>75</v>
      </c>
      <c r="F1192" s="4">
        <v>45000</v>
      </c>
      <c r="G1192" s="5">
        <v>0.6</v>
      </c>
      <c r="H1192" s="6">
        <v>5</v>
      </c>
      <c r="I1192" s="7">
        <f t="shared" si="180"/>
        <v>27000</v>
      </c>
      <c r="J1192" s="7">
        <f t="shared" si="181"/>
        <v>1350</v>
      </c>
      <c r="K1192" s="7">
        <f t="shared" si="182"/>
        <v>25650</v>
      </c>
      <c r="L1192" s="4">
        <v>43000</v>
      </c>
      <c r="M1192" s="7">
        <f t="shared" si="183"/>
        <v>68650</v>
      </c>
      <c r="N1192" s="2" t="s">
        <v>21</v>
      </c>
      <c r="O1192" t="s">
        <v>22</v>
      </c>
      <c r="P1192" s="2" t="s">
        <v>2368</v>
      </c>
      <c r="Q1192" s="2">
        <v>2</v>
      </c>
      <c r="R1192" s="2" t="s">
        <v>23</v>
      </c>
      <c r="S1192" s="2" t="str">
        <f t="shared" si="184"/>
        <v>Rendah</v>
      </c>
      <c r="T1192" s="2" t="str">
        <f t="shared" si="185"/>
        <v>FALSE</v>
      </c>
      <c r="U1192" s="2" t="str">
        <f t="shared" si="186"/>
        <v>FALSE</v>
      </c>
      <c r="V1192" s="2" t="b">
        <f t="shared" si="187"/>
        <v>0</v>
      </c>
      <c r="W1192" s="2" t="b">
        <f t="shared" si="188"/>
        <v>0</v>
      </c>
      <c r="X1192" s="2" t="b">
        <f t="shared" si="189"/>
        <v>0</v>
      </c>
    </row>
    <row r="1193" spans="1:24" ht="10.5" customHeight="1">
      <c r="A1193" s="2" t="s">
        <v>1571</v>
      </c>
      <c r="B1193" s="3">
        <v>45894.603148148148</v>
      </c>
      <c r="C1193" s="2" t="s">
        <v>1572</v>
      </c>
      <c r="D1193" s="2" t="s">
        <v>74</v>
      </c>
      <c r="E1193" s="2" t="s">
        <v>143</v>
      </c>
      <c r="F1193" s="4">
        <v>10000</v>
      </c>
      <c r="G1193" s="5">
        <v>0.9</v>
      </c>
      <c r="H1193" s="6">
        <v>5</v>
      </c>
      <c r="I1193" s="7">
        <f t="shared" si="180"/>
        <v>9000</v>
      </c>
      <c r="J1193" s="7">
        <f t="shared" si="181"/>
        <v>450</v>
      </c>
      <c r="K1193" s="7">
        <f t="shared" si="182"/>
        <v>8550</v>
      </c>
      <c r="L1193" s="4">
        <v>74000</v>
      </c>
      <c r="M1193" s="7">
        <f t="shared" si="183"/>
        <v>82550</v>
      </c>
      <c r="N1193" s="2" t="s">
        <v>58</v>
      </c>
      <c r="O1193" t="s">
        <v>115</v>
      </c>
      <c r="P1193" s="2" t="s">
        <v>2367</v>
      </c>
      <c r="Q1193" s="2">
        <v>5</v>
      </c>
      <c r="R1193" s="2" t="s">
        <v>23</v>
      </c>
      <c r="S1193" s="2" t="str">
        <f t="shared" si="184"/>
        <v>Rendah</v>
      </c>
      <c r="T1193" s="2" t="str">
        <f t="shared" si="185"/>
        <v>FALSE</v>
      </c>
      <c r="U1193" s="2" t="str">
        <f t="shared" si="186"/>
        <v>TRUE</v>
      </c>
      <c r="V1193" s="2" t="b">
        <f t="shared" si="187"/>
        <v>0</v>
      </c>
      <c r="W1193" s="2" t="b">
        <f t="shared" si="188"/>
        <v>1</v>
      </c>
      <c r="X1193" s="2" t="b">
        <f t="shared" si="189"/>
        <v>0</v>
      </c>
    </row>
    <row r="1194" spans="1:24" ht="10.5" customHeight="1">
      <c r="A1194" s="2" t="s">
        <v>1573</v>
      </c>
      <c r="B1194" s="3">
        <v>45894.613530092603</v>
      </c>
      <c r="C1194" s="2" t="s">
        <v>157</v>
      </c>
      <c r="D1194" s="2" t="s">
        <v>40</v>
      </c>
      <c r="E1194" s="2" t="s">
        <v>80</v>
      </c>
      <c r="F1194" s="4">
        <v>15000</v>
      </c>
      <c r="G1194" s="5">
        <v>1.1000000000000001</v>
      </c>
      <c r="H1194" s="6">
        <v>5</v>
      </c>
      <c r="I1194" s="7">
        <f t="shared" si="180"/>
        <v>16500</v>
      </c>
      <c r="J1194" s="7">
        <f t="shared" si="181"/>
        <v>825</v>
      </c>
      <c r="K1194" s="7">
        <f t="shared" si="182"/>
        <v>15675</v>
      </c>
      <c r="L1194" s="4">
        <v>93000</v>
      </c>
      <c r="M1194" s="7">
        <f t="shared" si="183"/>
        <v>108675</v>
      </c>
      <c r="N1194" s="2" t="s">
        <v>28</v>
      </c>
      <c r="O1194" t="s">
        <v>22</v>
      </c>
      <c r="P1194" s="2" t="s">
        <v>2365</v>
      </c>
      <c r="Q1194" s="2">
        <v>5</v>
      </c>
      <c r="R1194" s="2" t="s">
        <v>23</v>
      </c>
      <c r="S1194" s="2" t="str">
        <f t="shared" si="184"/>
        <v>Standar</v>
      </c>
      <c r="T1194" s="2" t="str">
        <f t="shared" si="185"/>
        <v>FALSE</v>
      </c>
      <c r="U1194" s="2" t="str">
        <f t="shared" si="186"/>
        <v>FALSE</v>
      </c>
      <c r="V1194" s="2" t="b">
        <f t="shared" si="187"/>
        <v>0</v>
      </c>
      <c r="W1194" s="2" t="b">
        <f t="shared" si="188"/>
        <v>0</v>
      </c>
      <c r="X1194" s="2" t="b">
        <f t="shared" si="189"/>
        <v>0</v>
      </c>
    </row>
    <row r="1195" spans="1:24" ht="10.5" customHeight="1">
      <c r="A1195" s="2" t="s">
        <v>1574</v>
      </c>
      <c r="B1195" s="3">
        <v>45894.635381944441</v>
      </c>
      <c r="C1195" s="2" t="s">
        <v>205</v>
      </c>
      <c r="D1195" s="2" t="s">
        <v>123</v>
      </c>
      <c r="E1195" s="2" t="s">
        <v>80</v>
      </c>
      <c r="F1195" s="4">
        <v>15000</v>
      </c>
      <c r="G1195" s="5">
        <v>1.2</v>
      </c>
      <c r="H1195" s="6">
        <v>5</v>
      </c>
      <c r="I1195" s="7">
        <f t="shared" si="180"/>
        <v>18000</v>
      </c>
      <c r="J1195" s="7">
        <f t="shared" si="181"/>
        <v>900</v>
      </c>
      <c r="K1195" s="7">
        <f t="shared" si="182"/>
        <v>17100</v>
      </c>
      <c r="L1195" s="4">
        <v>59000</v>
      </c>
      <c r="M1195" s="7">
        <f t="shared" si="183"/>
        <v>76100</v>
      </c>
      <c r="N1195" s="2" t="s">
        <v>33</v>
      </c>
      <c r="O1195" t="s">
        <v>22</v>
      </c>
      <c r="P1195" s="2" t="s">
        <v>2368</v>
      </c>
      <c r="Q1195" s="2">
        <v>1</v>
      </c>
      <c r="R1195" s="2" t="s">
        <v>23</v>
      </c>
      <c r="S1195" s="2" t="str">
        <f t="shared" si="184"/>
        <v>Rendah</v>
      </c>
      <c r="T1195" s="2" t="str">
        <f t="shared" si="185"/>
        <v>FALSE</v>
      </c>
      <c r="U1195" s="2" t="str">
        <f t="shared" si="186"/>
        <v>FALSE</v>
      </c>
      <c r="V1195" s="2" t="b">
        <f t="shared" si="187"/>
        <v>0</v>
      </c>
      <c r="W1195" s="2" t="b">
        <f t="shared" si="188"/>
        <v>0</v>
      </c>
      <c r="X1195" s="2" t="b">
        <f t="shared" si="189"/>
        <v>0</v>
      </c>
    </row>
    <row r="1196" spans="1:24" ht="10.5" customHeight="1">
      <c r="A1196" s="2" t="s">
        <v>1575</v>
      </c>
      <c r="B1196" s="3">
        <v>45894.660405092603</v>
      </c>
      <c r="C1196" s="2" t="s">
        <v>685</v>
      </c>
      <c r="D1196" s="2" t="s">
        <v>111</v>
      </c>
      <c r="E1196" s="2" t="s">
        <v>20</v>
      </c>
      <c r="F1196" s="4">
        <v>10000</v>
      </c>
      <c r="G1196" s="5">
        <v>1.4</v>
      </c>
      <c r="H1196" s="6">
        <v>5</v>
      </c>
      <c r="I1196" s="7">
        <f t="shared" si="180"/>
        <v>14000</v>
      </c>
      <c r="J1196" s="7">
        <f t="shared" si="181"/>
        <v>700</v>
      </c>
      <c r="K1196" s="7">
        <f t="shared" si="182"/>
        <v>13300</v>
      </c>
      <c r="L1196" s="4">
        <v>0</v>
      </c>
      <c r="M1196" s="7">
        <f t="shared" si="183"/>
        <v>13300</v>
      </c>
      <c r="N1196" s="2" t="s">
        <v>33</v>
      </c>
      <c r="O1196" t="s">
        <v>22</v>
      </c>
      <c r="P1196" s="2" t="s">
        <v>2368</v>
      </c>
      <c r="Q1196" s="2">
        <v>4</v>
      </c>
      <c r="R1196" s="2" t="s">
        <v>23</v>
      </c>
      <c r="S1196" s="2" t="str">
        <f t="shared" si="184"/>
        <v>Sangat Rendah</v>
      </c>
      <c r="T1196" s="2" t="str">
        <f t="shared" si="185"/>
        <v>FALSE</v>
      </c>
      <c r="U1196" s="2" t="str">
        <f t="shared" si="186"/>
        <v>FALSE</v>
      </c>
      <c r="V1196" s="2" t="b">
        <f t="shared" si="187"/>
        <v>0</v>
      </c>
      <c r="W1196" s="2" t="b">
        <f t="shared" si="188"/>
        <v>0</v>
      </c>
      <c r="X1196" s="2" t="b">
        <f t="shared" si="189"/>
        <v>1</v>
      </c>
    </row>
    <row r="1197" spans="1:24" ht="10.5" customHeight="1">
      <c r="A1197" s="2" t="s">
        <v>1575</v>
      </c>
      <c r="B1197" s="3">
        <v>45894.660405092603</v>
      </c>
      <c r="C1197" s="2" t="s">
        <v>685</v>
      </c>
      <c r="D1197" s="2" t="s">
        <v>111</v>
      </c>
      <c r="E1197" s="2" t="s">
        <v>170</v>
      </c>
      <c r="F1197" s="4">
        <v>12000</v>
      </c>
      <c r="G1197" s="5">
        <v>0.5</v>
      </c>
      <c r="H1197" s="6">
        <v>5</v>
      </c>
      <c r="I1197" s="7">
        <f t="shared" si="180"/>
        <v>6000</v>
      </c>
      <c r="J1197" s="7">
        <f t="shared" si="181"/>
        <v>300</v>
      </c>
      <c r="K1197" s="7">
        <f t="shared" si="182"/>
        <v>5700</v>
      </c>
      <c r="L1197" s="4">
        <v>0</v>
      </c>
      <c r="M1197" s="7">
        <f t="shared" si="183"/>
        <v>5700</v>
      </c>
      <c r="N1197" s="2" t="s">
        <v>33</v>
      </c>
      <c r="O1197" t="s">
        <v>22</v>
      </c>
      <c r="P1197" s="2" t="s">
        <v>2368</v>
      </c>
      <c r="Q1197" s="2">
        <v>4</v>
      </c>
      <c r="R1197" s="2" t="s">
        <v>23</v>
      </c>
      <c r="S1197" s="2" t="str">
        <f t="shared" si="184"/>
        <v>Sangat Rendah</v>
      </c>
      <c r="T1197" s="2" t="str">
        <f t="shared" si="185"/>
        <v>FALSE</v>
      </c>
      <c r="U1197" s="2" t="str">
        <f t="shared" si="186"/>
        <v>FALSE</v>
      </c>
      <c r="V1197" s="2" t="b">
        <f t="shared" si="187"/>
        <v>0</v>
      </c>
      <c r="W1197" s="2" t="b">
        <f t="shared" si="188"/>
        <v>0</v>
      </c>
      <c r="X1197" s="2" t="b">
        <f t="shared" si="189"/>
        <v>1</v>
      </c>
    </row>
    <row r="1198" spans="1:24" ht="10.5" customHeight="1">
      <c r="A1198" s="2" t="s">
        <v>1576</v>
      </c>
      <c r="B1198" s="3">
        <v>45894.768877314818</v>
      </c>
      <c r="C1198" s="2" t="s">
        <v>1499</v>
      </c>
      <c r="D1198" s="2" t="s">
        <v>114</v>
      </c>
      <c r="E1198" s="2" t="s">
        <v>20</v>
      </c>
      <c r="F1198" s="4">
        <v>10000</v>
      </c>
      <c r="G1198" s="5">
        <v>1.4</v>
      </c>
      <c r="H1198" s="6">
        <v>5</v>
      </c>
      <c r="I1198" s="7">
        <f t="shared" si="180"/>
        <v>14000</v>
      </c>
      <c r="J1198" s="7">
        <f t="shared" si="181"/>
        <v>700</v>
      </c>
      <c r="K1198" s="7">
        <f t="shared" si="182"/>
        <v>13300</v>
      </c>
      <c r="L1198" s="4">
        <v>78000</v>
      </c>
      <c r="M1198" s="7">
        <f t="shared" si="183"/>
        <v>91300</v>
      </c>
      <c r="N1198" s="2" t="s">
        <v>58</v>
      </c>
      <c r="O1198" t="s">
        <v>22</v>
      </c>
      <c r="P1198" s="2" t="s">
        <v>2370</v>
      </c>
      <c r="Q1198" s="2">
        <v>5</v>
      </c>
      <c r="R1198" s="2" t="s">
        <v>23</v>
      </c>
      <c r="S1198" s="2" t="str">
        <f t="shared" si="184"/>
        <v>Rendah</v>
      </c>
      <c r="T1198" s="2" t="str">
        <f t="shared" si="185"/>
        <v>TRUE</v>
      </c>
      <c r="U1198" s="2" t="str">
        <f t="shared" si="186"/>
        <v>FALSE</v>
      </c>
      <c r="V1198" s="2" t="b">
        <f t="shared" si="187"/>
        <v>0</v>
      </c>
      <c r="W1198" s="2" t="b">
        <f t="shared" si="188"/>
        <v>0</v>
      </c>
      <c r="X1198" s="2" t="b">
        <f t="shared" si="189"/>
        <v>0</v>
      </c>
    </row>
    <row r="1199" spans="1:24" ht="10.5" customHeight="1">
      <c r="A1199" s="2" t="s">
        <v>1577</v>
      </c>
      <c r="B1199" s="3">
        <v>45894.77207175926</v>
      </c>
      <c r="C1199" s="2" t="s">
        <v>1118</v>
      </c>
      <c r="D1199" s="2" t="s">
        <v>105</v>
      </c>
      <c r="E1199" s="2" t="s">
        <v>32</v>
      </c>
      <c r="F1199" s="4">
        <v>20000</v>
      </c>
      <c r="G1199" s="5">
        <v>1.4</v>
      </c>
      <c r="H1199" s="6">
        <v>5</v>
      </c>
      <c r="I1199" s="7">
        <f t="shared" si="180"/>
        <v>28000</v>
      </c>
      <c r="J1199" s="7">
        <f t="shared" si="181"/>
        <v>1400</v>
      </c>
      <c r="K1199" s="7">
        <f t="shared" si="182"/>
        <v>26600</v>
      </c>
      <c r="L1199" s="4">
        <v>18000</v>
      </c>
      <c r="M1199" s="7">
        <f t="shared" si="183"/>
        <v>44600</v>
      </c>
      <c r="N1199" s="2" t="s">
        <v>33</v>
      </c>
      <c r="O1199" t="s">
        <v>22</v>
      </c>
      <c r="P1199" s="2" t="s">
        <v>2366</v>
      </c>
      <c r="Q1199" s="2">
        <v>2</v>
      </c>
      <c r="R1199" s="2" t="s">
        <v>23</v>
      </c>
      <c r="S1199" s="2" t="str">
        <f t="shared" si="184"/>
        <v>Sangat Rendah</v>
      </c>
      <c r="T1199" s="2" t="str">
        <f t="shared" si="185"/>
        <v>FALSE</v>
      </c>
      <c r="U1199" s="2" t="str">
        <f t="shared" si="186"/>
        <v>FALSE</v>
      </c>
      <c r="V1199" s="2" t="b">
        <f t="shared" si="187"/>
        <v>0</v>
      </c>
      <c r="W1199" s="2" t="b">
        <f t="shared" si="188"/>
        <v>0</v>
      </c>
      <c r="X1199" s="2" t="b">
        <f t="shared" si="189"/>
        <v>1</v>
      </c>
    </row>
    <row r="1200" spans="1:24" ht="10.5" customHeight="1">
      <c r="A1200" s="2" t="s">
        <v>1577</v>
      </c>
      <c r="B1200" s="3">
        <v>45894.77207175926</v>
      </c>
      <c r="C1200" s="2" t="s">
        <v>1118</v>
      </c>
      <c r="D1200" s="2" t="s">
        <v>105</v>
      </c>
      <c r="E1200" s="2" t="s">
        <v>161</v>
      </c>
      <c r="F1200" s="4">
        <v>115000</v>
      </c>
      <c r="G1200" s="5">
        <v>0.5</v>
      </c>
      <c r="H1200" s="6">
        <v>5</v>
      </c>
      <c r="I1200" s="7">
        <f t="shared" si="180"/>
        <v>57500</v>
      </c>
      <c r="J1200" s="7">
        <f t="shared" si="181"/>
        <v>2875</v>
      </c>
      <c r="K1200" s="7">
        <f t="shared" si="182"/>
        <v>54625</v>
      </c>
      <c r="L1200" s="4">
        <v>0</v>
      </c>
      <c r="M1200" s="7">
        <f t="shared" si="183"/>
        <v>54625</v>
      </c>
      <c r="N1200" s="2" t="s">
        <v>33</v>
      </c>
      <c r="O1200" t="s">
        <v>22</v>
      </c>
      <c r="P1200" s="2" t="s">
        <v>2366</v>
      </c>
      <c r="Q1200" s="2">
        <v>2</v>
      </c>
      <c r="R1200" s="2" t="s">
        <v>23</v>
      </c>
      <c r="S1200" s="2" t="str">
        <f t="shared" si="184"/>
        <v>Rendah</v>
      </c>
      <c r="T1200" s="2" t="str">
        <f t="shared" si="185"/>
        <v>FALSE</v>
      </c>
      <c r="U1200" s="2" t="str">
        <f t="shared" si="186"/>
        <v>FALSE</v>
      </c>
      <c r="V1200" s="2" t="b">
        <f t="shared" si="187"/>
        <v>0</v>
      </c>
      <c r="W1200" s="2" t="b">
        <f t="shared" si="188"/>
        <v>0</v>
      </c>
      <c r="X1200" s="2" t="b">
        <f t="shared" si="189"/>
        <v>0</v>
      </c>
    </row>
    <row r="1201" spans="1:24" ht="10.5" customHeight="1">
      <c r="A1201" s="2" t="s">
        <v>1578</v>
      </c>
      <c r="B1201" s="3">
        <v>45894.783113425918</v>
      </c>
      <c r="C1201" s="2" t="s">
        <v>209</v>
      </c>
      <c r="D1201" s="2" t="s">
        <v>160</v>
      </c>
      <c r="E1201" s="2" t="s">
        <v>102</v>
      </c>
      <c r="F1201" s="4">
        <v>55000</v>
      </c>
      <c r="G1201" s="5">
        <v>0.6</v>
      </c>
      <c r="H1201" s="6">
        <v>5</v>
      </c>
      <c r="I1201" s="7">
        <f t="shared" si="180"/>
        <v>33000</v>
      </c>
      <c r="J1201" s="7">
        <f t="shared" si="181"/>
        <v>1650</v>
      </c>
      <c r="K1201" s="7">
        <f t="shared" si="182"/>
        <v>31350</v>
      </c>
      <c r="L1201" s="4">
        <v>46000</v>
      </c>
      <c r="M1201" s="7">
        <f t="shared" si="183"/>
        <v>77350</v>
      </c>
      <c r="N1201" s="2" t="s">
        <v>58</v>
      </c>
      <c r="O1201" t="s">
        <v>22</v>
      </c>
      <c r="P1201" s="2" t="s">
        <v>2367</v>
      </c>
      <c r="Q1201" s="2">
        <v>1</v>
      </c>
      <c r="R1201" s="2" t="s">
        <v>23</v>
      </c>
      <c r="S1201" s="2" t="str">
        <f t="shared" si="184"/>
        <v>Rendah</v>
      </c>
      <c r="T1201" s="2" t="str">
        <f t="shared" si="185"/>
        <v>FALSE</v>
      </c>
      <c r="U1201" s="2" t="str">
        <f t="shared" si="186"/>
        <v>FALSE</v>
      </c>
      <c r="V1201" s="2" t="b">
        <f t="shared" si="187"/>
        <v>0</v>
      </c>
      <c r="W1201" s="2" t="b">
        <f t="shared" si="188"/>
        <v>1</v>
      </c>
      <c r="X1201" s="2" t="b">
        <f t="shared" si="189"/>
        <v>0</v>
      </c>
    </row>
    <row r="1202" spans="1:24" ht="10.5" customHeight="1">
      <c r="A1202" s="2" t="s">
        <v>1579</v>
      </c>
      <c r="B1202" s="3">
        <v>45894.798587962963</v>
      </c>
      <c r="C1202" s="2" t="s">
        <v>644</v>
      </c>
      <c r="D1202" s="2" t="s">
        <v>365</v>
      </c>
      <c r="E1202" s="2" t="s">
        <v>49</v>
      </c>
      <c r="F1202" s="4">
        <v>26000</v>
      </c>
      <c r="G1202" s="5">
        <v>1</v>
      </c>
      <c r="H1202" s="6">
        <v>5</v>
      </c>
      <c r="I1202" s="7">
        <f t="shared" si="180"/>
        <v>26000</v>
      </c>
      <c r="J1202" s="7">
        <f t="shared" si="181"/>
        <v>1300</v>
      </c>
      <c r="K1202" s="7">
        <f t="shared" si="182"/>
        <v>24700</v>
      </c>
      <c r="L1202" s="4">
        <v>21000</v>
      </c>
      <c r="M1202" s="7">
        <f t="shared" si="183"/>
        <v>45700</v>
      </c>
      <c r="N1202" s="2" t="s">
        <v>21</v>
      </c>
      <c r="O1202" t="s">
        <v>22</v>
      </c>
      <c r="P1202" s="2" t="s">
        <v>2366</v>
      </c>
      <c r="Q1202" s="2">
        <v>3</v>
      </c>
      <c r="R1202" s="2" t="s">
        <v>23</v>
      </c>
      <c r="S1202" s="2" t="str">
        <f t="shared" si="184"/>
        <v>Sangat Rendah</v>
      </c>
      <c r="T1202" s="2" t="str">
        <f t="shared" si="185"/>
        <v>FALSE</v>
      </c>
      <c r="U1202" s="2" t="str">
        <f t="shared" si="186"/>
        <v>FALSE</v>
      </c>
      <c r="V1202" s="2" t="b">
        <f t="shared" si="187"/>
        <v>0</v>
      </c>
      <c r="W1202" s="2" t="b">
        <f t="shared" si="188"/>
        <v>0</v>
      </c>
      <c r="X1202" s="2" t="b">
        <f t="shared" si="189"/>
        <v>1</v>
      </c>
    </row>
    <row r="1203" spans="1:24" ht="10.5" customHeight="1">
      <c r="A1203" s="2" t="s">
        <v>1580</v>
      </c>
      <c r="B1203" s="3">
        <v>45894.915347222217</v>
      </c>
      <c r="C1203" s="2" t="s">
        <v>572</v>
      </c>
      <c r="D1203" s="2" t="s">
        <v>425</v>
      </c>
      <c r="E1203" s="2" t="s">
        <v>80</v>
      </c>
      <c r="F1203" s="4">
        <v>15000</v>
      </c>
      <c r="G1203" s="5">
        <v>0.7</v>
      </c>
      <c r="H1203" s="6">
        <v>5</v>
      </c>
      <c r="I1203" s="7">
        <f t="shared" si="180"/>
        <v>10500</v>
      </c>
      <c r="J1203" s="7">
        <f t="shared" si="181"/>
        <v>525</v>
      </c>
      <c r="K1203" s="7">
        <f t="shared" si="182"/>
        <v>9975</v>
      </c>
      <c r="L1203" s="4">
        <v>67000</v>
      </c>
      <c r="M1203" s="7">
        <f t="shared" si="183"/>
        <v>76975</v>
      </c>
      <c r="N1203" s="2" t="s">
        <v>21</v>
      </c>
      <c r="O1203" t="s">
        <v>22</v>
      </c>
      <c r="P1203" s="2" t="s">
        <v>2365</v>
      </c>
      <c r="Q1203" s="2">
        <v>3</v>
      </c>
      <c r="R1203" s="2" t="s">
        <v>23</v>
      </c>
      <c r="S1203" s="2" t="str">
        <f t="shared" si="184"/>
        <v>Rendah</v>
      </c>
      <c r="T1203" s="2" t="str">
        <f t="shared" si="185"/>
        <v>FALSE</v>
      </c>
      <c r="U1203" s="2" t="str">
        <f t="shared" si="186"/>
        <v>FALSE</v>
      </c>
      <c r="V1203" s="2" t="b">
        <f t="shared" si="187"/>
        <v>0</v>
      </c>
      <c r="W1203" s="2" t="b">
        <f t="shared" si="188"/>
        <v>0</v>
      </c>
      <c r="X1203" s="2" t="b">
        <f t="shared" si="189"/>
        <v>0</v>
      </c>
    </row>
    <row r="1204" spans="1:24" ht="10.5" customHeight="1">
      <c r="A1204" s="2" t="s">
        <v>1581</v>
      </c>
      <c r="B1204" s="3">
        <v>45894.987326388888</v>
      </c>
      <c r="C1204" s="2" t="s">
        <v>259</v>
      </c>
      <c r="D1204" s="2" t="s">
        <v>164</v>
      </c>
      <c r="E1204" s="2" t="s">
        <v>65</v>
      </c>
      <c r="F1204" s="4">
        <v>46000</v>
      </c>
      <c r="G1204" s="5">
        <v>1.4</v>
      </c>
      <c r="H1204" s="6">
        <v>5</v>
      </c>
      <c r="I1204" s="7">
        <f t="shared" si="180"/>
        <v>64399.999999999993</v>
      </c>
      <c r="J1204" s="7">
        <f t="shared" si="181"/>
        <v>3220</v>
      </c>
      <c r="K1204" s="7">
        <f t="shared" si="182"/>
        <v>61179.999999999993</v>
      </c>
      <c r="L1204" s="4">
        <v>49000</v>
      </c>
      <c r="M1204" s="7">
        <f t="shared" si="183"/>
        <v>110180</v>
      </c>
      <c r="N1204" s="2" t="s">
        <v>21</v>
      </c>
      <c r="O1204" t="s">
        <v>22</v>
      </c>
      <c r="P1204" s="2" t="s">
        <v>2368</v>
      </c>
      <c r="Q1204" s="2">
        <v>4</v>
      </c>
      <c r="R1204" s="2" t="s">
        <v>34</v>
      </c>
      <c r="S1204" s="2" t="str">
        <f t="shared" si="184"/>
        <v>Standar</v>
      </c>
      <c r="T1204" s="2" t="str">
        <f t="shared" si="185"/>
        <v>FALSE</v>
      </c>
      <c r="U1204" s="2" t="str">
        <f t="shared" si="186"/>
        <v>FALSE</v>
      </c>
      <c r="V1204" s="2" t="b">
        <f t="shared" si="187"/>
        <v>0</v>
      </c>
      <c r="W1204" s="2" t="b">
        <f t="shared" si="188"/>
        <v>0</v>
      </c>
      <c r="X1204" s="2" t="b">
        <f t="shared" si="189"/>
        <v>0</v>
      </c>
    </row>
    <row r="1205" spans="1:24" ht="10.5" customHeight="1">
      <c r="A1205" s="2" t="s">
        <v>1582</v>
      </c>
      <c r="B1205" s="3">
        <v>45895.080659722233</v>
      </c>
      <c r="C1205" s="2" t="s">
        <v>914</v>
      </c>
      <c r="D1205" s="2" t="s">
        <v>19</v>
      </c>
      <c r="E1205" s="2" t="s">
        <v>65</v>
      </c>
      <c r="F1205" s="4">
        <v>46000</v>
      </c>
      <c r="G1205" s="5">
        <v>1</v>
      </c>
      <c r="H1205" s="6">
        <v>0</v>
      </c>
      <c r="I1205" s="7">
        <f t="shared" si="180"/>
        <v>46000</v>
      </c>
      <c r="J1205" s="7">
        <f t="shared" si="181"/>
        <v>0</v>
      </c>
      <c r="K1205" s="7">
        <f t="shared" si="182"/>
        <v>46000</v>
      </c>
      <c r="L1205" s="4">
        <v>15000</v>
      </c>
      <c r="M1205" s="7">
        <f t="shared" si="183"/>
        <v>61000</v>
      </c>
      <c r="N1205" s="2" t="s">
        <v>21</v>
      </c>
      <c r="O1205" t="s">
        <v>22</v>
      </c>
      <c r="P1205" s="2" t="s">
        <v>2370</v>
      </c>
      <c r="Q1205" s="2">
        <v>4</v>
      </c>
      <c r="R1205" s="2" t="s">
        <v>34</v>
      </c>
      <c r="S1205" s="2" t="str">
        <f t="shared" si="184"/>
        <v>Rendah</v>
      </c>
      <c r="T1205" s="2" t="str">
        <f t="shared" si="185"/>
        <v>FALSE</v>
      </c>
      <c r="U1205" s="2" t="str">
        <f t="shared" si="186"/>
        <v>FALSE</v>
      </c>
      <c r="V1205" s="2" t="b">
        <f t="shared" si="187"/>
        <v>0</v>
      </c>
      <c r="W1205" s="2" t="b">
        <f t="shared" si="188"/>
        <v>0</v>
      </c>
      <c r="X1205" s="2" t="b">
        <f t="shared" si="189"/>
        <v>0</v>
      </c>
    </row>
    <row r="1206" spans="1:24" ht="10.5" customHeight="1">
      <c r="A1206" s="2" t="s">
        <v>1582</v>
      </c>
      <c r="B1206" s="3">
        <v>45895.080659722233</v>
      </c>
      <c r="C1206" s="2" t="s">
        <v>914</v>
      </c>
      <c r="D1206" s="2" t="s">
        <v>19</v>
      </c>
      <c r="E1206" s="2" t="s">
        <v>143</v>
      </c>
      <c r="F1206" s="4">
        <v>10000</v>
      </c>
      <c r="G1206" s="5">
        <v>1.1000000000000001</v>
      </c>
      <c r="H1206" s="6">
        <v>0</v>
      </c>
      <c r="I1206" s="7">
        <f t="shared" si="180"/>
        <v>11000</v>
      </c>
      <c r="J1206" s="7">
        <f t="shared" si="181"/>
        <v>0</v>
      </c>
      <c r="K1206" s="7">
        <f t="shared" si="182"/>
        <v>11000</v>
      </c>
      <c r="L1206" s="4">
        <v>0</v>
      </c>
      <c r="M1206" s="7">
        <f t="shared" si="183"/>
        <v>11000</v>
      </c>
      <c r="N1206" s="2" t="s">
        <v>21</v>
      </c>
      <c r="O1206" t="s">
        <v>22</v>
      </c>
      <c r="P1206" s="2" t="s">
        <v>2370</v>
      </c>
      <c r="Q1206" s="2">
        <v>4</v>
      </c>
      <c r="R1206" s="2" t="s">
        <v>34</v>
      </c>
      <c r="S1206" s="2" t="str">
        <f t="shared" si="184"/>
        <v>Sangat Rendah</v>
      </c>
      <c r="T1206" s="2" t="str">
        <f t="shared" si="185"/>
        <v>FALSE</v>
      </c>
      <c r="U1206" s="2" t="str">
        <f t="shared" si="186"/>
        <v>TRUE</v>
      </c>
      <c r="V1206" s="2" t="b">
        <f t="shared" si="187"/>
        <v>0</v>
      </c>
      <c r="W1206" s="2" t="b">
        <f t="shared" si="188"/>
        <v>0</v>
      </c>
      <c r="X1206" s="2" t="b">
        <f t="shared" si="189"/>
        <v>0</v>
      </c>
    </row>
    <row r="1207" spans="1:24" ht="10.5" customHeight="1">
      <c r="A1207" s="2" t="s">
        <v>1583</v>
      </c>
      <c r="B1207" s="3">
        <v>45895.253472222219</v>
      </c>
      <c r="C1207" s="2" t="s">
        <v>1338</v>
      </c>
      <c r="D1207" s="2" t="s">
        <v>286</v>
      </c>
      <c r="E1207" s="2" t="s">
        <v>102</v>
      </c>
      <c r="F1207" s="4">
        <v>55000</v>
      </c>
      <c r="G1207" s="5">
        <v>0.3</v>
      </c>
      <c r="H1207" s="6">
        <v>0</v>
      </c>
      <c r="I1207" s="7">
        <f t="shared" si="180"/>
        <v>16500</v>
      </c>
      <c r="J1207" s="7">
        <f t="shared" si="181"/>
        <v>0</v>
      </c>
      <c r="K1207" s="7">
        <f t="shared" si="182"/>
        <v>16500</v>
      </c>
      <c r="L1207" s="4">
        <v>79000</v>
      </c>
      <c r="M1207" s="7">
        <f t="shared" si="183"/>
        <v>95500</v>
      </c>
      <c r="N1207" s="2" t="s">
        <v>21</v>
      </c>
      <c r="O1207" t="s">
        <v>22</v>
      </c>
      <c r="P1207" s="2" t="s">
        <v>2366</v>
      </c>
      <c r="Q1207" s="2">
        <v>4</v>
      </c>
      <c r="R1207" s="2" t="s">
        <v>23</v>
      </c>
      <c r="S1207" s="2" t="str">
        <f t="shared" si="184"/>
        <v>Rendah</v>
      </c>
      <c r="T1207" s="2" t="str">
        <f t="shared" si="185"/>
        <v>FALSE</v>
      </c>
      <c r="U1207" s="2" t="str">
        <f t="shared" si="186"/>
        <v>FALSE</v>
      </c>
      <c r="V1207" s="2" t="b">
        <f t="shared" si="187"/>
        <v>0</v>
      </c>
      <c r="W1207" s="2" t="b">
        <f t="shared" si="188"/>
        <v>0</v>
      </c>
      <c r="X1207" s="2" t="b">
        <f t="shared" si="189"/>
        <v>0</v>
      </c>
    </row>
    <row r="1208" spans="1:24" ht="10.5" customHeight="1">
      <c r="A1208" s="2" t="s">
        <v>1584</v>
      </c>
      <c r="B1208" s="3">
        <v>45895.261388888888</v>
      </c>
      <c r="C1208" s="2" t="s">
        <v>1015</v>
      </c>
      <c r="D1208" s="2" t="s">
        <v>111</v>
      </c>
      <c r="E1208" s="2" t="s">
        <v>41</v>
      </c>
      <c r="F1208" s="4">
        <v>40000</v>
      </c>
      <c r="G1208" s="5">
        <v>1.5</v>
      </c>
      <c r="H1208" s="6">
        <v>0</v>
      </c>
      <c r="I1208" s="7">
        <f t="shared" si="180"/>
        <v>60000</v>
      </c>
      <c r="J1208" s="7">
        <f t="shared" si="181"/>
        <v>0</v>
      </c>
      <c r="K1208" s="7">
        <f t="shared" si="182"/>
        <v>60000</v>
      </c>
      <c r="L1208" s="4">
        <v>0</v>
      </c>
      <c r="M1208" s="7">
        <f t="shared" si="183"/>
        <v>60000</v>
      </c>
      <c r="N1208" s="2" t="s">
        <v>58</v>
      </c>
      <c r="O1208" t="s">
        <v>22</v>
      </c>
      <c r="P1208" s="2" t="s">
        <v>2366</v>
      </c>
      <c r="Q1208" s="2">
        <v>5</v>
      </c>
      <c r="R1208" s="2" t="s">
        <v>23</v>
      </c>
      <c r="S1208" s="2" t="str">
        <f t="shared" si="184"/>
        <v>Rendah</v>
      </c>
      <c r="T1208" s="2" t="str">
        <f t="shared" si="185"/>
        <v>FALSE</v>
      </c>
      <c r="U1208" s="2" t="str">
        <f t="shared" si="186"/>
        <v>FALSE</v>
      </c>
      <c r="V1208" s="2" t="b">
        <f t="shared" si="187"/>
        <v>0</v>
      </c>
      <c r="W1208" s="2" t="b">
        <f t="shared" si="188"/>
        <v>0</v>
      </c>
      <c r="X1208" s="2" t="b">
        <f t="shared" si="189"/>
        <v>0</v>
      </c>
    </row>
    <row r="1209" spans="1:24" ht="10.5" customHeight="1">
      <c r="A1209" s="2" t="s">
        <v>1585</v>
      </c>
      <c r="B1209" s="3">
        <v>45895.282268518517</v>
      </c>
      <c r="C1209" s="2" t="s">
        <v>719</v>
      </c>
      <c r="D1209" s="2" t="s">
        <v>68</v>
      </c>
      <c r="E1209" s="2" t="s">
        <v>57</v>
      </c>
      <c r="F1209" s="4">
        <v>17500</v>
      </c>
      <c r="G1209" s="5">
        <v>3.2</v>
      </c>
      <c r="H1209" s="6">
        <v>0</v>
      </c>
      <c r="I1209" s="7">
        <f t="shared" si="180"/>
        <v>56000</v>
      </c>
      <c r="J1209" s="7">
        <f t="shared" si="181"/>
        <v>0</v>
      </c>
      <c r="K1209" s="7">
        <f t="shared" si="182"/>
        <v>56000</v>
      </c>
      <c r="L1209" s="4">
        <v>87000</v>
      </c>
      <c r="M1209" s="7">
        <f t="shared" si="183"/>
        <v>143000</v>
      </c>
      <c r="N1209" s="2" t="s">
        <v>58</v>
      </c>
      <c r="O1209" t="s">
        <v>69</v>
      </c>
      <c r="P1209" s="2" t="s">
        <v>2365</v>
      </c>
      <c r="Q1209" s="2">
        <v>3</v>
      </c>
      <c r="R1209" s="2" t="s">
        <v>23</v>
      </c>
      <c r="S1209" s="2" t="str">
        <f t="shared" si="184"/>
        <v>Standar</v>
      </c>
      <c r="T1209" s="2" t="str">
        <f t="shared" si="185"/>
        <v>FALSE</v>
      </c>
      <c r="U1209" s="2" t="str">
        <f t="shared" si="186"/>
        <v>FALSE</v>
      </c>
      <c r="V1209" s="2" t="b">
        <f t="shared" si="187"/>
        <v>0</v>
      </c>
      <c r="W1209" s="2" t="b">
        <f t="shared" si="188"/>
        <v>0</v>
      </c>
      <c r="X1209" s="2" t="b">
        <f t="shared" si="189"/>
        <v>0</v>
      </c>
    </row>
    <row r="1210" spans="1:24" ht="10.5" customHeight="1">
      <c r="A1210" s="2" t="s">
        <v>1586</v>
      </c>
      <c r="B1210" s="3">
        <v>45895.349236111113</v>
      </c>
      <c r="C1210" s="2" t="s">
        <v>166</v>
      </c>
      <c r="D1210" s="2" t="s">
        <v>167</v>
      </c>
      <c r="E1210" s="2" t="s">
        <v>53</v>
      </c>
      <c r="F1210" s="4">
        <v>14000</v>
      </c>
      <c r="G1210" s="5">
        <v>1</v>
      </c>
      <c r="H1210" s="6">
        <v>0</v>
      </c>
      <c r="I1210" s="7">
        <f t="shared" si="180"/>
        <v>14000</v>
      </c>
      <c r="J1210" s="7">
        <f t="shared" si="181"/>
        <v>0</v>
      </c>
      <c r="K1210" s="7">
        <f t="shared" si="182"/>
        <v>14000</v>
      </c>
      <c r="L1210" s="4">
        <v>56000</v>
      </c>
      <c r="M1210" s="7">
        <f t="shared" si="183"/>
        <v>70000</v>
      </c>
      <c r="N1210" s="2" t="s">
        <v>58</v>
      </c>
      <c r="O1210" t="s">
        <v>22</v>
      </c>
      <c r="P1210" s="2" t="s">
        <v>2366</v>
      </c>
      <c r="Q1210" s="2">
        <v>4</v>
      </c>
      <c r="R1210" s="2" t="s">
        <v>23</v>
      </c>
      <c r="S1210" s="2" t="str">
        <f t="shared" si="184"/>
        <v>Rendah</v>
      </c>
      <c r="T1210" s="2" t="str">
        <f t="shared" si="185"/>
        <v>FALSE</v>
      </c>
      <c r="U1210" s="2" t="str">
        <f t="shared" si="186"/>
        <v>FALSE</v>
      </c>
      <c r="V1210" s="2" t="b">
        <f t="shared" si="187"/>
        <v>0</v>
      </c>
      <c r="W1210" s="2" t="b">
        <f t="shared" si="188"/>
        <v>0</v>
      </c>
      <c r="X1210" s="2" t="b">
        <f t="shared" si="189"/>
        <v>0</v>
      </c>
    </row>
    <row r="1211" spans="1:24" ht="10.5" customHeight="1">
      <c r="A1211" s="2" t="s">
        <v>1587</v>
      </c>
      <c r="B1211" s="3">
        <v>45895.356215277781</v>
      </c>
      <c r="C1211" s="2" t="s">
        <v>753</v>
      </c>
      <c r="D1211" s="2" t="s">
        <v>68</v>
      </c>
      <c r="E1211" s="2" t="s">
        <v>102</v>
      </c>
      <c r="F1211" s="4">
        <v>55000</v>
      </c>
      <c r="G1211" s="5">
        <v>0.3</v>
      </c>
      <c r="H1211" s="6">
        <v>0</v>
      </c>
      <c r="I1211" s="7">
        <f t="shared" si="180"/>
        <v>16500</v>
      </c>
      <c r="J1211" s="7">
        <f t="shared" si="181"/>
        <v>0</v>
      </c>
      <c r="K1211" s="7">
        <f t="shared" si="182"/>
        <v>16500</v>
      </c>
      <c r="L1211" s="4">
        <v>87000</v>
      </c>
      <c r="M1211" s="7">
        <f t="shared" si="183"/>
        <v>103500</v>
      </c>
      <c r="N1211" s="2" t="s">
        <v>33</v>
      </c>
      <c r="O1211" t="s">
        <v>22</v>
      </c>
      <c r="P1211" s="2" t="s">
        <v>2366</v>
      </c>
      <c r="Q1211" s="2">
        <v>2</v>
      </c>
      <c r="R1211" s="2" t="s">
        <v>23</v>
      </c>
      <c r="S1211" s="2" t="str">
        <f t="shared" si="184"/>
        <v>Standar</v>
      </c>
      <c r="T1211" s="2" t="str">
        <f t="shared" si="185"/>
        <v>FALSE</v>
      </c>
      <c r="U1211" s="2" t="str">
        <f t="shared" si="186"/>
        <v>FALSE</v>
      </c>
      <c r="V1211" s="2" t="b">
        <f t="shared" si="187"/>
        <v>0</v>
      </c>
      <c r="W1211" s="2" t="b">
        <f t="shared" si="188"/>
        <v>0</v>
      </c>
      <c r="X1211" s="2" t="b">
        <f t="shared" si="189"/>
        <v>0</v>
      </c>
    </row>
    <row r="1212" spans="1:24" ht="10.5" customHeight="1">
      <c r="A1212" s="2" t="s">
        <v>1588</v>
      </c>
      <c r="B1212" s="3">
        <v>45895.367118055547</v>
      </c>
      <c r="C1212" s="2" t="s">
        <v>259</v>
      </c>
      <c r="D1212" s="2" t="s">
        <v>164</v>
      </c>
      <c r="E1212" s="2" t="s">
        <v>27</v>
      </c>
      <c r="F1212" s="4">
        <v>15000</v>
      </c>
      <c r="G1212" s="5">
        <v>0.5</v>
      </c>
      <c r="H1212" s="6">
        <v>0</v>
      </c>
      <c r="I1212" s="7">
        <f t="shared" si="180"/>
        <v>7500</v>
      </c>
      <c r="J1212" s="7">
        <f t="shared" si="181"/>
        <v>0</v>
      </c>
      <c r="K1212" s="7">
        <f t="shared" si="182"/>
        <v>7500</v>
      </c>
      <c r="L1212" s="4">
        <v>49000</v>
      </c>
      <c r="M1212" s="7">
        <f t="shared" si="183"/>
        <v>56500</v>
      </c>
      <c r="N1212" s="2" t="s">
        <v>33</v>
      </c>
      <c r="O1212" t="s">
        <v>22</v>
      </c>
      <c r="P1212" s="2" t="s">
        <v>2365</v>
      </c>
      <c r="Q1212" s="2">
        <v>4</v>
      </c>
      <c r="R1212" s="2" t="s">
        <v>34</v>
      </c>
      <c r="S1212" s="2" t="str">
        <f t="shared" si="184"/>
        <v>Rendah</v>
      </c>
      <c r="T1212" s="2" t="str">
        <f t="shared" si="185"/>
        <v>FALSE</v>
      </c>
      <c r="U1212" s="2" t="str">
        <f t="shared" si="186"/>
        <v>FALSE</v>
      </c>
      <c r="V1212" s="2" t="b">
        <f t="shared" si="187"/>
        <v>0</v>
      </c>
      <c r="W1212" s="2" t="b">
        <f t="shared" si="188"/>
        <v>0</v>
      </c>
      <c r="X1212" s="2" t="b">
        <f t="shared" si="189"/>
        <v>0</v>
      </c>
    </row>
    <row r="1213" spans="1:24" ht="10.5" customHeight="1">
      <c r="A1213" s="2" t="s">
        <v>1589</v>
      </c>
      <c r="B1213" s="3">
        <v>45895.470625000002</v>
      </c>
      <c r="C1213" s="2" t="s">
        <v>890</v>
      </c>
      <c r="D1213" s="2" t="s">
        <v>26</v>
      </c>
      <c r="E1213" s="2" t="s">
        <v>182</v>
      </c>
      <c r="F1213" s="4">
        <v>11000</v>
      </c>
      <c r="G1213" s="5">
        <v>1.3</v>
      </c>
      <c r="H1213" s="6">
        <v>0</v>
      </c>
      <c r="I1213" s="7">
        <f t="shared" si="180"/>
        <v>14300</v>
      </c>
      <c r="J1213" s="7">
        <f t="shared" si="181"/>
        <v>0</v>
      </c>
      <c r="K1213" s="7">
        <f t="shared" si="182"/>
        <v>14300</v>
      </c>
      <c r="L1213" s="4">
        <v>17000</v>
      </c>
      <c r="M1213" s="7">
        <f t="shared" si="183"/>
        <v>31300</v>
      </c>
      <c r="N1213" s="2" t="s">
        <v>33</v>
      </c>
      <c r="O1213" t="s">
        <v>22</v>
      </c>
      <c r="P1213" s="2" t="s">
        <v>2365</v>
      </c>
      <c r="Q1213" s="2">
        <v>3</v>
      </c>
      <c r="R1213" s="2" t="s">
        <v>23</v>
      </c>
      <c r="S1213" s="2" t="str">
        <f t="shared" si="184"/>
        <v>Sangat Rendah</v>
      </c>
      <c r="T1213" s="2" t="str">
        <f t="shared" si="185"/>
        <v>FALSE</v>
      </c>
      <c r="U1213" s="2" t="str">
        <f t="shared" si="186"/>
        <v>FALSE</v>
      </c>
      <c r="V1213" s="2" t="b">
        <f t="shared" si="187"/>
        <v>0</v>
      </c>
      <c r="W1213" s="2" t="b">
        <f t="shared" si="188"/>
        <v>0</v>
      </c>
      <c r="X1213" s="2" t="b">
        <f t="shared" si="189"/>
        <v>1</v>
      </c>
    </row>
    <row r="1214" spans="1:24" ht="10.5" customHeight="1">
      <c r="A1214" s="2" t="s">
        <v>1590</v>
      </c>
      <c r="B1214" s="3">
        <v>45895.480370370373</v>
      </c>
      <c r="C1214" s="2" t="s">
        <v>560</v>
      </c>
      <c r="D1214" s="2" t="s">
        <v>74</v>
      </c>
      <c r="E1214" s="2" t="s">
        <v>57</v>
      </c>
      <c r="F1214" s="4">
        <v>17500</v>
      </c>
      <c r="G1214" s="5">
        <v>2.5</v>
      </c>
      <c r="H1214" s="6">
        <v>0</v>
      </c>
      <c r="I1214" s="7">
        <f t="shared" si="180"/>
        <v>43750</v>
      </c>
      <c r="J1214" s="7">
        <f t="shared" si="181"/>
        <v>0</v>
      </c>
      <c r="K1214" s="7">
        <f t="shared" si="182"/>
        <v>43750</v>
      </c>
      <c r="L1214" s="4">
        <v>74000</v>
      </c>
      <c r="M1214" s="7">
        <f t="shared" si="183"/>
        <v>117750</v>
      </c>
      <c r="N1214" s="2" t="s">
        <v>21</v>
      </c>
      <c r="O1214" t="s">
        <v>22</v>
      </c>
      <c r="P1214" s="2" t="s">
        <v>2370</v>
      </c>
      <c r="Q1214" s="2">
        <v>3</v>
      </c>
      <c r="R1214" s="2" t="s">
        <v>23</v>
      </c>
      <c r="S1214" s="2" t="str">
        <f t="shared" si="184"/>
        <v>Standar</v>
      </c>
      <c r="T1214" s="2" t="str">
        <f t="shared" si="185"/>
        <v>FALSE</v>
      </c>
      <c r="U1214" s="2" t="str">
        <f t="shared" si="186"/>
        <v>FALSE</v>
      </c>
      <c r="V1214" s="2" t="b">
        <f t="shared" si="187"/>
        <v>0</v>
      </c>
      <c r="W1214" s="2" t="b">
        <f t="shared" si="188"/>
        <v>0</v>
      </c>
      <c r="X1214" s="2" t="b">
        <f t="shared" si="189"/>
        <v>0</v>
      </c>
    </row>
    <row r="1215" spans="1:24" ht="10.5" customHeight="1">
      <c r="A1215" s="2" t="s">
        <v>1591</v>
      </c>
      <c r="B1215" s="3">
        <v>45895.511307870373</v>
      </c>
      <c r="C1215" s="2" t="s">
        <v>130</v>
      </c>
      <c r="D1215" s="2" t="s">
        <v>84</v>
      </c>
      <c r="E1215" s="2" t="s">
        <v>65</v>
      </c>
      <c r="F1215" s="4">
        <v>46000</v>
      </c>
      <c r="G1215" s="5">
        <v>0.9</v>
      </c>
      <c r="H1215" s="6">
        <v>0</v>
      </c>
      <c r="I1215" s="7">
        <f t="shared" si="180"/>
        <v>41400</v>
      </c>
      <c r="J1215" s="7">
        <f t="shared" si="181"/>
        <v>0</v>
      </c>
      <c r="K1215" s="7">
        <f t="shared" si="182"/>
        <v>41400</v>
      </c>
      <c r="L1215" s="4">
        <v>30000</v>
      </c>
      <c r="M1215" s="7">
        <f t="shared" si="183"/>
        <v>71400</v>
      </c>
      <c r="N1215" s="2" t="s">
        <v>33</v>
      </c>
      <c r="O1215" t="s">
        <v>22</v>
      </c>
      <c r="P1215" s="2" t="s">
        <v>2365</v>
      </c>
      <c r="Q1215" s="2">
        <v>1</v>
      </c>
      <c r="R1215" s="2" t="s">
        <v>23</v>
      </c>
      <c r="S1215" s="2" t="str">
        <f t="shared" si="184"/>
        <v>Rendah</v>
      </c>
      <c r="T1215" s="2" t="str">
        <f t="shared" si="185"/>
        <v>FALSE</v>
      </c>
      <c r="U1215" s="2" t="str">
        <f t="shared" si="186"/>
        <v>FALSE</v>
      </c>
      <c r="V1215" s="2" t="b">
        <f t="shared" si="187"/>
        <v>0</v>
      </c>
      <c r="W1215" s="2" t="b">
        <f t="shared" si="188"/>
        <v>0</v>
      </c>
      <c r="X1215" s="2" t="b">
        <f t="shared" si="189"/>
        <v>0</v>
      </c>
    </row>
    <row r="1216" spans="1:24" ht="10.5" customHeight="1">
      <c r="A1216" s="2" t="s">
        <v>1592</v>
      </c>
      <c r="B1216" s="3">
        <v>45895.512175925927</v>
      </c>
      <c r="C1216" s="2" t="s">
        <v>419</v>
      </c>
      <c r="D1216" s="2" t="s">
        <v>167</v>
      </c>
      <c r="E1216" s="2" t="s">
        <v>182</v>
      </c>
      <c r="F1216" s="4">
        <v>11000</v>
      </c>
      <c r="G1216" s="5">
        <v>2.7</v>
      </c>
      <c r="H1216" s="6">
        <v>0</v>
      </c>
      <c r="I1216" s="7">
        <f t="shared" si="180"/>
        <v>29700.000000000004</v>
      </c>
      <c r="J1216" s="7">
        <f t="shared" si="181"/>
        <v>0</v>
      </c>
      <c r="K1216" s="7">
        <f t="shared" si="182"/>
        <v>29700.000000000004</v>
      </c>
      <c r="L1216" s="4">
        <v>56000</v>
      </c>
      <c r="M1216" s="7">
        <f t="shared" si="183"/>
        <v>85700</v>
      </c>
      <c r="N1216" s="2" t="s">
        <v>28</v>
      </c>
      <c r="O1216" t="s">
        <v>22</v>
      </c>
      <c r="P1216" s="2" t="s">
        <v>2366</v>
      </c>
      <c r="Q1216" s="2">
        <v>4</v>
      </c>
      <c r="R1216" s="2" t="s">
        <v>34</v>
      </c>
      <c r="S1216" s="2" t="str">
        <f t="shared" si="184"/>
        <v>Rendah</v>
      </c>
      <c r="T1216" s="2" t="str">
        <f t="shared" si="185"/>
        <v>FALSE</v>
      </c>
      <c r="U1216" s="2" t="str">
        <f t="shared" si="186"/>
        <v>FALSE</v>
      </c>
      <c r="V1216" s="2" t="b">
        <f t="shared" si="187"/>
        <v>0</v>
      </c>
      <c r="W1216" s="2" t="b">
        <f t="shared" si="188"/>
        <v>0</v>
      </c>
      <c r="X1216" s="2" t="b">
        <f t="shared" si="189"/>
        <v>0</v>
      </c>
    </row>
    <row r="1217" spans="1:24" ht="10.5" customHeight="1">
      <c r="A1217" s="2" t="s">
        <v>1593</v>
      </c>
      <c r="B1217" s="3">
        <v>45895.527627314812</v>
      </c>
      <c r="C1217" s="2" t="s">
        <v>671</v>
      </c>
      <c r="D1217" s="2" t="s">
        <v>252</v>
      </c>
      <c r="E1217" s="2" t="s">
        <v>161</v>
      </c>
      <c r="F1217" s="4">
        <v>115000</v>
      </c>
      <c r="G1217" s="5">
        <v>0.9</v>
      </c>
      <c r="H1217" s="6">
        <v>0</v>
      </c>
      <c r="I1217" s="7">
        <f t="shared" si="180"/>
        <v>103500</v>
      </c>
      <c r="J1217" s="7">
        <f t="shared" si="181"/>
        <v>0</v>
      </c>
      <c r="K1217" s="7">
        <f t="shared" si="182"/>
        <v>103500</v>
      </c>
      <c r="L1217" s="4">
        <v>18000</v>
      </c>
      <c r="M1217" s="7">
        <f t="shared" si="183"/>
        <v>121500</v>
      </c>
      <c r="N1217" s="2" t="s">
        <v>28</v>
      </c>
      <c r="O1217" t="s">
        <v>22</v>
      </c>
      <c r="P1217" s="2" t="s">
        <v>2370</v>
      </c>
      <c r="Q1217" s="2">
        <v>3</v>
      </c>
      <c r="R1217" s="2" t="s">
        <v>23</v>
      </c>
      <c r="S1217" s="2" t="str">
        <f t="shared" si="184"/>
        <v>Standar</v>
      </c>
      <c r="T1217" s="2" t="str">
        <f t="shared" si="185"/>
        <v>FALSE</v>
      </c>
      <c r="U1217" s="2" t="str">
        <f t="shared" si="186"/>
        <v>FALSE</v>
      </c>
      <c r="V1217" s="2" t="b">
        <f t="shared" si="187"/>
        <v>0</v>
      </c>
      <c r="W1217" s="2" t="b">
        <f t="shared" si="188"/>
        <v>0</v>
      </c>
      <c r="X1217" s="2" t="b">
        <f t="shared" si="189"/>
        <v>0</v>
      </c>
    </row>
    <row r="1218" spans="1:24" ht="10.5" customHeight="1">
      <c r="A1218" s="2" t="s">
        <v>1594</v>
      </c>
      <c r="B1218" s="3">
        <v>45895.589224537027</v>
      </c>
      <c r="C1218" s="2" t="s">
        <v>1012</v>
      </c>
      <c r="D1218" s="2" t="s">
        <v>167</v>
      </c>
      <c r="E1218" s="2" t="s">
        <v>75</v>
      </c>
      <c r="F1218" s="4">
        <v>45000</v>
      </c>
      <c r="G1218" s="5">
        <v>1.5</v>
      </c>
      <c r="H1218" s="6">
        <v>0</v>
      </c>
      <c r="I1218" s="7">
        <f t="shared" si="180"/>
        <v>67500</v>
      </c>
      <c r="J1218" s="7">
        <f t="shared" si="181"/>
        <v>0</v>
      </c>
      <c r="K1218" s="7">
        <f t="shared" si="182"/>
        <v>67500</v>
      </c>
      <c r="L1218" s="4">
        <v>56000</v>
      </c>
      <c r="M1218" s="7">
        <f t="shared" si="183"/>
        <v>123500</v>
      </c>
      <c r="N1218" s="2" t="s">
        <v>21</v>
      </c>
      <c r="O1218" t="s">
        <v>22</v>
      </c>
      <c r="P1218" s="2" t="s">
        <v>2367</v>
      </c>
      <c r="Q1218" s="2">
        <v>2</v>
      </c>
      <c r="R1218" s="2" t="s">
        <v>23</v>
      </c>
      <c r="S1218" s="2" t="str">
        <f t="shared" si="184"/>
        <v>Standar</v>
      </c>
      <c r="T1218" s="2" t="str">
        <f t="shared" si="185"/>
        <v>FALSE</v>
      </c>
      <c r="U1218" s="2" t="str">
        <f t="shared" si="186"/>
        <v>FALSE</v>
      </c>
      <c r="V1218" s="2" t="b">
        <f t="shared" si="187"/>
        <v>0</v>
      </c>
      <c r="W1218" s="2" t="b">
        <f t="shared" si="188"/>
        <v>1</v>
      </c>
      <c r="X1218" s="2" t="b">
        <f t="shared" si="189"/>
        <v>0</v>
      </c>
    </row>
    <row r="1219" spans="1:24" ht="10.5" customHeight="1">
      <c r="A1219" s="2" t="s">
        <v>1595</v>
      </c>
      <c r="B1219" s="3">
        <v>45895.621018518519</v>
      </c>
      <c r="C1219" s="2" t="s">
        <v>834</v>
      </c>
      <c r="D1219" s="2" t="s">
        <v>111</v>
      </c>
      <c r="E1219" s="2" t="s">
        <v>75</v>
      </c>
      <c r="F1219" s="4">
        <v>45000</v>
      </c>
      <c r="G1219" s="5">
        <v>1.9</v>
      </c>
      <c r="H1219" s="6">
        <v>0</v>
      </c>
      <c r="I1219" s="7">
        <f t="shared" si="180"/>
        <v>85500</v>
      </c>
      <c r="J1219" s="7">
        <f t="shared" si="181"/>
        <v>0</v>
      </c>
      <c r="K1219" s="7">
        <f t="shared" si="182"/>
        <v>85500</v>
      </c>
      <c r="L1219" s="4">
        <v>0</v>
      </c>
      <c r="M1219" s="7">
        <f t="shared" si="183"/>
        <v>85500</v>
      </c>
      <c r="N1219" s="2" t="s">
        <v>58</v>
      </c>
      <c r="O1219" t="s">
        <v>22</v>
      </c>
      <c r="P1219" s="2" t="s">
        <v>2367</v>
      </c>
      <c r="Q1219" s="2">
        <v>3</v>
      </c>
      <c r="R1219" s="2" t="s">
        <v>23</v>
      </c>
      <c r="S1219" s="2" t="str">
        <f t="shared" si="184"/>
        <v>Rendah</v>
      </c>
      <c r="T1219" s="2" t="str">
        <f t="shared" si="185"/>
        <v>FALSE</v>
      </c>
      <c r="U1219" s="2" t="str">
        <f t="shared" si="186"/>
        <v>FALSE</v>
      </c>
      <c r="V1219" s="2" t="b">
        <f t="shared" si="187"/>
        <v>0</v>
      </c>
      <c r="W1219" s="2" t="b">
        <f t="shared" si="188"/>
        <v>1</v>
      </c>
      <c r="X1219" s="2" t="b">
        <f t="shared" si="189"/>
        <v>0</v>
      </c>
    </row>
    <row r="1220" spans="1:24" ht="10.5" customHeight="1">
      <c r="A1220" s="2" t="s">
        <v>1596</v>
      </c>
      <c r="B1220" s="3">
        <v>45895.650219907409</v>
      </c>
      <c r="C1220" s="2" t="s">
        <v>83</v>
      </c>
      <c r="D1220" s="2" t="s">
        <v>84</v>
      </c>
      <c r="E1220" s="2" t="s">
        <v>32</v>
      </c>
      <c r="F1220" s="4">
        <v>20000</v>
      </c>
      <c r="G1220" s="5">
        <v>1.6</v>
      </c>
      <c r="H1220" s="6">
        <v>0</v>
      </c>
      <c r="I1220" s="7">
        <f t="shared" ref="I1220:I1283" si="190">F1220*G1220</f>
        <v>32000</v>
      </c>
      <c r="J1220" s="7">
        <f t="shared" ref="J1220:J1283" si="191">I1220*(H1220/100)</f>
        <v>0</v>
      </c>
      <c r="K1220" s="7">
        <f t="shared" ref="K1220:K1283" si="192">I1220-J1220</f>
        <v>32000</v>
      </c>
      <c r="L1220" s="4">
        <v>30000</v>
      </c>
      <c r="M1220" s="7">
        <f t="shared" ref="M1220:M1283" si="193">K1220+L1220</f>
        <v>62000</v>
      </c>
      <c r="N1220" s="2" t="s">
        <v>28</v>
      </c>
      <c r="O1220" t="s">
        <v>22</v>
      </c>
      <c r="P1220" s="2" t="s">
        <v>2365</v>
      </c>
      <c r="Q1220" s="2">
        <v>2</v>
      </c>
      <c r="R1220" s="2" t="s">
        <v>23</v>
      </c>
      <c r="S1220" s="2" t="str">
        <f t="shared" ref="S1220:S1283" si="194">IF(M1220&lt;=50000,"Sangat Rendah",IF(M1220&lt;=100000,"Rendah",IF(M1220&lt;=150000,"Standar",IF(M1220&lt;=200000,"Tinggi","Sangat Tinggi"))))</f>
        <v>Rendah</v>
      </c>
      <c r="T1220" s="2" t="str">
        <f t="shared" ref="T1220:T1283" si="195">IF(AND(S1220="Rendah",D1220="Yogyakarta"),"TRUE","FALSE")</f>
        <v>FALSE</v>
      </c>
      <c r="U1220" s="2" t="str">
        <f t="shared" ref="U1220:U1283" si="196">IF(OR(S1220="Tinggi",E1220="Bayam"),"TRUE","FALSE")</f>
        <v>FALSE</v>
      </c>
      <c r="V1220" s="2" t="b">
        <f t="shared" ref="V1220:V1283" si="197">IF(AND(S1220="Standar",N1220="Transef Bank"),TRUE,FALSE)</f>
        <v>0</v>
      </c>
      <c r="W1220" s="2" t="b">
        <f t="shared" ref="W1220:W1283" si="198">IF(OR(S1220="Sangat Tinggi",P1220="FoodMart"),TRUE,FALSE)</f>
        <v>0</v>
      </c>
      <c r="X1220" s="2" t="b">
        <f t="shared" ref="X1220:X1283" si="199">IF(AND(S1220="Sangat Rendah",R1220="Perempuan"),TRUE,FALSE)</f>
        <v>0</v>
      </c>
    </row>
    <row r="1221" spans="1:24" ht="10.5" customHeight="1">
      <c r="A1221" s="2" t="s">
        <v>1596</v>
      </c>
      <c r="B1221" s="3">
        <v>45895.650219907409</v>
      </c>
      <c r="C1221" s="2" t="s">
        <v>83</v>
      </c>
      <c r="D1221" s="2" t="s">
        <v>84</v>
      </c>
      <c r="E1221" s="2" t="s">
        <v>57</v>
      </c>
      <c r="F1221" s="4">
        <v>17500</v>
      </c>
      <c r="G1221" s="5">
        <v>2.4</v>
      </c>
      <c r="H1221" s="6">
        <v>0</v>
      </c>
      <c r="I1221" s="7">
        <f t="shared" si="190"/>
        <v>42000</v>
      </c>
      <c r="J1221" s="7">
        <f t="shared" si="191"/>
        <v>0</v>
      </c>
      <c r="K1221" s="7">
        <f t="shared" si="192"/>
        <v>42000</v>
      </c>
      <c r="L1221" s="4">
        <v>0</v>
      </c>
      <c r="M1221" s="7">
        <f t="shared" si="193"/>
        <v>42000</v>
      </c>
      <c r="N1221" s="2" t="s">
        <v>28</v>
      </c>
      <c r="O1221" t="s">
        <v>22</v>
      </c>
      <c r="P1221" s="2" t="s">
        <v>2365</v>
      </c>
      <c r="Q1221" s="2">
        <v>2</v>
      </c>
      <c r="R1221" s="2" t="s">
        <v>23</v>
      </c>
      <c r="S1221" s="2" t="str">
        <f t="shared" si="194"/>
        <v>Sangat Rendah</v>
      </c>
      <c r="T1221" s="2" t="str">
        <f t="shared" si="195"/>
        <v>FALSE</v>
      </c>
      <c r="U1221" s="2" t="str">
        <f t="shared" si="196"/>
        <v>FALSE</v>
      </c>
      <c r="V1221" s="2" t="b">
        <f t="shared" si="197"/>
        <v>0</v>
      </c>
      <c r="W1221" s="2" t="b">
        <f t="shared" si="198"/>
        <v>0</v>
      </c>
      <c r="X1221" s="2" t="b">
        <f t="shared" si="199"/>
        <v>1</v>
      </c>
    </row>
    <row r="1222" spans="1:24" ht="10.5" customHeight="1">
      <c r="A1222" s="2" t="s">
        <v>1597</v>
      </c>
      <c r="B1222" s="3">
        <v>45895.672129629631</v>
      </c>
      <c r="C1222" s="2" t="s">
        <v>513</v>
      </c>
      <c r="D1222" s="2" t="s">
        <v>105</v>
      </c>
      <c r="E1222" s="2" t="s">
        <v>32</v>
      </c>
      <c r="F1222" s="4">
        <v>20000</v>
      </c>
      <c r="G1222" s="5">
        <v>1.3</v>
      </c>
      <c r="H1222" s="6">
        <v>0</v>
      </c>
      <c r="I1222" s="7">
        <f t="shared" si="190"/>
        <v>26000</v>
      </c>
      <c r="J1222" s="7">
        <f t="shared" si="191"/>
        <v>0</v>
      </c>
      <c r="K1222" s="7">
        <f t="shared" si="192"/>
        <v>26000</v>
      </c>
      <c r="L1222" s="4">
        <v>18000</v>
      </c>
      <c r="M1222" s="7">
        <f t="shared" si="193"/>
        <v>44000</v>
      </c>
      <c r="N1222" s="2" t="s">
        <v>33</v>
      </c>
      <c r="O1222" t="s">
        <v>22</v>
      </c>
      <c r="P1222" s="2" t="s">
        <v>2370</v>
      </c>
      <c r="Q1222" s="2">
        <v>4</v>
      </c>
      <c r="R1222" s="2" t="s">
        <v>23</v>
      </c>
      <c r="S1222" s="2" t="str">
        <f t="shared" si="194"/>
        <v>Sangat Rendah</v>
      </c>
      <c r="T1222" s="2" t="str">
        <f t="shared" si="195"/>
        <v>FALSE</v>
      </c>
      <c r="U1222" s="2" t="str">
        <f t="shared" si="196"/>
        <v>FALSE</v>
      </c>
      <c r="V1222" s="2" t="b">
        <f t="shared" si="197"/>
        <v>0</v>
      </c>
      <c r="W1222" s="2" t="b">
        <f t="shared" si="198"/>
        <v>0</v>
      </c>
      <c r="X1222" s="2" t="b">
        <f t="shared" si="199"/>
        <v>1</v>
      </c>
    </row>
    <row r="1223" spans="1:24" ht="10.5" customHeight="1">
      <c r="A1223" s="2" t="s">
        <v>1598</v>
      </c>
      <c r="B1223" s="3">
        <v>45895.675254629627</v>
      </c>
      <c r="C1223" s="2" t="s">
        <v>762</v>
      </c>
      <c r="D1223" s="2" t="s">
        <v>105</v>
      </c>
      <c r="E1223" s="2" t="s">
        <v>182</v>
      </c>
      <c r="F1223" s="4">
        <v>11000</v>
      </c>
      <c r="G1223" s="5">
        <v>1.1000000000000001</v>
      </c>
      <c r="H1223" s="6">
        <v>0</v>
      </c>
      <c r="I1223" s="7">
        <f t="shared" si="190"/>
        <v>12100.000000000002</v>
      </c>
      <c r="J1223" s="7">
        <f t="shared" si="191"/>
        <v>0</v>
      </c>
      <c r="K1223" s="7">
        <f t="shared" si="192"/>
        <v>12100.000000000002</v>
      </c>
      <c r="L1223" s="4">
        <v>18000</v>
      </c>
      <c r="M1223" s="7">
        <f t="shared" si="193"/>
        <v>30100</v>
      </c>
      <c r="N1223" s="2" t="s">
        <v>33</v>
      </c>
      <c r="O1223" t="s">
        <v>22</v>
      </c>
      <c r="P1223" s="2" t="s">
        <v>2366</v>
      </c>
      <c r="Q1223" s="2">
        <v>1</v>
      </c>
      <c r="R1223" s="2" t="s">
        <v>23</v>
      </c>
      <c r="S1223" s="2" t="str">
        <f t="shared" si="194"/>
        <v>Sangat Rendah</v>
      </c>
      <c r="T1223" s="2" t="str">
        <f t="shared" si="195"/>
        <v>FALSE</v>
      </c>
      <c r="U1223" s="2" t="str">
        <f t="shared" si="196"/>
        <v>FALSE</v>
      </c>
      <c r="V1223" s="2" t="b">
        <f t="shared" si="197"/>
        <v>0</v>
      </c>
      <c r="W1223" s="2" t="b">
        <f t="shared" si="198"/>
        <v>0</v>
      </c>
      <c r="X1223" s="2" t="b">
        <f t="shared" si="199"/>
        <v>1</v>
      </c>
    </row>
    <row r="1224" spans="1:24" ht="10.5" customHeight="1">
      <c r="A1224" s="2" t="s">
        <v>1599</v>
      </c>
      <c r="B1224" s="3">
        <v>45895.713101851848</v>
      </c>
      <c r="C1224" s="2" t="s">
        <v>137</v>
      </c>
      <c r="D1224" s="2" t="s">
        <v>68</v>
      </c>
      <c r="E1224" s="2" t="s">
        <v>41</v>
      </c>
      <c r="F1224" s="4">
        <v>40000</v>
      </c>
      <c r="G1224" s="5">
        <v>1.7</v>
      </c>
      <c r="H1224" s="6">
        <v>0</v>
      </c>
      <c r="I1224" s="7">
        <f t="shared" si="190"/>
        <v>68000</v>
      </c>
      <c r="J1224" s="7">
        <f t="shared" si="191"/>
        <v>0</v>
      </c>
      <c r="K1224" s="7">
        <f t="shared" si="192"/>
        <v>68000</v>
      </c>
      <c r="L1224" s="4">
        <v>87000</v>
      </c>
      <c r="M1224" s="7">
        <f t="shared" si="193"/>
        <v>155000</v>
      </c>
      <c r="N1224" s="2" t="s">
        <v>33</v>
      </c>
      <c r="O1224" t="s">
        <v>22</v>
      </c>
      <c r="P1224" s="2" t="s">
        <v>2366</v>
      </c>
      <c r="Q1224" s="2">
        <v>2</v>
      </c>
      <c r="R1224" s="2" t="s">
        <v>23</v>
      </c>
      <c r="S1224" s="2" t="str">
        <f t="shared" si="194"/>
        <v>Tinggi</v>
      </c>
      <c r="T1224" s="2" t="str">
        <f t="shared" si="195"/>
        <v>FALSE</v>
      </c>
      <c r="U1224" s="2" t="str">
        <f t="shared" si="196"/>
        <v>TRUE</v>
      </c>
      <c r="V1224" s="2" t="b">
        <f t="shared" si="197"/>
        <v>0</v>
      </c>
      <c r="W1224" s="2" t="b">
        <f t="shared" si="198"/>
        <v>0</v>
      </c>
      <c r="X1224" s="2" t="b">
        <f t="shared" si="199"/>
        <v>0</v>
      </c>
    </row>
    <row r="1225" spans="1:24" ht="10.5" customHeight="1">
      <c r="A1225" s="2" t="s">
        <v>1600</v>
      </c>
      <c r="B1225" s="3">
        <v>45895.726423611108</v>
      </c>
      <c r="C1225" s="2" t="s">
        <v>145</v>
      </c>
      <c r="D1225" s="2" t="s">
        <v>84</v>
      </c>
      <c r="E1225" s="2" t="s">
        <v>57</v>
      </c>
      <c r="F1225" s="4">
        <v>17500</v>
      </c>
      <c r="G1225" s="5">
        <v>2.1</v>
      </c>
      <c r="H1225" s="6">
        <v>0</v>
      </c>
      <c r="I1225" s="7">
        <f t="shared" si="190"/>
        <v>36750</v>
      </c>
      <c r="J1225" s="7">
        <f t="shared" si="191"/>
        <v>0</v>
      </c>
      <c r="K1225" s="7">
        <f t="shared" si="192"/>
        <v>36750</v>
      </c>
      <c r="L1225" s="4">
        <v>30000</v>
      </c>
      <c r="M1225" s="7">
        <f t="shared" si="193"/>
        <v>66750</v>
      </c>
      <c r="N1225" s="2" t="s">
        <v>28</v>
      </c>
      <c r="O1225" t="s">
        <v>22</v>
      </c>
      <c r="P1225" s="2" t="s">
        <v>2367</v>
      </c>
      <c r="Q1225" s="2">
        <v>5</v>
      </c>
      <c r="R1225" s="2" t="s">
        <v>23</v>
      </c>
      <c r="S1225" s="2" t="str">
        <f t="shared" si="194"/>
        <v>Rendah</v>
      </c>
      <c r="T1225" s="2" t="str">
        <f t="shared" si="195"/>
        <v>FALSE</v>
      </c>
      <c r="U1225" s="2" t="str">
        <f t="shared" si="196"/>
        <v>FALSE</v>
      </c>
      <c r="V1225" s="2" t="b">
        <f t="shared" si="197"/>
        <v>0</v>
      </c>
      <c r="W1225" s="2" t="b">
        <f t="shared" si="198"/>
        <v>1</v>
      </c>
      <c r="X1225" s="2" t="b">
        <f t="shared" si="199"/>
        <v>0</v>
      </c>
    </row>
    <row r="1226" spans="1:24" ht="10.5" customHeight="1">
      <c r="A1226" s="2" t="s">
        <v>1601</v>
      </c>
      <c r="B1226" s="3">
        <v>45895.733668981477</v>
      </c>
      <c r="C1226" s="2" t="s">
        <v>47</v>
      </c>
      <c r="D1226" s="2" t="s">
        <v>48</v>
      </c>
      <c r="E1226" s="2" t="s">
        <v>102</v>
      </c>
      <c r="F1226" s="4">
        <v>55000</v>
      </c>
      <c r="G1226" s="5">
        <v>0.5</v>
      </c>
      <c r="H1226" s="6">
        <v>0</v>
      </c>
      <c r="I1226" s="7">
        <f t="shared" si="190"/>
        <v>27500</v>
      </c>
      <c r="J1226" s="7">
        <f t="shared" si="191"/>
        <v>0</v>
      </c>
      <c r="K1226" s="7">
        <f t="shared" si="192"/>
        <v>27500</v>
      </c>
      <c r="L1226" s="4">
        <v>18000</v>
      </c>
      <c r="M1226" s="7">
        <f t="shared" si="193"/>
        <v>45500</v>
      </c>
      <c r="N1226" s="2" t="s">
        <v>33</v>
      </c>
      <c r="O1226" t="s">
        <v>22</v>
      </c>
      <c r="P1226" s="2" t="s">
        <v>2370</v>
      </c>
      <c r="Q1226" s="2">
        <v>1</v>
      </c>
      <c r="R1226" s="2" t="s">
        <v>23</v>
      </c>
      <c r="S1226" s="2" t="str">
        <f t="shared" si="194"/>
        <v>Sangat Rendah</v>
      </c>
      <c r="T1226" s="2" t="str">
        <f t="shared" si="195"/>
        <v>FALSE</v>
      </c>
      <c r="U1226" s="2" t="str">
        <f t="shared" si="196"/>
        <v>FALSE</v>
      </c>
      <c r="V1226" s="2" t="b">
        <f t="shared" si="197"/>
        <v>0</v>
      </c>
      <c r="W1226" s="2" t="b">
        <f t="shared" si="198"/>
        <v>0</v>
      </c>
      <c r="X1226" s="2" t="b">
        <f t="shared" si="199"/>
        <v>1</v>
      </c>
    </row>
    <row r="1227" spans="1:24" ht="10.5" customHeight="1">
      <c r="A1227" s="2" t="s">
        <v>1602</v>
      </c>
      <c r="B1227" s="3">
        <v>45896.366168981483</v>
      </c>
      <c r="C1227" s="2" t="s">
        <v>93</v>
      </c>
      <c r="D1227" s="2" t="s">
        <v>94</v>
      </c>
      <c r="E1227" s="2" t="s">
        <v>32</v>
      </c>
      <c r="F1227" s="4">
        <v>20000</v>
      </c>
      <c r="G1227" s="5">
        <v>1.6</v>
      </c>
      <c r="H1227" s="6">
        <v>0</v>
      </c>
      <c r="I1227" s="7">
        <f t="shared" si="190"/>
        <v>32000</v>
      </c>
      <c r="J1227" s="7">
        <f t="shared" si="191"/>
        <v>0</v>
      </c>
      <c r="K1227" s="7">
        <f t="shared" si="192"/>
        <v>32000</v>
      </c>
      <c r="L1227" s="4">
        <v>85000</v>
      </c>
      <c r="M1227" s="7">
        <f t="shared" si="193"/>
        <v>117000</v>
      </c>
      <c r="N1227" s="2" t="s">
        <v>58</v>
      </c>
      <c r="O1227" t="s">
        <v>69</v>
      </c>
      <c r="P1227" s="2" t="s">
        <v>2370</v>
      </c>
      <c r="Q1227" s="2">
        <v>3</v>
      </c>
      <c r="R1227" s="2" t="s">
        <v>23</v>
      </c>
      <c r="S1227" s="2" t="str">
        <f t="shared" si="194"/>
        <v>Standar</v>
      </c>
      <c r="T1227" s="2" t="str">
        <f t="shared" si="195"/>
        <v>FALSE</v>
      </c>
      <c r="U1227" s="2" t="str">
        <f t="shared" si="196"/>
        <v>FALSE</v>
      </c>
      <c r="V1227" s="2" t="b">
        <f t="shared" si="197"/>
        <v>0</v>
      </c>
      <c r="W1227" s="2" t="b">
        <f t="shared" si="198"/>
        <v>0</v>
      </c>
      <c r="X1227" s="2" t="b">
        <f t="shared" si="199"/>
        <v>0</v>
      </c>
    </row>
    <row r="1228" spans="1:24" ht="10.5" customHeight="1">
      <c r="A1228" s="2" t="s">
        <v>1603</v>
      </c>
      <c r="B1228" s="3">
        <v>45896.486250000002</v>
      </c>
      <c r="C1228" s="2" t="s">
        <v>454</v>
      </c>
      <c r="D1228" s="2" t="s">
        <v>286</v>
      </c>
      <c r="E1228" s="2" t="s">
        <v>161</v>
      </c>
      <c r="F1228" s="4">
        <v>115000</v>
      </c>
      <c r="G1228" s="5">
        <v>0.8</v>
      </c>
      <c r="H1228" s="6">
        <v>0</v>
      </c>
      <c r="I1228" s="7">
        <f t="shared" si="190"/>
        <v>92000</v>
      </c>
      <c r="J1228" s="7">
        <f t="shared" si="191"/>
        <v>0</v>
      </c>
      <c r="K1228" s="7">
        <f t="shared" si="192"/>
        <v>92000</v>
      </c>
      <c r="L1228" s="4">
        <v>79000</v>
      </c>
      <c r="M1228" s="7">
        <f t="shared" si="193"/>
        <v>171000</v>
      </c>
      <c r="N1228" s="2" t="s">
        <v>21</v>
      </c>
      <c r="O1228" t="s">
        <v>22</v>
      </c>
      <c r="P1228" s="2" t="s">
        <v>2370</v>
      </c>
      <c r="Q1228" s="2">
        <v>3</v>
      </c>
      <c r="R1228" s="2" t="s">
        <v>34</v>
      </c>
      <c r="S1228" s="2" t="str">
        <f t="shared" si="194"/>
        <v>Tinggi</v>
      </c>
      <c r="T1228" s="2" t="str">
        <f t="shared" si="195"/>
        <v>FALSE</v>
      </c>
      <c r="U1228" s="2" t="str">
        <f t="shared" si="196"/>
        <v>TRUE</v>
      </c>
      <c r="V1228" s="2" t="b">
        <f t="shared" si="197"/>
        <v>0</v>
      </c>
      <c r="W1228" s="2" t="b">
        <f t="shared" si="198"/>
        <v>0</v>
      </c>
      <c r="X1228" s="2" t="b">
        <f t="shared" si="199"/>
        <v>0</v>
      </c>
    </row>
    <row r="1229" spans="1:24" ht="10.5" customHeight="1">
      <c r="A1229" s="2" t="s">
        <v>1603</v>
      </c>
      <c r="B1229" s="3">
        <v>45896.486250000002</v>
      </c>
      <c r="C1229" s="2" t="s">
        <v>454</v>
      </c>
      <c r="D1229" s="2" t="s">
        <v>286</v>
      </c>
      <c r="E1229" s="2" t="s">
        <v>53</v>
      </c>
      <c r="F1229" s="4">
        <v>14000</v>
      </c>
      <c r="G1229" s="5">
        <v>0.7</v>
      </c>
      <c r="H1229" s="6">
        <v>0</v>
      </c>
      <c r="I1229" s="7">
        <f t="shared" si="190"/>
        <v>9800</v>
      </c>
      <c r="J1229" s="7">
        <f t="shared" si="191"/>
        <v>0</v>
      </c>
      <c r="K1229" s="7">
        <f t="shared" si="192"/>
        <v>9800</v>
      </c>
      <c r="L1229" s="4">
        <v>0</v>
      </c>
      <c r="M1229" s="7">
        <f t="shared" si="193"/>
        <v>9800</v>
      </c>
      <c r="N1229" s="2" t="s">
        <v>21</v>
      </c>
      <c r="O1229" t="s">
        <v>22</v>
      </c>
      <c r="P1229" s="2" t="s">
        <v>2370</v>
      </c>
      <c r="Q1229" s="2">
        <v>3</v>
      </c>
      <c r="R1229" s="2" t="s">
        <v>34</v>
      </c>
      <c r="S1229" s="2" t="str">
        <f t="shared" si="194"/>
        <v>Sangat Rendah</v>
      </c>
      <c r="T1229" s="2" t="str">
        <f t="shared" si="195"/>
        <v>FALSE</v>
      </c>
      <c r="U1229" s="2" t="str">
        <f t="shared" si="196"/>
        <v>FALSE</v>
      </c>
      <c r="V1229" s="2" t="b">
        <f t="shared" si="197"/>
        <v>0</v>
      </c>
      <c r="W1229" s="2" t="b">
        <f t="shared" si="198"/>
        <v>0</v>
      </c>
      <c r="X1229" s="2" t="b">
        <f t="shared" si="199"/>
        <v>0</v>
      </c>
    </row>
    <row r="1230" spans="1:24" ht="10.5" customHeight="1">
      <c r="A1230" s="2" t="s">
        <v>1604</v>
      </c>
      <c r="B1230" s="3">
        <v>45896.499189814807</v>
      </c>
      <c r="C1230" s="2" t="s">
        <v>873</v>
      </c>
      <c r="D1230" s="2" t="s">
        <v>40</v>
      </c>
      <c r="E1230" s="2" t="s">
        <v>32</v>
      </c>
      <c r="F1230" s="4">
        <v>20000</v>
      </c>
      <c r="G1230" s="5">
        <v>2.1</v>
      </c>
      <c r="H1230" s="6">
        <v>0</v>
      </c>
      <c r="I1230" s="7">
        <f t="shared" si="190"/>
        <v>42000</v>
      </c>
      <c r="J1230" s="7">
        <f t="shared" si="191"/>
        <v>0</v>
      </c>
      <c r="K1230" s="7">
        <f t="shared" si="192"/>
        <v>42000</v>
      </c>
      <c r="L1230" s="4">
        <v>93000</v>
      </c>
      <c r="M1230" s="7">
        <f t="shared" si="193"/>
        <v>135000</v>
      </c>
      <c r="N1230" s="2" t="s">
        <v>58</v>
      </c>
      <c r="O1230" t="s">
        <v>22</v>
      </c>
      <c r="P1230" s="2" t="s">
        <v>2368</v>
      </c>
      <c r="Q1230" s="2">
        <v>2</v>
      </c>
      <c r="R1230" s="2" t="s">
        <v>34</v>
      </c>
      <c r="S1230" s="2" t="str">
        <f t="shared" si="194"/>
        <v>Standar</v>
      </c>
      <c r="T1230" s="2" t="str">
        <f t="shared" si="195"/>
        <v>FALSE</v>
      </c>
      <c r="U1230" s="2" t="str">
        <f t="shared" si="196"/>
        <v>FALSE</v>
      </c>
      <c r="V1230" s="2" t="b">
        <f t="shared" si="197"/>
        <v>0</v>
      </c>
      <c r="W1230" s="2" t="b">
        <f t="shared" si="198"/>
        <v>0</v>
      </c>
      <c r="X1230" s="2" t="b">
        <f t="shared" si="199"/>
        <v>0</v>
      </c>
    </row>
    <row r="1231" spans="1:24" ht="10.5" customHeight="1">
      <c r="A1231" s="2" t="s">
        <v>1605</v>
      </c>
      <c r="B1231" s="3">
        <v>45896.529699074083</v>
      </c>
      <c r="C1231" s="2" t="s">
        <v>371</v>
      </c>
      <c r="D1231" s="2" t="s">
        <v>94</v>
      </c>
      <c r="E1231" s="2" t="s">
        <v>20</v>
      </c>
      <c r="F1231" s="4">
        <v>10000</v>
      </c>
      <c r="G1231" s="5">
        <v>2.9</v>
      </c>
      <c r="H1231" s="6">
        <v>0</v>
      </c>
      <c r="I1231" s="7">
        <f t="shared" si="190"/>
        <v>29000</v>
      </c>
      <c r="J1231" s="7">
        <f t="shared" si="191"/>
        <v>0</v>
      </c>
      <c r="K1231" s="7">
        <f t="shared" si="192"/>
        <v>29000</v>
      </c>
      <c r="L1231" s="4">
        <v>85000</v>
      </c>
      <c r="M1231" s="7">
        <f t="shared" si="193"/>
        <v>114000</v>
      </c>
      <c r="N1231" s="2" t="s">
        <v>33</v>
      </c>
      <c r="O1231" t="s">
        <v>22</v>
      </c>
      <c r="P1231" s="2" t="s">
        <v>2370</v>
      </c>
      <c r="Q1231" s="2">
        <v>3</v>
      </c>
      <c r="R1231" s="2" t="s">
        <v>23</v>
      </c>
      <c r="S1231" s="2" t="str">
        <f t="shared" si="194"/>
        <v>Standar</v>
      </c>
      <c r="T1231" s="2" t="str">
        <f t="shared" si="195"/>
        <v>FALSE</v>
      </c>
      <c r="U1231" s="2" t="str">
        <f t="shared" si="196"/>
        <v>FALSE</v>
      </c>
      <c r="V1231" s="2" t="b">
        <f t="shared" si="197"/>
        <v>0</v>
      </c>
      <c r="W1231" s="2" t="b">
        <f t="shared" si="198"/>
        <v>0</v>
      </c>
      <c r="X1231" s="2" t="b">
        <f t="shared" si="199"/>
        <v>0</v>
      </c>
    </row>
    <row r="1232" spans="1:24" ht="10.5" customHeight="1">
      <c r="A1232" s="2" t="s">
        <v>1606</v>
      </c>
      <c r="B1232" s="3">
        <v>45896.5858912037</v>
      </c>
      <c r="C1232" s="2" t="s">
        <v>802</v>
      </c>
      <c r="D1232" s="2" t="s">
        <v>31</v>
      </c>
      <c r="E1232" s="2" t="s">
        <v>35</v>
      </c>
      <c r="F1232" s="4">
        <v>13500</v>
      </c>
      <c r="G1232" s="5">
        <v>3.3</v>
      </c>
      <c r="H1232" s="6">
        <v>0</v>
      </c>
      <c r="I1232" s="7">
        <f t="shared" si="190"/>
        <v>44550</v>
      </c>
      <c r="J1232" s="7">
        <f t="shared" si="191"/>
        <v>0</v>
      </c>
      <c r="K1232" s="7">
        <f t="shared" si="192"/>
        <v>44550</v>
      </c>
      <c r="L1232" s="4">
        <v>76000</v>
      </c>
      <c r="M1232" s="7">
        <f t="shared" si="193"/>
        <v>120550</v>
      </c>
      <c r="N1232" s="2" t="s">
        <v>33</v>
      </c>
      <c r="O1232" t="s">
        <v>22</v>
      </c>
      <c r="P1232" s="2" t="s">
        <v>2367</v>
      </c>
      <c r="Q1232" s="2">
        <v>4</v>
      </c>
      <c r="R1232" s="2" t="s">
        <v>23</v>
      </c>
      <c r="S1232" s="2" t="str">
        <f t="shared" si="194"/>
        <v>Standar</v>
      </c>
      <c r="T1232" s="2" t="str">
        <f t="shared" si="195"/>
        <v>FALSE</v>
      </c>
      <c r="U1232" s="2" t="str">
        <f t="shared" si="196"/>
        <v>FALSE</v>
      </c>
      <c r="V1232" s="2" t="b">
        <f t="shared" si="197"/>
        <v>0</v>
      </c>
      <c r="W1232" s="2" t="b">
        <f t="shared" si="198"/>
        <v>1</v>
      </c>
      <c r="X1232" s="2" t="b">
        <f t="shared" si="199"/>
        <v>0</v>
      </c>
    </row>
    <row r="1233" spans="1:24" ht="10.5" customHeight="1">
      <c r="A1233" s="2" t="s">
        <v>1607</v>
      </c>
      <c r="B1233" s="3">
        <v>45896.621782407397</v>
      </c>
      <c r="C1233" s="2" t="s">
        <v>714</v>
      </c>
      <c r="D1233" s="2" t="s">
        <v>48</v>
      </c>
      <c r="E1233" s="2" t="s">
        <v>20</v>
      </c>
      <c r="F1233" s="4">
        <v>10000</v>
      </c>
      <c r="G1233" s="5">
        <v>3.4</v>
      </c>
      <c r="H1233" s="6">
        <v>0</v>
      </c>
      <c r="I1233" s="7">
        <f t="shared" si="190"/>
        <v>34000</v>
      </c>
      <c r="J1233" s="7">
        <f t="shared" si="191"/>
        <v>0</v>
      </c>
      <c r="K1233" s="7">
        <f t="shared" si="192"/>
        <v>34000</v>
      </c>
      <c r="L1233" s="4">
        <v>18000</v>
      </c>
      <c r="M1233" s="7">
        <f t="shared" si="193"/>
        <v>52000</v>
      </c>
      <c r="N1233" s="2" t="s">
        <v>21</v>
      </c>
      <c r="O1233" t="s">
        <v>69</v>
      </c>
      <c r="P1233" s="2" t="s">
        <v>2366</v>
      </c>
      <c r="Q1233" s="2">
        <v>4</v>
      </c>
      <c r="R1233" s="2" t="s">
        <v>23</v>
      </c>
      <c r="S1233" s="2" t="str">
        <f t="shared" si="194"/>
        <v>Rendah</v>
      </c>
      <c r="T1233" s="2" t="str">
        <f t="shared" si="195"/>
        <v>FALSE</v>
      </c>
      <c r="U1233" s="2" t="str">
        <f t="shared" si="196"/>
        <v>FALSE</v>
      </c>
      <c r="V1233" s="2" t="b">
        <f t="shared" si="197"/>
        <v>0</v>
      </c>
      <c r="W1233" s="2" t="b">
        <f t="shared" si="198"/>
        <v>0</v>
      </c>
      <c r="X1233" s="2" t="b">
        <f t="shared" si="199"/>
        <v>0</v>
      </c>
    </row>
    <row r="1234" spans="1:24" ht="10.5" customHeight="1">
      <c r="A1234" s="2" t="s">
        <v>1608</v>
      </c>
      <c r="B1234" s="3">
        <v>45896.645798611113</v>
      </c>
      <c r="C1234" s="2" t="s">
        <v>449</v>
      </c>
      <c r="D1234" s="2" t="s">
        <v>56</v>
      </c>
      <c r="E1234" s="2" t="s">
        <v>41</v>
      </c>
      <c r="F1234" s="4">
        <v>40000</v>
      </c>
      <c r="G1234" s="5">
        <v>0.9</v>
      </c>
      <c r="H1234" s="6">
        <v>0</v>
      </c>
      <c r="I1234" s="7">
        <f t="shared" si="190"/>
        <v>36000</v>
      </c>
      <c r="J1234" s="7">
        <f t="shared" si="191"/>
        <v>0</v>
      </c>
      <c r="K1234" s="7">
        <f t="shared" si="192"/>
        <v>36000</v>
      </c>
      <c r="L1234" s="4">
        <v>26000</v>
      </c>
      <c r="M1234" s="7">
        <f t="shared" si="193"/>
        <v>62000</v>
      </c>
      <c r="N1234" s="2" t="s">
        <v>28</v>
      </c>
      <c r="O1234" t="s">
        <v>22</v>
      </c>
      <c r="P1234" s="2" t="s">
        <v>2367</v>
      </c>
      <c r="Q1234" s="2">
        <v>1</v>
      </c>
      <c r="R1234" s="2" t="s">
        <v>23</v>
      </c>
      <c r="S1234" s="2" t="str">
        <f t="shared" si="194"/>
        <v>Rendah</v>
      </c>
      <c r="T1234" s="2" t="str">
        <f t="shared" si="195"/>
        <v>FALSE</v>
      </c>
      <c r="U1234" s="2" t="str">
        <f t="shared" si="196"/>
        <v>FALSE</v>
      </c>
      <c r="V1234" s="2" t="b">
        <f t="shared" si="197"/>
        <v>0</v>
      </c>
      <c r="W1234" s="2" t="b">
        <f t="shared" si="198"/>
        <v>1</v>
      </c>
      <c r="X1234" s="2" t="b">
        <f t="shared" si="199"/>
        <v>0</v>
      </c>
    </row>
    <row r="1235" spans="1:24" ht="10.5" customHeight="1">
      <c r="A1235" s="2" t="s">
        <v>1609</v>
      </c>
      <c r="B1235" s="3">
        <v>45896.787152777782</v>
      </c>
      <c r="C1235" s="2" t="s">
        <v>1610</v>
      </c>
      <c r="D1235" s="2" t="s">
        <v>84</v>
      </c>
      <c r="E1235" s="2" t="s">
        <v>32</v>
      </c>
      <c r="F1235" s="4">
        <v>20000</v>
      </c>
      <c r="G1235" s="5">
        <v>2.9</v>
      </c>
      <c r="H1235" s="6">
        <v>0</v>
      </c>
      <c r="I1235" s="7">
        <f t="shared" si="190"/>
        <v>58000</v>
      </c>
      <c r="J1235" s="7">
        <f t="shared" si="191"/>
        <v>0</v>
      </c>
      <c r="K1235" s="7">
        <f t="shared" si="192"/>
        <v>58000</v>
      </c>
      <c r="L1235" s="4">
        <v>30000</v>
      </c>
      <c r="M1235" s="7">
        <f t="shared" si="193"/>
        <v>88000</v>
      </c>
      <c r="N1235" s="2" t="s">
        <v>21</v>
      </c>
      <c r="O1235" t="s">
        <v>22</v>
      </c>
      <c r="P1235" s="2" t="s">
        <v>2365</v>
      </c>
      <c r="Q1235" s="2">
        <v>1</v>
      </c>
      <c r="R1235" s="2" t="s">
        <v>23</v>
      </c>
      <c r="S1235" s="2" t="str">
        <f t="shared" si="194"/>
        <v>Rendah</v>
      </c>
      <c r="T1235" s="2" t="str">
        <f t="shared" si="195"/>
        <v>FALSE</v>
      </c>
      <c r="U1235" s="2" t="str">
        <f t="shared" si="196"/>
        <v>FALSE</v>
      </c>
      <c r="V1235" s="2" t="b">
        <f t="shared" si="197"/>
        <v>0</v>
      </c>
      <c r="W1235" s="2" t="b">
        <f t="shared" si="198"/>
        <v>0</v>
      </c>
      <c r="X1235" s="2" t="b">
        <f t="shared" si="199"/>
        <v>0</v>
      </c>
    </row>
    <row r="1236" spans="1:24" ht="10.5" customHeight="1">
      <c r="A1236" s="2" t="s">
        <v>1611</v>
      </c>
      <c r="B1236" s="3">
        <v>45896.821597222217</v>
      </c>
      <c r="C1236" s="2" t="s">
        <v>532</v>
      </c>
      <c r="D1236" s="2" t="s">
        <v>114</v>
      </c>
      <c r="E1236" s="2" t="s">
        <v>170</v>
      </c>
      <c r="F1236" s="4">
        <v>12000</v>
      </c>
      <c r="G1236" s="5">
        <v>0.7</v>
      </c>
      <c r="H1236" s="6">
        <v>0</v>
      </c>
      <c r="I1236" s="7">
        <f t="shared" si="190"/>
        <v>8400</v>
      </c>
      <c r="J1236" s="7">
        <f t="shared" si="191"/>
        <v>0</v>
      </c>
      <c r="K1236" s="7">
        <f t="shared" si="192"/>
        <v>8400</v>
      </c>
      <c r="L1236" s="4">
        <v>78000</v>
      </c>
      <c r="M1236" s="7">
        <f t="shared" si="193"/>
        <v>86400</v>
      </c>
      <c r="N1236" s="2" t="s">
        <v>33</v>
      </c>
      <c r="O1236" t="s">
        <v>22</v>
      </c>
      <c r="P1236" s="2" t="s">
        <v>2367</v>
      </c>
      <c r="Q1236" s="2">
        <v>4</v>
      </c>
      <c r="R1236" s="2" t="s">
        <v>23</v>
      </c>
      <c r="S1236" s="2" t="str">
        <f t="shared" si="194"/>
        <v>Rendah</v>
      </c>
      <c r="T1236" s="2" t="str">
        <f t="shared" si="195"/>
        <v>TRUE</v>
      </c>
      <c r="U1236" s="2" t="str">
        <f t="shared" si="196"/>
        <v>FALSE</v>
      </c>
      <c r="V1236" s="2" t="b">
        <f t="shared" si="197"/>
        <v>0</v>
      </c>
      <c r="W1236" s="2" t="b">
        <f t="shared" si="198"/>
        <v>1</v>
      </c>
      <c r="X1236" s="2" t="b">
        <f t="shared" si="199"/>
        <v>0</v>
      </c>
    </row>
    <row r="1237" spans="1:24" ht="10.5" customHeight="1">
      <c r="A1237" s="2" t="s">
        <v>1611</v>
      </c>
      <c r="B1237" s="3">
        <v>45896.821597222217</v>
      </c>
      <c r="C1237" s="2" t="s">
        <v>532</v>
      </c>
      <c r="D1237" s="2" t="s">
        <v>114</v>
      </c>
      <c r="E1237" s="2" t="s">
        <v>75</v>
      </c>
      <c r="F1237" s="4">
        <v>45000</v>
      </c>
      <c r="G1237" s="5">
        <v>1.8</v>
      </c>
      <c r="H1237" s="6">
        <v>0</v>
      </c>
      <c r="I1237" s="7">
        <f t="shared" si="190"/>
        <v>81000</v>
      </c>
      <c r="J1237" s="7">
        <f t="shared" si="191"/>
        <v>0</v>
      </c>
      <c r="K1237" s="7">
        <f t="shared" si="192"/>
        <v>81000</v>
      </c>
      <c r="L1237" s="4">
        <v>0</v>
      </c>
      <c r="M1237" s="7">
        <f t="shared" si="193"/>
        <v>81000</v>
      </c>
      <c r="N1237" s="2" t="s">
        <v>33</v>
      </c>
      <c r="O1237" t="s">
        <v>22</v>
      </c>
      <c r="P1237" s="2" t="s">
        <v>2367</v>
      </c>
      <c r="Q1237" s="2">
        <v>4</v>
      </c>
      <c r="R1237" s="2" t="s">
        <v>23</v>
      </c>
      <c r="S1237" s="2" t="str">
        <f t="shared" si="194"/>
        <v>Rendah</v>
      </c>
      <c r="T1237" s="2" t="str">
        <f t="shared" si="195"/>
        <v>TRUE</v>
      </c>
      <c r="U1237" s="2" t="str">
        <f t="shared" si="196"/>
        <v>FALSE</v>
      </c>
      <c r="V1237" s="2" t="b">
        <f t="shared" si="197"/>
        <v>0</v>
      </c>
      <c r="W1237" s="2" t="b">
        <f t="shared" si="198"/>
        <v>1</v>
      </c>
      <c r="X1237" s="2" t="b">
        <f t="shared" si="199"/>
        <v>0</v>
      </c>
    </row>
    <row r="1238" spans="1:24" ht="10.5" customHeight="1">
      <c r="A1238" s="2" t="s">
        <v>1612</v>
      </c>
      <c r="B1238" s="3">
        <v>45896.9065162037</v>
      </c>
      <c r="C1238" s="2" t="s">
        <v>639</v>
      </c>
      <c r="D1238" s="2" t="s">
        <v>167</v>
      </c>
      <c r="E1238" s="2" t="s">
        <v>182</v>
      </c>
      <c r="F1238" s="4">
        <v>11000</v>
      </c>
      <c r="G1238" s="5">
        <v>0.7</v>
      </c>
      <c r="H1238" s="6">
        <v>0</v>
      </c>
      <c r="I1238" s="7">
        <f t="shared" si="190"/>
        <v>7699.9999999999991</v>
      </c>
      <c r="J1238" s="7">
        <f t="shared" si="191"/>
        <v>0</v>
      </c>
      <c r="K1238" s="7">
        <f t="shared" si="192"/>
        <v>7699.9999999999991</v>
      </c>
      <c r="L1238" s="4">
        <v>56000</v>
      </c>
      <c r="M1238" s="7">
        <f t="shared" si="193"/>
        <v>63700</v>
      </c>
      <c r="N1238" s="2" t="s">
        <v>21</v>
      </c>
      <c r="O1238" t="s">
        <v>22</v>
      </c>
      <c r="P1238" s="2" t="s">
        <v>2366</v>
      </c>
      <c r="Q1238" s="2">
        <v>2</v>
      </c>
      <c r="R1238" s="2" t="s">
        <v>23</v>
      </c>
      <c r="S1238" s="2" t="str">
        <f t="shared" si="194"/>
        <v>Rendah</v>
      </c>
      <c r="T1238" s="2" t="str">
        <f t="shared" si="195"/>
        <v>FALSE</v>
      </c>
      <c r="U1238" s="2" t="str">
        <f t="shared" si="196"/>
        <v>FALSE</v>
      </c>
      <c r="V1238" s="2" t="b">
        <f t="shared" si="197"/>
        <v>0</v>
      </c>
      <c r="W1238" s="2" t="b">
        <f t="shared" si="198"/>
        <v>0</v>
      </c>
      <c r="X1238" s="2" t="b">
        <f t="shared" si="199"/>
        <v>0</v>
      </c>
    </row>
    <row r="1239" spans="1:24" ht="10.5" customHeight="1">
      <c r="A1239" s="2" t="s">
        <v>1613</v>
      </c>
      <c r="B1239" s="3">
        <v>45897.458078703698</v>
      </c>
      <c r="C1239" s="2" t="s">
        <v>1614</v>
      </c>
      <c r="D1239" s="2" t="s">
        <v>31</v>
      </c>
      <c r="E1239" s="2" t="s">
        <v>53</v>
      </c>
      <c r="F1239" s="4">
        <v>14000</v>
      </c>
      <c r="G1239" s="5">
        <v>0.6</v>
      </c>
      <c r="H1239" s="6">
        <v>0</v>
      </c>
      <c r="I1239" s="7">
        <f t="shared" si="190"/>
        <v>8400</v>
      </c>
      <c r="J1239" s="7">
        <f t="shared" si="191"/>
        <v>0</v>
      </c>
      <c r="K1239" s="7">
        <f t="shared" si="192"/>
        <v>8400</v>
      </c>
      <c r="L1239" s="4">
        <v>76000</v>
      </c>
      <c r="M1239" s="7">
        <f t="shared" si="193"/>
        <v>84400</v>
      </c>
      <c r="N1239" s="2" t="s">
        <v>33</v>
      </c>
      <c r="O1239" t="s">
        <v>22</v>
      </c>
      <c r="P1239" s="2" t="s">
        <v>2366</v>
      </c>
      <c r="Q1239" s="2">
        <v>2</v>
      </c>
      <c r="R1239" s="2" t="s">
        <v>23</v>
      </c>
      <c r="S1239" s="2" t="str">
        <f t="shared" si="194"/>
        <v>Rendah</v>
      </c>
      <c r="T1239" s="2" t="str">
        <f t="shared" si="195"/>
        <v>FALSE</v>
      </c>
      <c r="U1239" s="2" t="str">
        <f t="shared" si="196"/>
        <v>FALSE</v>
      </c>
      <c r="V1239" s="2" t="b">
        <f t="shared" si="197"/>
        <v>0</v>
      </c>
      <c r="W1239" s="2" t="b">
        <f t="shared" si="198"/>
        <v>0</v>
      </c>
      <c r="X1239" s="2" t="b">
        <f t="shared" si="199"/>
        <v>0</v>
      </c>
    </row>
    <row r="1240" spans="1:24" ht="10.5" customHeight="1">
      <c r="A1240" s="2" t="s">
        <v>1615</v>
      </c>
      <c r="B1240" s="3">
        <v>45897.494409722232</v>
      </c>
      <c r="C1240" s="2" t="s">
        <v>358</v>
      </c>
      <c r="D1240" s="2" t="s">
        <v>105</v>
      </c>
      <c r="E1240" s="2" t="s">
        <v>57</v>
      </c>
      <c r="F1240" s="4">
        <v>17500</v>
      </c>
      <c r="G1240" s="5">
        <v>1.9</v>
      </c>
      <c r="H1240" s="6">
        <v>0</v>
      </c>
      <c r="I1240" s="7">
        <f t="shared" si="190"/>
        <v>33250</v>
      </c>
      <c r="J1240" s="7">
        <f t="shared" si="191"/>
        <v>0</v>
      </c>
      <c r="K1240" s="7">
        <f t="shared" si="192"/>
        <v>33250</v>
      </c>
      <c r="L1240" s="4">
        <v>18000</v>
      </c>
      <c r="M1240" s="7">
        <f t="shared" si="193"/>
        <v>51250</v>
      </c>
      <c r="N1240" s="2" t="s">
        <v>58</v>
      </c>
      <c r="O1240" t="s">
        <v>22</v>
      </c>
      <c r="P1240" s="2" t="s">
        <v>2367</v>
      </c>
      <c r="Q1240" s="2">
        <v>1</v>
      </c>
      <c r="R1240" s="2" t="s">
        <v>34</v>
      </c>
      <c r="S1240" s="2" t="str">
        <f t="shared" si="194"/>
        <v>Rendah</v>
      </c>
      <c r="T1240" s="2" t="str">
        <f t="shared" si="195"/>
        <v>FALSE</v>
      </c>
      <c r="U1240" s="2" t="str">
        <f t="shared" si="196"/>
        <v>FALSE</v>
      </c>
      <c r="V1240" s="2" t="b">
        <f t="shared" si="197"/>
        <v>0</v>
      </c>
      <c r="W1240" s="2" t="b">
        <f t="shared" si="198"/>
        <v>1</v>
      </c>
      <c r="X1240" s="2" t="b">
        <f t="shared" si="199"/>
        <v>0</v>
      </c>
    </row>
    <row r="1241" spans="1:24" ht="10.5" customHeight="1">
      <c r="A1241" s="2" t="s">
        <v>1616</v>
      </c>
      <c r="B1241" s="3">
        <v>45897.501817129632</v>
      </c>
      <c r="C1241" s="2" t="s">
        <v>237</v>
      </c>
      <c r="D1241" s="2" t="s">
        <v>229</v>
      </c>
      <c r="E1241" s="2" t="s">
        <v>53</v>
      </c>
      <c r="F1241" s="4">
        <v>14000</v>
      </c>
      <c r="G1241" s="5">
        <v>1.5</v>
      </c>
      <c r="H1241" s="6">
        <v>0</v>
      </c>
      <c r="I1241" s="7">
        <f t="shared" si="190"/>
        <v>21000</v>
      </c>
      <c r="J1241" s="7">
        <f t="shared" si="191"/>
        <v>0</v>
      </c>
      <c r="K1241" s="7">
        <f t="shared" si="192"/>
        <v>21000</v>
      </c>
      <c r="L1241" s="4">
        <v>28000</v>
      </c>
      <c r="M1241" s="7">
        <f t="shared" si="193"/>
        <v>49000</v>
      </c>
      <c r="N1241" s="2" t="s">
        <v>21</v>
      </c>
      <c r="O1241" t="s">
        <v>69</v>
      </c>
      <c r="P1241" s="2" t="s">
        <v>2368</v>
      </c>
      <c r="Q1241" s="2">
        <v>5</v>
      </c>
      <c r="R1241" s="2" t="s">
        <v>23</v>
      </c>
      <c r="S1241" s="2" t="str">
        <f t="shared" si="194"/>
        <v>Sangat Rendah</v>
      </c>
      <c r="T1241" s="2" t="str">
        <f t="shared" si="195"/>
        <v>FALSE</v>
      </c>
      <c r="U1241" s="2" t="str">
        <f t="shared" si="196"/>
        <v>FALSE</v>
      </c>
      <c r="V1241" s="2" t="b">
        <f t="shared" si="197"/>
        <v>0</v>
      </c>
      <c r="W1241" s="2" t="b">
        <f t="shared" si="198"/>
        <v>0</v>
      </c>
      <c r="X1241" s="2" t="b">
        <f t="shared" si="199"/>
        <v>1</v>
      </c>
    </row>
    <row r="1242" spans="1:24" ht="10.5" customHeight="1">
      <c r="A1242" s="2" t="s">
        <v>1617</v>
      </c>
      <c r="B1242" s="3">
        <v>45897.555555555547</v>
      </c>
      <c r="C1242" s="2" t="s">
        <v>259</v>
      </c>
      <c r="D1242" s="2" t="s">
        <v>164</v>
      </c>
      <c r="E1242" s="2" t="s">
        <v>41</v>
      </c>
      <c r="F1242" s="4">
        <v>40000</v>
      </c>
      <c r="G1242" s="5">
        <v>0.9</v>
      </c>
      <c r="H1242" s="6">
        <v>0</v>
      </c>
      <c r="I1242" s="7">
        <f t="shared" si="190"/>
        <v>36000</v>
      </c>
      <c r="J1242" s="7">
        <f t="shared" si="191"/>
        <v>0</v>
      </c>
      <c r="K1242" s="7">
        <f t="shared" si="192"/>
        <v>36000</v>
      </c>
      <c r="L1242" s="4">
        <v>49000</v>
      </c>
      <c r="M1242" s="7">
        <f t="shared" si="193"/>
        <v>85000</v>
      </c>
      <c r="N1242" s="2" t="s">
        <v>28</v>
      </c>
      <c r="O1242" t="s">
        <v>22</v>
      </c>
      <c r="P1242" s="2" t="s">
        <v>2368</v>
      </c>
      <c r="Q1242" s="2">
        <v>2</v>
      </c>
      <c r="R1242" s="2" t="s">
        <v>34</v>
      </c>
      <c r="S1242" s="2" t="str">
        <f t="shared" si="194"/>
        <v>Rendah</v>
      </c>
      <c r="T1242" s="2" t="str">
        <f t="shared" si="195"/>
        <v>FALSE</v>
      </c>
      <c r="U1242" s="2" t="str">
        <f t="shared" si="196"/>
        <v>FALSE</v>
      </c>
      <c r="V1242" s="2" t="b">
        <f t="shared" si="197"/>
        <v>0</v>
      </c>
      <c r="W1242" s="2" t="b">
        <f t="shared" si="198"/>
        <v>0</v>
      </c>
      <c r="X1242" s="2" t="b">
        <f t="shared" si="199"/>
        <v>0</v>
      </c>
    </row>
    <row r="1243" spans="1:24" ht="10.5" customHeight="1">
      <c r="A1243" s="2" t="s">
        <v>1618</v>
      </c>
      <c r="B1243" s="3">
        <v>45897.570347222223</v>
      </c>
      <c r="C1243" s="2" t="s">
        <v>802</v>
      </c>
      <c r="D1243" s="2" t="s">
        <v>31</v>
      </c>
      <c r="E1243" s="2" t="s">
        <v>57</v>
      </c>
      <c r="F1243" s="4">
        <v>17500</v>
      </c>
      <c r="G1243" s="5">
        <v>3</v>
      </c>
      <c r="H1243" s="6">
        <v>0</v>
      </c>
      <c r="I1243" s="7">
        <f t="shared" si="190"/>
        <v>52500</v>
      </c>
      <c r="J1243" s="7">
        <f t="shared" si="191"/>
        <v>0</v>
      </c>
      <c r="K1243" s="7">
        <f t="shared" si="192"/>
        <v>52500</v>
      </c>
      <c r="L1243" s="4">
        <v>76000</v>
      </c>
      <c r="M1243" s="7">
        <f t="shared" si="193"/>
        <v>128500</v>
      </c>
      <c r="N1243" s="2" t="s">
        <v>33</v>
      </c>
      <c r="O1243" t="s">
        <v>22</v>
      </c>
      <c r="P1243" s="2" t="s">
        <v>2366</v>
      </c>
      <c r="Q1243" s="2">
        <v>4</v>
      </c>
      <c r="R1243" s="2" t="s">
        <v>23</v>
      </c>
      <c r="S1243" s="2" t="str">
        <f t="shared" si="194"/>
        <v>Standar</v>
      </c>
      <c r="T1243" s="2" t="str">
        <f t="shared" si="195"/>
        <v>FALSE</v>
      </c>
      <c r="U1243" s="2" t="str">
        <f t="shared" si="196"/>
        <v>FALSE</v>
      </c>
      <c r="V1243" s="2" t="b">
        <f t="shared" si="197"/>
        <v>0</v>
      </c>
      <c r="W1243" s="2" t="b">
        <f t="shared" si="198"/>
        <v>0</v>
      </c>
      <c r="X1243" s="2" t="b">
        <f t="shared" si="199"/>
        <v>0</v>
      </c>
    </row>
    <row r="1244" spans="1:24" ht="10.5" customHeight="1">
      <c r="A1244" s="2" t="s">
        <v>1619</v>
      </c>
      <c r="B1244" s="3">
        <v>45897.636307870373</v>
      </c>
      <c r="C1244" s="2" t="s">
        <v>439</v>
      </c>
      <c r="D1244" s="2" t="s">
        <v>140</v>
      </c>
      <c r="E1244" s="2" t="s">
        <v>143</v>
      </c>
      <c r="F1244" s="4">
        <v>10000</v>
      </c>
      <c r="G1244" s="5">
        <v>0.2</v>
      </c>
      <c r="H1244" s="6">
        <v>0</v>
      </c>
      <c r="I1244" s="7">
        <f t="shared" si="190"/>
        <v>2000</v>
      </c>
      <c r="J1244" s="7">
        <f t="shared" si="191"/>
        <v>0</v>
      </c>
      <c r="K1244" s="7">
        <f t="shared" si="192"/>
        <v>2000</v>
      </c>
      <c r="L1244" s="4">
        <v>55000</v>
      </c>
      <c r="M1244" s="7">
        <f t="shared" si="193"/>
        <v>57000</v>
      </c>
      <c r="N1244" s="2" t="s">
        <v>58</v>
      </c>
      <c r="O1244" t="s">
        <v>22</v>
      </c>
      <c r="P1244" s="2" t="s">
        <v>2365</v>
      </c>
      <c r="Q1244" s="2">
        <v>4</v>
      </c>
      <c r="R1244" s="2" t="s">
        <v>23</v>
      </c>
      <c r="S1244" s="2" t="str">
        <f t="shared" si="194"/>
        <v>Rendah</v>
      </c>
      <c r="T1244" s="2" t="str">
        <f t="shared" si="195"/>
        <v>FALSE</v>
      </c>
      <c r="U1244" s="2" t="str">
        <f t="shared" si="196"/>
        <v>TRUE</v>
      </c>
      <c r="V1244" s="2" t="b">
        <f t="shared" si="197"/>
        <v>0</v>
      </c>
      <c r="W1244" s="2" t="b">
        <f t="shared" si="198"/>
        <v>0</v>
      </c>
      <c r="X1244" s="2" t="b">
        <f t="shared" si="199"/>
        <v>0</v>
      </c>
    </row>
    <row r="1245" spans="1:24" ht="10.5" customHeight="1">
      <c r="A1245" s="2" t="s">
        <v>1620</v>
      </c>
      <c r="B1245" s="3">
        <v>45897.675439814811</v>
      </c>
      <c r="C1245" s="2" t="s">
        <v>774</v>
      </c>
      <c r="D1245" s="2" t="s">
        <v>108</v>
      </c>
      <c r="E1245" s="2" t="s">
        <v>99</v>
      </c>
      <c r="F1245" s="4">
        <v>10000</v>
      </c>
      <c r="G1245" s="5">
        <v>0.5</v>
      </c>
      <c r="H1245" s="6">
        <v>0</v>
      </c>
      <c r="I1245" s="7">
        <f t="shared" si="190"/>
        <v>5000</v>
      </c>
      <c r="J1245" s="7">
        <f t="shared" si="191"/>
        <v>0</v>
      </c>
      <c r="K1245" s="7">
        <f t="shared" si="192"/>
        <v>5000</v>
      </c>
      <c r="L1245" s="4">
        <v>72000</v>
      </c>
      <c r="M1245" s="7">
        <f t="shared" si="193"/>
        <v>77000</v>
      </c>
      <c r="N1245" s="2" t="s">
        <v>21</v>
      </c>
      <c r="O1245" t="s">
        <v>22</v>
      </c>
      <c r="P1245" s="2" t="s">
        <v>2366</v>
      </c>
      <c r="Q1245" s="2">
        <v>4</v>
      </c>
      <c r="R1245" s="2" t="s">
        <v>23</v>
      </c>
      <c r="S1245" s="2" t="str">
        <f t="shared" si="194"/>
        <v>Rendah</v>
      </c>
      <c r="T1245" s="2" t="str">
        <f t="shared" si="195"/>
        <v>FALSE</v>
      </c>
      <c r="U1245" s="2" t="str">
        <f t="shared" si="196"/>
        <v>FALSE</v>
      </c>
      <c r="V1245" s="2" t="b">
        <f t="shared" si="197"/>
        <v>0</v>
      </c>
      <c r="W1245" s="2" t="b">
        <f t="shared" si="198"/>
        <v>0</v>
      </c>
      <c r="X1245" s="2" t="b">
        <f t="shared" si="199"/>
        <v>0</v>
      </c>
    </row>
    <row r="1246" spans="1:24" ht="10.5" customHeight="1">
      <c r="A1246" s="2" t="s">
        <v>1621</v>
      </c>
      <c r="B1246" s="3">
        <v>45897.709479166668</v>
      </c>
      <c r="C1246" s="2" t="s">
        <v>392</v>
      </c>
      <c r="D1246" s="2" t="s">
        <v>153</v>
      </c>
      <c r="E1246" s="2" t="s">
        <v>143</v>
      </c>
      <c r="F1246" s="4">
        <v>10000</v>
      </c>
      <c r="G1246" s="5">
        <v>0.5</v>
      </c>
      <c r="H1246" s="6">
        <v>0</v>
      </c>
      <c r="I1246" s="7">
        <f t="shared" si="190"/>
        <v>5000</v>
      </c>
      <c r="J1246" s="7">
        <f t="shared" si="191"/>
        <v>0</v>
      </c>
      <c r="K1246" s="7">
        <f t="shared" si="192"/>
        <v>5000</v>
      </c>
      <c r="L1246" s="4">
        <v>50000</v>
      </c>
      <c r="M1246" s="7">
        <f t="shared" si="193"/>
        <v>55000</v>
      </c>
      <c r="N1246" s="2" t="s">
        <v>58</v>
      </c>
      <c r="O1246" t="s">
        <v>22</v>
      </c>
      <c r="P1246" s="2" t="s">
        <v>2366</v>
      </c>
      <c r="Q1246" s="2">
        <v>5</v>
      </c>
      <c r="R1246" s="2" t="s">
        <v>23</v>
      </c>
      <c r="S1246" s="2" t="str">
        <f t="shared" si="194"/>
        <v>Rendah</v>
      </c>
      <c r="T1246" s="2" t="str">
        <f t="shared" si="195"/>
        <v>FALSE</v>
      </c>
      <c r="U1246" s="2" t="str">
        <f t="shared" si="196"/>
        <v>TRUE</v>
      </c>
      <c r="V1246" s="2" t="b">
        <f t="shared" si="197"/>
        <v>0</v>
      </c>
      <c r="W1246" s="2" t="b">
        <f t="shared" si="198"/>
        <v>0</v>
      </c>
      <c r="X1246" s="2" t="b">
        <f t="shared" si="199"/>
        <v>0</v>
      </c>
    </row>
    <row r="1247" spans="1:24" ht="10.5" customHeight="1">
      <c r="A1247" s="2" t="s">
        <v>1622</v>
      </c>
      <c r="B1247" s="3">
        <v>45897.836284722223</v>
      </c>
      <c r="C1247" s="2" t="s">
        <v>492</v>
      </c>
      <c r="D1247" s="2" t="s">
        <v>98</v>
      </c>
      <c r="E1247" s="2" t="s">
        <v>75</v>
      </c>
      <c r="F1247" s="4">
        <v>45000</v>
      </c>
      <c r="G1247" s="5">
        <v>1</v>
      </c>
      <c r="H1247" s="6">
        <v>0</v>
      </c>
      <c r="I1247" s="7">
        <f t="shared" si="190"/>
        <v>45000</v>
      </c>
      <c r="J1247" s="7">
        <f t="shared" si="191"/>
        <v>0</v>
      </c>
      <c r="K1247" s="7">
        <f t="shared" si="192"/>
        <v>45000</v>
      </c>
      <c r="L1247" s="4">
        <v>97000</v>
      </c>
      <c r="M1247" s="7">
        <f t="shared" si="193"/>
        <v>142000</v>
      </c>
      <c r="N1247" s="2" t="s">
        <v>58</v>
      </c>
      <c r="O1247" t="s">
        <v>22</v>
      </c>
      <c r="P1247" s="2" t="s">
        <v>2367</v>
      </c>
      <c r="Q1247" s="2">
        <v>4</v>
      </c>
      <c r="R1247" s="2" t="s">
        <v>23</v>
      </c>
      <c r="S1247" s="2" t="str">
        <f t="shared" si="194"/>
        <v>Standar</v>
      </c>
      <c r="T1247" s="2" t="str">
        <f t="shared" si="195"/>
        <v>FALSE</v>
      </c>
      <c r="U1247" s="2" t="str">
        <f t="shared" si="196"/>
        <v>FALSE</v>
      </c>
      <c r="V1247" s="2" t="b">
        <f t="shared" si="197"/>
        <v>0</v>
      </c>
      <c r="W1247" s="2" t="b">
        <f t="shared" si="198"/>
        <v>1</v>
      </c>
      <c r="X1247" s="2" t="b">
        <f t="shared" si="199"/>
        <v>0</v>
      </c>
    </row>
    <row r="1248" spans="1:24" ht="10.5" customHeight="1">
      <c r="A1248" s="2" t="s">
        <v>1622</v>
      </c>
      <c r="B1248" s="3">
        <v>45897.836284722223</v>
      </c>
      <c r="C1248" s="2" t="s">
        <v>492</v>
      </c>
      <c r="D1248" s="2" t="s">
        <v>98</v>
      </c>
      <c r="E1248" s="2" t="s">
        <v>41</v>
      </c>
      <c r="F1248" s="4">
        <v>40000</v>
      </c>
      <c r="G1248" s="5">
        <v>0.4</v>
      </c>
      <c r="H1248" s="6">
        <v>0</v>
      </c>
      <c r="I1248" s="7">
        <f t="shared" si="190"/>
        <v>16000</v>
      </c>
      <c r="J1248" s="7">
        <f t="shared" si="191"/>
        <v>0</v>
      </c>
      <c r="K1248" s="7">
        <f t="shared" si="192"/>
        <v>16000</v>
      </c>
      <c r="L1248" s="4">
        <v>0</v>
      </c>
      <c r="M1248" s="7">
        <f t="shared" si="193"/>
        <v>16000</v>
      </c>
      <c r="N1248" s="2" t="s">
        <v>58</v>
      </c>
      <c r="O1248" t="s">
        <v>22</v>
      </c>
      <c r="P1248" s="2" t="s">
        <v>2367</v>
      </c>
      <c r="Q1248" s="2">
        <v>4</v>
      </c>
      <c r="R1248" s="2" t="s">
        <v>23</v>
      </c>
      <c r="S1248" s="2" t="str">
        <f t="shared" si="194"/>
        <v>Sangat Rendah</v>
      </c>
      <c r="T1248" s="2" t="str">
        <f t="shared" si="195"/>
        <v>FALSE</v>
      </c>
      <c r="U1248" s="2" t="str">
        <f t="shared" si="196"/>
        <v>FALSE</v>
      </c>
      <c r="V1248" s="2" t="b">
        <f t="shared" si="197"/>
        <v>0</v>
      </c>
      <c r="W1248" s="2" t="b">
        <f t="shared" si="198"/>
        <v>1</v>
      </c>
      <c r="X1248" s="2" t="b">
        <f t="shared" si="199"/>
        <v>1</v>
      </c>
    </row>
    <row r="1249" spans="1:24" ht="10.5" customHeight="1">
      <c r="A1249" s="2" t="s">
        <v>1623</v>
      </c>
      <c r="B1249" s="3">
        <v>45897.849826388891</v>
      </c>
      <c r="C1249" s="2" t="s">
        <v>273</v>
      </c>
      <c r="D1249" s="2" t="s">
        <v>84</v>
      </c>
      <c r="E1249" s="2" t="s">
        <v>32</v>
      </c>
      <c r="F1249" s="4">
        <v>20000</v>
      </c>
      <c r="G1249" s="5">
        <v>1.2</v>
      </c>
      <c r="H1249" s="6">
        <v>0</v>
      </c>
      <c r="I1249" s="7">
        <f t="shared" si="190"/>
        <v>24000</v>
      </c>
      <c r="J1249" s="7">
        <f t="shared" si="191"/>
        <v>0</v>
      </c>
      <c r="K1249" s="7">
        <f t="shared" si="192"/>
        <v>24000</v>
      </c>
      <c r="L1249" s="4">
        <v>30000</v>
      </c>
      <c r="M1249" s="7">
        <f t="shared" si="193"/>
        <v>54000</v>
      </c>
      <c r="N1249" s="2" t="s">
        <v>28</v>
      </c>
      <c r="O1249" t="s">
        <v>69</v>
      </c>
      <c r="P1249" s="2" t="s">
        <v>2367</v>
      </c>
      <c r="Q1249" s="2">
        <v>4</v>
      </c>
      <c r="R1249" s="2" t="s">
        <v>23</v>
      </c>
      <c r="S1249" s="2" t="str">
        <f t="shared" si="194"/>
        <v>Rendah</v>
      </c>
      <c r="T1249" s="2" t="str">
        <f t="shared" si="195"/>
        <v>FALSE</v>
      </c>
      <c r="U1249" s="2" t="str">
        <f t="shared" si="196"/>
        <v>FALSE</v>
      </c>
      <c r="V1249" s="2" t="b">
        <f t="shared" si="197"/>
        <v>0</v>
      </c>
      <c r="W1249" s="2" t="b">
        <f t="shared" si="198"/>
        <v>1</v>
      </c>
      <c r="X1249" s="2" t="b">
        <f t="shared" si="199"/>
        <v>0</v>
      </c>
    </row>
    <row r="1250" spans="1:24" ht="10.5" customHeight="1">
      <c r="A1250" s="2" t="s">
        <v>1624</v>
      </c>
      <c r="B1250" s="3">
        <v>45897.901759259257</v>
      </c>
      <c r="C1250" s="2" t="s">
        <v>86</v>
      </c>
      <c r="D1250" s="2" t="s">
        <v>87</v>
      </c>
      <c r="E1250" s="2" t="s">
        <v>27</v>
      </c>
      <c r="F1250" s="4">
        <v>15000</v>
      </c>
      <c r="G1250" s="5">
        <v>0.5</v>
      </c>
      <c r="H1250" s="6">
        <v>0</v>
      </c>
      <c r="I1250" s="7">
        <f t="shared" si="190"/>
        <v>7500</v>
      </c>
      <c r="J1250" s="7">
        <f t="shared" si="191"/>
        <v>0</v>
      </c>
      <c r="K1250" s="7">
        <f t="shared" si="192"/>
        <v>7500</v>
      </c>
      <c r="L1250" s="4">
        <v>49000</v>
      </c>
      <c r="M1250" s="7">
        <f t="shared" si="193"/>
        <v>56500</v>
      </c>
      <c r="N1250" s="2" t="s">
        <v>58</v>
      </c>
      <c r="O1250" t="s">
        <v>69</v>
      </c>
      <c r="P1250" s="2" t="s">
        <v>2367</v>
      </c>
      <c r="Q1250" s="2">
        <v>3</v>
      </c>
      <c r="R1250" s="2" t="s">
        <v>23</v>
      </c>
      <c r="S1250" s="2" t="str">
        <f t="shared" si="194"/>
        <v>Rendah</v>
      </c>
      <c r="T1250" s="2" t="str">
        <f t="shared" si="195"/>
        <v>FALSE</v>
      </c>
      <c r="U1250" s="2" t="str">
        <f t="shared" si="196"/>
        <v>FALSE</v>
      </c>
      <c r="V1250" s="2" t="b">
        <f t="shared" si="197"/>
        <v>0</v>
      </c>
      <c r="W1250" s="2" t="b">
        <f t="shared" si="198"/>
        <v>1</v>
      </c>
      <c r="X1250" s="2" t="b">
        <f t="shared" si="199"/>
        <v>0</v>
      </c>
    </row>
    <row r="1251" spans="1:24" ht="10.5" customHeight="1">
      <c r="A1251" s="2" t="s">
        <v>1625</v>
      </c>
      <c r="B1251" s="3">
        <v>45898.223969907413</v>
      </c>
      <c r="C1251" s="2" t="s">
        <v>716</v>
      </c>
      <c r="D1251" s="2" t="s">
        <v>48</v>
      </c>
      <c r="E1251" s="2" t="s">
        <v>35</v>
      </c>
      <c r="F1251" s="4">
        <v>13500</v>
      </c>
      <c r="G1251" s="5">
        <v>0.6</v>
      </c>
      <c r="H1251" s="6">
        <v>0</v>
      </c>
      <c r="I1251" s="7">
        <f t="shared" si="190"/>
        <v>8100</v>
      </c>
      <c r="J1251" s="7">
        <f t="shared" si="191"/>
        <v>0</v>
      </c>
      <c r="K1251" s="7">
        <f t="shared" si="192"/>
        <v>8100</v>
      </c>
      <c r="L1251" s="4">
        <v>18000</v>
      </c>
      <c r="M1251" s="7">
        <f t="shared" si="193"/>
        <v>26100</v>
      </c>
      <c r="N1251" s="2" t="s">
        <v>28</v>
      </c>
      <c r="O1251" t="s">
        <v>69</v>
      </c>
      <c r="P1251" s="2" t="s">
        <v>2366</v>
      </c>
      <c r="Q1251" s="2">
        <v>3</v>
      </c>
      <c r="R1251" s="2" t="s">
        <v>34</v>
      </c>
      <c r="S1251" s="2" t="str">
        <f t="shared" si="194"/>
        <v>Sangat Rendah</v>
      </c>
      <c r="T1251" s="2" t="str">
        <f t="shared" si="195"/>
        <v>FALSE</v>
      </c>
      <c r="U1251" s="2" t="str">
        <f t="shared" si="196"/>
        <v>FALSE</v>
      </c>
      <c r="V1251" s="2" t="b">
        <f t="shared" si="197"/>
        <v>0</v>
      </c>
      <c r="W1251" s="2" t="b">
        <f t="shared" si="198"/>
        <v>0</v>
      </c>
      <c r="X1251" s="2" t="b">
        <f t="shared" si="199"/>
        <v>0</v>
      </c>
    </row>
    <row r="1252" spans="1:24" ht="10.5" customHeight="1">
      <c r="A1252" s="2" t="s">
        <v>1626</v>
      </c>
      <c r="B1252" s="3">
        <v>45898.299490740741</v>
      </c>
      <c r="C1252" s="2" t="s">
        <v>1129</v>
      </c>
      <c r="D1252" s="2" t="s">
        <v>48</v>
      </c>
      <c r="E1252" s="2" t="s">
        <v>65</v>
      </c>
      <c r="F1252" s="4">
        <v>46000</v>
      </c>
      <c r="G1252" s="5">
        <v>1.2</v>
      </c>
      <c r="H1252" s="6">
        <v>0</v>
      </c>
      <c r="I1252" s="7">
        <f t="shared" si="190"/>
        <v>55200</v>
      </c>
      <c r="J1252" s="7">
        <f t="shared" si="191"/>
        <v>0</v>
      </c>
      <c r="K1252" s="7">
        <f t="shared" si="192"/>
        <v>55200</v>
      </c>
      <c r="L1252" s="4">
        <v>18000</v>
      </c>
      <c r="M1252" s="7">
        <f t="shared" si="193"/>
        <v>73200</v>
      </c>
      <c r="N1252" s="2" t="s">
        <v>28</v>
      </c>
      <c r="O1252" t="s">
        <v>22</v>
      </c>
      <c r="P1252" s="2" t="s">
        <v>2366</v>
      </c>
      <c r="Q1252" s="2">
        <v>3</v>
      </c>
      <c r="R1252" s="2" t="s">
        <v>34</v>
      </c>
      <c r="S1252" s="2" t="str">
        <f t="shared" si="194"/>
        <v>Rendah</v>
      </c>
      <c r="T1252" s="2" t="str">
        <f t="shared" si="195"/>
        <v>FALSE</v>
      </c>
      <c r="U1252" s="2" t="str">
        <f t="shared" si="196"/>
        <v>FALSE</v>
      </c>
      <c r="V1252" s="2" t="b">
        <f t="shared" si="197"/>
        <v>0</v>
      </c>
      <c r="W1252" s="2" t="b">
        <f t="shared" si="198"/>
        <v>0</v>
      </c>
      <c r="X1252" s="2" t="b">
        <f t="shared" si="199"/>
        <v>0</v>
      </c>
    </row>
    <row r="1253" spans="1:24" ht="10.5" customHeight="1">
      <c r="A1253" s="2" t="s">
        <v>1627</v>
      </c>
      <c r="B1253" s="3">
        <v>45898.32571759259</v>
      </c>
      <c r="C1253" s="2" t="s">
        <v>1386</v>
      </c>
      <c r="D1253" s="2" t="s">
        <v>425</v>
      </c>
      <c r="E1253" s="2" t="s">
        <v>102</v>
      </c>
      <c r="F1253" s="4">
        <v>55000</v>
      </c>
      <c r="G1253" s="5">
        <v>1.1000000000000001</v>
      </c>
      <c r="H1253" s="6">
        <v>0</v>
      </c>
      <c r="I1253" s="7">
        <f t="shared" si="190"/>
        <v>60500.000000000007</v>
      </c>
      <c r="J1253" s="7">
        <f t="shared" si="191"/>
        <v>0</v>
      </c>
      <c r="K1253" s="7">
        <f t="shared" si="192"/>
        <v>60500.000000000007</v>
      </c>
      <c r="L1253" s="4">
        <v>67000</v>
      </c>
      <c r="M1253" s="7">
        <f t="shared" si="193"/>
        <v>127500</v>
      </c>
      <c r="N1253" s="2" t="s">
        <v>28</v>
      </c>
      <c r="O1253" t="s">
        <v>22</v>
      </c>
      <c r="P1253" s="2" t="s">
        <v>2368</v>
      </c>
      <c r="Q1253" s="2">
        <v>3</v>
      </c>
      <c r="R1253" s="2" t="s">
        <v>23</v>
      </c>
      <c r="S1253" s="2" t="str">
        <f t="shared" si="194"/>
        <v>Standar</v>
      </c>
      <c r="T1253" s="2" t="str">
        <f t="shared" si="195"/>
        <v>FALSE</v>
      </c>
      <c r="U1253" s="2" t="str">
        <f t="shared" si="196"/>
        <v>FALSE</v>
      </c>
      <c r="V1253" s="2" t="b">
        <f t="shared" si="197"/>
        <v>0</v>
      </c>
      <c r="W1253" s="2" t="b">
        <f t="shared" si="198"/>
        <v>0</v>
      </c>
      <c r="X1253" s="2" t="b">
        <f t="shared" si="199"/>
        <v>0</v>
      </c>
    </row>
    <row r="1254" spans="1:24" ht="10.5" customHeight="1">
      <c r="A1254" s="2" t="s">
        <v>1628</v>
      </c>
      <c r="B1254" s="3">
        <v>45898.419942129629</v>
      </c>
      <c r="C1254" s="2" t="s">
        <v>47</v>
      </c>
      <c r="D1254" s="2" t="s">
        <v>48</v>
      </c>
      <c r="E1254" s="2" t="s">
        <v>170</v>
      </c>
      <c r="F1254" s="4">
        <v>12000</v>
      </c>
      <c r="G1254" s="5">
        <v>0.6</v>
      </c>
      <c r="H1254" s="6">
        <v>0</v>
      </c>
      <c r="I1254" s="7">
        <f t="shared" si="190"/>
        <v>7200</v>
      </c>
      <c r="J1254" s="7">
        <f t="shared" si="191"/>
        <v>0</v>
      </c>
      <c r="K1254" s="7">
        <f t="shared" si="192"/>
        <v>7200</v>
      </c>
      <c r="L1254" s="4">
        <v>18000</v>
      </c>
      <c r="M1254" s="7">
        <f t="shared" si="193"/>
        <v>25200</v>
      </c>
      <c r="N1254" s="2" t="s">
        <v>28</v>
      </c>
      <c r="O1254" t="s">
        <v>22</v>
      </c>
      <c r="P1254" s="2" t="s">
        <v>2365</v>
      </c>
      <c r="Q1254" s="2">
        <v>3</v>
      </c>
      <c r="R1254" s="2" t="s">
        <v>23</v>
      </c>
      <c r="S1254" s="2" t="str">
        <f t="shared" si="194"/>
        <v>Sangat Rendah</v>
      </c>
      <c r="T1254" s="2" t="str">
        <f t="shared" si="195"/>
        <v>FALSE</v>
      </c>
      <c r="U1254" s="2" t="str">
        <f t="shared" si="196"/>
        <v>FALSE</v>
      </c>
      <c r="V1254" s="2" t="b">
        <f t="shared" si="197"/>
        <v>0</v>
      </c>
      <c r="W1254" s="2" t="b">
        <f t="shared" si="198"/>
        <v>0</v>
      </c>
      <c r="X1254" s="2" t="b">
        <f t="shared" si="199"/>
        <v>1</v>
      </c>
    </row>
    <row r="1255" spans="1:24" ht="10.5" customHeight="1">
      <c r="A1255" s="2" t="s">
        <v>1629</v>
      </c>
      <c r="B1255" s="3">
        <v>45898.470243055563</v>
      </c>
      <c r="C1255" s="2" t="s">
        <v>1311</v>
      </c>
      <c r="D1255" s="2" t="s">
        <v>105</v>
      </c>
      <c r="E1255" s="2" t="s">
        <v>102</v>
      </c>
      <c r="F1255" s="4">
        <v>55000</v>
      </c>
      <c r="G1255" s="5">
        <v>0.6</v>
      </c>
      <c r="H1255" s="6">
        <v>0</v>
      </c>
      <c r="I1255" s="7">
        <f t="shared" si="190"/>
        <v>33000</v>
      </c>
      <c r="J1255" s="7">
        <f t="shared" si="191"/>
        <v>0</v>
      </c>
      <c r="K1255" s="7">
        <f t="shared" si="192"/>
        <v>33000</v>
      </c>
      <c r="L1255" s="4">
        <v>18000</v>
      </c>
      <c r="M1255" s="7">
        <f t="shared" si="193"/>
        <v>51000</v>
      </c>
      <c r="N1255" s="2" t="s">
        <v>58</v>
      </c>
      <c r="O1255" t="s">
        <v>22</v>
      </c>
      <c r="P1255" s="2" t="s">
        <v>2370</v>
      </c>
      <c r="Q1255" s="2">
        <v>1</v>
      </c>
      <c r="R1255" s="2" t="s">
        <v>23</v>
      </c>
      <c r="S1255" s="2" t="str">
        <f t="shared" si="194"/>
        <v>Rendah</v>
      </c>
      <c r="T1255" s="2" t="str">
        <f t="shared" si="195"/>
        <v>FALSE</v>
      </c>
      <c r="U1255" s="2" t="str">
        <f t="shared" si="196"/>
        <v>FALSE</v>
      </c>
      <c r="V1255" s="2" t="b">
        <f t="shared" si="197"/>
        <v>0</v>
      </c>
      <c r="W1255" s="2" t="b">
        <f t="shared" si="198"/>
        <v>0</v>
      </c>
      <c r="X1255" s="2" t="b">
        <f t="shared" si="199"/>
        <v>0</v>
      </c>
    </row>
    <row r="1256" spans="1:24" ht="10.5" customHeight="1">
      <c r="A1256" s="2" t="s">
        <v>1630</v>
      </c>
      <c r="B1256" s="3">
        <v>45898.552222222221</v>
      </c>
      <c r="C1256" s="2" t="s">
        <v>1311</v>
      </c>
      <c r="D1256" s="2" t="s">
        <v>105</v>
      </c>
      <c r="E1256" s="2" t="s">
        <v>32</v>
      </c>
      <c r="F1256" s="4">
        <v>20000</v>
      </c>
      <c r="G1256" s="5">
        <v>1.1000000000000001</v>
      </c>
      <c r="H1256" s="6">
        <v>0</v>
      </c>
      <c r="I1256" s="7">
        <f t="shared" si="190"/>
        <v>22000</v>
      </c>
      <c r="J1256" s="7">
        <f t="shared" si="191"/>
        <v>0</v>
      </c>
      <c r="K1256" s="7">
        <f t="shared" si="192"/>
        <v>22000</v>
      </c>
      <c r="L1256" s="4">
        <v>18000</v>
      </c>
      <c r="M1256" s="7">
        <f t="shared" si="193"/>
        <v>40000</v>
      </c>
      <c r="N1256" s="2" t="s">
        <v>21</v>
      </c>
      <c r="O1256" t="s">
        <v>22</v>
      </c>
      <c r="P1256" s="2" t="s">
        <v>2370</v>
      </c>
      <c r="Q1256" s="2">
        <v>1</v>
      </c>
      <c r="R1256" s="2" t="s">
        <v>23</v>
      </c>
      <c r="S1256" s="2" t="str">
        <f t="shared" si="194"/>
        <v>Sangat Rendah</v>
      </c>
      <c r="T1256" s="2" t="str">
        <f t="shared" si="195"/>
        <v>FALSE</v>
      </c>
      <c r="U1256" s="2" t="str">
        <f t="shared" si="196"/>
        <v>FALSE</v>
      </c>
      <c r="V1256" s="2" t="b">
        <f t="shared" si="197"/>
        <v>0</v>
      </c>
      <c r="W1256" s="2" t="b">
        <f t="shared" si="198"/>
        <v>0</v>
      </c>
      <c r="X1256" s="2" t="b">
        <f t="shared" si="199"/>
        <v>1</v>
      </c>
    </row>
    <row r="1257" spans="1:24" ht="10.5" customHeight="1">
      <c r="A1257" s="2" t="s">
        <v>1631</v>
      </c>
      <c r="B1257" s="3">
        <v>45898.555023148147</v>
      </c>
      <c r="C1257" s="2" t="s">
        <v>1326</v>
      </c>
      <c r="D1257" s="2" t="s">
        <v>87</v>
      </c>
      <c r="E1257" s="2" t="s">
        <v>102</v>
      </c>
      <c r="F1257" s="4">
        <v>55000</v>
      </c>
      <c r="G1257" s="5">
        <v>0.7</v>
      </c>
      <c r="H1257" s="6">
        <v>0</v>
      </c>
      <c r="I1257" s="7">
        <f t="shared" si="190"/>
        <v>38500</v>
      </c>
      <c r="J1257" s="7">
        <f t="shared" si="191"/>
        <v>0</v>
      </c>
      <c r="K1257" s="7">
        <f t="shared" si="192"/>
        <v>38500</v>
      </c>
      <c r="L1257" s="4">
        <v>49000</v>
      </c>
      <c r="M1257" s="7">
        <f t="shared" si="193"/>
        <v>87500</v>
      </c>
      <c r="N1257" s="2" t="s">
        <v>33</v>
      </c>
      <c r="O1257" t="s">
        <v>22</v>
      </c>
      <c r="P1257" s="2" t="s">
        <v>2367</v>
      </c>
      <c r="Q1257" s="2">
        <v>1</v>
      </c>
      <c r="R1257" s="2" t="s">
        <v>34</v>
      </c>
      <c r="S1257" s="2" t="str">
        <f t="shared" si="194"/>
        <v>Rendah</v>
      </c>
      <c r="T1257" s="2" t="str">
        <f t="shared" si="195"/>
        <v>FALSE</v>
      </c>
      <c r="U1257" s="2" t="str">
        <f t="shared" si="196"/>
        <v>FALSE</v>
      </c>
      <c r="V1257" s="2" t="b">
        <f t="shared" si="197"/>
        <v>0</v>
      </c>
      <c r="W1257" s="2" t="b">
        <f t="shared" si="198"/>
        <v>1</v>
      </c>
      <c r="X1257" s="2" t="b">
        <f t="shared" si="199"/>
        <v>0</v>
      </c>
    </row>
    <row r="1258" spans="1:24" ht="10.5" customHeight="1">
      <c r="A1258" s="2" t="s">
        <v>1632</v>
      </c>
      <c r="B1258" s="3">
        <v>45898.633703703701</v>
      </c>
      <c r="C1258" s="2" t="s">
        <v>251</v>
      </c>
      <c r="D1258" s="2" t="s">
        <v>252</v>
      </c>
      <c r="E1258" s="2" t="s">
        <v>102</v>
      </c>
      <c r="F1258" s="4">
        <v>55000</v>
      </c>
      <c r="G1258" s="5">
        <v>1.3</v>
      </c>
      <c r="H1258" s="6">
        <v>0</v>
      </c>
      <c r="I1258" s="7">
        <f t="shared" si="190"/>
        <v>71500</v>
      </c>
      <c r="J1258" s="7">
        <f t="shared" si="191"/>
        <v>0</v>
      </c>
      <c r="K1258" s="7">
        <f t="shared" si="192"/>
        <v>71500</v>
      </c>
      <c r="L1258" s="4">
        <v>18000</v>
      </c>
      <c r="M1258" s="7">
        <f t="shared" si="193"/>
        <v>89500</v>
      </c>
      <c r="N1258" s="2" t="s">
        <v>33</v>
      </c>
      <c r="O1258" t="s">
        <v>69</v>
      </c>
      <c r="P1258" s="2" t="s">
        <v>2365</v>
      </c>
      <c r="Q1258" s="2">
        <v>5</v>
      </c>
      <c r="R1258" s="2" t="s">
        <v>23</v>
      </c>
      <c r="S1258" s="2" t="str">
        <f t="shared" si="194"/>
        <v>Rendah</v>
      </c>
      <c r="T1258" s="2" t="str">
        <f t="shared" si="195"/>
        <v>FALSE</v>
      </c>
      <c r="U1258" s="2" t="str">
        <f t="shared" si="196"/>
        <v>FALSE</v>
      </c>
      <c r="V1258" s="2" t="b">
        <f t="shared" si="197"/>
        <v>0</v>
      </c>
      <c r="W1258" s="2" t="b">
        <f t="shared" si="198"/>
        <v>0</v>
      </c>
      <c r="X1258" s="2" t="b">
        <f t="shared" si="199"/>
        <v>0</v>
      </c>
    </row>
    <row r="1259" spans="1:24" ht="10.5" customHeight="1">
      <c r="A1259" s="2" t="s">
        <v>1632</v>
      </c>
      <c r="B1259" s="3">
        <v>45898.633703703701</v>
      </c>
      <c r="C1259" s="2" t="s">
        <v>251</v>
      </c>
      <c r="D1259" s="2" t="s">
        <v>252</v>
      </c>
      <c r="E1259" s="2" t="s">
        <v>35</v>
      </c>
      <c r="F1259" s="4">
        <v>13500</v>
      </c>
      <c r="G1259" s="5">
        <v>3.4</v>
      </c>
      <c r="H1259" s="6">
        <v>0</v>
      </c>
      <c r="I1259" s="7">
        <f t="shared" si="190"/>
        <v>45900</v>
      </c>
      <c r="J1259" s="7">
        <f t="shared" si="191"/>
        <v>0</v>
      </c>
      <c r="K1259" s="7">
        <f t="shared" si="192"/>
        <v>45900</v>
      </c>
      <c r="L1259" s="4">
        <v>0</v>
      </c>
      <c r="M1259" s="7">
        <f t="shared" si="193"/>
        <v>45900</v>
      </c>
      <c r="N1259" s="2" t="s">
        <v>33</v>
      </c>
      <c r="O1259" t="s">
        <v>69</v>
      </c>
      <c r="P1259" s="2" t="s">
        <v>2365</v>
      </c>
      <c r="Q1259" s="2">
        <v>5</v>
      </c>
      <c r="R1259" s="2" t="s">
        <v>23</v>
      </c>
      <c r="S1259" s="2" t="str">
        <f t="shared" si="194"/>
        <v>Sangat Rendah</v>
      </c>
      <c r="T1259" s="2" t="str">
        <f t="shared" si="195"/>
        <v>FALSE</v>
      </c>
      <c r="U1259" s="2" t="str">
        <f t="shared" si="196"/>
        <v>FALSE</v>
      </c>
      <c r="V1259" s="2" t="b">
        <f t="shared" si="197"/>
        <v>0</v>
      </c>
      <c r="W1259" s="2" t="b">
        <f t="shared" si="198"/>
        <v>0</v>
      </c>
      <c r="X1259" s="2" t="b">
        <f t="shared" si="199"/>
        <v>1</v>
      </c>
    </row>
    <row r="1260" spans="1:24" ht="10.5" customHeight="1">
      <c r="A1260" s="2" t="s">
        <v>1633</v>
      </c>
      <c r="B1260" s="3">
        <v>45898.650752314818</v>
      </c>
      <c r="C1260" s="2" t="s">
        <v>316</v>
      </c>
      <c r="D1260" s="2" t="s">
        <v>252</v>
      </c>
      <c r="E1260" s="2" t="s">
        <v>182</v>
      </c>
      <c r="F1260" s="4">
        <v>11000</v>
      </c>
      <c r="G1260" s="5">
        <v>2</v>
      </c>
      <c r="H1260" s="6">
        <v>0</v>
      </c>
      <c r="I1260" s="7">
        <f t="shared" si="190"/>
        <v>22000</v>
      </c>
      <c r="J1260" s="7">
        <f t="shared" si="191"/>
        <v>0</v>
      </c>
      <c r="K1260" s="7">
        <f t="shared" si="192"/>
        <v>22000</v>
      </c>
      <c r="L1260" s="4">
        <v>18000</v>
      </c>
      <c r="M1260" s="7">
        <f t="shared" si="193"/>
        <v>40000</v>
      </c>
      <c r="N1260" s="2" t="s">
        <v>21</v>
      </c>
      <c r="O1260" t="s">
        <v>22</v>
      </c>
      <c r="P1260" s="2" t="s">
        <v>2370</v>
      </c>
      <c r="Q1260" s="2">
        <v>1</v>
      </c>
      <c r="R1260" s="2" t="s">
        <v>34</v>
      </c>
      <c r="S1260" s="2" t="str">
        <f t="shared" si="194"/>
        <v>Sangat Rendah</v>
      </c>
      <c r="T1260" s="2" t="str">
        <f t="shared" si="195"/>
        <v>FALSE</v>
      </c>
      <c r="U1260" s="2" t="str">
        <f t="shared" si="196"/>
        <v>FALSE</v>
      </c>
      <c r="V1260" s="2" t="b">
        <f t="shared" si="197"/>
        <v>0</v>
      </c>
      <c r="W1260" s="2" t="b">
        <f t="shared" si="198"/>
        <v>0</v>
      </c>
      <c r="X1260" s="2" t="b">
        <f t="shared" si="199"/>
        <v>0</v>
      </c>
    </row>
    <row r="1261" spans="1:24" ht="10.5" customHeight="1">
      <c r="A1261" s="2" t="s">
        <v>1634</v>
      </c>
      <c r="B1261" s="3">
        <v>45898.735405092593</v>
      </c>
      <c r="C1261" s="2" t="s">
        <v>226</v>
      </c>
      <c r="D1261" s="2" t="s">
        <v>179</v>
      </c>
      <c r="E1261" s="2" t="s">
        <v>27</v>
      </c>
      <c r="F1261" s="4">
        <v>15000</v>
      </c>
      <c r="G1261" s="5">
        <v>0.2</v>
      </c>
      <c r="H1261" s="6">
        <v>0</v>
      </c>
      <c r="I1261" s="7">
        <f t="shared" si="190"/>
        <v>3000</v>
      </c>
      <c r="J1261" s="7">
        <f t="shared" si="191"/>
        <v>0</v>
      </c>
      <c r="K1261" s="7">
        <f t="shared" si="192"/>
        <v>3000</v>
      </c>
      <c r="L1261" s="4">
        <v>57000</v>
      </c>
      <c r="M1261" s="7">
        <f t="shared" si="193"/>
        <v>60000</v>
      </c>
      <c r="N1261" s="2" t="s">
        <v>21</v>
      </c>
      <c r="O1261" t="s">
        <v>22</v>
      </c>
      <c r="P1261" s="2" t="s">
        <v>2366</v>
      </c>
      <c r="Q1261" s="2">
        <v>4</v>
      </c>
      <c r="R1261" s="2" t="s">
        <v>34</v>
      </c>
      <c r="S1261" s="2" t="str">
        <f t="shared" si="194"/>
        <v>Rendah</v>
      </c>
      <c r="T1261" s="2" t="str">
        <f t="shared" si="195"/>
        <v>FALSE</v>
      </c>
      <c r="U1261" s="2" t="str">
        <f t="shared" si="196"/>
        <v>FALSE</v>
      </c>
      <c r="V1261" s="2" t="b">
        <f t="shared" si="197"/>
        <v>0</v>
      </c>
      <c r="W1261" s="2" t="b">
        <f t="shared" si="198"/>
        <v>0</v>
      </c>
      <c r="X1261" s="2" t="b">
        <f t="shared" si="199"/>
        <v>0</v>
      </c>
    </row>
    <row r="1262" spans="1:24" ht="10.5" customHeight="1">
      <c r="A1262" s="2" t="s">
        <v>1635</v>
      </c>
      <c r="B1262" s="3">
        <v>45898.806076388893</v>
      </c>
      <c r="C1262" s="2" t="s">
        <v>1012</v>
      </c>
      <c r="D1262" s="2" t="s">
        <v>167</v>
      </c>
      <c r="E1262" s="2" t="s">
        <v>80</v>
      </c>
      <c r="F1262" s="4">
        <v>15000</v>
      </c>
      <c r="G1262" s="5">
        <v>0.6</v>
      </c>
      <c r="H1262" s="6">
        <v>0</v>
      </c>
      <c r="I1262" s="7">
        <f t="shared" si="190"/>
        <v>9000</v>
      </c>
      <c r="J1262" s="7">
        <f t="shared" si="191"/>
        <v>0</v>
      </c>
      <c r="K1262" s="7">
        <f t="shared" si="192"/>
        <v>9000</v>
      </c>
      <c r="L1262" s="4">
        <v>56000</v>
      </c>
      <c r="M1262" s="7">
        <f t="shared" si="193"/>
        <v>65000</v>
      </c>
      <c r="N1262" s="2" t="s">
        <v>21</v>
      </c>
      <c r="O1262" t="s">
        <v>22</v>
      </c>
      <c r="P1262" s="2" t="s">
        <v>2367</v>
      </c>
      <c r="Q1262" s="2">
        <v>4</v>
      </c>
      <c r="R1262" s="2" t="s">
        <v>23</v>
      </c>
      <c r="S1262" s="2" t="str">
        <f t="shared" si="194"/>
        <v>Rendah</v>
      </c>
      <c r="T1262" s="2" t="str">
        <f t="shared" si="195"/>
        <v>FALSE</v>
      </c>
      <c r="U1262" s="2" t="str">
        <f t="shared" si="196"/>
        <v>FALSE</v>
      </c>
      <c r="V1262" s="2" t="b">
        <f t="shared" si="197"/>
        <v>0</v>
      </c>
      <c r="W1262" s="2" t="b">
        <f t="shared" si="198"/>
        <v>1</v>
      </c>
      <c r="X1262" s="2" t="b">
        <f t="shared" si="199"/>
        <v>0</v>
      </c>
    </row>
    <row r="1263" spans="1:24" ht="10.5" customHeight="1">
      <c r="A1263" s="2" t="s">
        <v>1636</v>
      </c>
      <c r="B1263" s="3">
        <v>45898.829571759263</v>
      </c>
      <c r="C1263" s="2" t="s">
        <v>79</v>
      </c>
      <c r="D1263" s="2" t="s">
        <v>74</v>
      </c>
      <c r="E1263" s="2" t="s">
        <v>45</v>
      </c>
      <c r="F1263" s="4">
        <v>10500</v>
      </c>
      <c r="G1263" s="5">
        <v>1.3</v>
      </c>
      <c r="H1263" s="6">
        <v>0</v>
      </c>
      <c r="I1263" s="7">
        <f t="shared" si="190"/>
        <v>13650</v>
      </c>
      <c r="J1263" s="7">
        <f t="shared" si="191"/>
        <v>0</v>
      </c>
      <c r="K1263" s="7">
        <f t="shared" si="192"/>
        <v>13650</v>
      </c>
      <c r="L1263" s="4">
        <v>74000</v>
      </c>
      <c r="M1263" s="7">
        <f t="shared" si="193"/>
        <v>87650</v>
      </c>
      <c r="N1263" s="2" t="s">
        <v>58</v>
      </c>
      <c r="O1263" t="s">
        <v>69</v>
      </c>
      <c r="P1263" s="2" t="s">
        <v>2365</v>
      </c>
      <c r="Q1263" s="2">
        <v>2</v>
      </c>
      <c r="R1263" s="2" t="s">
        <v>23</v>
      </c>
      <c r="S1263" s="2" t="str">
        <f t="shared" si="194"/>
        <v>Rendah</v>
      </c>
      <c r="T1263" s="2" t="str">
        <f t="shared" si="195"/>
        <v>FALSE</v>
      </c>
      <c r="U1263" s="2" t="str">
        <f t="shared" si="196"/>
        <v>FALSE</v>
      </c>
      <c r="V1263" s="2" t="b">
        <f t="shared" si="197"/>
        <v>0</v>
      </c>
      <c r="W1263" s="2" t="b">
        <f t="shared" si="198"/>
        <v>0</v>
      </c>
      <c r="X1263" s="2" t="b">
        <f t="shared" si="199"/>
        <v>0</v>
      </c>
    </row>
    <row r="1264" spans="1:24" ht="10.5" customHeight="1">
      <c r="A1264" s="2" t="s">
        <v>1637</v>
      </c>
      <c r="B1264" s="3">
        <v>45899.243368055562</v>
      </c>
      <c r="C1264" s="2" t="s">
        <v>139</v>
      </c>
      <c r="D1264" s="2" t="s">
        <v>140</v>
      </c>
      <c r="E1264" s="2" t="s">
        <v>65</v>
      </c>
      <c r="F1264" s="4">
        <v>46000</v>
      </c>
      <c r="G1264" s="5">
        <v>0.5</v>
      </c>
      <c r="H1264" s="6">
        <v>0</v>
      </c>
      <c r="I1264" s="7">
        <f t="shared" si="190"/>
        <v>23000</v>
      </c>
      <c r="J1264" s="7">
        <f t="shared" si="191"/>
        <v>0</v>
      </c>
      <c r="K1264" s="7">
        <f t="shared" si="192"/>
        <v>23000</v>
      </c>
      <c r="L1264" s="4">
        <v>55000</v>
      </c>
      <c r="M1264" s="7">
        <f t="shared" si="193"/>
        <v>78000</v>
      </c>
      <c r="N1264" s="2" t="s">
        <v>21</v>
      </c>
      <c r="O1264" t="s">
        <v>69</v>
      </c>
      <c r="P1264" s="2" t="s">
        <v>2368</v>
      </c>
      <c r="Q1264" s="2">
        <v>5</v>
      </c>
      <c r="R1264" s="2" t="s">
        <v>34</v>
      </c>
      <c r="S1264" s="2" t="str">
        <f t="shared" si="194"/>
        <v>Rendah</v>
      </c>
      <c r="T1264" s="2" t="str">
        <f t="shared" si="195"/>
        <v>FALSE</v>
      </c>
      <c r="U1264" s="2" t="str">
        <f t="shared" si="196"/>
        <v>FALSE</v>
      </c>
      <c r="V1264" s="2" t="b">
        <f t="shared" si="197"/>
        <v>0</v>
      </c>
      <c r="W1264" s="2" t="b">
        <f t="shared" si="198"/>
        <v>0</v>
      </c>
      <c r="X1264" s="2" t="b">
        <f t="shared" si="199"/>
        <v>0</v>
      </c>
    </row>
    <row r="1265" spans="1:24" ht="10.5" customHeight="1">
      <c r="A1265" s="2" t="s">
        <v>1638</v>
      </c>
      <c r="B1265" s="3">
        <v>45899.42386574074</v>
      </c>
      <c r="C1265" s="2" t="s">
        <v>261</v>
      </c>
      <c r="D1265" s="2" t="s">
        <v>44</v>
      </c>
      <c r="E1265" s="2" t="s">
        <v>27</v>
      </c>
      <c r="F1265" s="4">
        <v>15000</v>
      </c>
      <c r="G1265" s="5">
        <v>0.2</v>
      </c>
      <c r="H1265" s="6">
        <v>0</v>
      </c>
      <c r="I1265" s="7">
        <f t="shared" si="190"/>
        <v>3000</v>
      </c>
      <c r="J1265" s="7">
        <f t="shared" si="191"/>
        <v>0</v>
      </c>
      <c r="K1265" s="7">
        <f t="shared" si="192"/>
        <v>3000</v>
      </c>
      <c r="L1265" s="4">
        <v>43000</v>
      </c>
      <c r="M1265" s="7">
        <f t="shared" si="193"/>
        <v>46000</v>
      </c>
      <c r="N1265" s="2" t="s">
        <v>28</v>
      </c>
      <c r="O1265" t="s">
        <v>69</v>
      </c>
      <c r="P1265" s="2" t="s">
        <v>2370</v>
      </c>
      <c r="Q1265" s="2">
        <v>4</v>
      </c>
      <c r="R1265" s="2" t="s">
        <v>23</v>
      </c>
      <c r="S1265" s="2" t="str">
        <f t="shared" si="194"/>
        <v>Sangat Rendah</v>
      </c>
      <c r="T1265" s="2" t="str">
        <f t="shared" si="195"/>
        <v>FALSE</v>
      </c>
      <c r="U1265" s="2" t="str">
        <f t="shared" si="196"/>
        <v>FALSE</v>
      </c>
      <c r="V1265" s="2" t="b">
        <f t="shared" si="197"/>
        <v>0</v>
      </c>
      <c r="W1265" s="2" t="b">
        <f t="shared" si="198"/>
        <v>0</v>
      </c>
      <c r="X1265" s="2" t="b">
        <f t="shared" si="199"/>
        <v>1</v>
      </c>
    </row>
    <row r="1266" spans="1:24" ht="10.5" customHeight="1">
      <c r="A1266" s="2" t="s">
        <v>1639</v>
      </c>
      <c r="B1266" s="3">
        <v>45899.42863425926</v>
      </c>
      <c r="C1266" s="2" t="s">
        <v>400</v>
      </c>
      <c r="D1266" s="2" t="s">
        <v>140</v>
      </c>
      <c r="E1266" s="2" t="s">
        <v>32</v>
      </c>
      <c r="F1266" s="4">
        <v>20000</v>
      </c>
      <c r="G1266" s="5">
        <v>2</v>
      </c>
      <c r="H1266" s="6">
        <v>0</v>
      </c>
      <c r="I1266" s="7">
        <f t="shared" si="190"/>
        <v>40000</v>
      </c>
      <c r="J1266" s="7">
        <f t="shared" si="191"/>
        <v>0</v>
      </c>
      <c r="K1266" s="7">
        <f t="shared" si="192"/>
        <v>40000</v>
      </c>
      <c r="L1266" s="4">
        <v>55000</v>
      </c>
      <c r="M1266" s="7">
        <f t="shared" si="193"/>
        <v>95000</v>
      </c>
      <c r="N1266" s="2" t="s">
        <v>28</v>
      </c>
      <c r="O1266" t="s">
        <v>69</v>
      </c>
      <c r="P1266" s="2" t="s">
        <v>2370</v>
      </c>
      <c r="Q1266" s="2">
        <v>3</v>
      </c>
      <c r="R1266" s="2" t="s">
        <v>23</v>
      </c>
      <c r="S1266" s="2" t="str">
        <f t="shared" si="194"/>
        <v>Rendah</v>
      </c>
      <c r="T1266" s="2" t="str">
        <f t="shared" si="195"/>
        <v>FALSE</v>
      </c>
      <c r="U1266" s="2" t="str">
        <f t="shared" si="196"/>
        <v>FALSE</v>
      </c>
      <c r="V1266" s="2" t="b">
        <f t="shared" si="197"/>
        <v>0</v>
      </c>
      <c r="W1266" s="2" t="b">
        <f t="shared" si="198"/>
        <v>0</v>
      </c>
      <c r="X1266" s="2" t="b">
        <f t="shared" si="199"/>
        <v>0</v>
      </c>
    </row>
    <row r="1267" spans="1:24" ht="10.5" customHeight="1">
      <c r="A1267" s="2" t="s">
        <v>1640</v>
      </c>
      <c r="B1267" s="3">
        <v>45899.495740740742</v>
      </c>
      <c r="C1267" s="2" t="s">
        <v>263</v>
      </c>
      <c r="D1267" s="2" t="s">
        <v>185</v>
      </c>
      <c r="E1267" s="2" t="s">
        <v>27</v>
      </c>
      <c r="F1267" s="4">
        <v>15000</v>
      </c>
      <c r="G1267" s="5">
        <v>0.6</v>
      </c>
      <c r="H1267" s="6">
        <v>0</v>
      </c>
      <c r="I1267" s="7">
        <f t="shared" si="190"/>
        <v>9000</v>
      </c>
      <c r="J1267" s="7">
        <f t="shared" si="191"/>
        <v>0</v>
      </c>
      <c r="K1267" s="7">
        <f t="shared" si="192"/>
        <v>9000</v>
      </c>
      <c r="L1267" s="4">
        <v>87000</v>
      </c>
      <c r="M1267" s="7">
        <f t="shared" si="193"/>
        <v>96000</v>
      </c>
      <c r="N1267" s="2" t="s">
        <v>58</v>
      </c>
      <c r="O1267" t="s">
        <v>69</v>
      </c>
      <c r="P1267" s="2" t="s">
        <v>2366</v>
      </c>
      <c r="Q1267" s="2">
        <v>2</v>
      </c>
      <c r="R1267" s="2" t="s">
        <v>23</v>
      </c>
      <c r="S1267" s="2" t="str">
        <f t="shared" si="194"/>
        <v>Rendah</v>
      </c>
      <c r="T1267" s="2" t="str">
        <f t="shared" si="195"/>
        <v>FALSE</v>
      </c>
      <c r="U1267" s="2" t="str">
        <f t="shared" si="196"/>
        <v>FALSE</v>
      </c>
      <c r="V1267" s="2" t="b">
        <f t="shared" si="197"/>
        <v>0</v>
      </c>
      <c r="W1267" s="2" t="b">
        <f t="shared" si="198"/>
        <v>0</v>
      </c>
      <c r="X1267" s="2" t="b">
        <f t="shared" si="199"/>
        <v>0</v>
      </c>
    </row>
    <row r="1268" spans="1:24" ht="10.5" customHeight="1">
      <c r="A1268" s="2" t="s">
        <v>1641</v>
      </c>
      <c r="B1268" s="3">
        <v>45899.535254629627</v>
      </c>
      <c r="C1268" s="2" t="s">
        <v>234</v>
      </c>
      <c r="D1268" s="2" t="s">
        <v>235</v>
      </c>
      <c r="E1268" s="2" t="s">
        <v>99</v>
      </c>
      <c r="F1268" s="4">
        <v>10000</v>
      </c>
      <c r="G1268" s="5">
        <v>0.2</v>
      </c>
      <c r="H1268" s="6">
        <v>0</v>
      </c>
      <c r="I1268" s="7">
        <f t="shared" si="190"/>
        <v>2000</v>
      </c>
      <c r="J1268" s="7">
        <f t="shared" si="191"/>
        <v>0</v>
      </c>
      <c r="K1268" s="7">
        <f t="shared" si="192"/>
        <v>2000</v>
      </c>
      <c r="L1268" s="4">
        <v>80000</v>
      </c>
      <c r="M1268" s="7">
        <f t="shared" si="193"/>
        <v>82000</v>
      </c>
      <c r="N1268" s="2" t="s">
        <v>58</v>
      </c>
      <c r="O1268" t="s">
        <v>22</v>
      </c>
      <c r="P1268" s="2" t="s">
        <v>2367</v>
      </c>
      <c r="Q1268" s="2">
        <v>3</v>
      </c>
      <c r="R1268" s="2" t="s">
        <v>34</v>
      </c>
      <c r="S1268" s="2" t="str">
        <f t="shared" si="194"/>
        <v>Rendah</v>
      </c>
      <c r="T1268" s="2" t="str">
        <f t="shared" si="195"/>
        <v>FALSE</v>
      </c>
      <c r="U1268" s="2" t="str">
        <f t="shared" si="196"/>
        <v>FALSE</v>
      </c>
      <c r="V1268" s="2" t="b">
        <f t="shared" si="197"/>
        <v>0</v>
      </c>
      <c r="W1268" s="2" t="b">
        <f t="shared" si="198"/>
        <v>1</v>
      </c>
      <c r="X1268" s="2" t="b">
        <f t="shared" si="199"/>
        <v>0</v>
      </c>
    </row>
    <row r="1269" spans="1:24" ht="10.5" customHeight="1">
      <c r="A1269" s="2" t="s">
        <v>1642</v>
      </c>
      <c r="B1269" s="3">
        <v>45899.582071759258</v>
      </c>
      <c r="C1269" s="2" t="s">
        <v>311</v>
      </c>
      <c r="D1269" s="2" t="s">
        <v>74</v>
      </c>
      <c r="E1269" s="2" t="s">
        <v>95</v>
      </c>
      <c r="F1269" s="4">
        <v>9500</v>
      </c>
      <c r="G1269" s="5">
        <v>1.5</v>
      </c>
      <c r="H1269" s="6">
        <v>0</v>
      </c>
      <c r="I1269" s="7">
        <f t="shared" si="190"/>
        <v>14250</v>
      </c>
      <c r="J1269" s="7">
        <f t="shared" si="191"/>
        <v>0</v>
      </c>
      <c r="K1269" s="7">
        <f t="shared" si="192"/>
        <v>14250</v>
      </c>
      <c r="L1269" s="4">
        <v>74000</v>
      </c>
      <c r="M1269" s="7">
        <f t="shared" si="193"/>
        <v>88250</v>
      </c>
      <c r="N1269" s="2" t="s">
        <v>21</v>
      </c>
      <c r="O1269" t="s">
        <v>22</v>
      </c>
      <c r="P1269" s="2" t="s">
        <v>2368</v>
      </c>
      <c r="Q1269" s="2">
        <v>4</v>
      </c>
      <c r="R1269" s="2" t="s">
        <v>23</v>
      </c>
      <c r="S1269" s="2" t="str">
        <f t="shared" si="194"/>
        <v>Rendah</v>
      </c>
      <c r="T1269" s="2" t="str">
        <f t="shared" si="195"/>
        <v>FALSE</v>
      </c>
      <c r="U1269" s="2" t="str">
        <f t="shared" si="196"/>
        <v>FALSE</v>
      </c>
      <c r="V1269" s="2" t="b">
        <f t="shared" si="197"/>
        <v>0</v>
      </c>
      <c r="W1269" s="2" t="b">
        <f t="shared" si="198"/>
        <v>0</v>
      </c>
      <c r="X1269" s="2" t="b">
        <f t="shared" si="199"/>
        <v>0</v>
      </c>
    </row>
    <row r="1270" spans="1:24" ht="10.5" customHeight="1">
      <c r="A1270" s="2" t="s">
        <v>1643</v>
      </c>
      <c r="B1270" s="3">
        <v>45899.608703703707</v>
      </c>
      <c r="C1270" s="2" t="s">
        <v>1644</v>
      </c>
      <c r="D1270" s="2" t="s">
        <v>68</v>
      </c>
      <c r="E1270" s="2" t="s">
        <v>143</v>
      </c>
      <c r="F1270" s="4">
        <v>10000</v>
      </c>
      <c r="G1270" s="5">
        <v>0.7</v>
      </c>
      <c r="H1270" s="6">
        <v>0</v>
      </c>
      <c r="I1270" s="7">
        <f t="shared" si="190"/>
        <v>7000</v>
      </c>
      <c r="J1270" s="7">
        <f t="shared" si="191"/>
        <v>0</v>
      </c>
      <c r="K1270" s="7">
        <f t="shared" si="192"/>
        <v>7000</v>
      </c>
      <c r="L1270" s="4">
        <v>87000</v>
      </c>
      <c r="M1270" s="7">
        <f t="shared" si="193"/>
        <v>94000</v>
      </c>
      <c r="N1270" s="2" t="s">
        <v>33</v>
      </c>
      <c r="O1270" t="s">
        <v>69</v>
      </c>
      <c r="P1270" s="2" t="s">
        <v>2368</v>
      </c>
      <c r="Q1270" s="2">
        <v>5</v>
      </c>
      <c r="R1270" s="2" t="s">
        <v>34</v>
      </c>
      <c r="S1270" s="2" t="str">
        <f t="shared" si="194"/>
        <v>Rendah</v>
      </c>
      <c r="T1270" s="2" t="str">
        <f t="shared" si="195"/>
        <v>FALSE</v>
      </c>
      <c r="U1270" s="2" t="str">
        <f t="shared" si="196"/>
        <v>TRUE</v>
      </c>
      <c r="V1270" s="2" t="b">
        <f t="shared" si="197"/>
        <v>0</v>
      </c>
      <c r="W1270" s="2" t="b">
        <f t="shared" si="198"/>
        <v>0</v>
      </c>
      <c r="X1270" s="2" t="b">
        <f t="shared" si="199"/>
        <v>0</v>
      </c>
    </row>
    <row r="1271" spans="1:24" ht="10.5" customHeight="1">
      <c r="A1271" s="2" t="s">
        <v>1645</v>
      </c>
      <c r="B1271" s="3">
        <v>45899.645312499997</v>
      </c>
      <c r="C1271" s="2" t="s">
        <v>419</v>
      </c>
      <c r="D1271" s="2" t="s">
        <v>167</v>
      </c>
      <c r="E1271" s="2" t="s">
        <v>190</v>
      </c>
      <c r="F1271" s="4">
        <v>15500</v>
      </c>
      <c r="G1271" s="5">
        <v>0.3</v>
      </c>
      <c r="H1271" s="6">
        <v>0</v>
      </c>
      <c r="I1271" s="7">
        <f t="shared" si="190"/>
        <v>4650</v>
      </c>
      <c r="J1271" s="7">
        <f t="shared" si="191"/>
        <v>0</v>
      </c>
      <c r="K1271" s="7">
        <f t="shared" si="192"/>
        <v>4650</v>
      </c>
      <c r="L1271" s="4">
        <v>56000</v>
      </c>
      <c r="M1271" s="7">
        <f t="shared" si="193"/>
        <v>60650</v>
      </c>
      <c r="N1271" s="2" t="s">
        <v>58</v>
      </c>
      <c r="O1271" t="s">
        <v>22</v>
      </c>
      <c r="P1271" s="2" t="s">
        <v>2365</v>
      </c>
      <c r="Q1271" s="2">
        <v>5</v>
      </c>
      <c r="R1271" s="2" t="s">
        <v>34</v>
      </c>
      <c r="S1271" s="2" t="str">
        <f t="shared" si="194"/>
        <v>Rendah</v>
      </c>
      <c r="T1271" s="2" t="str">
        <f t="shared" si="195"/>
        <v>FALSE</v>
      </c>
      <c r="U1271" s="2" t="str">
        <f t="shared" si="196"/>
        <v>FALSE</v>
      </c>
      <c r="V1271" s="2" t="b">
        <f t="shared" si="197"/>
        <v>0</v>
      </c>
      <c r="W1271" s="2" t="b">
        <f t="shared" si="198"/>
        <v>0</v>
      </c>
      <c r="X1271" s="2" t="b">
        <f t="shared" si="199"/>
        <v>0</v>
      </c>
    </row>
    <row r="1272" spans="1:24" ht="10.5" customHeight="1">
      <c r="A1272" s="2" t="s">
        <v>1646</v>
      </c>
      <c r="B1272" s="3">
        <v>45899.667233796303</v>
      </c>
      <c r="C1272" s="2" t="s">
        <v>373</v>
      </c>
      <c r="D1272" s="2" t="s">
        <v>114</v>
      </c>
      <c r="E1272" s="2" t="s">
        <v>41</v>
      </c>
      <c r="F1272" s="4">
        <v>40000</v>
      </c>
      <c r="G1272" s="5">
        <v>1.3</v>
      </c>
      <c r="H1272" s="6">
        <v>0</v>
      </c>
      <c r="I1272" s="7">
        <f t="shared" si="190"/>
        <v>52000</v>
      </c>
      <c r="J1272" s="7">
        <f t="shared" si="191"/>
        <v>0</v>
      </c>
      <c r="K1272" s="7">
        <f t="shared" si="192"/>
        <v>52000</v>
      </c>
      <c r="L1272" s="4">
        <v>78000</v>
      </c>
      <c r="M1272" s="7">
        <f t="shared" si="193"/>
        <v>130000</v>
      </c>
      <c r="N1272" s="2" t="s">
        <v>21</v>
      </c>
      <c r="O1272" t="s">
        <v>115</v>
      </c>
      <c r="P1272" s="2" t="s">
        <v>2367</v>
      </c>
      <c r="Q1272" s="2">
        <v>5</v>
      </c>
      <c r="R1272" s="2" t="s">
        <v>23</v>
      </c>
      <c r="S1272" s="2" t="str">
        <f t="shared" si="194"/>
        <v>Standar</v>
      </c>
      <c r="T1272" s="2" t="str">
        <f t="shared" si="195"/>
        <v>FALSE</v>
      </c>
      <c r="U1272" s="2" t="str">
        <f t="shared" si="196"/>
        <v>FALSE</v>
      </c>
      <c r="V1272" s="2" t="b">
        <f t="shared" si="197"/>
        <v>0</v>
      </c>
      <c r="W1272" s="2" t="b">
        <f t="shared" si="198"/>
        <v>1</v>
      </c>
      <c r="X1272" s="2" t="b">
        <f t="shared" si="199"/>
        <v>0</v>
      </c>
    </row>
    <row r="1273" spans="1:24" ht="10.5" customHeight="1">
      <c r="A1273" s="2" t="s">
        <v>1647</v>
      </c>
      <c r="B1273" s="3">
        <v>45899.670023148137</v>
      </c>
      <c r="C1273" s="2" t="s">
        <v>120</v>
      </c>
      <c r="D1273" s="2" t="s">
        <v>94</v>
      </c>
      <c r="E1273" s="2" t="s">
        <v>53</v>
      </c>
      <c r="F1273" s="4">
        <v>14000</v>
      </c>
      <c r="G1273" s="5">
        <v>0.8</v>
      </c>
      <c r="H1273" s="6">
        <v>0</v>
      </c>
      <c r="I1273" s="7">
        <f t="shared" si="190"/>
        <v>11200</v>
      </c>
      <c r="J1273" s="7">
        <f t="shared" si="191"/>
        <v>0</v>
      </c>
      <c r="K1273" s="7">
        <f t="shared" si="192"/>
        <v>11200</v>
      </c>
      <c r="L1273" s="4">
        <v>85000</v>
      </c>
      <c r="M1273" s="7">
        <f t="shared" si="193"/>
        <v>96200</v>
      </c>
      <c r="N1273" s="2" t="s">
        <v>33</v>
      </c>
      <c r="O1273" t="s">
        <v>22</v>
      </c>
      <c r="P1273" s="2" t="s">
        <v>2368</v>
      </c>
      <c r="Q1273" s="2">
        <v>2</v>
      </c>
      <c r="R1273" s="2" t="s">
        <v>34</v>
      </c>
      <c r="S1273" s="2" t="str">
        <f t="shared" si="194"/>
        <v>Rendah</v>
      </c>
      <c r="T1273" s="2" t="str">
        <f t="shared" si="195"/>
        <v>FALSE</v>
      </c>
      <c r="U1273" s="2" t="str">
        <f t="shared" si="196"/>
        <v>FALSE</v>
      </c>
      <c r="V1273" s="2" t="b">
        <f t="shared" si="197"/>
        <v>0</v>
      </c>
      <c r="W1273" s="2" t="b">
        <f t="shared" si="198"/>
        <v>0</v>
      </c>
      <c r="X1273" s="2" t="b">
        <f t="shared" si="199"/>
        <v>0</v>
      </c>
    </row>
    <row r="1274" spans="1:24" ht="10.5" customHeight="1">
      <c r="A1274" s="2" t="s">
        <v>1648</v>
      </c>
      <c r="B1274" s="3">
        <v>45899.726863425924</v>
      </c>
      <c r="C1274" s="2" t="s">
        <v>1015</v>
      </c>
      <c r="D1274" s="2" t="s">
        <v>111</v>
      </c>
      <c r="E1274" s="2" t="s">
        <v>32</v>
      </c>
      <c r="F1274" s="4">
        <v>20000</v>
      </c>
      <c r="G1274" s="5">
        <v>1.3</v>
      </c>
      <c r="H1274" s="6">
        <v>0</v>
      </c>
      <c r="I1274" s="7">
        <f t="shared" si="190"/>
        <v>26000</v>
      </c>
      <c r="J1274" s="7">
        <f t="shared" si="191"/>
        <v>0</v>
      </c>
      <c r="K1274" s="7">
        <f t="shared" si="192"/>
        <v>26000</v>
      </c>
      <c r="L1274" s="4">
        <v>0</v>
      </c>
      <c r="M1274" s="7">
        <f t="shared" si="193"/>
        <v>26000</v>
      </c>
      <c r="N1274" s="2" t="s">
        <v>58</v>
      </c>
      <c r="O1274" t="s">
        <v>69</v>
      </c>
      <c r="P1274" s="2" t="s">
        <v>2365</v>
      </c>
      <c r="Q1274" s="2">
        <v>2</v>
      </c>
      <c r="R1274" s="2" t="s">
        <v>23</v>
      </c>
      <c r="S1274" s="2" t="str">
        <f t="shared" si="194"/>
        <v>Sangat Rendah</v>
      </c>
      <c r="T1274" s="2" t="str">
        <f t="shared" si="195"/>
        <v>FALSE</v>
      </c>
      <c r="U1274" s="2" t="str">
        <f t="shared" si="196"/>
        <v>FALSE</v>
      </c>
      <c r="V1274" s="2" t="b">
        <f t="shared" si="197"/>
        <v>0</v>
      </c>
      <c r="W1274" s="2" t="b">
        <f t="shared" si="198"/>
        <v>0</v>
      </c>
      <c r="X1274" s="2" t="b">
        <f t="shared" si="199"/>
        <v>1</v>
      </c>
    </row>
    <row r="1275" spans="1:24" ht="10.5" customHeight="1">
      <c r="A1275" s="2" t="s">
        <v>1648</v>
      </c>
      <c r="B1275" s="3">
        <v>45899.726863425924</v>
      </c>
      <c r="C1275" s="2" t="s">
        <v>1015</v>
      </c>
      <c r="D1275" s="2" t="s">
        <v>111</v>
      </c>
      <c r="E1275" s="2" t="s">
        <v>102</v>
      </c>
      <c r="F1275" s="4">
        <v>55000</v>
      </c>
      <c r="G1275" s="5">
        <v>1.1000000000000001</v>
      </c>
      <c r="H1275" s="6">
        <v>0</v>
      </c>
      <c r="I1275" s="7">
        <f t="shared" si="190"/>
        <v>60500.000000000007</v>
      </c>
      <c r="J1275" s="7">
        <f t="shared" si="191"/>
        <v>0</v>
      </c>
      <c r="K1275" s="7">
        <f t="shared" si="192"/>
        <v>60500.000000000007</v>
      </c>
      <c r="L1275" s="4">
        <v>0</v>
      </c>
      <c r="M1275" s="7">
        <f t="shared" si="193"/>
        <v>60500.000000000007</v>
      </c>
      <c r="N1275" s="2" t="s">
        <v>58</v>
      </c>
      <c r="O1275" t="s">
        <v>69</v>
      </c>
      <c r="P1275" s="2" t="s">
        <v>2365</v>
      </c>
      <c r="Q1275" s="2">
        <v>2</v>
      </c>
      <c r="R1275" s="2" t="s">
        <v>23</v>
      </c>
      <c r="S1275" s="2" t="str">
        <f t="shared" si="194"/>
        <v>Rendah</v>
      </c>
      <c r="T1275" s="2" t="str">
        <f t="shared" si="195"/>
        <v>FALSE</v>
      </c>
      <c r="U1275" s="2" t="str">
        <f t="shared" si="196"/>
        <v>FALSE</v>
      </c>
      <c r="V1275" s="2" t="b">
        <f t="shared" si="197"/>
        <v>0</v>
      </c>
      <c r="W1275" s="2" t="b">
        <f t="shared" si="198"/>
        <v>0</v>
      </c>
      <c r="X1275" s="2" t="b">
        <f t="shared" si="199"/>
        <v>0</v>
      </c>
    </row>
    <row r="1276" spans="1:24" ht="10.5" customHeight="1">
      <c r="A1276" s="2" t="s">
        <v>1649</v>
      </c>
      <c r="B1276" s="3">
        <v>45899.735011574077</v>
      </c>
      <c r="C1276" s="2" t="s">
        <v>463</v>
      </c>
      <c r="D1276" s="2" t="s">
        <v>114</v>
      </c>
      <c r="E1276" s="2" t="s">
        <v>75</v>
      </c>
      <c r="F1276" s="4">
        <v>45000</v>
      </c>
      <c r="G1276" s="5">
        <v>1</v>
      </c>
      <c r="H1276" s="6">
        <v>0</v>
      </c>
      <c r="I1276" s="7">
        <f t="shared" si="190"/>
        <v>45000</v>
      </c>
      <c r="J1276" s="7">
        <f t="shared" si="191"/>
        <v>0</v>
      </c>
      <c r="K1276" s="7">
        <f t="shared" si="192"/>
        <v>45000</v>
      </c>
      <c r="L1276" s="4">
        <v>78000</v>
      </c>
      <c r="M1276" s="7">
        <f t="shared" si="193"/>
        <v>123000</v>
      </c>
      <c r="N1276" s="2" t="s">
        <v>58</v>
      </c>
      <c r="O1276" t="s">
        <v>22</v>
      </c>
      <c r="P1276" s="2" t="s">
        <v>2368</v>
      </c>
      <c r="Q1276" s="2">
        <v>1</v>
      </c>
      <c r="R1276" s="2" t="s">
        <v>23</v>
      </c>
      <c r="S1276" s="2" t="str">
        <f t="shared" si="194"/>
        <v>Standar</v>
      </c>
      <c r="T1276" s="2" t="str">
        <f t="shared" si="195"/>
        <v>FALSE</v>
      </c>
      <c r="U1276" s="2" t="str">
        <f t="shared" si="196"/>
        <v>FALSE</v>
      </c>
      <c r="V1276" s="2" t="b">
        <f t="shared" si="197"/>
        <v>0</v>
      </c>
      <c r="W1276" s="2" t="b">
        <f t="shared" si="198"/>
        <v>0</v>
      </c>
      <c r="X1276" s="2" t="b">
        <f t="shared" si="199"/>
        <v>0</v>
      </c>
    </row>
    <row r="1277" spans="1:24" ht="10.5" customHeight="1">
      <c r="A1277" s="2" t="s">
        <v>1650</v>
      </c>
      <c r="B1277" s="3">
        <v>45899.824097222219</v>
      </c>
      <c r="C1277" s="2" t="s">
        <v>1283</v>
      </c>
      <c r="D1277" s="2" t="s">
        <v>40</v>
      </c>
      <c r="E1277" s="2" t="s">
        <v>20</v>
      </c>
      <c r="F1277" s="4">
        <v>10000</v>
      </c>
      <c r="G1277" s="5">
        <v>3.1</v>
      </c>
      <c r="H1277" s="6">
        <v>0</v>
      </c>
      <c r="I1277" s="7">
        <f t="shared" si="190"/>
        <v>31000</v>
      </c>
      <c r="J1277" s="7">
        <f t="shared" si="191"/>
        <v>0</v>
      </c>
      <c r="K1277" s="7">
        <f t="shared" si="192"/>
        <v>31000</v>
      </c>
      <c r="L1277" s="4">
        <v>93000</v>
      </c>
      <c r="M1277" s="7">
        <f t="shared" si="193"/>
        <v>124000</v>
      </c>
      <c r="N1277" s="2" t="s">
        <v>28</v>
      </c>
      <c r="O1277" t="s">
        <v>22</v>
      </c>
      <c r="P1277" s="2" t="s">
        <v>2368</v>
      </c>
      <c r="Q1277" s="2">
        <v>5</v>
      </c>
      <c r="R1277" s="2" t="s">
        <v>23</v>
      </c>
      <c r="S1277" s="2" t="str">
        <f t="shared" si="194"/>
        <v>Standar</v>
      </c>
      <c r="T1277" s="2" t="str">
        <f t="shared" si="195"/>
        <v>FALSE</v>
      </c>
      <c r="U1277" s="2" t="str">
        <f t="shared" si="196"/>
        <v>FALSE</v>
      </c>
      <c r="V1277" s="2" t="b">
        <f t="shared" si="197"/>
        <v>0</v>
      </c>
      <c r="W1277" s="2" t="b">
        <f t="shared" si="198"/>
        <v>0</v>
      </c>
      <c r="X1277" s="2" t="b">
        <f t="shared" si="199"/>
        <v>0</v>
      </c>
    </row>
    <row r="1278" spans="1:24" ht="10.5" customHeight="1">
      <c r="A1278" s="2" t="s">
        <v>1651</v>
      </c>
      <c r="B1278" s="3">
        <v>45899.894814814812</v>
      </c>
      <c r="C1278" s="2" t="s">
        <v>297</v>
      </c>
      <c r="D1278" s="2" t="s">
        <v>64</v>
      </c>
      <c r="E1278" s="2" t="s">
        <v>35</v>
      </c>
      <c r="F1278" s="4">
        <v>13500</v>
      </c>
      <c r="G1278" s="5">
        <v>2.8</v>
      </c>
      <c r="H1278" s="6">
        <v>0</v>
      </c>
      <c r="I1278" s="7">
        <f t="shared" si="190"/>
        <v>37800</v>
      </c>
      <c r="J1278" s="7">
        <f t="shared" si="191"/>
        <v>0</v>
      </c>
      <c r="K1278" s="7">
        <f t="shared" si="192"/>
        <v>37800</v>
      </c>
      <c r="L1278" s="4">
        <v>89000</v>
      </c>
      <c r="M1278" s="7">
        <f t="shared" si="193"/>
        <v>126800</v>
      </c>
      <c r="N1278" s="2" t="s">
        <v>28</v>
      </c>
      <c r="O1278" t="s">
        <v>69</v>
      </c>
      <c r="P1278" s="2" t="s">
        <v>2365</v>
      </c>
      <c r="Q1278" s="2">
        <v>4</v>
      </c>
      <c r="R1278" s="2" t="s">
        <v>23</v>
      </c>
      <c r="S1278" s="2" t="str">
        <f t="shared" si="194"/>
        <v>Standar</v>
      </c>
      <c r="T1278" s="2" t="str">
        <f t="shared" si="195"/>
        <v>FALSE</v>
      </c>
      <c r="U1278" s="2" t="str">
        <f t="shared" si="196"/>
        <v>FALSE</v>
      </c>
      <c r="V1278" s="2" t="b">
        <f t="shared" si="197"/>
        <v>0</v>
      </c>
      <c r="W1278" s="2" t="b">
        <f t="shared" si="198"/>
        <v>0</v>
      </c>
      <c r="X1278" s="2" t="b">
        <f t="shared" si="199"/>
        <v>0</v>
      </c>
    </row>
    <row r="1279" spans="1:24" ht="10.5" customHeight="1">
      <c r="A1279" s="2" t="s">
        <v>1652</v>
      </c>
      <c r="B1279" s="3">
        <v>45900.405706018522</v>
      </c>
      <c r="C1279" s="2" t="s">
        <v>644</v>
      </c>
      <c r="D1279" s="2" t="s">
        <v>365</v>
      </c>
      <c r="E1279" s="2" t="s">
        <v>27</v>
      </c>
      <c r="F1279" s="4">
        <v>15000</v>
      </c>
      <c r="G1279" s="5">
        <v>0.6</v>
      </c>
      <c r="H1279" s="6">
        <v>0</v>
      </c>
      <c r="I1279" s="7">
        <f t="shared" si="190"/>
        <v>9000</v>
      </c>
      <c r="J1279" s="7">
        <f t="shared" si="191"/>
        <v>0</v>
      </c>
      <c r="K1279" s="7">
        <f t="shared" si="192"/>
        <v>9000</v>
      </c>
      <c r="L1279" s="4">
        <v>21000</v>
      </c>
      <c r="M1279" s="7">
        <f t="shared" si="193"/>
        <v>30000</v>
      </c>
      <c r="N1279" s="2" t="s">
        <v>58</v>
      </c>
      <c r="O1279" t="s">
        <v>69</v>
      </c>
      <c r="P1279" s="2" t="s">
        <v>2370</v>
      </c>
      <c r="Q1279" s="2">
        <v>5</v>
      </c>
      <c r="R1279" s="2" t="s">
        <v>23</v>
      </c>
      <c r="S1279" s="2" t="str">
        <f t="shared" si="194"/>
        <v>Sangat Rendah</v>
      </c>
      <c r="T1279" s="2" t="str">
        <f t="shared" si="195"/>
        <v>FALSE</v>
      </c>
      <c r="U1279" s="2" t="str">
        <f t="shared" si="196"/>
        <v>FALSE</v>
      </c>
      <c r="V1279" s="2" t="b">
        <f t="shared" si="197"/>
        <v>0</v>
      </c>
      <c r="W1279" s="2" t="b">
        <f t="shared" si="198"/>
        <v>0</v>
      </c>
      <c r="X1279" s="2" t="b">
        <f t="shared" si="199"/>
        <v>1</v>
      </c>
    </row>
    <row r="1280" spans="1:24" ht="10.5" customHeight="1">
      <c r="A1280" s="2" t="s">
        <v>1653</v>
      </c>
      <c r="B1280" s="3">
        <v>45900.433263888888</v>
      </c>
      <c r="C1280" s="2" t="s">
        <v>469</v>
      </c>
      <c r="D1280" s="2" t="s">
        <v>98</v>
      </c>
      <c r="E1280" s="2" t="s">
        <v>35</v>
      </c>
      <c r="F1280" s="4">
        <v>13500</v>
      </c>
      <c r="G1280" s="5">
        <v>2.1</v>
      </c>
      <c r="H1280" s="6">
        <v>0</v>
      </c>
      <c r="I1280" s="7">
        <f t="shared" si="190"/>
        <v>28350</v>
      </c>
      <c r="J1280" s="7">
        <f t="shared" si="191"/>
        <v>0</v>
      </c>
      <c r="K1280" s="7">
        <f t="shared" si="192"/>
        <v>28350</v>
      </c>
      <c r="L1280" s="4">
        <v>97000</v>
      </c>
      <c r="M1280" s="7">
        <f t="shared" si="193"/>
        <v>125350</v>
      </c>
      <c r="N1280" s="2" t="s">
        <v>21</v>
      </c>
      <c r="O1280" t="s">
        <v>22</v>
      </c>
      <c r="P1280" s="2" t="s">
        <v>2367</v>
      </c>
      <c r="Q1280" s="2">
        <v>2</v>
      </c>
      <c r="R1280" s="2" t="s">
        <v>34</v>
      </c>
      <c r="S1280" s="2" t="str">
        <f t="shared" si="194"/>
        <v>Standar</v>
      </c>
      <c r="T1280" s="2" t="str">
        <f t="shared" si="195"/>
        <v>FALSE</v>
      </c>
      <c r="U1280" s="2" t="str">
        <f t="shared" si="196"/>
        <v>FALSE</v>
      </c>
      <c r="V1280" s="2" t="b">
        <f t="shared" si="197"/>
        <v>0</v>
      </c>
      <c r="W1280" s="2" t="b">
        <f t="shared" si="198"/>
        <v>1</v>
      </c>
      <c r="X1280" s="2" t="b">
        <f t="shared" si="199"/>
        <v>0</v>
      </c>
    </row>
    <row r="1281" spans="1:24" ht="10.5" customHeight="1">
      <c r="A1281" s="2" t="s">
        <v>1654</v>
      </c>
      <c r="B1281" s="3">
        <v>45900.477337962962</v>
      </c>
      <c r="C1281" s="2" t="s">
        <v>285</v>
      </c>
      <c r="D1281" s="2" t="s">
        <v>286</v>
      </c>
      <c r="E1281" s="2" t="s">
        <v>75</v>
      </c>
      <c r="F1281" s="4">
        <v>45000</v>
      </c>
      <c r="G1281" s="5">
        <v>0.8</v>
      </c>
      <c r="H1281" s="6">
        <v>0</v>
      </c>
      <c r="I1281" s="7">
        <f t="shared" si="190"/>
        <v>36000</v>
      </c>
      <c r="J1281" s="7">
        <f t="shared" si="191"/>
        <v>0</v>
      </c>
      <c r="K1281" s="7">
        <f t="shared" si="192"/>
        <v>36000</v>
      </c>
      <c r="L1281" s="4">
        <v>79000</v>
      </c>
      <c r="M1281" s="7">
        <f t="shared" si="193"/>
        <v>115000</v>
      </c>
      <c r="N1281" s="2" t="s">
        <v>58</v>
      </c>
      <c r="O1281" t="s">
        <v>22</v>
      </c>
      <c r="P1281" s="2" t="s">
        <v>2367</v>
      </c>
      <c r="Q1281" s="2">
        <v>4</v>
      </c>
      <c r="R1281" s="2" t="s">
        <v>23</v>
      </c>
      <c r="S1281" s="2" t="str">
        <f t="shared" si="194"/>
        <v>Standar</v>
      </c>
      <c r="T1281" s="2" t="str">
        <f t="shared" si="195"/>
        <v>FALSE</v>
      </c>
      <c r="U1281" s="2" t="str">
        <f t="shared" si="196"/>
        <v>FALSE</v>
      </c>
      <c r="V1281" s="2" t="b">
        <f t="shared" si="197"/>
        <v>0</v>
      </c>
      <c r="W1281" s="2" t="b">
        <f t="shared" si="198"/>
        <v>1</v>
      </c>
      <c r="X1281" s="2" t="b">
        <f t="shared" si="199"/>
        <v>0</v>
      </c>
    </row>
    <row r="1282" spans="1:24" ht="10.5" customHeight="1">
      <c r="A1282" s="2" t="s">
        <v>1654</v>
      </c>
      <c r="B1282" s="3">
        <v>45900.477337962962</v>
      </c>
      <c r="C1282" s="2" t="s">
        <v>285</v>
      </c>
      <c r="D1282" s="2" t="s">
        <v>286</v>
      </c>
      <c r="E1282" s="2" t="s">
        <v>41</v>
      </c>
      <c r="F1282" s="4">
        <v>40000</v>
      </c>
      <c r="G1282" s="5">
        <v>0.9</v>
      </c>
      <c r="H1282" s="6">
        <v>0</v>
      </c>
      <c r="I1282" s="7">
        <f t="shared" si="190"/>
        <v>36000</v>
      </c>
      <c r="J1282" s="7">
        <f t="shared" si="191"/>
        <v>0</v>
      </c>
      <c r="K1282" s="7">
        <f t="shared" si="192"/>
        <v>36000</v>
      </c>
      <c r="L1282" s="4">
        <v>0</v>
      </c>
      <c r="M1282" s="7">
        <f t="shared" si="193"/>
        <v>36000</v>
      </c>
      <c r="N1282" s="2" t="s">
        <v>58</v>
      </c>
      <c r="O1282" t="s">
        <v>22</v>
      </c>
      <c r="P1282" s="2" t="s">
        <v>2367</v>
      </c>
      <c r="Q1282" s="2">
        <v>4</v>
      </c>
      <c r="R1282" s="2" t="s">
        <v>23</v>
      </c>
      <c r="S1282" s="2" t="str">
        <f t="shared" si="194"/>
        <v>Sangat Rendah</v>
      </c>
      <c r="T1282" s="2" t="str">
        <f t="shared" si="195"/>
        <v>FALSE</v>
      </c>
      <c r="U1282" s="2" t="str">
        <f t="shared" si="196"/>
        <v>FALSE</v>
      </c>
      <c r="V1282" s="2" t="b">
        <f t="shared" si="197"/>
        <v>0</v>
      </c>
      <c r="W1282" s="2" t="b">
        <f t="shared" si="198"/>
        <v>1</v>
      </c>
      <c r="X1282" s="2" t="b">
        <f t="shared" si="199"/>
        <v>1</v>
      </c>
    </row>
    <row r="1283" spans="1:24" ht="10.5" customHeight="1">
      <c r="A1283" s="2" t="s">
        <v>1655</v>
      </c>
      <c r="B1283" s="3">
        <v>45900.503877314812</v>
      </c>
      <c r="C1283" s="2" t="s">
        <v>1656</v>
      </c>
      <c r="D1283" s="2" t="s">
        <v>286</v>
      </c>
      <c r="E1283" s="2" t="s">
        <v>57</v>
      </c>
      <c r="F1283" s="4">
        <v>17500</v>
      </c>
      <c r="G1283" s="5">
        <v>2.5</v>
      </c>
      <c r="H1283" s="6">
        <v>0</v>
      </c>
      <c r="I1283" s="7">
        <f t="shared" si="190"/>
        <v>43750</v>
      </c>
      <c r="J1283" s="7">
        <f t="shared" si="191"/>
        <v>0</v>
      </c>
      <c r="K1283" s="7">
        <f t="shared" si="192"/>
        <v>43750</v>
      </c>
      <c r="L1283" s="4">
        <v>79000</v>
      </c>
      <c r="M1283" s="7">
        <f t="shared" si="193"/>
        <v>122750</v>
      </c>
      <c r="N1283" s="2" t="s">
        <v>58</v>
      </c>
      <c r="O1283" t="s">
        <v>22</v>
      </c>
      <c r="P1283" s="2" t="s">
        <v>2368</v>
      </c>
      <c r="Q1283" s="2">
        <v>2</v>
      </c>
      <c r="R1283" s="2" t="s">
        <v>34</v>
      </c>
      <c r="S1283" s="2" t="str">
        <f t="shared" si="194"/>
        <v>Standar</v>
      </c>
      <c r="T1283" s="2" t="str">
        <f t="shared" si="195"/>
        <v>FALSE</v>
      </c>
      <c r="U1283" s="2" t="str">
        <f t="shared" si="196"/>
        <v>FALSE</v>
      </c>
      <c r="V1283" s="2" t="b">
        <f t="shared" si="197"/>
        <v>0</v>
      </c>
      <c r="W1283" s="2" t="b">
        <f t="shared" si="198"/>
        <v>0</v>
      </c>
      <c r="X1283" s="2" t="b">
        <f t="shared" si="199"/>
        <v>0</v>
      </c>
    </row>
    <row r="1284" spans="1:24" ht="10.5" customHeight="1">
      <c r="A1284" s="2" t="s">
        <v>1657</v>
      </c>
      <c r="B1284" s="3">
        <v>45900.562476851846</v>
      </c>
      <c r="C1284" s="2" t="s">
        <v>1356</v>
      </c>
      <c r="D1284" s="2" t="s">
        <v>118</v>
      </c>
      <c r="E1284" s="2" t="s">
        <v>80</v>
      </c>
      <c r="F1284" s="4">
        <v>15000</v>
      </c>
      <c r="G1284" s="5">
        <v>2.8</v>
      </c>
      <c r="H1284" s="6">
        <v>0</v>
      </c>
      <c r="I1284" s="7">
        <f t="shared" ref="I1284:I1347" si="200">F1284*G1284</f>
        <v>42000</v>
      </c>
      <c r="J1284" s="7">
        <f t="shared" ref="J1284:J1347" si="201">I1284*(H1284/100)</f>
        <v>0</v>
      </c>
      <c r="K1284" s="7">
        <f t="shared" ref="K1284:K1347" si="202">I1284-J1284</f>
        <v>42000</v>
      </c>
      <c r="L1284" s="4">
        <v>84000</v>
      </c>
      <c r="M1284" s="7">
        <f t="shared" ref="M1284:M1347" si="203">K1284+L1284</f>
        <v>126000</v>
      </c>
      <c r="N1284" s="2" t="s">
        <v>28</v>
      </c>
      <c r="O1284" t="s">
        <v>22</v>
      </c>
      <c r="P1284" s="2" t="s">
        <v>2366</v>
      </c>
      <c r="Q1284" s="2">
        <v>4</v>
      </c>
      <c r="R1284" s="2" t="s">
        <v>23</v>
      </c>
      <c r="S1284" s="2" t="str">
        <f t="shared" ref="S1284:S1347" si="204">IF(M1284&lt;=50000,"Sangat Rendah",IF(M1284&lt;=100000,"Rendah",IF(M1284&lt;=150000,"Standar",IF(M1284&lt;=200000,"Tinggi","Sangat Tinggi"))))</f>
        <v>Standar</v>
      </c>
      <c r="T1284" s="2" t="str">
        <f t="shared" ref="T1284:T1347" si="205">IF(AND(S1284="Rendah",D1284="Yogyakarta"),"TRUE","FALSE")</f>
        <v>FALSE</v>
      </c>
      <c r="U1284" s="2" t="str">
        <f t="shared" ref="U1284:U1347" si="206">IF(OR(S1284="Tinggi",E1284="Bayam"),"TRUE","FALSE")</f>
        <v>FALSE</v>
      </c>
      <c r="V1284" s="2" t="b">
        <f t="shared" ref="V1284:V1347" si="207">IF(AND(S1284="Standar",N1284="Transef Bank"),TRUE,FALSE)</f>
        <v>0</v>
      </c>
      <c r="W1284" s="2" t="b">
        <f t="shared" ref="W1284:W1347" si="208">IF(OR(S1284="Sangat Tinggi",P1284="FoodMart"),TRUE,FALSE)</f>
        <v>0</v>
      </c>
      <c r="X1284" s="2" t="b">
        <f t="shared" ref="X1284:X1347" si="209">IF(AND(S1284="Sangat Rendah",R1284="Perempuan"),TRUE,FALSE)</f>
        <v>0</v>
      </c>
    </row>
    <row r="1285" spans="1:24" ht="10.5" customHeight="1">
      <c r="A1285" s="2" t="s">
        <v>1658</v>
      </c>
      <c r="B1285" s="3">
        <v>45900.664155092592</v>
      </c>
      <c r="C1285" s="2" t="s">
        <v>436</v>
      </c>
      <c r="D1285" s="2" t="s">
        <v>286</v>
      </c>
      <c r="E1285" s="2" t="s">
        <v>32</v>
      </c>
      <c r="F1285" s="4">
        <v>20000</v>
      </c>
      <c r="G1285" s="5">
        <v>1.8</v>
      </c>
      <c r="H1285" s="6">
        <v>0</v>
      </c>
      <c r="I1285" s="7">
        <f t="shared" si="200"/>
        <v>36000</v>
      </c>
      <c r="J1285" s="7">
        <f t="shared" si="201"/>
        <v>0</v>
      </c>
      <c r="K1285" s="7">
        <f t="shared" si="202"/>
        <v>36000</v>
      </c>
      <c r="L1285" s="4">
        <v>79000</v>
      </c>
      <c r="M1285" s="7">
        <f t="shared" si="203"/>
        <v>115000</v>
      </c>
      <c r="N1285" s="2" t="s">
        <v>28</v>
      </c>
      <c r="O1285" t="s">
        <v>22</v>
      </c>
      <c r="P1285" s="2" t="s">
        <v>2366</v>
      </c>
      <c r="Q1285" s="2">
        <v>3</v>
      </c>
      <c r="R1285" s="2" t="s">
        <v>34</v>
      </c>
      <c r="S1285" s="2" t="str">
        <f t="shared" si="204"/>
        <v>Standar</v>
      </c>
      <c r="T1285" s="2" t="str">
        <f t="shared" si="205"/>
        <v>FALSE</v>
      </c>
      <c r="U1285" s="2" t="str">
        <f t="shared" si="206"/>
        <v>FALSE</v>
      </c>
      <c r="V1285" s="2" t="b">
        <f t="shared" si="207"/>
        <v>0</v>
      </c>
      <c r="W1285" s="2" t="b">
        <f t="shared" si="208"/>
        <v>0</v>
      </c>
      <c r="X1285" s="2" t="b">
        <f t="shared" si="209"/>
        <v>0</v>
      </c>
    </row>
    <row r="1286" spans="1:24" ht="10.5" customHeight="1">
      <c r="A1286" s="2" t="s">
        <v>1659</v>
      </c>
      <c r="B1286" s="3">
        <v>45900.684502314813</v>
      </c>
      <c r="C1286" s="2" t="s">
        <v>515</v>
      </c>
      <c r="D1286" s="2" t="s">
        <v>87</v>
      </c>
      <c r="E1286" s="2" t="s">
        <v>75</v>
      </c>
      <c r="F1286" s="4">
        <v>45000</v>
      </c>
      <c r="G1286" s="5">
        <v>0.5</v>
      </c>
      <c r="H1286" s="6">
        <v>0</v>
      </c>
      <c r="I1286" s="7">
        <f t="shared" si="200"/>
        <v>22500</v>
      </c>
      <c r="J1286" s="7">
        <f t="shared" si="201"/>
        <v>0</v>
      </c>
      <c r="K1286" s="7">
        <f t="shared" si="202"/>
        <v>22500</v>
      </c>
      <c r="L1286" s="4">
        <v>49000</v>
      </c>
      <c r="M1286" s="7">
        <f t="shared" si="203"/>
        <v>71500</v>
      </c>
      <c r="N1286" s="2" t="s">
        <v>21</v>
      </c>
      <c r="O1286" t="s">
        <v>22</v>
      </c>
      <c r="P1286" s="2" t="s">
        <v>2365</v>
      </c>
      <c r="Q1286" s="2">
        <v>4</v>
      </c>
      <c r="R1286" s="2" t="s">
        <v>23</v>
      </c>
      <c r="S1286" s="2" t="str">
        <f t="shared" si="204"/>
        <v>Rendah</v>
      </c>
      <c r="T1286" s="2" t="str">
        <f t="shared" si="205"/>
        <v>FALSE</v>
      </c>
      <c r="U1286" s="2" t="str">
        <f t="shared" si="206"/>
        <v>FALSE</v>
      </c>
      <c r="V1286" s="2" t="b">
        <f t="shared" si="207"/>
        <v>0</v>
      </c>
      <c r="W1286" s="2" t="b">
        <f t="shared" si="208"/>
        <v>0</v>
      </c>
      <c r="X1286" s="2" t="b">
        <f t="shared" si="209"/>
        <v>0</v>
      </c>
    </row>
    <row r="1287" spans="1:24" ht="10.5" customHeight="1">
      <c r="A1287" s="2" t="s">
        <v>1660</v>
      </c>
      <c r="B1287" s="3">
        <v>45900.701782407406</v>
      </c>
      <c r="C1287" s="2" t="s">
        <v>377</v>
      </c>
      <c r="D1287" s="2" t="s">
        <v>44</v>
      </c>
      <c r="E1287" s="2" t="s">
        <v>182</v>
      </c>
      <c r="F1287" s="4">
        <v>11000</v>
      </c>
      <c r="G1287" s="5">
        <v>0.9</v>
      </c>
      <c r="H1287" s="6">
        <v>0</v>
      </c>
      <c r="I1287" s="7">
        <f t="shared" si="200"/>
        <v>9900</v>
      </c>
      <c r="J1287" s="7">
        <f t="shared" si="201"/>
        <v>0</v>
      </c>
      <c r="K1287" s="7">
        <f t="shared" si="202"/>
        <v>9900</v>
      </c>
      <c r="L1287" s="4">
        <v>43000</v>
      </c>
      <c r="M1287" s="7">
        <f t="shared" si="203"/>
        <v>52900</v>
      </c>
      <c r="N1287" s="2" t="s">
        <v>33</v>
      </c>
      <c r="O1287" t="s">
        <v>115</v>
      </c>
      <c r="P1287" s="2" t="s">
        <v>2366</v>
      </c>
      <c r="Q1287" s="2">
        <v>5</v>
      </c>
      <c r="R1287" s="2" t="s">
        <v>34</v>
      </c>
      <c r="S1287" s="2" t="str">
        <f t="shared" si="204"/>
        <v>Rendah</v>
      </c>
      <c r="T1287" s="2" t="str">
        <f t="shared" si="205"/>
        <v>FALSE</v>
      </c>
      <c r="U1287" s="2" t="str">
        <f t="shared" si="206"/>
        <v>FALSE</v>
      </c>
      <c r="V1287" s="2" t="b">
        <f t="shared" si="207"/>
        <v>0</v>
      </c>
      <c r="W1287" s="2" t="b">
        <f t="shared" si="208"/>
        <v>0</v>
      </c>
      <c r="X1287" s="2" t="b">
        <f t="shared" si="209"/>
        <v>0</v>
      </c>
    </row>
    <row r="1288" spans="1:24" ht="10.5" customHeight="1">
      <c r="A1288" s="2" t="s">
        <v>1661</v>
      </c>
      <c r="B1288" s="3">
        <v>45900.763460648152</v>
      </c>
      <c r="C1288" s="2" t="s">
        <v>1313</v>
      </c>
      <c r="D1288" s="2" t="s">
        <v>68</v>
      </c>
      <c r="E1288" s="2" t="s">
        <v>65</v>
      </c>
      <c r="F1288" s="4">
        <v>46000</v>
      </c>
      <c r="G1288" s="5">
        <v>1</v>
      </c>
      <c r="H1288" s="6">
        <v>0</v>
      </c>
      <c r="I1288" s="7">
        <f t="shared" si="200"/>
        <v>46000</v>
      </c>
      <c r="J1288" s="7">
        <f t="shared" si="201"/>
        <v>0</v>
      </c>
      <c r="K1288" s="7">
        <f t="shared" si="202"/>
        <v>46000</v>
      </c>
      <c r="L1288" s="4">
        <v>87000</v>
      </c>
      <c r="M1288" s="7">
        <f t="shared" si="203"/>
        <v>133000</v>
      </c>
      <c r="N1288" s="2" t="s">
        <v>21</v>
      </c>
      <c r="O1288" t="s">
        <v>22</v>
      </c>
      <c r="P1288" s="2" t="s">
        <v>2368</v>
      </c>
      <c r="Q1288" s="2">
        <v>3</v>
      </c>
      <c r="R1288" s="2" t="s">
        <v>23</v>
      </c>
      <c r="S1288" s="2" t="str">
        <f t="shared" si="204"/>
        <v>Standar</v>
      </c>
      <c r="T1288" s="2" t="str">
        <f t="shared" si="205"/>
        <v>FALSE</v>
      </c>
      <c r="U1288" s="2" t="str">
        <f t="shared" si="206"/>
        <v>FALSE</v>
      </c>
      <c r="V1288" s="2" t="b">
        <f t="shared" si="207"/>
        <v>0</v>
      </c>
      <c r="W1288" s="2" t="b">
        <f t="shared" si="208"/>
        <v>0</v>
      </c>
      <c r="X1288" s="2" t="b">
        <f t="shared" si="209"/>
        <v>0</v>
      </c>
    </row>
    <row r="1289" spans="1:24" ht="10.5" customHeight="1">
      <c r="A1289" s="2" t="s">
        <v>1662</v>
      </c>
      <c r="B1289" s="3">
        <v>45900.952800925923</v>
      </c>
      <c r="C1289" s="2" t="s">
        <v>566</v>
      </c>
      <c r="D1289" s="2" t="s">
        <v>52</v>
      </c>
      <c r="E1289" s="2" t="s">
        <v>41</v>
      </c>
      <c r="F1289" s="4">
        <v>40000</v>
      </c>
      <c r="G1289" s="5">
        <v>1</v>
      </c>
      <c r="H1289" s="6">
        <v>0</v>
      </c>
      <c r="I1289" s="7">
        <f t="shared" si="200"/>
        <v>40000</v>
      </c>
      <c r="J1289" s="7">
        <f t="shared" si="201"/>
        <v>0</v>
      </c>
      <c r="K1289" s="7">
        <f t="shared" si="202"/>
        <v>40000</v>
      </c>
      <c r="L1289" s="4">
        <v>80000</v>
      </c>
      <c r="M1289" s="7">
        <f t="shared" si="203"/>
        <v>120000</v>
      </c>
      <c r="N1289" s="2" t="s">
        <v>58</v>
      </c>
      <c r="O1289" t="s">
        <v>22</v>
      </c>
      <c r="P1289" s="2" t="s">
        <v>2365</v>
      </c>
      <c r="Q1289" s="2">
        <v>5</v>
      </c>
      <c r="R1289" s="2" t="s">
        <v>34</v>
      </c>
      <c r="S1289" s="2" t="str">
        <f t="shared" si="204"/>
        <v>Standar</v>
      </c>
      <c r="T1289" s="2" t="str">
        <f t="shared" si="205"/>
        <v>FALSE</v>
      </c>
      <c r="U1289" s="2" t="str">
        <f t="shared" si="206"/>
        <v>FALSE</v>
      </c>
      <c r="V1289" s="2" t="b">
        <f t="shared" si="207"/>
        <v>0</v>
      </c>
      <c r="W1289" s="2" t="b">
        <f t="shared" si="208"/>
        <v>0</v>
      </c>
      <c r="X1289" s="2" t="b">
        <f t="shared" si="209"/>
        <v>0</v>
      </c>
    </row>
    <row r="1290" spans="1:24" ht="10.5" customHeight="1">
      <c r="A1290" s="2" t="s">
        <v>1663</v>
      </c>
      <c r="B1290" s="3">
        <v>45901.19159722222</v>
      </c>
      <c r="C1290" s="2" t="s">
        <v>120</v>
      </c>
      <c r="D1290" s="2" t="s">
        <v>94</v>
      </c>
      <c r="E1290" s="2" t="s">
        <v>49</v>
      </c>
      <c r="F1290" s="4">
        <v>26000</v>
      </c>
      <c r="G1290" s="5">
        <v>0.4</v>
      </c>
      <c r="H1290" s="6">
        <v>0</v>
      </c>
      <c r="I1290" s="7">
        <f t="shared" si="200"/>
        <v>10400</v>
      </c>
      <c r="J1290" s="7">
        <f t="shared" si="201"/>
        <v>0</v>
      </c>
      <c r="K1290" s="7">
        <f t="shared" si="202"/>
        <v>10400</v>
      </c>
      <c r="L1290" s="4">
        <v>85000</v>
      </c>
      <c r="M1290" s="7">
        <f t="shared" si="203"/>
        <v>95400</v>
      </c>
      <c r="N1290" s="2" t="s">
        <v>33</v>
      </c>
      <c r="O1290" t="s">
        <v>22</v>
      </c>
      <c r="P1290" s="2" t="s">
        <v>2368</v>
      </c>
      <c r="Q1290" s="2">
        <v>3</v>
      </c>
      <c r="R1290" s="2" t="s">
        <v>34</v>
      </c>
      <c r="S1290" s="2" t="str">
        <f t="shared" si="204"/>
        <v>Rendah</v>
      </c>
      <c r="T1290" s="2" t="str">
        <f t="shared" si="205"/>
        <v>FALSE</v>
      </c>
      <c r="U1290" s="2" t="str">
        <f t="shared" si="206"/>
        <v>FALSE</v>
      </c>
      <c r="V1290" s="2" t="b">
        <f t="shared" si="207"/>
        <v>0</v>
      </c>
      <c r="W1290" s="2" t="b">
        <f t="shared" si="208"/>
        <v>0</v>
      </c>
      <c r="X1290" s="2" t="b">
        <f t="shared" si="209"/>
        <v>0</v>
      </c>
    </row>
    <row r="1291" spans="1:24" ht="10.5" customHeight="1">
      <c r="A1291" s="2" t="s">
        <v>1664</v>
      </c>
      <c r="B1291" s="3">
        <v>45901.554189814808</v>
      </c>
      <c r="C1291" s="2" t="s">
        <v>181</v>
      </c>
      <c r="D1291" s="2" t="s">
        <v>98</v>
      </c>
      <c r="E1291" s="2" t="s">
        <v>49</v>
      </c>
      <c r="F1291" s="4">
        <v>26000</v>
      </c>
      <c r="G1291" s="5">
        <v>2.2000000000000002</v>
      </c>
      <c r="H1291" s="6">
        <v>0</v>
      </c>
      <c r="I1291" s="7">
        <f t="shared" si="200"/>
        <v>57200.000000000007</v>
      </c>
      <c r="J1291" s="7">
        <f t="shared" si="201"/>
        <v>0</v>
      </c>
      <c r="K1291" s="7">
        <f t="shared" si="202"/>
        <v>57200.000000000007</v>
      </c>
      <c r="L1291" s="4">
        <v>97000</v>
      </c>
      <c r="M1291" s="7">
        <f t="shared" si="203"/>
        <v>154200</v>
      </c>
      <c r="N1291" s="2" t="s">
        <v>58</v>
      </c>
      <c r="O1291" t="s">
        <v>22</v>
      </c>
      <c r="P1291" s="2" t="s">
        <v>2365</v>
      </c>
      <c r="Q1291" s="2">
        <v>3</v>
      </c>
      <c r="R1291" s="2" t="s">
        <v>23</v>
      </c>
      <c r="S1291" s="2" t="str">
        <f t="shared" si="204"/>
        <v>Tinggi</v>
      </c>
      <c r="T1291" s="2" t="str">
        <f t="shared" si="205"/>
        <v>FALSE</v>
      </c>
      <c r="U1291" s="2" t="str">
        <f t="shared" si="206"/>
        <v>TRUE</v>
      </c>
      <c r="V1291" s="2" t="b">
        <f t="shared" si="207"/>
        <v>0</v>
      </c>
      <c r="W1291" s="2" t="b">
        <f t="shared" si="208"/>
        <v>0</v>
      </c>
      <c r="X1291" s="2" t="b">
        <f t="shared" si="209"/>
        <v>0</v>
      </c>
    </row>
    <row r="1292" spans="1:24" ht="10.5" customHeight="1">
      <c r="A1292" s="2" t="s">
        <v>1665</v>
      </c>
      <c r="B1292" s="3">
        <v>45902.336111111108</v>
      </c>
      <c r="C1292" s="2" t="s">
        <v>579</v>
      </c>
      <c r="D1292" s="2" t="s">
        <v>252</v>
      </c>
      <c r="E1292" s="2" t="s">
        <v>161</v>
      </c>
      <c r="F1292" s="4">
        <v>115000</v>
      </c>
      <c r="G1292" s="5">
        <v>1.4</v>
      </c>
      <c r="H1292" s="6">
        <v>0</v>
      </c>
      <c r="I1292" s="7">
        <f t="shared" si="200"/>
        <v>161000</v>
      </c>
      <c r="J1292" s="7">
        <f t="shared" si="201"/>
        <v>0</v>
      </c>
      <c r="K1292" s="7">
        <f t="shared" si="202"/>
        <v>161000</v>
      </c>
      <c r="L1292" s="4">
        <v>18000</v>
      </c>
      <c r="M1292" s="7">
        <f t="shared" si="203"/>
        <v>179000</v>
      </c>
      <c r="N1292" s="2" t="s">
        <v>21</v>
      </c>
      <c r="O1292" t="s">
        <v>22</v>
      </c>
      <c r="P1292" s="2" t="s">
        <v>2367</v>
      </c>
      <c r="Q1292" s="2">
        <v>3</v>
      </c>
      <c r="R1292" s="2" t="s">
        <v>34</v>
      </c>
      <c r="S1292" s="2" t="str">
        <f t="shared" si="204"/>
        <v>Tinggi</v>
      </c>
      <c r="T1292" s="2" t="str">
        <f t="shared" si="205"/>
        <v>FALSE</v>
      </c>
      <c r="U1292" s="2" t="str">
        <f t="shared" si="206"/>
        <v>TRUE</v>
      </c>
      <c r="V1292" s="2" t="b">
        <f t="shared" si="207"/>
        <v>0</v>
      </c>
      <c r="W1292" s="2" t="b">
        <f t="shared" si="208"/>
        <v>1</v>
      </c>
      <c r="X1292" s="2" t="b">
        <f t="shared" si="209"/>
        <v>0</v>
      </c>
    </row>
    <row r="1293" spans="1:24" ht="10.5" customHeight="1">
      <c r="A1293" s="2" t="s">
        <v>1666</v>
      </c>
      <c r="B1293" s="3">
        <v>45902.698101851849</v>
      </c>
      <c r="C1293" s="2" t="s">
        <v>841</v>
      </c>
      <c r="D1293" s="2" t="s">
        <v>61</v>
      </c>
      <c r="E1293" s="2" t="s">
        <v>41</v>
      </c>
      <c r="F1293" s="4">
        <v>40000</v>
      </c>
      <c r="G1293" s="5">
        <v>0.8</v>
      </c>
      <c r="H1293" s="6">
        <v>0</v>
      </c>
      <c r="I1293" s="7">
        <f t="shared" si="200"/>
        <v>32000</v>
      </c>
      <c r="J1293" s="7">
        <f t="shared" si="201"/>
        <v>0</v>
      </c>
      <c r="K1293" s="7">
        <f t="shared" si="202"/>
        <v>32000</v>
      </c>
      <c r="L1293" s="4">
        <v>59000</v>
      </c>
      <c r="M1293" s="7">
        <f t="shared" si="203"/>
        <v>91000</v>
      </c>
      <c r="N1293" s="2" t="s">
        <v>28</v>
      </c>
      <c r="O1293" t="s">
        <v>22</v>
      </c>
      <c r="P1293" s="2" t="s">
        <v>2368</v>
      </c>
      <c r="Q1293" s="2">
        <v>4</v>
      </c>
      <c r="R1293" s="2" t="s">
        <v>34</v>
      </c>
      <c r="S1293" s="2" t="str">
        <f t="shared" si="204"/>
        <v>Rendah</v>
      </c>
      <c r="T1293" s="2" t="str">
        <f t="shared" si="205"/>
        <v>FALSE</v>
      </c>
      <c r="U1293" s="2" t="str">
        <f t="shared" si="206"/>
        <v>FALSE</v>
      </c>
      <c r="V1293" s="2" t="b">
        <f t="shared" si="207"/>
        <v>0</v>
      </c>
      <c r="W1293" s="2" t="b">
        <f t="shared" si="208"/>
        <v>0</v>
      </c>
      <c r="X1293" s="2" t="b">
        <f t="shared" si="209"/>
        <v>0</v>
      </c>
    </row>
    <row r="1294" spans="1:24" ht="10.5" customHeight="1">
      <c r="A1294" s="2" t="s">
        <v>1667</v>
      </c>
      <c r="B1294" s="3">
        <v>45903.060243055559</v>
      </c>
      <c r="C1294" s="2" t="s">
        <v>18</v>
      </c>
      <c r="D1294" s="2" t="s">
        <v>19</v>
      </c>
      <c r="E1294" s="2" t="s">
        <v>65</v>
      </c>
      <c r="F1294" s="4">
        <v>46000</v>
      </c>
      <c r="G1294" s="5">
        <v>1.5</v>
      </c>
      <c r="H1294" s="6">
        <v>0</v>
      </c>
      <c r="I1294" s="7">
        <f t="shared" si="200"/>
        <v>69000</v>
      </c>
      <c r="J1294" s="7">
        <f t="shared" si="201"/>
        <v>0</v>
      </c>
      <c r="K1294" s="7">
        <f t="shared" si="202"/>
        <v>69000</v>
      </c>
      <c r="L1294" s="4">
        <v>15000</v>
      </c>
      <c r="M1294" s="7">
        <f t="shared" si="203"/>
        <v>84000</v>
      </c>
      <c r="N1294" s="2" t="s">
        <v>33</v>
      </c>
      <c r="O1294" t="s">
        <v>22</v>
      </c>
      <c r="P1294" s="2" t="s">
        <v>2368</v>
      </c>
      <c r="Q1294" s="2">
        <v>2</v>
      </c>
      <c r="R1294" s="2" t="s">
        <v>23</v>
      </c>
      <c r="S1294" s="2" t="str">
        <f t="shared" si="204"/>
        <v>Rendah</v>
      </c>
      <c r="T1294" s="2" t="str">
        <f t="shared" si="205"/>
        <v>FALSE</v>
      </c>
      <c r="U1294" s="2" t="str">
        <f t="shared" si="206"/>
        <v>FALSE</v>
      </c>
      <c r="V1294" s="2" t="b">
        <f t="shared" si="207"/>
        <v>0</v>
      </c>
      <c r="W1294" s="2" t="b">
        <f t="shared" si="208"/>
        <v>0</v>
      </c>
      <c r="X1294" s="2" t="b">
        <f t="shared" si="209"/>
        <v>0</v>
      </c>
    </row>
    <row r="1295" spans="1:24" ht="10.5" customHeight="1">
      <c r="A1295" s="2" t="s">
        <v>1667</v>
      </c>
      <c r="B1295" s="3">
        <v>45903.060243055559</v>
      </c>
      <c r="C1295" s="2" t="s">
        <v>18</v>
      </c>
      <c r="D1295" s="2" t="s">
        <v>19</v>
      </c>
      <c r="E1295" s="2" t="s">
        <v>27</v>
      </c>
      <c r="F1295" s="4">
        <v>15000</v>
      </c>
      <c r="G1295" s="5">
        <v>0.7</v>
      </c>
      <c r="H1295" s="6">
        <v>0</v>
      </c>
      <c r="I1295" s="7">
        <f t="shared" si="200"/>
        <v>10500</v>
      </c>
      <c r="J1295" s="7">
        <f t="shared" si="201"/>
        <v>0</v>
      </c>
      <c r="K1295" s="7">
        <f t="shared" si="202"/>
        <v>10500</v>
      </c>
      <c r="L1295" s="4">
        <v>0</v>
      </c>
      <c r="M1295" s="7">
        <f t="shared" si="203"/>
        <v>10500</v>
      </c>
      <c r="N1295" s="2" t="s">
        <v>33</v>
      </c>
      <c r="O1295" t="s">
        <v>22</v>
      </c>
      <c r="P1295" s="2" t="s">
        <v>2368</v>
      </c>
      <c r="Q1295" s="2">
        <v>2</v>
      </c>
      <c r="R1295" s="2" t="s">
        <v>23</v>
      </c>
      <c r="S1295" s="2" t="str">
        <f t="shared" si="204"/>
        <v>Sangat Rendah</v>
      </c>
      <c r="T1295" s="2" t="str">
        <f t="shared" si="205"/>
        <v>FALSE</v>
      </c>
      <c r="U1295" s="2" t="str">
        <f t="shared" si="206"/>
        <v>FALSE</v>
      </c>
      <c r="V1295" s="2" t="b">
        <f t="shared" si="207"/>
        <v>0</v>
      </c>
      <c r="W1295" s="2" t="b">
        <f t="shared" si="208"/>
        <v>0</v>
      </c>
      <c r="X1295" s="2" t="b">
        <f t="shared" si="209"/>
        <v>1</v>
      </c>
    </row>
    <row r="1296" spans="1:24" ht="10.5" customHeight="1">
      <c r="A1296" s="2" t="s">
        <v>1668</v>
      </c>
      <c r="B1296" s="3">
        <v>45903.709548611107</v>
      </c>
      <c r="C1296" s="2" t="s">
        <v>794</v>
      </c>
      <c r="D1296" s="2" t="s">
        <v>44</v>
      </c>
      <c r="E1296" s="2" t="s">
        <v>102</v>
      </c>
      <c r="F1296" s="4">
        <v>55000</v>
      </c>
      <c r="G1296" s="5">
        <v>0.4</v>
      </c>
      <c r="H1296" s="6">
        <v>0</v>
      </c>
      <c r="I1296" s="7">
        <f t="shared" si="200"/>
        <v>22000</v>
      </c>
      <c r="J1296" s="7">
        <f t="shared" si="201"/>
        <v>0</v>
      </c>
      <c r="K1296" s="7">
        <f t="shared" si="202"/>
        <v>22000</v>
      </c>
      <c r="L1296" s="4">
        <v>43000</v>
      </c>
      <c r="M1296" s="7">
        <f t="shared" si="203"/>
        <v>65000</v>
      </c>
      <c r="N1296" s="2" t="s">
        <v>58</v>
      </c>
      <c r="O1296" t="s">
        <v>22</v>
      </c>
      <c r="P1296" s="2" t="s">
        <v>2366</v>
      </c>
      <c r="Q1296" s="2">
        <v>3</v>
      </c>
      <c r="R1296" s="2" t="s">
        <v>23</v>
      </c>
      <c r="S1296" s="2" t="str">
        <f t="shared" si="204"/>
        <v>Rendah</v>
      </c>
      <c r="T1296" s="2" t="str">
        <f t="shared" si="205"/>
        <v>FALSE</v>
      </c>
      <c r="U1296" s="2" t="str">
        <f t="shared" si="206"/>
        <v>FALSE</v>
      </c>
      <c r="V1296" s="2" t="b">
        <f t="shared" si="207"/>
        <v>0</v>
      </c>
      <c r="W1296" s="2" t="b">
        <f t="shared" si="208"/>
        <v>0</v>
      </c>
      <c r="X1296" s="2" t="b">
        <f t="shared" si="209"/>
        <v>0</v>
      </c>
    </row>
    <row r="1297" spans="1:24" ht="10.5" customHeight="1">
      <c r="A1297" s="2" t="s">
        <v>1669</v>
      </c>
      <c r="B1297" s="3">
        <v>45904.547685185193</v>
      </c>
      <c r="C1297" s="2" t="s">
        <v>244</v>
      </c>
      <c r="D1297" s="2" t="s">
        <v>56</v>
      </c>
      <c r="E1297" s="2" t="s">
        <v>102</v>
      </c>
      <c r="F1297" s="4">
        <v>55000</v>
      </c>
      <c r="G1297" s="5">
        <v>0.5</v>
      </c>
      <c r="H1297" s="6">
        <v>0</v>
      </c>
      <c r="I1297" s="7">
        <f t="shared" si="200"/>
        <v>27500</v>
      </c>
      <c r="J1297" s="7">
        <f t="shared" si="201"/>
        <v>0</v>
      </c>
      <c r="K1297" s="7">
        <f t="shared" si="202"/>
        <v>27500</v>
      </c>
      <c r="L1297" s="4">
        <v>26000</v>
      </c>
      <c r="M1297" s="7">
        <f t="shared" si="203"/>
        <v>53500</v>
      </c>
      <c r="N1297" s="2" t="s">
        <v>28</v>
      </c>
      <c r="O1297" t="s">
        <v>22</v>
      </c>
      <c r="P1297" s="2" t="s">
        <v>2368</v>
      </c>
      <c r="Q1297" s="2">
        <v>4</v>
      </c>
      <c r="R1297" s="2" t="s">
        <v>23</v>
      </c>
      <c r="S1297" s="2" t="str">
        <f t="shared" si="204"/>
        <v>Rendah</v>
      </c>
      <c r="T1297" s="2" t="str">
        <f t="shared" si="205"/>
        <v>FALSE</v>
      </c>
      <c r="U1297" s="2" t="str">
        <f t="shared" si="206"/>
        <v>FALSE</v>
      </c>
      <c r="V1297" s="2" t="b">
        <f t="shared" si="207"/>
        <v>0</v>
      </c>
      <c r="W1297" s="2" t="b">
        <f t="shared" si="208"/>
        <v>0</v>
      </c>
      <c r="X1297" s="2" t="b">
        <f t="shared" si="209"/>
        <v>0</v>
      </c>
    </row>
    <row r="1298" spans="1:24" ht="10.5" customHeight="1">
      <c r="A1298" s="2" t="s">
        <v>1670</v>
      </c>
      <c r="B1298" s="3">
        <v>45904.605358796303</v>
      </c>
      <c r="C1298" s="2" t="s">
        <v>172</v>
      </c>
      <c r="D1298" s="2" t="s">
        <v>173</v>
      </c>
      <c r="E1298" s="2" t="s">
        <v>182</v>
      </c>
      <c r="F1298" s="4">
        <v>11000</v>
      </c>
      <c r="G1298" s="5">
        <v>0.7</v>
      </c>
      <c r="H1298" s="6">
        <v>0</v>
      </c>
      <c r="I1298" s="7">
        <f t="shared" si="200"/>
        <v>7699.9999999999991</v>
      </c>
      <c r="J1298" s="7">
        <f t="shared" si="201"/>
        <v>0</v>
      </c>
      <c r="K1298" s="7">
        <f t="shared" si="202"/>
        <v>7699.9999999999991</v>
      </c>
      <c r="L1298" s="4">
        <v>48000</v>
      </c>
      <c r="M1298" s="7">
        <f t="shared" si="203"/>
        <v>55700</v>
      </c>
      <c r="N1298" s="2" t="s">
        <v>33</v>
      </c>
      <c r="O1298" t="s">
        <v>22</v>
      </c>
      <c r="P1298" s="2" t="s">
        <v>2370</v>
      </c>
      <c r="Q1298" s="2">
        <v>3</v>
      </c>
      <c r="R1298" s="2" t="s">
        <v>23</v>
      </c>
      <c r="S1298" s="2" t="str">
        <f t="shared" si="204"/>
        <v>Rendah</v>
      </c>
      <c r="T1298" s="2" t="str">
        <f t="shared" si="205"/>
        <v>FALSE</v>
      </c>
      <c r="U1298" s="2" t="str">
        <f t="shared" si="206"/>
        <v>FALSE</v>
      </c>
      <c r="V1298" s="2" t="b">
        <f t="shared" si="207"/>
        <v>0</v>
      </c>
      <c r="W1298" s="2" t="b">
        <f t="shared" si="208"/>
        <v>0</v>
      </c>
      <c r="X1298" s="2" t="b">
        <f t="shared" si="209"/>
        <v>0</v>
      </c>
    </row>
    <row r="1299" spans="1:24" ht="10.5" customHeight="1">
      <c r="A1299" s="2" t="s">
        <v>1670</v>
      </c>
      <c r="B1299" s="3">
        <v>45904.605358796303</v>
      </c>
      <c r="C1299" s="2" t="s">
        <v>172</v>
      </c>
      <c r="D1299" s="2" t="s">
        <v>173</v>
      </c>
      <c r="E1299" s="2" t="s">
        <v>80</v>
      </c>
      <c r="F1299" s="4">
        <v>15000</v>
      </c>
      <c r="G1299" s="5">
        <v>1.2</v>
      </c>
      <c r="H1299" s="6">
        <v>0</v>
      </c>
      <c r="I1299" s="7">
        <f t="shared" si="200"/>
        <v>18000</v>
      </c>
      <c r="J1299" s="7">
        <f t="shared" si="201"/>
        <v>0</v>
      </c>
      <c r="K1299" s="7">
        <f t="shared" si="202"/>
        <v>18000</v>
      </c>
      <c r="L1299" s="4">
        <v>0</v>
      </c>
      <c r="M1299" s="7">
        <f t="shared" si="203"/>
        <v>18000</v>
      </c>
      <c r="N1299" s="2" t="s">
        <v>33</v>
      </c>
      <c r="O1299" t="s">
        <v>22</v>
      </c>
      <c r="P1299" s="2" t="s">
        <v>2370</v>
      </c>
      <c r="Q1299" s="2">
        <v>3</v>
      </c>
      <c r="R1299" s="2" t="s">
        <v>23</v>
      </c>
      <c r="S1299" s="2" t="str">
        <f t="shared" si="204"/>
        <v>Sangat Rendah</v>
      </c>
      <c r="T1299" s="2" t="str">
        <f t="shared" si="205"/>
        <v>FALSE</v>
      </c>
      <c r="U1299" s="2" t="str">
        <f t="shared" si="206"/>
        <v>FALSE</v>
      </c>
      <c r="V1299" s="2" t="b">
        <f t="shared" si="207"/>
        <v>0</v>
      </c>
      <c r="W1299" s="2" t="b">
        <f t="shared" si="208"/>
        <v>0</v>
      </c>
      <c r="X1299" s="2" t="b">
        <f t="shared" si="209"/>
        <v>1</v>
      </c>
    </row>
    <row r="1300" spans="1:24" ht="10.5" customHeight="1">
      <c r="A1300" s="2" t="s">
        <v>1671</v>
      </c>
      <c r="B1300" s="3">
        <v>45904.614282407398</v>
      </c>
      <c r="C1300" s="2" t="s">
        <v>424</v>
      </c>
      <c r="D1300" s="2" t="s">
        <v>425</v>
      </c>
      <c r="E1300" s="2" t="s">
        <v>57</v>
      </c>
      <c r="F1300" s="4">
        <v>17500</v>
      </c>
      <c r="G1300" s="5">
        <v>2.2999999999999998</v>
      </c>
      <c r="H1300" s="6">
        <v>0</v>
      </c>
      <c r="I1300" s="7">
        <f t="shared" si="200"/>
        <v>40250</v>
      </c>
      <c r="J1300" s="7">
        <f t="shared" si="201"/>
        <v>0</v>
      </c>
      <c r="K1300" s="7">
        <f t="shared" si="202"/>
        <v>40250</v>
      </c>
      <c r="L1300" s="4">
        <v>67000</v>
      </c>
      <c r="M1300" s="7">
        <f t="shared" si="203"/>
        <v>107250</v>
      </c>
      <c r="N1300" s="2" t="s">
        <v>28</v>
      </c>
      <c r="O1300" t="s">
        <v>22</v>
      </c>
      <c r="P1300" s="2" t="s">
        <v>2365</v>
      </c>
      <c r="Q1300" s="2">
        <v>2</v>
      </c>
      <c r="R1300" s="2" t="s">
        <v>23</v>
      </c>
      <c r="S1300" s="2" t="str">
        <f t="shared" si="204"/>
        <v>Standar</v>
      </c>
      <c r="T1300" s="2" t="str">
        <f t="shared" si="205"/>
        <v>FALSE</v>
      </c>
      <c r="U1300" s="2" t="str">
        <f t="shared" si="206"/>
        <v>FALSE</v>
      </c>
      <c r="V1300" s="2" t="b">
        <f t="shared" si="207"/>
        <v>0</v>
      </c>
      <c r="W1300" s="2" t="b">
        <f t="shared" si="208"/>
        <v>0</v>
      </c>
      <c r="X1300" s="2" t="b">
        <f t="shared" si="209"/>
        <v>0</v>
      </c>
    </row>
    <row r="1301" spans="1:24" ht="10.5" customHeight="1">
      <c r="A1301" s="2" t="s">
        <v>1672</v>
      </c>
      <c r="B1301" s="3">
        <v>45906.510578703703</v>
      </c>
      <c r="C1301" s="2" t="s">
        <v>402</v>
      </c>
      <c r="D1301" s="2" t="s">
        <v>64</v>
      </c>
      <c r="E1301" s="2" t="s">
        <v>102</v>
      </c>
      <c r="F1301" s="4">
        <v>55000</v>
      </c>
      <c r="G1301" s="5">
        <v>1</v>
      </c>
      <c r="H1301" s="6">
        <v>0</v>
      </c>
      <c r="I1301" s="7">
        <f t="shared" si="200"/>
        <v>55000</v>
      </c>
      <c r="J1301" s="7">
        <f t="shared" si="201"/>
        <v>0</v>
      </c>
      <c r="K1301" s="7">
        <f t="shared" si="202"/>
        <v>55000</v>
      </c>
      <c r="L1301" s="4">
        <v>89000</v>
      </c>
      <c r="M1301" s="7">
        <f t="shared" si="203"/>
        <v>144000</v>
      </c>
      <c r="N1301" s="2" t="s">
        <v>21</v>
      </c>
      <c r="O1301" t="s">
        <v>22</v>
      </c>
      <c r="P1301" s="2" t="s">
        <v>2367</v>
      </c>
      <c r="Q1301" s="2">
        <v>5</v>
      </c>
      <c r="R1301" s="2" t="s">
        <v>23</v>
      </c>
      <c r="S1301" s="2" t="str">
        <f t="shared" si="204"/>
        <v>Standar</v>
      </c>
      <c r="T1301" s="2" t="str">
        <f t="shared" si="205"/>
        <v>FALSE</v>
      </c>
      <c r="U1301" s="2" t="str">
        <f t="shared" si="206"/>
        <v>FALSE</v>
      </c>
      <c r="V1301" s="2" t="b">
        <f t="shared" si="207"/>
        <v>0</v>
      </c>
      <c r="W1301" s="2" t="b">
        <f t="shared" si="208"/>
        <v>1</v>
      </c>
      <c r="X1301" s="2" t="b">
        <f t="shared" si="209"/>
        <v>0</v>
      </c>
    </row>
    <row r="1302" spans="1:24" ht="10.5" customHeight="1">
      <c r="A1302" s="2" t="s">
        <v>1673</v>
      </c>
      <c r="B1302" s="3">
        <v>45906.520335648151</v>
      </c>
      <c r="C1302" s="2" t="s">
        <v>83</v>
      </c>
      <c r="D1302" s="2" t="s">
        <v>84</v>
      </c>
      <c r="E1302" s="2" t="s">
        <v>27</v>
      </c>
      <c r="F1302" s="4">
        <v>15000</v>
      </c>
      <c r="G1302" s="5">
        <v>0.9</v>
      </c>
      <c r="H1302" s="6">
        <v>0</v>
      </c>
      <c r="I1302" s="7">
        <f t="shared" si="200"/>
        <v>13500</v>
      </c>
      <c r="J1302" s="7">
        <f t="shared" si="201"/>
        <v>0</v>
      </c>
      <c r="K1302" s="7">
        <f t="shared" si="202"/>
        <v>13500</v>
      </c>
      <c r="L1302" s="4">
        <v>30000</v>
      </c>
      <c r="M1302" s="7">
        <f t="shared" si="203"/>
        <v>43500</v>
      </c>
      <c r="N1302" s="2" t="s">
        <v>21</v>
      </c>
      <c r="O1302" t="s">
        <v>22</v>
      </c>
      <c r="P1302" s="2" t="s">
        <v>2368</v>
      </c>
      <c r="Q1302" s="2">
        <v>2</v>
      </c>
      <c r="R1302" s="2" t="s">
        <v>23</v>
      </c>
      <c r="S1302" s="2" t="str">
        <f t="shared" si="204"/>
        <v>Sangat Rendah</v>
      </c>
      <c r="T1302" s="2" t="str">
        <f t="shared" si="205"/>
        <v>FALSE</v>
      </c>
      <c r="U1302" s="2" t="str">
        <f t="shared" si="206"/>
        <v>FALSE</v>
      </c>
      <c r="V1302" s="2" t="b">
        <f t="shared" si="207"/>
        <v>0</v>
      </c>
      <c r="W1302" s="2" t="b">
        <f t="shared" si="208"/>
        <v>0</v>
      </c>
      <c r="X1302" s="2" t="b">
        <f t="shared" si="209"/>
        <v>1</v>
      </c>
    </row>
    <row r="1303" spans="1:24" ht="10.5" customHeight="1">
      <c r="A1303" s="2" t="s">
        <v>1674</v>
      </c>
      <c r="B1303" s="3">
        <v>45906.554583333331</v>
      </c>
      <c r="C1303" s="2" t="s">
        <v>205</v>
      </c>
      <c r="D1303" s="2" t="s">
        <v>123</v>
      </c>
      <c r="E1303" s="2" t="s">
        <v>75</v>
      </c>
      <c r="F1303" s="4">
        <v>45000</v>
      </c>
      <c r="G1303" s="5">
        <v>1.4</v>
      </c>
      <c r="H1303" s="6">
        <v>0</v>
      </c>
      <c r="I1303" s="7">
        <f t="shared" si="200"/>
        <v>62999.999999999993</v>
      </c>
      <c r="J1303" s="7">
        <f t="shared" si="201"/>
        <v>0</v>
      </c>
      <c r="K1303" s="7">
        <f t="shared" si="202"/>
        <v>62999.999999999993</v>
      </c>
      <c r="L1303" s="4">
        <v>59000</v>
      </c>
      <c r="M1303" s="7">
        <f t="shared" si="203"/>
        <v>122000</v>
      </c>
      <c r="N1303" s="2" t="s">
        <v>58</v>
      </c>
      <c r="O1303" t="s">
        <v>69</v>
      </c>
      <c r="P1303" s="2" t="s">
        <v>2366</v>
      </c>
      <c r="Q1303" s="2">
        <v>4</v>
      </c>
      <c r="R1303" s="2" t="s">
        <v>23</v>
      </c>
      <c r="S1303" s="2" t="str">
        <f t="shared" si="204"/>
        <v>Standar</v>
      </c>
      <c r="T1303" s="2" t="str">
        <f t="shared" si="205"/>
        <v>FALSE</v>
      </c>
      <c r="U1303" s="2" t="str">
        <f t="shared" si="206"/>
        <v>FALSE</v>
      </c>
      <c r="V1303" s="2" t="b">
        <f t="shared" si="207"/>
        <v>0</v>
      </c>
      <c r="W1303" s="2" t="b">
        <f t="shared" si="208"/>
        <v>0</v>
      </c>
      <c r="X1303" s="2" t="b">
        <f t="shared" si="209"/>
        <v>0</v>
      </c>
    </row>
    <row r="1304" spans="1:24" ht="10.5" customHeight="1">
      <c r="A1304" s="2" t="s">
        <v>1675</v>
      </c>
      <c r="B1304" s="3">
        <v>45907.489351851851</v>
      </c>
      <c r="C1304" s="2" t="s">
        <v>237</v>
      </c>
      <c r="D1304" s="2" t="s">
        <v>229</v>
      </c>
      <c r="E1304" s="2" t="s">
        <v>80</v>
      </c>
      <c r="F1304" s="4">
        <v>15000</v>
      </c>
      <c r="G1304" s="5">
        <v>0.8</v>
      </c>
      <c r="H1304" s="6">
        <v>0</v>
      </c>
      <c r="I1304" s="7">
        <f t="shared" si="200"/>
        <v>12000</v>
      </c>
      <c r="J1304" s="7">
        <f t="shared" si="201"/>
        <v>0</v>
      </c>
      <c r="K1304" s="7">
        <f t="shared" si="202"/>
        <v>12000</v>
      </c>
      <c r="L1304" s="4">
        <v>28000</v>
      </c>
      <c r="M1304" s="7">
        <f t="shared" si="203"/>
        <v>40000</v>
      </c>
      <c r="N1304" s="2" t="s">
        <v>21</v>
      </c>
      <c r="O1304" t="s">
        <v>22</v>
      </c>
      <c r="P1304" s="2" t="s">
        <v>2365</v>
      </c>
      <c r="Q1304" s="2">
        <v>4</v>
      </c>
      <c r="R1304" s="2" t="s">
        <v>23</v>
      </c>
      <c r="S1304" s="2" t="str">
        <f t="shared" si="204"/>
        <v>Sangat Rendah</v>
      </c>
      <c r="T1304" s="2" t="str">
        <f t="shared" si="205"/>
        <v>FALSE</v>
      </c>
      <c r="U1304" s="2" t="str">
        <f t="shared" si="206"/>
        <v>FALSE</v>
      </c>
      <c r="V1304" s="2" t="b">
        <f t="shared" si="207"/>
        <v>0</v>
      </c>
      <c r="W1304" s="2" t="b">
        <f t="shared" si="208"/>
        <v>0</v>
      </c>
      <c r="X1304" s="2" t="b">
        <f t="shared" si="209"/>
        <v>1</v>
      </c>
    </row>
    <row r="1305" spans="1:24" ht="10.5" customHeight="1">
      <c r="A1305" s="2" t="s">
        <v>1676</v>
      </c>
      <c r="B1305" s="3">
        <v>45907.555486111109</v>
      </c>
      <c r="C1305" s="2" t="s">
        <v>306</v>
      </c>
      <c r="D1305" s="2" t="s">
        <v>235</v>
      </c>
      <c r="E1305" s="2" t="s">
        <v>20</v>
      </c>
      <c r="F1305" s="4">
        <v>10000</v>
      </c>
      <c r="G1305" s="5">
        <v>2.6</v>
      </c>
      <c r="H1305" s="6">
        <v>0</v>
      </c>
      <c r="I1305" s="7">
        <f t="shared" si="200"/>
        <v>26000</v>
      </c>
      <c r="J1305" s="7">
        <f t="shared" si="201"/>
        <v>0</v>
      </c>
      <c r="K1305" s="7">
        <f t="shared" si="202"/>
        <v>26000</v>
      </c>
      <c r="L1305" s="4">
        <v>80000</v>
      </c>
      <c r="M1305" s="7">
        <f t="shared" si="203"/>
        <v>106000</v>
      </c>
      <c r="N1305" s="2" t="s">
        <v>33</v>
      </c>
      <c r="O1305" t="s">
        <v>22</v>
      </c>
      <c r="P1305" s="2" t="s">
        <v>2368</v>
      </c>
      <c r="Q1305" s="2">
        <v>2</v>
      </c>
      <c r="R1305" s="2" t="s">
        <v>23</v>
      </c>
      <c r="S1305" s="2" t="str">
        <f t="shared" si="204"/>
        <v>Standar</v>
      </c>
      <c r="T1305" s="2" t="str">
        <f t="shared" si="205"/>
        <v>FALSE</v>
      </c>
      <c r="U1305" s="2" t="str">
        <f t="shared" si="206"/>
        <v>FALSE</v>
      </c>
      <c r="V1305" s="2" t="b">
        <f t="shared" si="207"/>
        <v>0</v>
      </c>
      <c r="W1305" s="2" t="b">
        <f t="shared" si="208"/>
        <v>0</v>
      </c>
      <c r="X1305" s="2" t="b">
        <f t="shared" si="209"/>
        <v>0</v>
      </c>
    </row>
    <row r="1306" spans="1:24" ht="10.5" customHeight="1">
      <c r="A1306" s="2" t="s">
        <v>1677</v>
      </c>
      <c r="B1306" s="3">
        <v>45908.758611111109</v>
      </c>
      <c r="C1306" s="2" t="s">
        <v>91</v>
      </c>
      <c r="D1306" s="2" t="s">
        <v>61</v>
      </c>
      <c r="E1306" s="2" t="s">
        <v>80</v>
      </c>
      <c r="F1306" s="4">
        <v>15000</v>
      </c>
      <c r="G1306" s="5">
        <v>1.3</v>
      </c>
      <c r="H1306" s="6">
        <v>0</v>
      </c>
      <c r="I1306" s="7">
        <f t="shared" si="200"/>
        <v>19500</v>
      </c>
      <c r="J1306" s="7">
        <f t="shared" si="201"/>
        <v>0</v>
      </c>
      <c r="K1306" s="7">
        <f t="shared" si="202"/>
        <v>19500</v>
      </c>
      <c r="L1306" s="4">
        <v>59000</v>
      </c>
      <c r="M1306" s="7">
        <f t="shared" si="203"/>
        <v>78500</v>
      </c>
      <c r="N1306" s="2" t="s">
        <v>58</v>
      </c>
      <c r="O1306" t="s">
        <v>22</v>
      </c>
      <c r="P1306" s="2" t="s">
        <v>2370</v>
      </c>
      <c r="Q1306" s="2">
        <v>2</v>
      </c>
      <c r="R1306" s="2" t="s">
        <v>23</v>
      </c>
      <c r="S1306" s="2" t="str">
        <f t="shared" si="204"/>
        <v>Rendah</v>
      </c>
      <c r="T1306" s="2" t="str">
        <f t="shared" si="205"/>
        <v>FALSE</v>
      </c>
      <c r="U1306" s="2" t="str">
        <f t="shared" si="206"/>
        <v>FALSE</v>
      </c>
      <c r="V1306" s="2" t="b">
        <f t="shared" si="207"/>
        <v>0</v>
      </c>
      <c r="W1306" s="2" t="b">
        <f t="shared" si="208"/>
        <v>0</v>
      </c>
      <c r="X1306" s="2" t="b">
        <f t="shared" si="209"/>
        <v>0</v>
      </c>
    </row>
    <row r="1307" spans="1:24" ht="10.5" customHeight="1">
      <c r="A1307" s="2" t="s">
        <v>1678</v>
      </c>
      <c r="B1307" s="3">
        <v>45909.637118055558</v>
      </c>
      <c r="C1307" s="2" t="s">
        <v>786</v>
      </c>
      <c r="D1307" s="2" t="s">
        <v>111</v>
      </c>
      <c r="E1307" s="2" t="s">
        <v>182</v>
      </c>
      <c r="F1307" s="4">
        <v>11000</v>
      </c>
      <c r="G1307" s="5">
        <v>1.6</v>
      </c>
      <c r="H1307" s="6">
        <v>5</v>
      </c>
      <c r="I1307" s="7">
        <f t="shared" si="200"/>
        <v>17600</v>
      </c>
      <c r="J1307" s="7">
        <f t="shared" si="201"/>
        <v>880</v>
      </c>
      <c r="K1307" s="7">
        <f t="shared" si="202"/>
        <v>16720</v>
      </c>
      <c r="L1307" s="4">
        <v>0</v>
      </c>
      <c r="M1307" s="7">
        <f t="shared" si="203"/>
        <v>16720</v>
      </c>
      <c r="N1307" s="2" t="s">
        <v>21</v>
      </c>
      <c r="O1307" t="s">
        <v>69</v>
      </c>
      <c r="P1307" s="2" t="s">
        <v>2366</v>
      </c>
      <c r="Q1307" s="2">
        <v>1</v>
      </c>
      <c r="R1307" s="2" t="s">
        <v>23</v>
      </c>
      <c r="S1307" s="2" t="str">
        <f t="shared" si="204"/>
        <v>Sangat Rendah</v>
      </c>
      <c r="T1307" s="2" t="str">
        <f t="shared" si="205"/>
        <v>FALSE</v>
      </c>
      <c r="U1307" s="2" t="str">
        <f t="shared" si="206"/>
        <v>FALSE</v>
      </c>
      <c r="V1307" s="2" t="b">
        <f t="shared" si="207"/>
        <v>0</v>
      </c>
      <c r="W1307" s="2" t="b">
        <f t="shared" si="208"/>
        <v>0</v>
      </c>
      <c r="X1307" s="2" t="b">
        <f t="shared" si="209"/>
        <v>1</v>
      </c>
    </row>
    <row r="1308" spans="1:24" ht="10.5" customHeight="1">
      <c r="A1308" s="2" t="s">
        <v>1679</v>
      </c>
      <c r="B1308" s="3">
        <v>45909.674259259264</v>
      </c>
      <c r="C1308" s="2" t="s">
        <v>500</v>
      </c>
      <c r="D1308" s="2" t="s">
        <v>87</v>
      </c>
      <c r="E1308" s="2" t="s">
        <v>95</v>
      </c>
      <c r="F1308" s="4">
        <v>9500</v>
      </c>
      <c r="G1308" s="5">
        <v>2</v>
      </c>
      <c r="H1308" s="6">
        <v>5</v>
      </c>
      <c r="I1308" s="7">
        <f t="shared" si="200"/>
        <v>19000</v>
      </c>
      <c r="J1308" s="7">
        <f t="shared" si="201"/>
        <v>950</v>
      </c>
      <c r="K1308" s="7">
        <f t="shared" si="202"/>
        <v>18050</v>
      </c>
      <c r="L1308" s="4">
        <v>49000</v>
      </c>
      <c r="M1308" s="7">
        <f t="shared" si="203"/>
        <v>67050</v>
      </c>
      <c r="N1308" s="2" t="s">
        <v>28</v>
      </c>
      <c r="O1308" t="s">
        <v>115</v>
      </c>
      <c r="P1308" s="2" t="s">
        <v>2366</v>
      </c>
      <c r="Q1308" s="2">
        <v>3</v>
      </c>
      <c r="R1308" s="2" t="s">
        <v>23</v>
      </c>
      <c r="S1308" s="2" t="str">
        <f t="shared" si="204"/>
        <v>Rendah</v>
      </c>
      <c r="T1308" s="2" t="str">
        <f t="shared" si="205"/>
        <v>FALSE</v>
      </c>
      <c r="U1308" s="2" t="str">
        <f t="shared" si="206"/>
        <v>FALSE</v>
      </c>
      <c r="V1308" s="2" t="b">
        <f t="shared" si="207"/>
        <v>0</v>
      </c>
      <c r="W1308" s="2" t="b">
        <f t="shared" si="208"/>
        <v>0</v>
      </c>
      <c r="X1308" s="2" t="b">
        <f t="shared" si="209"/>
        <v>0</v>
      </c>
    </row>
    <row r="1309" spans="1:24" ht="10.5" customHeight="1">
      <c r="A1309" s="2" t="s">
        <v>1680</v>
      </c>
      <c r="B1309" s="3">
        <v>45909.678576388891</v>
      </c>
      <c r="C1309" s="2" t="s">
        <v>1656</v>
      </c>
      <c r="D1309" s="2" t="s">
        <v>286</v>
      </c>
      <c r="E1309" s="2" t="s">
        <v>32</v>
      </c>
      <c r="F1309" s="4">
        <v>20000</v>
      </c>
      <c r="G1309" s="5">
        <v>1.8</v>
      </c>
      <c r="H1309" s="6">
        <v>5</v>
      </c>
      <c r="I1309" s="7">
        <f t="shared" si="200"/>
        <v>36000</v>
      </c>
      <c r="J1309" s="7">
        <f t="shared" si="201"/>
        <v>1800</v>
      </c>
      <c r="K1309" s="7">
        <f t="shared" si="202"/>
        <v>34200</v>
      </c>
      <c r="L1309" s="4">
        <v>79000</v>
      </c>
      <c r="M1309" s="7">
        <f t="shared" si="203"/>
        <v>113200</v>
      </c>
      <c r="N1309" s="2" t="s">
        <v>33</v>
      </c>
      <c r="O1309" t="s">
        <v>69</v>
      </c>
      <c r="P1309" s="2" t="s">
        <v>2370</v>
      </c>
      <c r="Q1309" s="2">
        <v>4</v>
      </c>
      <c r="R1309" s="2" t="s">
        <v>34</v>
      </c>
      <c r="S1309" s="2" t="str">
        <f t="shared" si="204"/>
        <v>Standar</v>
      </c>
      <c r="T1309" s="2" t="str">
        <f t="shared" si="205"/>
        <v>FALSE</v>
      </c>
      <c r="U1309" s="2" t="str">
        <f t="shared" si="206"/>
        <v>FALSE</v>
      </c>
      <c r="V1309" s="2" t="b">
        <f t="shared" si="207"/>
        <v>0</v>
      </c>
      <c r="W1309" s="2" t="b">
        <f t="shared" si="208"/>
        <v>0</v>
      </c>
      <c r="X1309" s="2" t="b">
        <f t="shared" si="209"/>
        <v>0</v>
      </c>
    </row>
    <row r="1310" spans="1:24" ht="10.5" customHeight="1">
      <c r="A1310" s="2" t="s">
        <v>1681</v>
      </c>
      <c r="B1310" s="3">
        <v>45909.879733796297</v>
      </c>
      <c r="C1310" s="2" t="s">
        <v>1073</v>
      </c>
      <c r="D1310" s="2" t="s">
        <v>160</v>
      </c>
      <c r="E1310" s="2" t="s">
        <v>32</v>
      </c>
      <c r="F1310" s="4">
        <v>20000</v>
      </c>
      <c r="G1310" s="5">
        <v>0.7</v>
      </c>
      <c r="H1310" s="6">
        <v>5</v>
      </c>
      <c r="I1310" s="7">
        <f t="shared" si="200"/>
        <v>14000</v>
      </c>
      <c r="J1310" s="7">
        <f t="shared" si="201"/>
        <v>700</v>
      </c>
      <c r="K1310" s="7">
        <f t="shared" si="202"/>
        <v>13300</v>
      </c>
      <c r="L1310" s="4">
        <v>46000</v>
      </c>
      <c r="M1310" s="7">
        <f t="shared" si="203"/>
        <v>59300</v>
      </c>
      <c r="N1310" s="2" t="s">
        <v>58</v>
      </c>
      <c r="O1310" t="s">
        <v>22</v>
      </c>
      <c r="P1310" s="2" t="s">
        <v>2370</v>
      </c>
      <c r="Q1310" s="2">
        <v>3</v>
      </c>
      <c r="R1310" s="2" t="s">
        <v>23</v>
      </c>
      <c r="S1310" s="2" t="str">
        <f t="shared" si="204"/>
        <v>Rendah</v>
      </c>
      <c r="T1310" s="2" t="str">
        <f t="shared" si="205"/>
        <v>FALSE</v>
      </c>
      <c r="U1310" s="2" t="str">
        <f t="shared" si="206"/>
        <v>FALSE</v>
      </c>
      <c r="V1310" s="2" t="b">
        <f t="shared" si="207"/>
        <v>0</v>
      </c>
      <c r="W1310" s="2" t="b">
        <f t="shared" si="208"/>
        <v>0</v>
      </c>
      <c r="X1310" s="2" t="b">
        <f t="shared" si="209"/>
        <v>0</v>
      </c>
    </row>
    <row r="1311" spans="1:24" ht="10.5" customHeight="1">
      <c r="A1311" s="2" t="s">
        <v>1682</v>
      </c>
      <c r="B1311" s="3">
        <v>45909.921261574083</v>
      </c>
      <c r="C1311" s="2" t="s">
        <v>93</v>
      </c>
      <c r="D1311" s="2" t="s">
        <v>94</v>
      </c>
      <c r="E1311" s="2" t="s">
        <v>143</v>
      </c>
      <c r="F1311" s="4">
        <v>10000</v>
      </c>
      <c r="G1311" s="5">
        <v>0.3</v>
      </c>
      <c r="H1311" s="6">
        <v>5</v>
      </c>
      <c r="I1311" s="7">
        <f t="shared" si="200"/>
        <v>3000</v>
      </c>
      <c r="J1311" s="7">
        <f t="shared" si="201"/>
        <v>150</v>
      </c>
      <c r="K1311" s="7">
        <f t="shared" si="202"/>
        <v>2850</v>
      </c>
      <c r="L1311" s="4">
        <v>85000</v>
      </c>
      <c r="M1311" s="7">
        <f t="shared" si="203"/>
        <v>87850</v>
      </c>
      <c r="N1311" s="2" t="s">
        <v>28</v>
      </c>
      <c r="O1311" t="s">
        <v>22</v>
      </c>
      <c r="P1311" s="2" t="s">
        <v>2366</v>
      </c>
      <c r="Q1311" s="2">
        <v>3</v>
      </c>
      <c r="R1311" s="2" t="s">
        <v>23</v>
      </c>
      <c r="S1311" s="2" t="str">
        <f t="shared" si="204"/>
        <v>Rendah</v>
      </c>
      <c r="T1311" s="2" t="str">
        <f t="shared" si="205"/>
        <v>FALSE</v>
      </c>
      <c r="U1311" s="2" t="str">
        <f t="shared" si="206"/>
        <v>TRUE</v>
      </c>
      <c r="V1311" s="2" t="b">
        <f t="shared" si="207"/>
        <v>0</v>
      </c>
      <c r="W1311" s="2" t="b">
        <f t="shared" si="208"/>
        <v>0</v>
      </c>
      <c r="X1311" s="2" t="b">
        <f t="shared" si="209"/>
        <v>0</v>
      </c>
    </row>
    <row r="1312" spans="1:24" ht="10.5" customHeight="1">
      <c r="A1312" s="2" t="s">
        <v>1683</v>
      </c>
      <c r="B1312" s="3">
        <v>45909.991354166668</v>
      </c>
      <c r="C1312" s="2" t="s">
        <v>766</v>
      </c>
      <c r="D1312" s="2" t="s">
        <v>94</v>
      </c>
      <c r="E1312" s="2" t="s">
        <v>35</v>
      </c>
      <c r="F1312" s="4">
        <v>13500</v>
      </c>
      <c r="G1312" s="5">
        <v>3</v>
      </c>
      <c r="H1312" s="6">
        <v>5</v>
      </c>
      <c r="I1312" s="7">
        <f t="shared" si="200"/>
        <v>40500</v>
      </c>
      <c r="J1312" s="7">
        <f t="shared" si="201"/>
        <v>2025</v>
      </c>
      <c r="K1312" s="7">
        <f t="shared" si="202"/>
        <v>38475</v>
      </c>
      <c r="L1312" s="4">
        <v>85000</v>
      </c>
      <c r="M1312" s="7">
        <f t="shared" si="203"/>
        <v>123475</v>
      </c>
      <c r="N1312" s="2" t="s">
        <v>28</v>
      </c>
      <c r="O1312" t="s">
        <v>22</v>
      </c>
      <c r="P1312" s="2" t="s">
        <v>2366</v>
      </c>
      <c r="Q1312" s="2">
        <v>5</v>
      </c>
      <c r="R1312" s="2" t="s">
        <v>23</v>
      </c>
      <c r="S1312" s="2" t="str">
        <f t="shared" si="204"/>
        <v>Standar</v>
      </c>
      <c r="T1312" s="2" t="str">
        <f t="shared" si="205"/>
        <v>FALSE</v>
      </c>
      <c r="U1312" s="2" t="str">
        <f t="shared" si="206"/>
        <v>FALSE</v>
      </c>
      <c r="V1312" s="2" t="b">
        <f t="shared" si="207"/>
        <v>0</v>
      </c>
      <c r="W1312" s="2" t="b">
        <f t="shared" si="208"/>
        <v>0</v>
      </c>
      <c r="X1312" s="2" t="b">
        <f t="shared" si="209"/>
        <v>0</v>
      </c>
    </row>
    <row r="1313" spans="1:24" ht="10.5" customHeight="1">
      <c r="A1313" s="2" t="s">
        <v>1684</v>
      </c>
      <c r="B1313" s="3">
        <v>45911.336423611108</v>
      </c>
      <c r="C1313" s="2" t="s">
        <v>634</v>
      </c>
      <c r="D1313" s="2" t="s">
        <v>235</v>
      </c>
      <c r="E1313" s="2" t="s">
        <v>190</v>
      </c>
      <c r="F1313" s="4">
        <v>15500</v>
      </c>
      <c r="G1313" s="5">
        <v>0.3</v>
      </c>
      <c r="H1313" s="6">
        <v>0</v>
      </c>
      <c r="I1313" s="7">
        <f t="shared" si="200"/>
        <v>4650</v>
      </c>
      <c r="J1313" s="7">
        <f t="shared" si="201"/>
        <v>0</v>
      </c>
      <c r="K1313" s="7">
        <f t="shared" si="202"/>
        <v>4650</v>
      </c>
      <c r="L1313" s="4">
        <v>80000</v>
      </c>
      <c r="M1313" s="7">
        <f t="shared" si="203"/>
        <v>84650</v>
      </c>
      <c r="N1313" s="2" t="s">
        <v>28</v>
      </c>
      <c r="O1313" t="s">
        <v>22</v>
      </c>
      <c r="P1313" s="2" t="s">
        <v>2365</v>
      </c>
      <c r="Q1313" s="2">
        <v>4</v>
      </c>
      <c r="R1313" s="2" t="s">
        <v>23</v>
      </c>
      <c r="S1313" s="2" t="str">
        <f t="shared" si="204"/>
        <v>Rendah</v>
      </c>
      <c r="T1313" s="2" t="str">
        <f t="shared" si="205"/>
        <v>FALSE</v>
      </c>
      <c r="U1313" s="2" t="str">
        <f t="shared" si="206"/>
        <v>FALSE</v>
      </c>
      <c r="V1313" s="2" t="b">
        <f t="shared" si="207"/>
        <v>0</v>
      </c>
      <c r="W1313" s="2" t="b">
        <f t="shared" si="208"/>
        <v>0</v>
      </c>
      <c r="X1313" s="2" t="b">
        <f t="shared" si="209"/>
        <v>0</v>
      </c>
    </row>
    <row r="1314" spans="1:24" ht="10.5" customHeight="1">
      <c r="A1314" s="2" t="s">
        <v>1685</v>
      </c>
      <c r="B1314" s="3">
        <v>45912.354421296302</v>
      </c>
      <c r="C1314" s="2" t="s">
        <v>1012</v>
      </c>
      <c r="D1314" s="2" t="s">
        <v>167</v>
      </c>
      <c r="E1314" s="2" t="s">
        <v>41</v>
      </c>
      <c r="F1314" s="4">
        <v>40000</v>
      </c>
      <c r="G1314" s="5">
        <v>1.1000000000000001</v>
      </c>
      <c r="H1314" s="6">
        <v>0</v>
      </c>
      <c r="I1314" s="7">
        <f t="shared" si="200"/>
        <v>44000</v>
      </c>
      <c r="J1314" s="7">
        <f t="shared" si="201"/>
        <v>0</v>
      </c>
      <c r="K1314" s="7">
        <f t="shared" si="202"/>
        <v>44000</v>
      </c>
      <c r="L1314" s="4">
        <v>56000</v>
      </c>
      <c r="M1314" s="7">
        <f t="shared" si="203"/>
        <v>100000</v>
      </c>
      <c r="N1314" s="2" t="s">
        <v>21</v>
      </c>
      <c r="O1314" t="s">
        <v>22</v>
      </c>
      <c r="P1314" s="2" t="s">
        <v>2370</v>
      </c>
      <c r="Q1314" s="2">
        <v>2</v>
      </c>
      <c r="R1314" s="2" t="s">
        <v>23</v>
      </c>
      <c r="S1314" s="2" t="str">
        <f t="shared" si="204"/>
        <v>Rendah</v>
      </c>
      <c r="T1314" s="2" t="str">
        <f t="shared" si="205"/>
        <v>FALSE</v>
      </c>
      <c r="U1314" s="2" t="str">
        <f t="shared" si="206"/>
        <v>FALSE</v>
      </c>
      <c r="V1314" s="2" t="b">
        <f t="shared" si="207"/>
        <v>0</v>
      </c>
      <c r="W1314" s="2" t="b">
        <f t="shared" si="208"/>
        <v>0</v>
      </c>
      <c r="X1314" s="2" t="b">
        <f t="shared" si="209"/>
        <v>0</v>
      </c>
    </row>
    <row r="1315" spans="1:24" ht="10.5" customHeight="1">
      <c r="A1315" s="2" t="s">
        <v>1686</v>
      </c>
      <c r="B1315" s="3">
        <v>45913.407013888893</v>
      </c>
      <c r="C1315" s="2" t="s">
        <v>37</v>
      </c>
      <c r="D1315" s="2" t="s">
        <v>26</v>
      </c>
      <c r="E1315" s="2" t="s">
        <v>49</v>
      </c>
      <c r="F1315" s="4">
        <v>26000</v>
      </c>
      <c r="G1315" s="5">
        <v>0.7</v>
      </c>
      <c r="H1315" s="6">
        <v>0</v>
      </c>
      <c r="I1315" s="7">
        <f t="shared" si="200"/>
        <v>18200</v>
      </c>
      <c r="J1315" s="7">
        <f t="shared" si="201"/>
        <v>0</v>
      </c>
      <c r="K1315" s="7">
        <f t="shared" si="202"/>
        <v>18200</v>
      </c>
      <c r="L1315" s="4">
        <v>17000</v>
      </c>
      <c r="M1315" s="7">
        <f t="shared" si="203"/>
        <v>35200</v>
      </c>
      <c r="N1315" s="2" t="s">
        <v>21</v>
      </c>
      <c r="O1315" t="s">
        <v>22</v>
      </c>
      <c r="P1315" s="2" t="s">
        <v>2368</v>
      </c>
      <c r="Q1315" s="2">
        <v>3</v>
      </c>
      <c r="R1315" s="2" t="s">
        <v>23</v>
      </c>
      <c r="S1315" s="2" t="str">
        <f t="shared" si="204"/>
        <v>Sangat Rendah</v>
      </c>
      <c r="T1315" s="2" t="str">
        <f t="shared" si="205"/>
        <v>FALSE</v>
      </c>
      <c r="U1315" s="2" t="str">
        <f t="shared" si="206"/>
        <v>FALSE</v>
      </c>
      <c r="V1315" s="2" t="b">
        <f t="shared" si="207"/>
        <v>0</v>
      </c>
      <c r="W1315" s="2" t="b">
        <f t="shared" si="208"/>
        <v>0</v>
      </c>
      <c r="X1315" s="2" t="b">
        <f t="shared" si="209"/>
        <v>1</v>
      </c>
    </row>
    <row r="1316" spans="1:24" ht="10.5" customHeight="1">
      <c r="A1316" s="2" t="s">
        <v>1687</v>
      </c>
      <c r="B1316" s="3">
        <v>45913.50953703704</v>
      </c>
      <c r="C1316" s="2" t="s">
        <v>973</v>
      </c>
      <c r="D1316" s="2" t="s">
        <v>252</v>
      </c>
      <c r="E1316" s="2" t="s">
        <v>161</v>
      </c>
      <c r="F1316" s="4">
        <v>115000</v>
      </c>
      <c r="G1316" s="5">
        <v>1.2</v>
      </c>
      <c r="H1316" s="6">
        <v>0</v>
      </c>
      <c r="I1316" s="7">
        <f t="shared" si="200"/>
        <v>138000</v>
      </c>
      <c r="J1316" s="7">
        <f t="shared" si="201"/>
        <v>0</v>
      </c>
      <c r="K1316" s="7">
        <f t="shared" si="202"/>
        <v>138000</v>
      </c>
      <c r="L1316" s="4">
        <v>18000</v>
      </c>
      <c r="M1316" s="7">
        <f t="shared" si="203"/>
        <v>156000</v>
      </c>
      <c r="N1316" s="2" t="s">
        <v>58</v>
      </c>
      <c r="O1316" t="s">
        <v>69</v>
      </c>
      <c r="P1316" s="2" t="s">
        <v>2368</v>
      </c>
      <c r="Q1316" s="2">
        <v>5</v>
      </c>
      <c r="R1316" s="2" t="s">
        <v>34</v>
      </c>
      <c r="S1316" s="2" t="str">
        <f t="shared" si="204"/>
        <v>Tinggi</v>
      </c>
      <c r="T1316" s="2" t="str">
        <f t="shared" si="205"/>
        <v>FALSE</v>
      </c>
      <c r="U1316" s="2" t="str">
        <f t="shared" si="206"/>
        <v>TRUE</v>
      </c>
      <c r="V1316" s="2" t="b">
        <f t="shared" si="207"/>
        <v>0</v>
      </c>
      <c r="W1316" s="2" t="b">
        <f t="shared" si="208"/>
        <v>0</v>
      </c>
      <c r="X1316" s="2" t="b">
        <f t="shared" si="209"/>
        <v>0</v>
      </c>
    </row>
    <row r="1317" spans="1:24" ht="10.5" customHeight="1">
      <c r="A1317" s="2" t="s">
        <v>1688</v>
      </c>
      <c r="B1317" s="3">
        <v>45913.634016203701</v>
      </c>
      <c r="C1317" s="2" t="s">
        <v>334</v>
      </c>
      <c r="D1317" s="2" t="s">
        <v>185</v>
      </c>
      <c r="E1317" s="2" t="s">
        <v>35</v>
      </c>
      <c r="F1317" s="4">
        <v>13500</v>
      </c>
      <c r="G1317" s="5">
        <v>1.5</v>
      </c>
      <c r="H1317" s="6">
        <v>0</v>
      </c>
      <c r="I1317" s="7">
        <f t="shared" si="200"/>
        <v>20250</v>
      </c>
      <c r="J1317" s="7">
        <f t="shared" si="201"/>
        <v>0</v>
      </c>
      <c r="K1317" s="7">
        <f t="shared" si="202"/>
        <v>20250</v>
      </c>
      <c r="L1317" s="4">
        <v>87000</v>
      </c>
      <c r="M1317" s="7">
        <f t="shared" si="203"/>
        <v>107250</v>
      </c>
      <c r="N1317" s="2" t="s">
        <v>21</v>
      </c>
      <c r="O1317" t="s">
        <v>22</v>
      </c>
      <c r="P1317" s="2" t="s">
        <v>2368</v>
      </c>
      <c r="Q1317" s="2">
        <v>2</v>
      </c>
      <c r="R1317" s="2" t="s">
        <v>23</v>
      </c>
      <c r="S1317" s="2" t="str">
        <f t="shared" si="204"/>
        <v>Standar</v>
      </c>
      <c r="T1317" s="2" t="str">
        <f t="shared" si="205"/>
        <v>FALSE</v>
      </c>
      <c r="U1317" s="2" t="str">
        <f t="shared" si="206"/>
        <v>FALSE</v>
      </c>
      <c r="V1317" s="2" t="b">
        <f t="shared" si="207"/>
        <v>0</v>
      </c>
      <c r="W1317" s="2" t="b">
        <f t="shared" si="208"/>
        <v>0</v>
      </c>
      <c r="X1317" s="2" t="b">
        <f t="shared" si="209"/>
        <v>0</v>
      </c>
    </row>
    <row r="1318" spans="1:24" ht="10.5" customHeight="1">
      <c r="A1318" s="2" t="s">
        <v>1689</v>
      </c>
      <c r="B1318" s="3">
        <v>45914.096192129633</v>
      </c>
      <c r="C1318" s="2" t="s">
        <v>137</v>
      </c>
      <c r="D1318" s="2" t="s">
        <v>68</v>
      </c>
      <c r="E1318" s="2" t="s">
        <v>20</v>
      </c>
      <c r="F1318" s="4">
        <v>10000</v>
      </c>
      <c r="G1318" s="5">
        <v>2.7</v>
      </c>
      <c r="H1318" s="6">
        <v>0</v>
      </c>
      <c r="I1318" s="7">
        <f t="shared" si="200"/>
        <v>27000</v>
      </c>
      <c r="J1318" s="7">
        <f t="shared" si="201"/>
        <v>0</v>
      </c>
      <c r="K1318" s="7">
        <f t="shared" si="202"/>
        <v>27000</v>
      </c>
      <c r="L1318" s="4">
        <v>87000</v>
      </c>
      <c r="M1318" s="7">
        <f t="shared" si="203"/>
        <v>114000</v>
      </c>
      <c r="N1318" s="2" t="s">
        <v>28</v>
      </c>
      <c r="O1318" t="s">
        <v>69</v>
      </c>
      <c r="P1318" s="2" t="s">
        <v>2370</v>
      </c>
      <c r="Q1318" s="2">
        <v>5</v>
      </c>
      <c r="R1318" s="2" t="s">
        <v>23</v>
      </c>
      <c r="S1318" s="2" t="str">
        <f t="shared" si="204"/>
        <v>Standar</v>
      </c>
      <c r="T1318" s="2" t="str">
        <f t="shared" si="205"/>
        <v>FALSE</v>
      </c>
      <c r="U1318" s="2" t="str">
        <f t="shared" si="206"/>
        <v>FALSE</v>
      </c>
      <c r="V1318" s="2" t="b">
        <f t="shared" si="207"/>
        <v>0</v>
      </c>
      <c r="W1318" s="2" t="b">
        <f t="shared" si="208"/>
        <v>0</v>
      </c>
      <c r="X1318" s="2" t="b">
        <f t="shared" si="209"/>
        <v>0</v>
      </c>
    </row>
    <row r="1319" spans="1:24" ht="10.5" customHeight="1">
      <c r="A1319" s="2" t="s">
        <v>1690</v>
      </c>
      <c r="B1319" s="3">
        <v>45914.127025462964</v>
      </c>
      <c r="C1319" s="2" t="s">
        <v>489</v>
      </c>
      <c r="D1319" s="2" t="s">
        <v>123</v>
      </c>
      <c r="E1319" s="2" t="s">
        <v>143</v>
      </c>
      <c r="F1319" s="4">
        <v>10000</v>
      </c>
      <c r="G1319" s="5">
        <v>1.3</v>
      </c>
      <c r="H1319" s="6">
        <v>0</v>
      </c>
      <c r="I1319" s="7">
        <f t="shared" si="200"/>
        <v>13000</v>
      </c>
      <c r="J1319" s="7">
        <f t="shared" si="201"/>
        <v>0</v>
      </c>
      <c r="K1319" s="7">
        <f t="shared" si="202"/>
        <v>13000</v>
      </c>
      <c r="L1319" s="4">
        <v>59000</v>
      </c>
      <c r="M1319" s="7">
        <f t="shared" si="203"/>
        <v>72000</v>
      </c>
      <c r="N1319" s="2" t="s">
        <v>33</v>
      </c>
      <c r="O1319" t="s">
        <v>22</v>
      </c>
      <c r="P1319" s="2" t="s">
        <v>2370</v>
      </c>
      <c r="Q1319" s="2">
        <v>3</v>
      </c>
      <c r="R1319" s="2" t="s">
        <v>23</v>
      </c>
      <c r="S1319" s="2" t="str">
        <f t="shared" si="204"/>
        <v>Rendah</v>
      </c>
      <c r="T1319" s="2" t="str">
        <f t="shared" si="205"/>
        <v>FALSE</v>
      </c>
      <c r="U1319" s="2" t="str">
        <f t="shared" si="206"/>
        <v>TRUE</v>
      </c>
      <c r="V1319" s="2" t="b">
        <f t="shared" si="207"/>
        <v>0</v>
      </c>
      <c r="W1319" s="2" t="b">
        <f t="shared" si="208"/>
        <v>0</v>
      </c>
      <c r="X1319" s="2" t="b">
        <f t="shared" si="209"/>
        <v>0</v>
      </c>
    </row>
    <row r="1320" spans="1:24" ht="10.5" customHeight="1">
      <c r="A1320" s="2" t="s">
        <v>1691</v>
      </c>
      <c r="B1320" s="3">
        <v>45914.311342592591</v>
      </c>
      <c r="C1320" s="2" t="s">
        <v>110</v>
      </c>
      <c r="D1320" s="2" t="s">
        <v>111</v>
      </c>
      <c r="E1320" s="2" t="s">
        <v>35</v>
      </c>
      <c r="F1320" s="4">
        <v>13500</v>
      </c>
      <c r="G1320" s="5">
        <v>1</v>
      </c>
      <c r="H1320" s="6">
        <v>0</v>
      </c>
      <c r="I1320" s="7">
        <f t="shared" si="200"/>
        <v>13500</v>
      </c>
      <c r="J1320" s="7">
        <f t="shared" si="201"/>
        <v>0</v>
      </c>
      <c r="K1320" s="7">
        <f t="shared" si="202"/>
        <v>13500</v>
      </c>
      <c r="L1320" s="4">
        <v>0</v>
      </c>
      <c r="M1320" s="7">
        <f t="shared" si="203"/>
        <v>13500</v>
      </c>
      <c r="N1320" s="2" t="s">
        <v>33</v>
      </c>
      <c r="O1320" t="s">
        <v>69</v>
      </c>
      <c r="P1320" s="2" t="s">
        <v>2366</v>
      </c>
      <c r="Q1320" s="2">
        <v>4</v>
      </c>
      <c r="R1320" s="2" t="s">
        <v>23</v>
      </c>
      <c r="S1320" s="2" t="str">
        <f t="shared" si="204"/>
        <v>Sangat Rendah</v>
      </c>
      <c r="T1320" s="2" t="str">
        <f t="shared" si="205"/>
        <v>FALSE</v>
      </c>
      <c r="U1320" s="2" t="str">
        <f t="shared" si="206"/>
        <v>FALSE</v>
      </c>
      <c r="V1320" s="2" t="b">
        <f t="shared" si="207"/>
        <v>0</v>
      </c>
      <c r="W1320" s="2" t="b">
        <f t="shared" si="208"/>
        <v>0</v>
      </c>
      <c r="X1320" s="2" t="b">
        <f t="shared" si="209"/>
        <v>1</v>
      </c>
    </row>
    <row r="1321" spans="1:24" ht="10.5" customHeight="1">
      <c r="A1321" s="2" t="s">
        <v>1692</v>
      </c>
      <c r="B1321" s="3">
        <v>45914.402465277781</v>
      </c>
      <c r="C1321" s="2" t="s">
        <v>443</v>
      </c>
      <c r="D1321" s="2" t="s">
        <v>26</v>
      </c>
      <c r="E1321" s="2" t="s">
        <v>20</v>
      </c>
      <c r="F1321" s="4">
        <v>10000</v>
      </c>
      <c r="G1321" s="5">
        <v>1.4</v>
      </c>
      <c r="H1321" s="6">
        <v>0</v>
      </c>
      <c r="I1321" s="7">
        <f t="shared" si="200"/>
        <v>14000</v>
      </c>
      <c r="J1321" s="7">
        <f t="shared" si="201"/>
        <v>0</v>
      </c>
      <c r="K1321" s="7">
        <f t="shared" si="202"/>
        <v>14000</v>
      </c>
      <c r="L1321" s="4">
        <v>17000</v>
      </c>
      <c r="M1321" s="7">
        <f t="shared" si="203"/>
        <v>31000</v>
      </c>
      <c r="N1321" s="2" t="s">
        <v>58</v>
      </c>
      <c r="O1321" t="s">
        <v>22</v>
      </c>
      <c r="P1321" s="2" t="s">
        <v>2366</v>
      </c>
      <c r="Q1321" s="2">
        <v>4</v>
      </c>
      <c r="R1321" s="2" t="s">
        <v>34</v>
      </c>
      <c r="S1321" s="2" t="str">
        <f t="shared" si="204"/>
        <v>Sangat Rendah</v>
      </c>
      <c r="T1321" s="2" t="str">
        <f t="shared" si="205"/>
        <v>FALSE</v>
      </c>
      <c r="U1321" s="2" t="str">
        <f t="shared" si="206"/>
        <v>FALSE</v>
      </c>
      <c r="V1321" s="2" t="b">
        <f t="shared" si="207"/>
        <v>0</v>
      </c>
      <c r="W1321" s="2" t="b">
        <f t="shared" si="208"/>
        <v>0</v>
      </c>
      <c r="X1321" s="2" t="b">
        <f t="shared" si="209"/>
        <v>0</v>
      </c>
    </row>
    <row r="1322" spans="1:24" ht="10.5" customHeight="1">
      <c r="A1322" s="2" t="s">
        <v>1693</v>
      </c>
      <c r="B1322" s="3">
        <v>45914.580300925933</v>
      </c>
      <c r="C1322" s="2" t="s">
        <v>1610</v>
      </c>
      <c r="D1322" s="2" t="s">
        <v>84</v>
      </c>
      <c r="E1322" s="2" t="s">
        <v>65</v>
      </c>
      <c r="F1322" s="4">
        <v>46000</v>
      </c>
      <c r="G1322" s="5">
        <v>1.1000000000000001</v>
      </c>
      <c r="H1322" s="6">
        <v>0</v>
      </c>
      <c r="I1322" s="7">
        <f t="shared" si="200"/>
        <v>50600.000000000007</v>
      </c>
      <c r="J1322" s="7">
        <f t="shared" si="201"/>
        <v>0</v>
      </c>
      <c r="K1322" s="7">
        <f t="shared" si="202"/>
        <v>50600.000000000007</v>
      </c>
      <c r="L1322" s="4">
        <v>30000</v>
      </c>
      <c r="M1322" s="7">
        <f t="shared" si="203"/>
        <v>80600</v>
      </c>
      <c r="N1322" s="2" t="s">
        <v>33</v>
      </c>
      <c r="O1322" t="s">
        <v>22</v>
      </c>
      <c r="P1322" s="2" t="s">
        <v>2365</v>
      </c>
      <c r="Q1322" s="2">
        <v>1</v>
      </c>
      <c r="R1322" s="2" t="s">
        <v>23</v>
      </c>
      <c r="S1322" s="2" t="str">
        <f t="shared" si="204"/>
        <v>Rendah</v>
      </c>
      <c r="T1322" s="2" t="str">
        <f t="shared" si="205"/>
        <v>FALSE</v>
      </c>
      <c r="U1322" s="2" t="str">
        <f t="shared" si="206"/>
        <v>FALSE</v>
      </c>
      <c r="V1322" s="2" t="b">
        <f t="shared" si="207"/>
        <v>0</v>
      </c>
      <c r="W1322" s="2" t="b">
        <f t="shared" si="208"/>
        <v>0</v>
      </c>
      <c r="X1322" s="2" t="b">
        <f t="shared" si="209"/>
        <v>0</v>
      </c>
    </row>
    <row r="1323" spans="1:24" ht="10.5" customHeight="1">
      <c r="A1323" s="2" t="s">
        <v>1694</v>
      </c>
      <c r="B1323" s="3">
        <v>45914.608865740738</v>
      </c>
      <c r="C1323" s="2" t="s">
        <v>301</v>
      </c>
      <c r="D1323" s="2" t="s">
        <v>108</v>
      </c>
      <c r="E1323" s="2" t="s">
        <v>57</v>
      </c>
      <c r="F1323" s="4">
        <v>17500</v>
      </c>
      <c r="G1323" s="5">
        <v>3.2</v>
      </c>
      <c r="H1323" s="6">
        <v>0</v>
      </c>
      <c r="I1323" s="7">
        <f t="shared" si="200"/>
        <v>56000</v>
      </c>
      <c r="J1323" s="7">
        <f t="shared" si="201"/>
        <v>0</v>
      </c>
      <c r="K1323" s="7">
        <f t="shared" si="202"/>
        <v>56000</v>
      </c>
      <c r="L1323" s="4">
        <v>72000</v>
      </c>
      <c r="M1323" s="7">
        <f t="shared" si="203"/>
        <v>128000</v>
      </c>
      <c r="N1323" s="2" t="s">
        <v>28</v>
      </c>
      <c r="O1323" t="s">
        <v>69</v>
      </c>
      <c r="P1323" s="2" t="s">
        <v>2366</v>
      </c>
      <c r="Q1323" s="2">
        <v>1</v>
      </c>
      <c r="R1323" s="2" t="s">
        <v>23</v>
      </c>
      <c r="S1323" s="2" t="str">
        <f t="shared" si="204"/>
        <v>Standar</v>
      </c>
      <c r="T1323" s="2" t="str">
        <f t="shared" si="205"/>
        <v>FALSE</v>
      </c>
      <c r="U1323" s="2" t="str">
        <f t="shared" si="206"/>
        <v>FALSE</v>
      </c>
      <c r="V1323" s="2" t="b">
        <f t="shared" si="207"/>
        <v>0</v>
      </c>
      <c r="W1323" s="2" t="b">
        <f t="shared" si="208"/>
        <v>0</v>
      </c>
      <c r="X1323" s="2" t="b">
        <f t="shared" si="209"/>
        <v>0</v>
      </c>
    </row>
    <row r="1324" spans="1:24" ht="10.5" customHeight="1">
      <c r="A1324" s="2" t="s">
        <v>1695</v>
      </c>
      <c r="B1324" s="3">
        <v>45915.698993055557</v>
      </c>
      <c r="C1324" s="2" t="s">
        <v>517</v>
      </c>
      <c r="D1324" s="2" t="s">
        <v>164</v>
      </c>
      <c r="E1324" s="2" t="s">
        <v>41</v>
      </c>
      <c r="F1324" s="4">
        <v>40000</v>
      </c>
      <c r="G1324" s="5">
        <v>0.5</v>
      </c>
      <c r="H1324" s="6">
        <v>0</v>
      </c>
      <c r="I1324" s="7">
        <f t="shared" si="200"/>
        <v>20000</v>
      </c>
      <c r="J1324" s="7">
        <f t="shared" si="201"/>
        <v>0</v>
      </c>
      <c r="K1324" s="7">
        <f t="shared" si="202"/>
        <v>20000</v>
      </c>
      <c r="L1324" s="4">
        <v>49000</v>
      </c>
      <c r="M1324" s="7">
        <f t="shared" si="203"/>
        <v>69000</v>
      </c>
      <c r="N1324" s="2" t="s">
        <v>28</v>
      </c>
      <c r="O1324" t="s">
        <v>22</v>
      </c>
      <c r="P1324" s="2" t="s">
        <v>2366</v>
      </c>
      <c r="Q1324" s="2">
        <v>5</v>
      </c>
      <c r="R1324" s="2" t="s">
        <v>23</v>
      </c>
      <c r="S1324" s="2" t="str">
        <f t="shared" si="204"/>
        <v>Rendah</v>
      </c>
      <c r="T1324" s="2" t="str">
        <f t="shared" si="205"/>
        <v>FALSE</v>
      </c>
      <c r="U1324" s="2" t="str">
        <f t="shared" si="206"/>
        <v>FALSE</v>
      </c>
      <c r="V1324" s="2" t="b">
        <f t="shared" si="207"/>
        <v>0</v>
      </c>
      <c r="W1324" s="2" t="b">
        <f t="shared" si="208"/>
        <v>0</v>
      </c>
      <c r="X1324" s="2" t="b">
        <f t="shared" si="209"/>
        <v>0</v>
      </c>
    </row>
    <row r="1325" spans="1:24" ht="10.5" customHeight="1">
      <c r="A1325" s="2" t="s">
        <v>1696</v>
      </c>
      <c r="B1325" s="3">
        <v>45917.434467592589</v>
      </c>
      <c r="C1325" s="2" t="s">
        <v>1513</v>
      </c>
      <c r="D1325" s="2" t="s">
        <v>87</v>
      </c>
      <c r="E1325" s="2" t="s">
        <v>99</v>
      </c>
      <c r="F1325" s="4">
        <v>10000</v>
      </c>
      <c r="G1325" s="5">
        <v>0.8</v>
      </c>
      <c r="H1325" s="6">
        <v>0</v>
      </c>
      <c r="I1325" s="7">
        <f t="shared" si="200"/>
        <v>8000</v>
      </c>
      <c r="J1325" s="7">
        <f t="shared" si="201"/>
        <v>0</v>
      </c>
      <c r="K1325" s="7">
        <f t="shared" si="202"/>
        <v>8000</v>
      </c>
      <c r="L1325" s="4">
        <v>49000</v>
      </c>
      <c r="M1325" s="7">
        <f t="shared" si="203"/>
        <v>57000</v>
      </c>
      <c r="N1325" s="2" t="s">
        <v>33</v>
      </c>
      <c r="O1325" t="s">
        <v>69</v>
      </c>
      <c r="P1325" s="2" t="s">
        <v>2366</v>
      </c>
      <c r="Q1325" s="2">
        <v>1</v>
      </c>
      <c r="R1325" s="2" t="s">
        <v>23</v>
      </c>
      <c r="S1325" s="2" t="str">
        <f t="shared" si="204"/>
        <v>Rendah</v>
      </c>
      <c r="T1325" s="2" t="str">
        <f t="shared" si="205"/>
        <v>FALSE</v>
      </c>
      <c r="U1325" s="2" t="str">
        <f t="shared" si="206"/>
        <v>FALSE</v>
      </c>
      <c r="V1325" s="2" t="b">
        <f t="shared" si="207"/>
        <v>0</v>
      </c>
      <c r="W1325" s="2" t="b">
        <f t="shared" si="208"/>
        <v>0</v>
      </c>
      <c r="X1325" s="2" t="b">
        <f t="shared" si="209"/>
        <v>0</v>
      </c>
    </row>
    <row r="1326" spans="1:24" ht="10.5" customHeight="1">
      <c r="A1326" s="2" t="s">
        <v>1697</v>
      </c>
      <c r="B1326" s="3">
        <v>45917.612453703703</v>
      </c>
      <c r="C1326" s="2" t="s">
        <v>473</v>
      </c>
      <c r="D1326" s="2" t="s">
        <v>160</v>
      </c>
      <c r="E1326" s="2" t="s">
        <v>95</v>
      </c>
      <c r="F1326" s="4">
        <v>9500</v>
      </c>
      <c r="G1326" s="5">
        <v>1</v>
      </c>
      <c r="H1326" s="6">
        <v>0</v>
      </c>
      <c r="I1326" s="7">
        <f t="shared" si="200"/>
        <v>9500</v>
      </c>
      <c r="J1326" s="7">
        <f t="shared" si="201"/>
        <v>0</v>
      </c>
      <c r="K1326" s="7">
        <f t="shared" si="202"/>
        <v>9500</v>
      </c>
      <c r="L1326" s="4">
        <v>46000</v>
      </c>
      <c r="M1326" s="7">
        <f t="shared" si="203"/>
        <v>55500</v>
      </c>
      <c r="N1326" s="2" t="s">
        <v>33</v>
      </c>
      <c r="O1326" t="s">
        <v>22</v>
      </c>
      <c r="P1326" s="2" t="s">
        <v>2365</v>
      </c>
      <c r="Q1326" s="2">
        <v>2</v>
      </c>
      <c r="R1326" s="2" t="s">
        <v>23</v>
      </c>
      <c r="S1326" s="2" t="str">
        <f t="shared" si="204"/>
        <v>Rendah</v>
      </c>
      <c r="T1326" s="2" t="str">
        <f t="shared" si="205"/>
        <v>FALSE</v>
      </c>
      <c r="U1326" s="2" t="str">
        <f t="shared" si="206"/>
        <v>FALSE</v>
      </c>
      <c r="V1326" s="2" t="b">
        <f t="shared" si="207"/>
        <v>0</v>
      </c>
      <c r="W1326" s="2" t="b">
        <f t="shared" si="208"/>
        <v>0</v>
      </c>
      <c r="X1326" s="2" t="b">
        <f t="shared" si="209"/>
        <v>0</v>
      </c>
    </row>
    <row r="1327" spans="1:24" ht="10.5" customHeight="1">
      <c r="A1327" s="2" t="s">
        <v>1698</v>
      </c>
      <c r="B1327" s="3">
        <v>45917.880370370367</v>
      </c>
      <c r="C1327" s="2" t="s">
        <v>588</v>
      </c>
      <c r="D1327" s="2" t="s">
        <v>56</v>
      </c>
      <c r="E1327" s="2" t="s">
        <v>143</v>
      </c>
      <c r="F1327" s="4">
        <v>10000</v>
      </c>
      <c r="G1327" s="5">
        <v>1.3</v>
      </c>
      <c r="H1327" s="6">
        <v>0</v>
      </c>
      <c r="I1327" s="7">
        <f t="shared" si="200"/>
        <v>13000</v>
      </c>
      <c r="J1327" s="7">
        <f t="shared" si="201"/>
        <v>0</v>
      </c>
      <c r="K1327" s="7">
        <f t="shared" si="202"/>
        <v>13000</v>
      </c>
      <c r="L1327" s="4">
        <v>26000</v>
      </c>
      <c r="M1327" s="7">
        <f t="shared" si="203"/>
        <v>39000</v>
      </c>
      <c r="N1327" s="2" t="s">
        <v>33</v>
      </c>
      <c r="O1327" t="s">
        <v>115</v>
      </c>
      <c r="P1327" s="2" t="s">
        <v>2370</v>
      </c>
      <c r="Q1327" s="2">
        <v>4</v>
      </c>
      <c r="R1327" s="2" t="s">
        <v>23</v>
      </c>
      <c r="S1327" s="2" t="str">
        <f t="shared" si="204"/>
        <v>Sangat Rendah</v>
      </c>
      <c r="T1327" s="2" t="str">
        <f t="shared" si="205"/>
        <v>FALSE</v>
      </c>
      <c r="U1327" s="2" t="str">
        <f t="shared" si="206"/>
        <v>TRUE</v>
      </c>
      <c r="V1327" s="2" t="b">
        <f t="shared" si="207"/>
        <v>0</v>
      </c>
      <c r="W1327" s="2" t="b">
        <f t="shared" si="208"/>
        <v>0</v>
      </c>
      <c r="X1327" s="2" t="b">
        <f t="shared" si="209"/>
        <v>1</v>
      </c>
    </row>
    <row r="1328" spans="1:24" ht="10.5" customHeight="1">
      <c r="A1328" s="2" t="s">
        <v>1699</v>
      </c>
      <c r="B1328" s="3">
        <v>45918.378946759258</v>
      </c>
      <c r="C1328" s="2" t="s">
        <v>1077</v>
      </c>
      <c r="D1328" s="2" t="s">
        <v>133</v>
      </c>
      <c r="E1328" s="2" t="s">
        <v>143</v>
      </c>
      <c r="F1328" s="4">
        <v>10000</v>
      </c>
      <c r="G1328" s="5">
        <v>0.5</v>
      </c>
      <c r="H1328" s="6">
        <v>0</v>
      </c>
      <c r="I1328" s="7">
        <f t="shared" si="200"/>
        <v>5000</v>
      </c>
      <c r="J1328" s="7">
        <f t="shared" si="201"/>
        <v>0</v>
      </c>
      <c r="K1328" s="7">
        <f t="shared" si="202"/>
        <v>5000</v>
      </c>
      <c r="L1328" s="4">
        <v>50000</v>
      </c>
      <c r="M1328" s="7">
        <f t="shared" si="203"/>
        <v>55000</v>
      </c>
      <c r="N1328" s="2" t="s">
        <v>28</v>
      </c>
      <c r="O1328" t="s">
        <v>22</v>
      </c>
      <c r="P1328" s="2" t="s">
        <v>2367</v>
      </c>
      <c r="Q1328" s="2">
        <v>1</v>
      </c>
      <c r="R1328" s="2" t="s">
        <v>23</v>
      </c>
      <c r="S1328" s="2" t="str">
        <f t="shared" si="204"/>
        <v>Rendah</v>
      </c>
      <c r="T1328" s="2" t="str">
        <f t="shared" si="205"/>
        <v>FALSE</v>
      </c>
      <c r="U1328" s="2" t="str">
        <f t="shared" si="206"/>
        <v>TRUE</v>
      </c>
      <c r="V1328" s="2" t="b">
        <f t="shared" si="207"/>
        <v>0</v>
      </c>
      <c r="W1328" s="2" t="b">
        <f t="shared" si="208"/>
        <v>1</v>
      </c>
      <c r="X1328" s="2" t="b">
        <f t="shared" si="209"/>
        <v>0</v>
      </c>
    </row>
    <row r="1329" spans="1:24" ht="10.5" customHeight="1">
      <c r="A1329" s="2" t="s">
        <v>1700</v>
      </c>
      <c r="B1329" s="3">
        <v>45919.104525462957</v>
      </c>
      <c r="C1329" s="2" t="s">
        <v>1356</v>
      </c>
      <c r="D1329" s="2" t="s">
        <v>118</v>
      </c>
      <c r="E1329" s="2" t="s">
        <v>99</v>
      </c>
      <c r="F1329" s="4">
        <v>10000</v>
      </c>
      <c r="G1329" s="5">
        <v>0.9</v>
      </c>
      <c r="H1329" s="6">
        <v>0</v>
      </c>
      <c r="I1329" s="7">
        <f t="shared" si="200"/>
        <v>9000</v>
      </c>
      <c r="J1329" s="7">
        <f t="shared" si="201"/>
        <v>0</v>
      </c>
      <c r="K1329" s="7">
        <f t="shared" si="202"/>
        <v>9000</v>
      </c>
      <c r="L1329" s="4">
        <v>84000</v>
      </c>
      <c r="M1329" s="7">
        <f t="shared" si="203"/>
        <v>93000</v>
      </c>
      <c r="N1329" s="2" t="s">
        <v>21</v>
      </c>
      <c r="O1329" t="s">
        <v>22</v>
      </c>
      <c r="P1329" s="2" t="s">
        <v>2367</v>
      </c>
      <c r="Q1329" s="2">
        <v>4</v>
      </c>
      <c r="R1329" s="2" t="s">
        <v>23</v>
      </c>
      <c r="S1329" s="2" t="str">
        <f t="shared" si="204"/>
        <v>Rendah</v>
      </c>
      <c r="T1329" s="2" t="str">
        <f t="shared" si="205"/>
        <v>FALSE</v>
      </c>
      <c r="U1329" s="2" t="str">
        <f t="shared" si="206"/>
        <v>FALSE</v>
      </c>
      <c r="V1329" s="2" t="b">
        <f t="shared" si="207"/>
        <v>0</v>
      </c>
      <c r="W1329" s="2" t="b">
        <f t="shared" si="208"/>
        <v>1</v>
      </c>
      <c r="X1329" s="2" t="b">
        <f t="shared" si="209"/>
        <v>0</v>
      </c>
    </row>
    <row r="1330" spans="1:24" ht="10.5" customHeight="1">
      <c r="A1330" s="2" t="s">
        <v>1701</v>
      </c>
      <c r="B1330" s="3">
        <v>45919.867025462961</v>
      </c>
      <c r="C1330" s="2" t="s">
        <v>43</v>
      </c>
      <c r="D1330" s="2" t="s">
        <v>44</v>
      </c>
      <c r="E1330" s="2" t="s">
        <v>190</v>
      </c>
      <c r="F1330" s="4">
        <v>15500</v>
      </c>
      <c r="G1330" s="5">
        <v>0.4</v>
      </c>
      <c r="H1330" s="6">
        <v>0</v>
      </c>
      <c r="I1330" s="7">
        <f t="shared" si="200"/>
        <v>6200</v>
      </c>
      <c r="J1330" s="7">
        <f t="shared" si="201"/>
        <v>0</v>
      </c>
      <c r="K1330" s="7">
        <f t="shared" si="202"/>
        <v>6200</v>
      </c>
      <c r="L1330" s="4">
        <v>43000</v>
      </c>
      <c r="M1330" s="7">
        <f t="shared" si="203"/>
        <v>49200</v>
      </c>
      <c r="N1330" s="2" t="s">
        <v>58</v>
      </c>
      <c r="O1330" t="s">
        <v>22</v>
      </c>
      <c r="P1330" s="2" t="s">
        <v>2370</v>
      </c>
      <c r="Q1330" s="2">
        <v>2</v>
      </c>
      <c r="R1330" s="2" t="s">
        <v>23</v>
      </c>
      <c r="S1330" s="2" t="str">
        <f t="shared" si="204"/>
        <v>Sangat Rendah</v>
      </c>
      <c r="T1330" s="2" t="str">
        <f t="shared" si="205"/>
        <v>FALSE</v>
      </c>
      <c r="U1330" s="2" t="str">
        <f t="shared" si="206"/>
        <v>FALSE</v>
      </c>
      <c r="V1330" s="2" t="b">
        <f t="shared" si="207"/>
        <v>0</v>
      </c>
      <c r="W1330" s="2" t="b">
        <f t="shared" si="208"/>
        <v>0</v>
      </c>
      <c r="X1330" s="2" t="b">
        <f t="shared" si="209"/>
        <v>1</v>
      </c>
    </row>
    <row r="1331" spans="1:24" ht="10.5" customHeight="1">
      <c r="A1331" s="2" t="s">
        <v>1702</v>
      </c>
      <c r="B1331" s="3">
        <v>45920.469421296293</v>
      </c>
      <c r="C1331" s="2" t="s">
        <v>406</v>
      </c>
      <c r="D1331" s="2" t="s">
        <v>123</v>
      </c>
      <c r="E1331" s="2" t="s">
        <v>35</v>
      </c>
      <c r="F1331" s="4">
        <v>13500</v>
      </c>
      <c r="G1331" s="5">
        <v>1.3</v>
      </c>
      <c r="H1331" s="6">
        <v>0</v>
      </c>
      <c r="I1331" s="7">
        <f t="shared" si="200"/>
        <v>17550</v>
      </c>
      <c r="J1331" s="7">
        <f t="shared" si="201"/>
        <v>0</v>
      </c>
      <c r="K1331" s="7">
        <f t="shared" si="202"/>
        <v>17550</v>
      </c>
      <c r="L1331" s="4">
        <v>59000</v>
      </c>
      <c r="M1331" s="7">
        <f t="shared" si="203"/>
        <v>76550</v>
      </c>
      <c r="N1331" s="2" t="s">
        <v>28</v>
      </c>
      <c r="O1331" t="s">
        <v>22</v>
      </c>
      <c r="P1331" s="2" t="s">
        <v>2370</v>
      </c>
      <c r="Q1331" s="2">
        <v>3</v>
      </c>
      <c r="R1331" s="2" t="s">
        <v>23</v>
      </c>
      <c r="S1331" s="2" t="str">
        <f t="shared" si="204"/>
        <v>Rendah</v>
      </c>
      <c r="T1331" s="2" t="str">
        <f t="shared" si="205"/>
        <v>FALSE</v>
      </c>
      <c r="U1331" s="2" t="str">
        <f t="shared" si="206"/>
        <v>FALSE</v>
      </c>
      <c r="V1331" s="2" t="b">
        <f t="shared" si="207"/>
        <v>0</v>
      </c>
      <c r="W1331" s="2" t="b">
        <f t="shared" si="208"/>
        <v>0</v>
      </c>
      <c r="X1331" s="2" t="b">
        <f t="shared" si="209"/>
        <v>0</v>
      </c>
    </row>
    <row r="1332" spans="1:24" ht="10.5" customHeight="1">
      <c r="A1332" s="2" t="s">
        <v>1703</v>
      </c>
      <c r="B1332" s="3">
        <v>45920.943761574083</v>
      </c>
      <c r="C1332" s="2" t="s">
        <v>1231</v>
      </c>
      <c r="D1332" s="2" t="s">
        <v>74</v>
      </c>
      <c r="E1332" s="2" t="s">
        <v>32</v>
      </c>
      <c r="F1332" s="4">
        <v>20000</v>
      </c>
      <c r="G1332" s="5">
        <v>0.7</v>
      </c>
      <c r="H1332" s="6">
        <v>0</v>
      </c>
      <c r="I1332" s="7">
        <f t="shared" si="200"/>
        <v>14000</v>
      </c>
      <c r="J1332" s="7">
        <f t="shared" si="201"/>
        <v>0</v>
      </c>
      <c r="K1332" s="7">
        <f t="shared" si="202"/>
        <v>14000</v>
      </c>
      <c r="L1332" s="4">
        <v>74000</v>
      </c>
      <c r="M1332" s="7">
        <f t="shared" si="203"/>
        <v>88000</v>
      </c>
      <c r="N1332" s="2" t="s">
        <v>58</v>
      </c>
      <c r="O1332" t="s">
        <v>22</v>
      </c>
      <c r="P1332" s="2" t="s">
        <v>2367</v>
      </c>
      <c r="Q1332" s="2">
        <v>5</v>
      </c>
      <c r="R1332" s="2" t="s">
        <v>23</v>
      </c>
      <c r="S1332" s="2" t="str">
        <f t="shared" si="204"/>
        <v>Rendah</v>
      </c>
      <c r="T1332" s="2" t="str">
        <f t="shared" si="205"/>
        <v>FALSE</v>
      </c>
      <c r="U1332" s="2" t="str">
        <f t="shared" si="206"/>
        <v>FALSE</v>
      </c>
      <c r="V1332" s="2" t="b">
        <f t="shared" si="207"/>
        <v>0</v>
      </c>
      <c r="W1332" s="2" t="b">
        <f t="shared" si="208"/>
        <v>1</v>
      </c>
      <c r="X1332" s="2" t="b">
        <f t="shared" si="209"/>
        <v>0</v>
      </c>
    </row>
    <row r="1333" spans="1:24" ht="10.5" customHeight="1">
      <c r="A1333" s="2" t="s">
        <v>1704</v>
      </c>
      <c r="B1333" s="3">
        <v>45921.115104166667</v>
      </c>
      <c r="C1333" s="2" t="s">
        <v>560</v>
      </c>
      <c r="D1333" s="2" t="s">
        <v>74</v>
      </c>
      <c r="E1333" s="2" t="s">
        <v>102</v>
      </c>
      <c r="F1333" s="4">
        <v>55000</v>
      </c>
      <c r="G1333" s="5">
        <v>0.8</v>
      </c>
      <c r="H1333" s="6">
        <v>0</v>
      </c>
      <c r="I1333" s="7">
        <f t="shared" si="200"/>
        <v>44000</v>
      </c>
      <c r="J1333" s="7">
        <f t="shared" si="201"/>
        <v>0</v>
      </c>
      <c r="K1333" s="7">
        <f t="shared" si="202"/>
        <v>44000</v>
      </c>
      <c r="L1333" s="4">
        <v>74000</v>
      </c>
      <c r="M1333" s="7">
        <f t="shared" si="203"/>
        <v>118000</v>
      </c>
      <c r="N1333" s="2" t="s">
        <v>21</v>
      </c>
      <c r="O1333" t="s">
        <v>22</v>
      </c>
      <c r="P1333" s="2" t="s">
        <v>2365</v>
      </c>
      <c r="Q1333" s="2">
        <v>5</v>
      </c>
      <c r="R1333" s="2" t="s">
        <v>23</v>
      </c>
      <c r="S1333" s="2" t="str">
        <f t="shared" si="204"/>
        <v>Standar</v>
      </c>
      <c r="T1333" s="2" t="str">
        <f t="shared" si="205"/>
        <v>FALSE</v>
      </c>
      <c r="U1333" s="2" t="str">
        <f t="shared" si="206"/>
        <v>FALSE</v>
      </c>
      <c r="V1333" s="2" t="b">
        <f t="shared" si="207"/>
        <v>0</v>
      </c>
      <c r="W1333" s="2" t="b">
        <f t="shared" si="208"/>
        <v>0</v>
      </c>
      <c r="X1333" s="2" t="b">
        <f t="shared" si="209"/>
        <v>0</v>
      </c>
    </row>
    <row r="1334" spans="1:24" ht="10.5" customHeight="1">
      <c r="A1334" s="2" t="s">
        <v>1704</v>
      </c>
      <c r="B1334" s="3">
        <v>45921.115104166667</v>
      </c>
      <c r="C1334" s="2" t="s">
        <v>560</v>
      </c>
      <c r="D1334" s="2" t="s">
        <v>74</v>
      </c>
      <c r="E1334" s="2" t="s">
        <v>65</v>
      </c>
      <c r="F1334" s="4">
        <v>46000</v>
      </c>
      <c r="G1334" s="5">
        <v>1.3</v>
      </c>
      <c r="H1334" s="6">
        <v>0</v>
      </c>
      <c r="I1334" s="7">
        <f t="shared" si="200"/>
        <v>59800</v>
      </c>
      <c r="J1334" s="7">
        <f t="shared" si="201"/>
        <v>0</v>
      </c>
      <c r="K1334" s="7">
        <f t="shared" si="202"/>
        <v>59800</v>
      </c>
      <c r="L1334" s="4">
        <v>0</v>
      </c>
      <c r="M1334" s="7">
        <f t="shared" si="203"/>
        <v>59800</v>
      </c>
      <c r="N1334" s="2" t="s">
        <v>21</v>
      </c>
      <c r="O1334" t="s">
        <v>22</v>
      </c>
      <c r="P1334" s="2" t="s">
        <v>2365</v>
      </c>
      <c r="Q1334" s="2">
        <v>5</v>
      </c>
      <c r="R1334" s="2" t="s">
        <v>23</v>
      </c>
      <c r="S1334" s="2" t="str">
        <f t="shared" si="204"/>
        <v>Rendah</v>
      </c>
      <c r="T1334" s="2" t="str">
        <f t="shared" si="205"/>
        <v>FALSE</v>
      </c>
      <c r="U1334" s="2" t="str">
        <f t="shared" si="206"/>
        <v>FALSE</v>
      </c>
      <c r="V1334" s="2" t="b">
        <f t="shared" si="207"/>
        <v>0</v>
      </c>
      <c r="W1334" s="2" t="b">
        <f t="shared" si="208"/>
        <v>0</v>
      </c>
      <c r="X1334" s="2" t="b">
        <f t="shared" si="209"/>
        <v>0</v>
      </c>
    </row>
    <row r="1335" spans="1:24" ht="10.5" customHeight="1">
      <c r="A1335" s="2" t="s">
        <v>1705</v>
      </c>
      <c r="B1335" s="3">
        <v>45922.299699074072</v>
      </c>
      <c r="C1335" s="2" t="s">
        <v>1023</v>
      </c>
      <c r="D1335" s="2" t="s">
        <v>114</v>
      </c>
      <c r="E1335" s="2" t="s">
        <v>27</v>
      </c>
      <c r="F1335" s="4">
        <v>15000</v>
      </c>
      <c r="G1335" s="5">
        <v>0.3</v>
      </c>
      <c r="H1335" s="6">
        <v>0</v>
      </c>
      <c r="I1335" s="7">
        <f t="shared" si="200"/>
        <v>4500</v>
      </c>
      <c r="J1335" s="7">
        <f t="shared" si="201"/>
        <v>0</v>
      </c>
      <c r="K1335" s="7">
        <f t="shared" si="202"/>
        <v>4500</v>
      </c>
      <c r="L1335" s="4">
        <v>78000</v>
      </c>
      <c r="M1335" s="7">
        <f t="shared" si="203"/>
        <v>82500</v>
      </c>
      <c r="N1335" s="2" t="s">
        <v>21</v>
      </c>
      <c r="O1335" t="s">
        <v>22</v>
      </c>
      <c r="P1335" s="2" t="s">
        <v>2368</v>
      </c>
      <c r="Q1335" s="2">
        <v>5</v>
      </c>
      <c r="R1335" s="2" t="s">
        <v>23</v>
      </c>
      <c r="S1335" s="2" t="str">
        <f t="shared" si="204"/>
        <v>Rendah</v>
      </c>
      <c r="T1335" s="2" t="str">
        <f t="shared" si="205"/>
        <v>TRUE</v>
      </c>
      <c r="U1335" s="2" t="str">
        <f t="shared" si="206"/>
        <v>FALSE</v>
      </c>
      <c r="V1335" s="2" t="b">
        <f t="shared" si="207"/>
        <v>0</v>
      </c>
      <c r="W1335" s="2" t="b">
        <f t="shared" si="208"/>
        <v>0</v>
      </c>
      <c r="X1335" s="2" t="b">
        <f t="shared" si="209"/>
        <v>0</v>
      </c>
    </row>
    <row r="1336" spans="1:24" ht="10.5" customHeight="1">
      <c r="A1336" s="2" t="s">
        <v>1706</v>
      </c>
      <c r="B1336" s="3">
        <v>45922.552523148152</v>
      </c>
      <c r="C1336" s="2" t="s">
        <v>417</v>
      </c>
      <c r="D1336" s="2" t="s">
        <v>94</v>
      </c>
      <c r="E1336" s="2" t="s">
        <v>182</v>
      </c>
      <c r="F1336" s="4">
        <v>11000</v>
      </c>
      <c r="G1336" s="5">
        <v>2</v>
      </c>
      <c r="H1336" s="6">
        <v>0</v>
      </c>
      <c r="I1336" s="7">
        <f t="shared" si="200"/>
        <v>22000</v>
      </c>
      <c r="J1336" s="7">
        <f t="shared" si="201"/>
        <v>0</v>
      </c>
      <c r="K1336" s="7">
        <f t="shared" si="202"/>
        <v>22000</v>
      </c>
      <c r="L1336" s="4">
        <v>85000</v>
      </c>
      <c r="M1336" s="7">
        <f t="shared" si="203"/>
        <v>107000</v>
      </c>
      <c r="N1336" s="2" t="s">
        <v>21</v>
      </c>
      <c r="O1336" t="s">
        <v>69</v>
      </c>
      <c r="P1336" s="2" t="s">
        <v>2368</v>
      </c>
      <c r="Q1336" s="2">
        <v>1</v>
      </c>
      <c r="R1336" s="2" t="s">
        <v>23</v>
      </c>
      <c r="S1336" s="2" t="str">
        <f t="shared" si="204"/>
        <v>Standar</v>
      </c>
      <c r="T1336" s="2" t="str">
        <f t="shared" si="205"/>
        <v>FALSE</v>
      </c>
      <c r="U1336" s="2" t="str">
        <f t="shared" si="206"/>
        <v>FALSE</v>
      </c>
      <c r="V1336" s="2" t="b">
        <f t="shared" si="207"/>
        <v>0</v>
      </c>
      <c r="W1336" s="2" t="b">
        <f t="shared" si="208"/>
        <v>0</v>
      </c>
      <c r="X1336" s="2" t="b">
        <f t="shared" si="209"/>
        <v>0</v>
      </c>
    </row>
    <row r="1337" spans="1:24" ht="10.5" customHeight="1">
      <c r="A1337" s="2" t="s">
        <v>1706</v>
      </c>
      <c r="B1337" s="3">
        <v>45922.552523148152</v>
      </c>
      <c r="C1337" s="2" t="s">
        <v>417</v>
      </c>
      <c r="D1337" s="2" t="s">
        <v>94</v>
      </c>
      <c r="E1337" s="2" t="s">
        <v>20</v>
      </c>
      <c r="F1337" s="4">
        <v>10000</v>
      </c>
      <c r="G1337" s="5">
        <v>1.9</v>
      </c>
      <c r="H1337" s="6">
        <v>0</v>
      </c>
      <c r="I1337" s="7">
        <f t="shared" si="200"/>
        <v>19000</v>
      </c>
      <c r="J1337" s="7">
        <f t="shared" si="201"/>
        <v>0</v>
      </c>
      <c r="K1337" s="7">
        <f t="shared" si="202"/>
        <v>19000</v>
      </c>
      <c r="L1337" s="4">
        <v>0</v>
      </c>
      <c r="M1337" s="7">
        <f t="shared" si="203"/>
        <v>19000</v>
      </c>
      <c r="N1337" s="2" t="s">
        <v>21</v>
      </c>
      <c r="O1337" t="s">
        <v>69</v>
      </c>
      <c r="P1337" s="2" t="s">
        <v>2368</v>
      </c>
      <c r="Q1337" s="2">
        <v>1</v>
      </c>
      <c r="R1337" s="2" t="s">
        <v>23</v>
      </c>
      <c r="S1337" s="2" t="str">
        <f t="shared" si="204"/>
        <v>Sangat Rendah</v>
      </c>
      <c r="T1337" s="2" t="str">
        <f t="shared" si="205"/>
        <v>FALSE</v>
      </c>
      <c r="U1337" s="2" t="str">
        <f t="shared" si="206"/>
        <v>FALSE</v>
      </c>
      <c r="V1337" s="2" t="b">
        <f t="shared" si="207"/>
        <v>0</v>
      </c>
      <c r="W1337" s="2" t="b">
        <f t="shared" si="208"/>
        <v>0</v>
      </c>
      <c r="X1337" s="2" t="b">
        <f t="shared" si="209"/>
        <v>1</v>
      </c>
    </row>
    <row r="1338" spans="1:24" ht="10.5" customHeight="1">
      <c r="A1338" s="2" t="s">
        <v>1707</v>
      </c>
      <c r="B1338" s="3">
        <v>45923.936863425923</v>
      </c>
      <c r="C1338" s="2" t="s">
        <v>194</v>
      </c>
      <c r="D1338" s="2" t="s">
        <v>19</v>
      </c>
      <c r="E1338" s="2" t="s">
        <v>170</v>
      </c>
      <c r="F1338" s="4">
        <v>12000</v>
      </c>
      <c r="G1338" s="5">
        <v>0.9</v>
      </c>
      <c r="H1338" s="6">
        <v>0</v>
      </c>
      <c r="I1338" s="7">
        <f t="shared" si="200"/>
        <v>10800</v>
      </c>
      <c r="J1338" s="7">
        <f t="shared" si="201"/>
        <v>0</v>
      </c>
      <c r="K1338" s="7">
        <f t="shared" si="202"/>
        <v>10800</v>
      </c>
      <c r="L1338" s="4">
        <v>15000</v>
      </c>
      <c r="M1338" s="7">
        <f t="shared" si="203"/>
        <v>25800</v>
      </c>
      <c r="N1338" s="2" t="s">
        <v>28</v>
      </c>
      <c r="O1338" t="s">
        <v>22</v>
      </c>
      <c r="P1338" s="2" t="s">
        <v>2365</v>
      </c>
      <c r="Q1338" s="2">
        <v>4</v>
      </c>
      <c r="R1338" s="2" t="s">
        <v>23</v>
      </c>
      <c r="S1338" s="2" t="str">
        <f t="shared" si="204"/>
        <v>Sangat Rendah</v>
      </c>
      <c r="T1338" s="2" t="str">
        <f t="shared" si="205"/>
        <v>FALSE</v>
      </c>
      <c r="U1338" s="2" t="str">
        <f t="shared" si="206"/>
        <v>FALSE</v>
      </c>
      <c r="V1338" s="2" t="b">
        <f t="shared" si="207"/>
        <v>0</v>
      </c>
      <c r="W1338" s="2" t="b">
        <f t="shared" si="208"/>
        <v>0</v>
      </c>
      <c r="X1338" s="2" t="b">
        <f t="shared" si="209"/>
        <v>1</v>
      </c>
    </row>
    <row r="1339" spans="1:24" ht="10.5" customHeight="1">
      <c r="A1339" s="2" t="s">
        <v>1708</v>
      </c>
      <c r="B1339" s="3">
        <v>45924.259456018517</v>
      </c>
      <c r="C1339" s="2" t="s">
        <v>323</v>
      </c>
      <c r="D1339" s="2" t="s">
        <v>98</v>
      </c>
      <c r="E1339" s="2" t="s">
        <v>27</v>
      </c>
      <c r="F1339" s="4">
        <v>15000</v>
      </c>
      <c r="G1339" s="5">
        <v>0.9</v>
      </c>
      <c r="H1339" s="6">
        <v>0</v>
      </c>
      <c r="I1339" s="7">
        <f t="shared" si="200"/>
        <v>13500</v>
      </c>
      <c r="J1339" s="7">
        <f t="shared" si="201"/>
        <v>0</v>
      </c>
      <c r="K1339" s="7">
        <f t="shared" si="202"/>
        <v>13500</v>
      </c>
      <c r="L1339" s="4">
        <v>97000</v>
      </c>
      <c r="M1339" s="7">
        <f t="shared" si="203"/>
        <v>110500</v>
      </c>
      <c r="N1339" s="2" t="s">
        <v>33</v>
      </c>
      <c r="O1339" t="s">
        <v>22</v>
      </c>
      <c r="P1339" s="2" t="s">
        <v>2368</v>
      </c>
      <c r="Q1339" s="2">
        <v>2</v>
      </c>
      <c r="R1339" s="2" t="s">
        <v>34</v>
      </c>
      <c r="S1339" s="2" t="str">
        <f t="shared" si="204"/>
        <v>Standar</v>
      </c>
      <c r="T1339" s="2" t="str">
        <f t="shared" si="205"/>
        <v>FALSE</v>
      </c>
      <c r="U1339" s="2" t="str">
        <f t="shared" si="206"/>
        <v>FALSE</v>
      </c>
      <c r="V1339" s="2" t="b">
        <f t="shared" si="207"/>
        <v>0</v>
      </c>
      <c r="W1339" s="2" t="b">
        <f t="shared" si="208"/>
        <v>0</v>
      </c>
      <c r="X1339" s="2" t="b">
        <f t="shared" si="209"/>
        <v>0</v>
      </c>
    </row>
    <row r="1340" spans="1:24" ht="10.5" customHeight="1">
      <c r="A1340" s="2" t="s">
        <v>1709</v>
      </c>
      <c r="B1340" s="3">
        <v>45925.330914351849</v>
      </c>
      <c r="C1340" s="2" t="s">
        <v>198</v>
      </c>
      <c r="D1340" s="2" t="s">
        <v>87</v>
      </c>
      <c r="E1340" s="2" t="s">
        <v>41</v>
      </c>
      <c r="F1340" s="4">
        <v>40000</v>
      </c>
      <c r="G1340" s="5">
        <v>1.1000000000000001</v>
      </c>
      <c r="H1340" s="6">
        <v>5</v>
      </c>
      <c r="I1340" s="7">
        <f t="shared" si="200"/>
        <v>44000</v>
      </c>
      <c r="J1340" s="7">
        <f t="shared" si="201"/>
        <v>2200</v>
      </c>
      <c r="K1340" s="7">
        <f t="shared" si="202"/>
        <v>41800</v>
      </c>
      <c r="L1340" s="4">
        <v>49000</v>
      </c>
      <c r="M1340" s="7">
        <f t="shared" si="203"/>
        <v>90800</v>
      </c>
      <c r="N1340" s="2" t="s">
        <v>28</v>
      </c>
      <c r="O1340" t="s">
        <v>69</v>
      </c>
      <c r="P1340" s="2" t="s">
        <v>2368</v>
      </c>
      <c r="Q1340" s="2">
        <v>5</v>
      </c>
      <c r="R1340" s="2" t="s">
        <v>23</v>
      </c>
      <c r="S1340" s="2" t="str">
        <f t="shared" si="204"/>
        <v>Rendah</v>
      </c>
      <c r="T1340" s="2" t="str">
        <f t="shared" si="205"/>
        <v>FALSE</v>
      </c>
      <c r="U1340" s="2" t="str">
        <f t="shared" si="206"/>
        <v>FALSE</v>
      </c>
      <c r="V1340" s="2" t="b">
        <f t="shared" si="207"/>
        <v>0</v>
      </c>
      <c r="W1340" s="2" t="b">
        <f t="shared" si="208"/>
        <v>0</v>
      </c>
      <c r="X1340" s="2" t="b">
        <f t="shared" si="209"/>
        <v>0</v>
      </c>
    </row>
    <row r="1341" spans="1:24" ht="10.5" customHeight="1">
      <c r="A1341" s="2" t="s">
        <v>1710</v>
      </c>
      <c r="B1341" s="3">
        <v>45925.377002314817</v>
      </c>
      <c r="C1341" s="2" t="s">
        <v>1426</v>
      </c>
      <c r="D1341" s="2" t="s">
        <v>111</v>
      </c>
      <c r="E1341" s="2" t="s">
        <v>20</v>
      </c>
      <c r="F1341" s="4">
        <v>10000</v>
      </c>
      <c r="G1341" s="5">
        <v>1.8</v>
      </c>
      <c r="H1341" s="6">
        <v>5</v>
      </c>
      <c r="I1341" s="7">
        <f t="shared" si="200"/>
        <v>18000</v>
      </c>
      <c r="J1341" s="7">
        <f t="shared" si="201"/>
        <v>900</v>
      </c>
      <c r="K1341" s="7">
        <f t="shared" si="202"/>
        <v>17100</v>
      </c>
      <c r="L1341" s="4">
        <v>0</v>
      </c>
      <c r="M1341" s="7">
        <f t="shared" si="203"/>
        <v>17100</v>
      </c>
      <c r="N1341" s="2" t="s">
        <v>28</v>
      </c>
      <c r="O1341" t="s">
        <v>22</v>
      </c>
      <c r="P1341" s="2" t="s">
        <v>2367</v>
      </c>
      <c r="Q1341" s="2">
        <v>5</v>
      </c>
      <c r="R1341" s="2" t="s">
        <v>23</v>
      </c>
      <c r="S1341" s="2" t="str">
        <f t="shared" si="204"/>
        <v>Sangat Rendah</v>
      </c>
      <c r="T1341" s="2" t="str">
        <f t="shared" si="205"/>
        <v>FALSE</v>
      </c>
      <c r="U1341" s="2" t="str">
        <f t="shared" si="206"/>
        <v>FALSE</v>
      </c>
      <c r="V1341" s="2" t="b">
        <f t="shared" si="207"/>
        <v>0</v>
      </c>
      <c r="W1341" s="2" t="b">
        <f t="shared" si="208"/>
        <v>1</v>
      </c>
      <c r="X1341" s="2" t="b">
        <f t="shared" si="209"/>
        <v>1</v>
      </c>
    </row>
    <row r="1342" spans="1:24" ht="10.5" customHeight="1">
      <c r="A1342" s="2" t="s">
        <v>1711</v>
      </c>
      <c r="B1342" s="3">
        <v>45925.406759259262</v>
      </c>
      <c r="C1342" s="2" t="s">
        <v>211</v>
      </c>
      <c r="D1342" s="2" t="s">
        <v>48</v>
      </c>
      <c r="E1342" s="2" t="s">
        <v>57</v>
      </c>
      <c r="F1342" s="4">
        <v>17500</v>
      </c>
      <c r="G1342" s="5">
        <v>1.9</v>
      </c>
      <c r="H1342" s="6">
        <v>5</v>
      </c>
      <c r="I1342" s="7">
        <f t="shared" si="200"/>
        <v>33250</v>
      </c>
      <c r="J1342" s="7">
        <f t="shared" si="201"/>
        <v>1662.5</v>
      </c>
      <c r="K1342" s="7">
        <f t="shared" si="202"/>
        <v>31587.5</v>
      </c>
      <c r="L1342" s="4">
        <v>18000</v>
      </c>
      <c r="M1342" s="7">
        <f t="shared" si="203"/>
        <v>49587.5</v>
      </c>
      <c r="N1342" s="2" t="s">
        <v>33</v>
      </c>
      <c r="O1342" t="s">
        <v>22</v>
      </c>
      <c r="P1342" s="2" t="s">
        <v>2365</v>
      </c>
      <c r="Q1342" s="2">
        <v>4</v>
      </c>
      <c r="R1342" s="2" t="s">
        <v>23</v>
      </c>
      <c r="S1342" s="2" t="str">
        <f t="shared" si="204"/>
        <v>Sangat Rendah</v>
      </c>
      <c r="T1342" s="2" t="str">
        <f t="shared" si="205"/>
        <v>FALSE</v>
      </c>
      <c r="U1342" s="2" t="str">
        <f t="shared" si="206"/>
        <v>FALSE</v>
      </c>
      <c r="V1342" s="2" t="b">
        <f t="shared" si="207"/>
        <v>0</v>
      </c>
      <c r="W1342" s="2" t="b">
        <f t="shared" si="208"/>
        <v>0</v>
      </c>
      <c r="X1342" s="2" t="b">
        <f t="shared" si="209"/>
        <v>1</v>
      </c>
    </row>
    <row r="1343" spans="1:24" ht="10.5" customHeight="1">
      <c r="A1343" s="2" t="s">
        <v>1712</v>
      </c>
      <c r="B1343" s="3">
        <v>45925.443356481483</v>
      </c>
      <c r="C1343" s="2" t="s">
        <v>196</v>
      </c>
      <c r="D1343" s="2" t="s">
        <v>87</v>
      </c>
      <c r="E1343" s="2" t="s">
        <v>143</v>
      </c>
      <c r="F1343" s="4">
        <v>10000</v>
      </c>
      <c r="G1343" s="5">
        <v>0.8</v>
      </c>
      <c r="H1343" s="6">
        <v>5</v>
      </c>
      <c r="I1343" s="7">
        <f t="shared" si="200"/>
        <v>8000</v>
      </c>
      <c r="J1343" s="7">
        <f t="shared" si="201"/>
        <v>400</v>
      </c>
      <c r="K1343" s="7">
        <f t="shared" si="202"/>
        <v>7600</v>
      </c>
      <c r="L1343" s="4">
        <v>49000</v>
      </c>
      <c r="M1343" s="7">
        <f t="shared" si="203"/>
        <v>56600</v>
      </c>
      <c r="N1343" s="2" t="s">
        <v>58</v>
      </c>
      <c r="O1343" t="s">
        <v>69</v>
      </c>
      <c r="P1343" s="2" t="s">
        <v>2368</v>
      </c>
      <c r="Q1343" s="2">
        <v>2</v>
      </c>
      <c r="R1343" s="2" t="s">
        <v>23</v>
      </c>
      <c r="S1343" s="2" t="str">
        <f t="shared" si="204"/>
        <v>Rendah</v>
      </c>
      <c r="T1343" s="2" t="str">
        <f t="shared" si="205"/>
        <v>FALSE</v>
      </c>
      <c r="U1343" s="2" t="str">
        <f t="shared" si="206"/>
        <v>TRUE</v>
      </c>
      <c r="V1343" s="2" t="b">
        <f t="shared" si="207"/>
        <v>0</v>
      </c>
      <c r="W1343" s="2" t="b">
        <f t="shared" si="208"/>
        <v>0</v>
      </c>
      <c r="X1343" s="2" t="b">
        <f t="shared" si="209"/>
        <v>0</v>
      </c>
    </row>
    <row r="1344" spans="1:24" ht="10.5" customHeight="1">
      <c r="A1344" s="2" t="s">
        <v>1713</v>
      </c>
      <c r="B1344" s="3">
        <v>45925.456250000003</v>
      </c>
      <c r="C1344" s="2" t="s">
        <v>738</v>
      </c>
      <c r="D1344" s="2" t="s">
        <v>150</v>
      </c>
      <c r="E1344" s="2" t="s">
        <v>161</v>
      </c>
      <c r="F1344" s="4">
        <v>115000</v>
      </c>
      <c r="G1344" s="5">
        <v>0.4</v>
      </c>
      <c r="H1344" s="6">
        <v>5</v>
      </c>
      <c r="I1344" s="7">
        <f t="shared" si="200"/>
        <v>46000</v>
      </c>
      <c r="J1344" s="7">
        <f t="shared" si="201"/>
        <v>2300</v>
      </c>
      <c r="K1344" s="7">
        <f t="shared" si="202"/>
        <v>43700</v>
      </c>
      <c r="L1344" s="4">
        <v>68000</v>
      </c>
      <c r="M1344" s="7">
        <f t="shared" si="203"/>
        <v>111700</v>
      </c>
      <c r="N1344" s="2" t="s">
        <v>28</v>
      </c>
      <c r="O1344" t="s">
        <v>22</v>
      </c>
      <c r="P1344" s="2" t="s">
        <v>2365</v>
      </c>
      <c r="Q1344" s="2">
        <v>4</v>
      </c>
      <c r="R1344" s="2" t="s">
        <v>23</v>
      </c>
      <c r="S1344" s="2" t="str">
        <f t="shared" si="204"/>
        <v>Standar</v>
      </c>
      <c r="T1344" s="2" t="str">
        <f t="shared" si="205"/>
        <v>FALSE</v>
      </c>
      <c r="U1344" s="2" t="str">
        <f t="shared" si="206"/>
        <v>FALSE</v>
      </c>
      <c r="V1344" s="2" t="b">
        <f t="shared" si="207"/>
        <v>0</v>
      </c>
      <c r="W1344" s="2" t="b">
        <f t="shared" si="208"/>
        <v>0</v>
      </c>
      <c r="X1344" s="2" t="b">
        <f t="shared" si="209"/>
        <v>0</v>
      </c>
    </row>
    <row r="1345" spans="1:24" ht="10.5" customHeight="1">
      <c r="A1345" s="2" t="s">
        <v>1714</v>
      </c>
      <c r="B1345" s="3">
        <v>45925.466435185182</v>
      </c>
      <c r="C1345" s="2" t="s">
        <v>110</v>
      </c>
      <c r="D1345" s="2" t="s">
        <v>111</v>
      </c>
      <c r="E1345" s="2" t="s">
        <v>35</v>
      </c>
      <c r="F1345" s="4">
        <v>13500</v>
      </c>
      <c r="G1345" s="5">
        <v>3.4</v>
      </c>
      <c r="H1345" s="6">
        <v>5</v>
      </c>
      <c r="I1345" s="7">
        <f t="shared" si="200"/>
        <v>45900</v>
      </c>
      <c r="J1345" s="7">
        <f t="shared" si="201"/>
        <v>2295</v>
      </c>
      <c r="K1345" s="7">
        <f t="shared" si="202"/>
        <v>43605</v>
      </c>
      <c r="L1345" s="4">
        <v>0</v>
      </c>
      <c r="M1345" s="7">
        <f t="shared" si="203"/>
        <v>43605</v>
      </c>
      <c r="N1345" s="2" t="s">
        <v>21</v>
      </c>
      <c r="O1345" t="s">
        <v>22</v>
      </c>
      <c r="P1345" s="2" t="s">
        <v>2365</v>
      </c>
      <c r="Q1345" s="2">
        <v>3</v>
      </c>
      <c r="R1345" s="2" t="s">
        <v>23</v>
      </c>
      <c r="S1345" s="2" t="str">
        <f t="shared" si="204"/>
        <v>Sangat Rendah</v>
      </c>
      <c r="T1345" s="2" t="str">
        <f t="shared" si="205"/>
        <v>FALSE</v>
      </c>
      <c r="U1345" s="2" t="str">
        <f t="shared" si="206"/>
        <v>FALSE</v>
      </c>
      <c r="V1345" s="2" t="b">
        <f t="shared" si="207"/>
        <v>0</v>
      </c>
      <c r="W1345" s="2" t="b">
        <f t="shared" si="208"/>
        <v>0</v>
      </c>
      <c r="X1345" s="2" t="b">
        <f t="shared" si="209"/>
        <v>1</v>
      </c>
    </row>
    <row r="1346" spans="1:24" ht="10.5" customHeight="1">
      <c r="A1346" s="2" t="s">
        <v>1715</v>
      </c>
      <c r="B1346" s="3">
        <v>45925.494097222218</v>
      </c>
      <c r="C1346" s="2" t="s">
        <v>39</v>
      </c>
      <c r="D1346" s="2" t="s">
        <v>40</v>
      </c>
      <c r="E1346" s="2" t="s">
        <v>99</v>
      </c>
      <c r="F1346" s="4">
        <v>10000</v>
      </c>
      <c r="G1346" s="5">
        <v>0.5</v>
      </c>
      <c r="H1346" s="6">
        <v>5</v>
      </c>
      <c r="I1346" s="7">
        <f t="shared" si="200"/>
        <v>5000</v>
      </c>
      <c r="J1346" s="7">
        <f t="shared" si="201"/>
        <v>250</v>
      </c>
      <c r="K1346" s="7">
        <f t="shared" si="202"/>
        <v>4750</v>
      </c>
      <c r="L1346" s="4">
        <v>93000</v>
      </c>
      <c r="M1346" s="7">
        <f t="shared" si="203"/>
        <v>97750</v>
      </c>
      <c r="N1346" s="2" t="s">
        <v>33</v>
      </c>
      <c r="O1346" t="s">
        <v>69</v>
      </c>
      <c r="P1346" s="2" t="s">
        <v>2370</v>
      </c>
      <c r="Q1346" s="2">
        <v>5</v>
      </c>
      <c r="R1346" s="2" t="s">
        <v>23</v>
      </c>
      <c r="S1346" s="2" t="str">
        <f t="shared" si="204"/>
        <v>Rendah</v>
      </c>
      <c r="T1346" s="2" t="str">
        <f t="shared" si="205"/>
        <v>FALSE</v>
      </c>
      <c r="U1346" s="2" t="str">
        <f t="shared" si="206"/>
        <v>FALSE</v>
      </c>
      <c r="V1346" s="2" t="b">
        <f t="shared" si="207"/>
        <v>0</v>
      </c>
      <c r="W1346" s="2" t="b">
        <f t="shared" si="208"/>
        <v>0</v>
      </c>
      <c r="X1346" s="2" t="b">
        <f t="shared" si="209"/>
        <v>0</v>
      </c>
    </row>
    <row r="1347" spans="1:24" ht="10.5" customHeight="1">
      <c r="A1347" s="2" t="s">
        <v>1716</v>
      </c>
      <c r="B1347" s="3">
        <v>45925.495219907411</v>
      </c>
      <c r="C1347" s="2" t="s">
        <v>265</v>
      </c>
      <c r="D1347" s="2" t="s">
        <v>87</v>
      </c>
      <c r="E1347" s="2" t="s">
        <v>75</v>
      </c>
      <c r="F1347" s="4">
        <v>45000</v>
      </c>
      <c r="G1347" s="5">
        <v>0.2</v>
      </c>
      <c r="H1347" s="6">
        <v>5</v>
      </c>
      <c r="I1347" s="7">
        <f t="shared" si="200"/>
        <v>9000</v>
      </c>
      <c r="J1347" s="7">
        <f t="shared" si="201"/>
        <v>450</v>
      </c>
      <c r="K1347" s="7">
        <f t="shared" si="202"/>
        <v>8550</v>
      </c>
      <c r="L1347" s="4">
        <v>49000</v>
      </c>
      <c r="M1347" s="7">
        <f t="shared" si="203"/>
        <v>57550</v>
      </c>
      <c r="N1347" s="2" t="s">
        <v>28</v>
      </c>
      <c r="O1347" t="s">
        <v>69</v>
      </c>
      <c r="P1347" s="2" t="s">
        <v>2367</v>
      </c>
      <c r="Q1347" s="2">
        <v>4</v>
      </c>
      <c r="R1347" s="2" t="s">
        <v>23</v>
      </c>
      <c r="S1347" s="2" t="str">
        <f t="shared" si="204"/>
        <v>Rendah</v>
      </c>
      <c r="T1347" s="2" t="str">
        <f t="shared" si="205"/>
        <v>FALSE</v>
      </c>
      <c r="U1347" s="2" t="str">
        <f t="shared" si="206"/>
        <v>FALSE</v>
      </c>
      <c r="V1347" s="2" t="b">
        <f t="shared" si="207"/>
        <v>0</v>
      </c>
      <c r="W1347" s="2" t="b">
        <f t="shared" si="208"/>
        <v>1</v>
      </c>
      <c r="X1347" s="2" t="b">
        <f t="shared" si="209"/>
        <v>0</v>
      </c>
    </row>
    <row r="1348" spans="1:24" ht="10.5" customHeight="1">
      <c r="A1348" s="2" t="s">
        <v>1717</v>
      </c>
      <c r="B1348" s="3">
        <v>45925.507835648154</v>
      </c>
      <c r="C1348" s="2" t="s">
        <v>776</v>
      </c>
      <c r="D1348" s="2" t="s">
        <v>98</v>
      </c>
      <c r="E1348" s="2" t="s">
        <v>57</v>
      </c>
      <c r="F1348" s="4">
        <v>17500</v>
      </c>
      <c r="G1348" s="5">
        <v>1.6</v>
      </c>
      <c r="H1348" s="6">
        <v>5</v>
      </c>
      <c r="I1348" s="7">
        <f t="shared" ref="I1348:I1411" si="210">F1348*G1348</f>
        <v>28000</v>
      </c>
      <c r="J1348" s="7">
        <f t="shared" ref="J1348:J1411" si="211">I1348*(H1348/100)</f>
        <v>1400</v>
      </c>
      <c r="K1348" s="7">
        <f t="shared" ref="K1348:K1411" si="212">I1348-J1348</f>
        <v>26600</v>
      </c>
      <c r="L1348" s="4">
        <v>97000</v>
      </c>
      <c r="M1348" s="7">
        <f t="shared" ref="M1348:M1411" si="213">K1348+L1348</f>
        <v>123600</v>
      </c>
      <c r="N1348" s="2" t="s">
        <v>21</v>
      </c>
      <c r="O1348" t="s">
        <v>22</v>
      </c>
      <c r="P1348" s="2" t="s">
        <v>2370</v>
      </c>
      <c r="Q1348" s="2">
        <v>1</v>
      </c>
      <c r="R1348" s="2" t="s">
        <v>23</v>
      </c>
      <c r="S1348" s="2" t="str">
        <f t="shared" ref="S1348:S1411" si="214">IF(M1348&lt;=50000,"Sangat Rendah",IF(M1348&lt;=100000,"Rendah",IF(M1348&lt;=150000,"Standar",IF(M1348&lt;=200000,"Tinggi","Sangat Tinggi"))))</f>
        <v>Standar</v>
      </c>
      <c r="T1348" s="2" t="str">
        <f t="shared" ref="T1348:T1411" si="215">IF(AND(S1348="Rendah",D1348="Yogyakarta"),"TRUE","FALSE")</f>
        <v>FALSE</v>
      </c>
      <c r="U1348" s="2" t="str">
        <f t="shared" ref="U1348:U1411" si="216">IF(OR(S1348="Tinggi",E1348="Bayam"),"TRUE","FALSE")</f>
        <v>FALSE</v>
      </c>
      <c r="V1348" s="2" t="b">
        <f t="shared" ref="V1348:V1411" si="217">IF(AND(S1348="Standar",N1348="Transef Bank"),TRUE,FALSE)</f>
        <v>0</v>
      </c>
      <c r="W1348" s="2" t="b">
        <f t="shared" ref="W1348:W1411" si="218">IF(OR(S1348="Sangat Tinggi",P1348="FoodMart"),TRUE,FALSE)</f>
        <v>0</v>
      </c>
      <c r="X1348" s="2" t="b">
        <f t="shared" ref="X1348:X1411" si="219">IF(AND(S1348="Sangat Rendah",R1348="Perempuan"),TRUE,FALSE)</f>
        <v>0</v>
      </c>
    </row>
    <row r="1349" spans="1:24" ht="10.5" customHeight="1">
      <c r="A1349" s="2" t="s">
        <v>1718</v>
      </c>
      <c r="B1349" s="3">
        <v>45925.555752314824</v>
      </c>
      <c r="C1349" s="2" t="s">
        <v>388</v>
      </c>
      <c r="D1349" s="2" t="s">
        <v>173</v>
      </c>
      <c r="E1349" s="2" t="s">
        <v>143</v>
      </c>
      <c r="F1349" s="4">
        <v>10000</v>
      </c>
      <c r="G1349" s="5">
        <v>0.5</v>
      </c>
      <c r="H1349" s="6">
        <v>5</v>
      </c>
      <c r="I1349" s="7">
        <f t="shared" si="210"/>
        <v>5000</v>
      </c>
      <c r="J1349" s="7">
        <f t="shared" si="211"/>
        <v>250</v>
      </c>
      <c r="K1349" s="7">
        <f t="shared" si="212"/>
        <v>4750</v>
      </c>
      <c r="L1349" s="4">
        <v>48000</v>
      </c>
      <c r="M1349" s="7">
        <f t="shared" si="213"/>
        <v>52750</v>
      </c>
      <c r="N1349" s="2" t="s">
        <v>58</v>
      </c>
      <c r="O1349" t="s">
        <v>22</v>
      </c>
      <c r="P1349" s="2" t="s">
        <v>2368</v>
      </c>
      <c r="Q1349" s="2">
        <v>2</v>
      </c>
      <c r="R1349" s="2" t="s">
        <v>23</v>
      </c>
      <c r="S1349" s="2" t="str">
        <f t="shared" si="214"/>
        <v>Rendah</v>
      </c>
      <c r="T1349" s="2" t="str">
        <f t="shared" si="215"/>
        <v>FALSE</v>
      </c>
      <c r="U1349" s="2" t="str">
        <f t="shared" si="216"/>
        <v>TRUE</v>
      </c>
      <c r="V1349" s="2" t="b">
        <f t="shared" si="217"/>
        <v>0</v>
      </c>
      <c r="W1349" s="2" t="b">
        <f t="shared" si="218"/>
        <v>0</v>
      </c>
      <c r="X1349" s="2" t="b">
        <f t="shared" si="219"/>
        <v>0</v>
      </c>
    </row>
    <row r="1350" spans="1:24" ht="10.5" customHeight="1">
      <c r="A1350" s="2" t="s">
        <v>1719</v>
      </c>
      <c r="B1350" s="3">
        <v>45925.55746527778</v>
      </c>
      <c r="C1350" s="2" t="s">
        <v>1283</v>
      </c>
      <c r="D1350" s="2" t="s">
        <v>40</v>
      </c>
      <c r="E1350" s="2" t="s">
        <v>35</v>
      </c>
      <c r="F1350" s="4">
        <v>13500</v>
      </c>
      <c r="G1350" s="5">
        <v>2.6</v>
      </c>
      <c r="H1350" s="6">
        <v>5</v>
      </c>
      <c r="I1350" s="7">
        <f t="shared" si="210"/>
        <v>35100</v>
      </c>
      <c r="J1350" s="7">
        <f t="shared" si="211"/>
        <v>1755</v>
      </c>
      <c r="K1350" s="7">
        <f t="shared" si="212"/>
        <v>33345</v>
      </c>
      <c r="L1350" s="4">
        <v>93000</v>
      </c>
      <c r="M1350" s="7">
        <f t="shared" si="213"/>
        <v>126345</v>
      </c>
      <c r="N1350" s="2" t="s">
        <v>58</v>
      </c>
      <c r="O1350" t="s">
        <v>22</v>
      </c>
      <c r="P1350" s="2" t="s">
        <v>2368</v>
      </c>
      <c r="Q1350" s="2">
        <v>1</v>
      </c>
      <c r="R1350" s="2" t="s">
        <v>23</v>
      </c>
      <c r="S1350" s="2" t="str">
        <f t="shared" si="214"/>
        <v>Standar</v>
      </c>
      <c r="T1350" s="2" t="str">
        <f t="shared" si="215"/>
        <v>FALSE</v>
      </c>
      <c r="U1350" s="2" t="str">
        <f t="shared" si="216"/>
        <v>FALSE</v>
      </c>
      <c r="V1350" s="2" t="b">
        <f t="shared" si="217"/>
        <v>0</v>
      </c>
      <c r="W1350" s="2" t="b">
        <f t="shared" si="218"/>
        <v>0</v>
      </c>
      <c r="X1350" s="2" t="b">
        <f t="shared" si="219"/>
        <v>0</v>
      </c>
    </row>
    <row r="1351" spans="1:24" ht="10.5" customHeight="1">
      <c r="A1351" s="2" t="s">
        <v>1720</v>
      </c>
      <c r="B1351" s="3">
        <v>45925.560995370368</v>
      </c>
      <c r="C1351" s="2" t="s">
        <v>308</v>
      </c>
      <c r="D1351" s="2" t="s">
        <v>235</v>
      </c>
      <c r="E1351" s="2" t="s">
        <v>102</v>
      </c>
      <c r="F1351" s="4">
        <v>55000</v>
      </c>
      <c r="G1351" s="5">
        <v>1</v>
      </c>
      <c r="H1351" s="6">
        <v>5</v>
      </c>
      <c r="I1351" s="7">
        <f t="shared" si="210"/>
        <v>55000</v>
      </c>
      <c r="J1351" s="7">
        <f t="shared" si="211"/>
        <v>2750</v>
      </c>
      <c r="K1351" s="7">
        <f t="shared" si="212"/>
        <v>52250</v>
      </c>
      <c r="L1351" s="4">
        <v>80000</v>
      </c>
      <c r="M1351" s="7">
        <f t="shared" si="213"/>
        <v>132250</v>
      </c>
      <c r="N1351" s="2" t="s">
        <v>21</v>
      </c>
      <c r="O1351" t="s">
        <v>115</v>
      </c>
      <c r="P1351" s="2" t="s">
        <v>2367</v>
      </c>
      <c r="Q1351" s="2">
        <v>1</v>
      </c>
      <c r="R1351" s="2" t="s">
        <v>34</v>
      </c>
      <c r="S1351" s="2" t="str">
        <f t="shared" si="214"/>
        <v>Standar</v>
      </c>
      <c r="T1351" s="2" t="str">
        <f t="shared" si="215"/>
        <v>FALSE</v>
      </c>
      <c r="U1351" s="2" t="str">
        <f t="shared" si="216"/>
        <v>FALSE</v>
      </c>
      <c r="V1351" s="2" t="b">
        <f t="shared" si="217"/>
        <v>0</v>
      </c>
      <c r="W1351" s="2" t="b">
        <f t="shared" si="218"/>
        <v>1</v>
      </c>
      <c r="X1351" s="2" t="b">
        <f t="shared" si="219"/>
        <v>0</v>
      </c>
    </row>
    <row r="1352" spans="1:24" ht="10.5" customHeight="1">
      <c r="A1352" s="2" t="s">
        <v>1720</v>
      </c>
      <c r="B1352" s="3">
        <v>45925.560995370368</v>
      </c>
      <c r="C1352" s="2" t="s">
        <v>308</v>
      </c>
      <c r="D1352" s="2" t="s">
        <v>235</v>
      </c>
      <c r="E1352" s="2" t="s">
        <v>75</v>
      </c>
      <c r="F1352" s="4">
        <v>45000</v>
      </c>
      <c r="G1352" s="5">
        <v>0.4</v>
      </c>
      <c r="H1352" s="6">
        <v>5</v>
      </c>
      <c r="I1352" s="7">
        <f t="shared" si="210"/>
        <v>18000</v>
      </c>
      <c r="J1352" s="7">
        <f t="shared" si="211"/>
        <v>900</v>
      </c>
      <c r="K1352" s="7">
        <f t="shared" si="212"/>
        <v>17100</v>
      </c>
      <c r="L1352" s="4">
        <v>0</v>
      </c>
      <c r="M1352" s="7">
        <f t="shared" si="213"/>
        <v>17100</v>
      </c>
      <c r="N1352" s="2" t="s">
        <v>21</v>
      </c>
      <c r="O1352" t="s">
        <v>115</v>
      </c>
      <c r="P1352" s="2" t="s">
        <v>2367</v>
      </c>
      <c r="Q1352" s="2">
        <v>1</v>
      </c>
      <c r="R1352" s="2" t="s">
        <v>34</v>
      </c>
      <c r="S1352" s="2" t="str">
        <f t="shared" si="214"/>
        <v>Sangat Rendah</v>
      </c>
      <c r="T1352" s="2" t="str">
        <f t="shared" si="215"/>
        <v>FALSE</v>
      </c>
      <c r="U1352" s="2" t="str">
        <f t="shared" si="216"/>
        <v>FALSE</v>
      </c>
      <c r="V1352" s="2" t="b">
        <f t="shared" si="217"/>
        <v>0</v>
      </c>
      <c r="W1352" s="2" t="b">
        <f t="shared" si="218"/>
        <v>1</v>
      </c>
      <c r="X1352" s="2" t="b">
        <f t="shared" si="219"/>
        <v>0</v>
      </c>
    </row>
    <row r="1353" spans="1:24" ht="10.5" customHeight="1">
      <c r="A1353" s="2" t="s">
        <v>1721</v>
      </c>
      <c r="B1353" s="3">
        <v>45925.602106481478</v>
      </c>
      <c r="C1353" s="2" t="s">
        <v>277</v>
      </c>
      <c r="D1353" s="2" t="s">
        <v>252</v>
      </c>
      <c r="E1353" s="2" t="s">
        <v>65</v>
      </c>
      <c r="F1353" s="4">
        <v>46000</v>
      </c>
      <c r="G1353" s="5">
        <v>1.2</v>
      </c>
      <c r="H1353" s="6">
        <v>5</v>
      </c>
      <c r="I1353" s="7">
        <f t="shared" si="210"/>
        <v>55200</v>
      </c>
      <c r="J1353" s="7">
        <f t="shared" si="211"/>
        <v>2760</v>
      </c>
      <c r="K1353" s="7">
        <f t="shared" si="212"/>
        <v>52440</v>
      </c>
      <c r="L1353" s="4">
        <v>18000</v>
      </c>
      <c r="M1353" s="7">
        <f t="shared" si="213"/>
        <v>70440</v>
      </c>
      <c r="N1353" s="2" t="s">
        <v>58</v>
      </c>
      <c r="O1353" t="s">
        <v>22</v>
      </c>
      <c r="P1353" s="2" t="s">
        <v>2366</v>
      </c>
      <c r="Q1353" s="2">
        <v>5</v>
      </c>
      <c r="R1353" s="2" t="s">
        <v>23</v>
      </c>
      <c r="S1353" s="2" t="str">
        <f t="shared" si="214"/>
        <v>Rendah</v>
      </c>
      <c r="T1353" s="2" t="str">
        <f t="shared" si="215"/>
        <v>FALSE</v>
      </c>
      <c r="U1353" s="2" t="str">
        <f t="shared" si="216"/>
        <v>FALSE</v>
      </c>
      <c r="V1353" s="2" t="b">
        <f t="shared" si="217"/>
        <v>0</v>
      </c>
      <c r="W1353" s="2" t="b">
        <f t="shared" si="218"/>
        <v>0</v>
      </c>
      <c r="X1353" s="2" t="b">
        <f t="shared" si="219"/>
        <v>0</v>
      </c>
    </row>
    <row r="1354" spans="1:24" ht="10.5" customHeight="1">
      <c r="A1354" s="2" t="s">
        <v>1722</v>
      </c>
      <c r="B1354" s="3">
        <v>45925.627916666657</v>
      </c>
      <c r="C1354" s="2" t="s">
        <v>187</v>
      </c>
      <c r="D1354" s="2" t="s">
        <v>111</v>
      </c>
      <c r="E1354" s="2" t="s">
        <v>27</v>
      </c>
      <c r="F1354" s="4">
        <v>15000</v>
      </c>
      <c r="G1354" s="5">
        <v>0.6</v>
      </c>
      <c r="H1354" s="6">
        <v>5</v>
      </c>
      <c r="I1354" s="7">
        <f t="shared" si="210"/>
        <v>9000</v>
      </c>
      <c r="J1354" s="7">
        <f t="shared" si="211"/>
        <v>450</v>
      </c>
      <c r="K1354" s="7">
        <f t="shared" si="212"/>
        <v>8550</v>
      </c>
      <c r="L1354" s="4">
        <v>0</v>
      </c>
      <c r="M1354" s="7">
        <f t="shared" si="213"/>
        <v>8550</v>
      </c>
      <c r="N1354" s="2" t="s">
        <v>28</v>
      </c>
      <c r="O1354" t="s">
        <v>22</v>
      </c>
      <c r="P1354" s="2" t="s">
        <v>2370</v>
      </c>
      <c r="Q1354" s="2">
        <v>4</v>
      </c>
      <c r="R1354" s="2" t="s">
        <v>34</v>
      </c>
      <c r="S1354" s="2" t="str">
        <f t="shared" si="214"/>
        <v>Sangat Rendah</v>
      </c>
      <c r="T1354" s="2" t="str">
        <f t="shared" si="215"/>
        <v>FALSE</v>
      </c>
      <c r="U1354" s="2" t="str">
        <f t="shared" si="216"/>
        <v>FALSE</v>
      </c>
      <c r="V1354" s="2" t="b">
        <f t="shared" si="217"/>
        <v>0</v>
      </c>
      <c r="W1354" s="2" t="b">
        <f t="shared" si="218"/>
        <v>0</v>
      </c>
      <c r="X1354" s="2" t="b">
        <f t="shared" si="219"/>
        <v>0</v>
      </c>
    </row>
    <row r="1355" spans="1:24" ht="10.5" customHeight="1">
      <c r="A1355" s="2" t="s">
        <v>1723</v>
      </c>
      <c r="B1355" s="3">
        <v>45925.659930555557</v>
      </c>
      <c r="C1355" s="2" t="s">
        <v>731</v>
      </c>
      <c r="D1355" s="2" t="s">
        <v>179</v>
      </c>
      <c r="E1355" s="2" t="s">
        <v>102</v>
      </c>
      <c r="F1355" s="4">
        <v>55000</v>
      </c>
      <c r="G1355" s="5">
        <v>1.3</v>
      </c>
      <c r="H1355" s="6">
        <v>5</v>
      </c>
      <c r="I1355" s="7">
        <f t="shared" si="210"/>
        <v>71500</v>
      </c>
      <c r="J1355" s="7">
        <f t="shared" si="211"/>
        <v>3575</v>
      </c>
      <c r="K1355" s="7">
        <f t="shared" si="212"/>
        <v>67925</v>
      </c>
      <c r="L1355" s="4">
        <v>57000</v>
      </c>
      <c r="M1355" s="7">
        <f t="shared" si="213"/>
        <v>124925</v>
      </c>
      <c r="N1355" s="2" t="s">
        <v>28</v>
      </c>
      <c r="O1355" t="s">
        <v>22</v>
      </c>
      <c r="P1355" s="2" t="s">
        <v>2365</v>
      </c>
      <c r="Q1355" s="2">
        <v>3</v>
      </c>
      <c r="R1355" s="2" t="s">
        <v>23</v>
      </c>
      <c r="S1355" s="2" t="str">
        <f t="shared" si="214"/>
        <v>Standar</v>
      </c>
      <c r="T1355" s="2" t="str">
        <f t="shared" si="215"/>
        <v>FALSE</v>
      </c>
      <c r="U1355" s="2" t="str">
        <f t="shared" si="216"/>
        <v>FALSE</v>
      </c>
      <c r="V1355" s="2" t="b">
        <f t="shared" si="217"/>
        <v>0</v>
      </c>
      <c r="W1355" s="2" t="b">
        <f t="shared" si="218"/>
        <v>0</v>
      </c>
      <c r="X1355" s="2" t="b">
        <f t="shared" si="219"/>
        <v>0</v>
      </c>
    </row>
    <row r="1356" spans="1:24" ht="10.5" customHeight="1">
      <c r="A1356" s="2" t="s">
        <v>1724</v>
      </c>
      <c r="B1356" s="3">
        <v>45925.667372685188</v>
      </c>
      <c r="C1356" s="2" t="s">
        <v>1163</v>
      </c>
      <c r="D1356" s="2" t="s">
        <v>160</v>
      </c>
      <c r="E1356" s="2" t="s">
        <v>80</v>
      </c>
      <c r="F1356" s="4">
        <v>15000</v>
      </c>
      <c r="G1356" s="5">
        <v>0.9</v>
      </c>
      <c r="H1356" s="6">
        <v>5</v>
      </c>
      <c r="I1356" s="7">
        <f t="shared" si="210"/>
        <v>13500</v>
      </c>
      <c r="J1356" s="7">
        <f t="shared" si="211"/>
        <v>675</v>
      </c>
      <c r="K1356" s="7">
        <f t="shared" si="212"/>
        <v>12825</v>
      </c>
      <c r="L1356" s="4">
        <v>46000</v>
      </c>
      <c r="M1356" s="7">
        <f t="shared" si="213"/>
        <v>58825</v>
      </c>
      <c r="N1356" s="2" t="s">
        <v>21</v>
      </c>
      <c r="O1356" t="s">
        <v>69</v>
      </c>
      <c r="P1356" s="2" t="s">
        <v>2370</v>
      </c>
      <c r="Q1356" s="2">
        <v>2</v>
      </c>
      <c r="R1356" s="2" t="s">
        <v>23</v>
      </c>
      <c r="S1356" s="2" t="str">
        <f t="shared" si="214"/>
        <v>Rendah</v>
      </c>
      <c r="T1356" s="2" t="str">
        <f t="shared" si="215"/>
        <v>FALSE</v>
      </c>
      <c r="U1356" s="2" t="str">
        <f t="shared" si="216"/>
        <v>FALSE</v>
      </c>
      <c r="V1356" s="2" t="b">
        <f t="shared" si="217"/>
        <v>0</v>
      </c>
      <c r="W1356" s="2" t="b">
        <f t="shared" si="218"/>
        <v>0</v>
      </c>
      <c r="X1356" s="2" t="b">
        <f t="shared" si="219"/>
        <v>0</v>
      </c>
    </row>
    <row r="1357" spans="1:24" ht="10.5" customHeight="1">
      <c r="A1357" s="2" t="s">
        <v>1725</v>
      </c>
      <c r="B1357" s="3">
        <v>45925.720914351848</v>
      </c>
      <c r="C1357" s="2" t="s">
        <v>175</v>
      </c>
      <c r="D1357" s="2" t="s">
        <v>94</v>
      </c>
      <c r="E1357" s="2" t="s">
        <v>20</v>
      </c>
      <c r="F1357" s="4">
        <v>10000</v>
      </c>
      <c r="G1357" s="5">
        <v>2.2999999999999998</v>
      </c>
      <c r="H1357" s="6">
        <v>5</v>
      </c>
      <c r="I1357" s="7">
        <f t="shared" si="210"/>
        <v>23000</v>
      </c>
      <c r="J1357" s="7">
        <f t="shared" si="211"/>
        <v>1150</v>
      </c>
      <c r="K1357" s="7">
        <f t="shared" si="212"/>
        <v>21850</v>
      </c>
      <c r="L1357" s="4">
        <v>85000</v>
      </c>
      <c r="M1357" s="7">
        <f t="shared" si="213"/>
        <v>106850</v>
      </c>
      <c r="N1357" s="2" t="s">
        <v>28</v>
      </c>
      <c r="O1357" t="s">
        <v>22</v>
      </c>
      <c r="P1357" s="2" t="s">
        <v>2367</v>
      </c>
      <c r="Q1357" s="2">
        <v>4</v>
      </c>
      <c r="R1357" s="2" t="s">
        <v>23</v>
      </c>
      <c r="S1357" s="2" t="str">
        <f t="shared" si="214"/>
        <v>Standar</v>
      </c>
      <c r="T1357" s="2" t="str">
        <f t="shared" si="215"/>
        <v>FALSE</v>
      </c>
      <c r="U1357" s="2" t="str">
        <f t="shared" si="216"/>
        <v>FALSE</v>
      </c>
      <c r="V1357" s="2" t="b">
        <f t="shared" si="217"/>
        <v>0</v>
      </c>
      <c r="W1357" s="2" t="b">
        <f t="shared" si="218"/>
        <v>1</v>
      </c>
      <c r="X1357" s="2" t="b">
        <f t="shared" si="219"/>
        <v>0</v>
      </c>
    </row>
    <row r="1358" spans="1:24" ht="10.5" customHeight="1">
      <c r="A1358" s="2" t="s">
        <v>1726</v>
      </c>
      <c r="B1358" s="3">
        <v>45925.736759259264</v>
      </c>
      <c r="C1358" s="2" t="s">
        <v>421</v>
      </c>
      <c r="D1358" s="2" t="s">
        <v>31</v>
      </c>
      <c r="E1358" s="2" t="s">
        <v>57</v>
      </c>
      <c r="F1358" s="4">
        <v>17500</v>
      </c>
      <c r="G1358" s="5">
        <v>2.2999999999999998</v>
      </c>
      <c r="H1358" s="6">
        <v>5</v>
      </c>
      <c r="I1358" s="7">
        <f t="shared" si="210"/>
        <v>40250</v>
      </c>
      <c r="J1358" s="7">
        <f t="shared" si="211"/>
        <v>2012.5</v>
      </c>
      <c r="K1358" s="7">
        <f t="shared" si="212"/>
        <v>38237.5</v>
      </c>
      <c r="L1358" s="4">
        <v>76000</v>
      </c>
      <c r="M1358" s="7">
        <f t="shared" si="213"/>
        <v>114237.5</v>
      </c>
      <c r="N1358" s="2" t="s">
        <v>33</v>
      </c>
      <c r="O1358" t="s">
        <v>22</v>
      </c>
      <c r="P1358" s="2" t="s">
        <v>2367</v>
      </c>
      <c r="Q1358" s="2">
        <v>2</v>
      </c>
      <c r="R1358" s="2" t="s">
        <v>23</v>
      </c>
      <c r="S1358" s="2" t="str">
        <f t="shared" si="214"/>
        <v>Standar</v>
      </c>
      <c r="T1358" s="2" t="str">
        <f t="shared" si="215"/>
        <v>FALSE</v>
      </c>
      <c r="U1358" s="2" t="str">
        <f t="shared" si="216"/>
        <v>FALSE</v>
      </c>
      <c r="V1358" s="2" t="b">
        <f t="shared" si="217"/>
        <v>0</v>
      </c>
      <c r="W1358" s="2" t="b">
        <f t="shared" si="218"/>
        <v>1</v>
      </c>
      <c r="X1358" s="2" t="b">
        <f t="shared" si="219"/>
        <v>0</v>
      </c>
    </row>
    <row r="1359" spans="1:24" ht="10.5" customHeight="1">
      <c r="A1359" s="2" t="s">
        <v>1727</v>
      </c>
      <c r="B1359" s="3">
        <v>45925.743680555563</v>
      </c>
      <c r="C1359" s="2" t="s">
        <v>770</v>
      </c>
      <c r="D1359" s="2" t="s">
        <v>105</v>
      </c>
      <c r="E1359" s="2" t="s">
        <v>49</v>
      </c>
      <c r="F1359" s="4">
        <v>26000</v>
      </c>
      <c r="G1359" s="5">
        <v>0.7</v>
      </c>
      <c r="H1359" s="6">
        <v>5</v>
      </c>
      <c r="I1359" s="7">
        <f t="shared" si="210"/>
        <v>18200</v>
      </c>
      <c r="J1359" s="7">
        <f t="shared" si="211"/>
        <v>910</v>
      </c>
      <c r="K1359" s="7">
        <f t="shared" si="212"/>
        <v>17290</v>
      </c>
      <c r="L1359" s="4">
        <v>18000</v>
      </c>
      <c r="M1359" s="7">
        <f t="shared" si="213"/>
        <v>35290</v>
      </c>
      <c r="N1359" s="2" t="s">
        <v>21</v>
      </c>
      <c r="O1359" t="s">
        <v>22</v>
      </c>
      <c r="P1359" s="2" t="s">
        <v>2366</v>
      </c>
      <c r="Q1359" s="2">
        <v>1</v>
      </c>
      <c r="R1359" s="2" t="s">
        <v>23</v>
      </c>
      <c r="S1359" s="2" t="str">
        <f t="shared" si="214"/>
        <v>Sangat Rendah</v>
      </c>
      <c r="T1359" s="2" t="str">
        <f t="shared" si="215"/>
        <v>FALSE</v>
      </c>
      <c r="U1359" s="2" t="str">
        <f t="shared" si="216"/>
        <v>FALSE</v>
      </c>
      <c r="V1359" s="2" t="b">
        <f t="shared" si="217"/>
        <v>0</v>
      </c>
      <c r="W1359" s="2" t="b">
        <f t="shared" si="218"/>
        <v>0</v>
      </c>
      <c r="X1359" s="2" t="b">
        <f t="shared" si="219"/>
        <v>1</v>
      </c>
    </row>
    <row r="1360" spans="1:24" ht="10.5" customHeight="1">
      <c r="A1360" s="2" t="s">
        <v>1728</v>
      </c>
      <c r="B1360" s="3">
        <v>45925.793819444443</v>
      </c>
      <c r="C1360" s="2" t="s">
        <v>166</v>
      </c>
      <c r="D1360" s="2" t="s">
        <v>167</v>
      </c>
      <c r="E1360" s="2" t="s">
        <v>57</v>
      </c>
      <c r="F1360" s="4">
        <v>17500</v>
      </c>
      <c r="G1360" s="5">
        <v>2.6</v>
      </c>
      <c r="H1360" s="6">
        <v>5</v>
      </c>
      <c r="I1360" s="7">
        <f t="shared" si="210"/>
        <v>45500</v>
      </c>
      <c r="J1360" s="7">
        <f t="shared" si="211"/>
        <v>2275</v>
      </c>
      <c r="K1360" s="7">
        <f t="shared" si="212"/>
        <v>43225</v>
      </c>
      <c r="L1360" s="4">
        <v>56000</v>
      </c>
      <c r="M1360" s="7">
        <f t="shared" si="213"/>
        <v>99225</v>
      </c>
      <c r="N1360" s="2" t="s">
        <v>33</v>
      </c>
      <c r="O1360" t="s">
        <v>22</v>
      </c>
      <c r="P1360" s="2" t="s">
        <v>2368</v>
      </c>
      <c r="Q1360" s="2">
        <v>5</v>
      </c>
      <c r="R1360" s="2" t="s">
        <v>23</v>
      </c>
      <c r="S1360" s="2" t="str">
        <f t="shared" si="214"/>
        <v>Rendah</v>
      </c>
      <c r="T1360" s="2" t="str">
        <f t="shared" si="215"/>
        <v>FALSE</v>
      </c>
      <c r="U1360" s="2" t="str">
        <f t="shared" si="216"/>
        <v>FALSE</v>
      </c>
      <c r="V1360" s="2" t="b">
        <f t="shared" si="217"/>
        <v>0</v>
      </c>
      <c r="W1360" s="2" t="b">
        <f t="shared" si="218"/>
        <v>0</v>
      </c>
      <c r="X1360" s="2" t="b">
        <f t="shared" si="219"/>
        <v>0</v>
      </c>
    </row>
    <row r="1361" spans="1:24" ht="10.5" customHeight="1">
      <c r="A1361" s="2" t="s">
        <v>1729</v>
      </c>
      <c r="B1361" s="3">
        <v>45925.804409722223</v>
      </c>
      <c r="C1361" s="2" t="s">
        <v>421</v>
      </c>
      <c r="D1361" s="2" t="s">
        <v>31</v>
      </c>
      <c r="E1361" s="2" t="s">
        <v>99</v>
      </c>
      <c r="F1361" s="4">
        <v>10000</v>
      </c>
      <c r="G1361" s="5">
        <v>0.5</v>
      </c>
      <c r="H1361" s="6">
        <v>5</v>
      </c>
      <c r="I1361" s="7">
        <f t="shared" si="210"/>
        <v>5000</v>
      </c>
      <c r="J1361" s="7">
        <f t="shared" si="211"/>
        <v>250</v>
      </c>
      <c r="K1361" s="7">
        <f t="shared" si="212"/>
        <v>4750</v>
      </c>
      <c r="L1361" s="4">
        <v>76000</v>
      </c>
      <c r="M1361" s="7">
        <f t="shared" si="213"/>
        <v>80750</v>
      </c>
      <c r="N1361" s="2" t="s">
        <v>33</v>
      </c>
      <c r="O1361" t="s">
        <v>22</v>
      </c>
      <c r="P1361" s="2" t="s">
        <v>2365</v>
      </c>
      <c r="Q1361" s="2">
        <v>4</v>
      </c>
      <c r="R1361" s="2" t="s">
        <v>23</v>
      </c>
      <c r="S1361" s="2" t="str">
        <f t="shared" si="214"/>
        <v>Rendah</v>
      </c>
      <c r="T1361" s="2" t="str">
        <f t="shared" si="215"/>
        <v>FALSE</v>
      </c>
      <c r="U1361" s="2" t="str">
        <f t="shared" si="216"/>
        <v>FALSE</v>
      </c>
      <c r="V1361" s="2" t="b">
        <f t="shared" si="217"/>
        <v>0</v>
      </c>
      <c r="W1361" s="2" t="b">
        <f t="shared" si="218"/>
        <v>0</v>
      </c>
      <c r="X1361" s="2" t="b">
        <f t="shared" si="219"/>
        <v>0</v>
      </c>
    </row>
    <row r="1362" spans="1:24" ht="10.5" customHeight="1">
      <c r="A1362" s="2" t="s">
        <v>1730</v>
      </c>
      <c r="B1362" s="3">
        <v>45925.892500000002</v>
      </c>
      <c r="C1362" s="2" t="s">
        <v>1731</v>
      </c>
      <c r="D1362" s="2" t="s">
        <v>40</v>
      </c>
      <c r="E1362" s="2" t="s">
        <v>80</v>
      </c>
      <c r="F1362" s="4">
        <v>15000</v>
      </c>
      <c r="G1362" s="5">
        <v>1.4</v>
      </c>
      <c r="H1362" s="6">
        <v>5</v>
      </c>
      <c r="I1362" s="7">
        <f t="shared" si="210"/>
        <v>21000</v>
      </c>
      <c r="J1362" s="7">
        <f t="shared" si="211"/>
        <v>1050</v>
      </c>
      <c r="K1362" s="7">
        <f t="shared" si="212"/>
        <v>19950</v>
      </c>
      <c r="L1362" s="4">
        <v>93000</v>
      </c>
      <c r="M1362" s="7">
        <f t="shared" si="213"/>
        <v>112950</v>
      </c>
      <c r="N1362" s="2" t="s">
        <v>58</v>
      </c>
      <c r="O1362" t="s">
        <v>69</v>
      </c>
      <c r="P1362" s="2" t="s">
        <v>2367</v>
      </c>
      <c r="Q1362" s="2">
        <v>5</v>
      </c>
      <c r="R1362" s="2" t="s">
        <v>23</v>
      </c>
      <c r="S1362" s="2" t="str">
        <f t="shared" si="214"/>
        <v>Standar</v>
      </c>
      <c r="T1362" s="2" t="str">
        <f t="shared" si="215"/>
        <v>FALSE</v>
      </c>
      <c r="U1362" s="2" t="str">
        <f t="shared" si="216"/>
        <v>FALSE</v>
      </c>
      <c r="V1362" s="2" t="b">
        <f t="shared" si="217"/>
        <v>0</v>
      </c>
      <c r="W1362" s="2" t="b">
        <f t="shared" si="218"/>
        <v>1</v>
      </c>
      <c r="X1362" s="2" t="b">
        <f t="shared" si="219"/>
        <v>0</v>
      </c>
    </row>
    <row r="1363" spans="1:24" ht="10.5" customHeight="1">
      <c r="A1363" s="2" t="s">
        <v>1732</v>
      </c>
      <c r="B1363" s="3">
        <v>45926.005949074082</v>
      </c>
      <c r="C1363" s="2" t="s">
        <v>406</v>
      </c>
      <c r="D1363" s="2" t="s">
        <v>123</v>
      </c>
      <c r="E1363" s="2" t="s">
        <v>41</v>
      </c>
      <c r="F1363" s="4">
        <v>40000</v>
      </c>
      <c r="G1363" s="5">
        <v>0.8</v>
      </c>
      <c r="H1363" s="6">
        <v>0</v>
      </c>
      <c r="I1363" s="7">
        <f t="shared" si="210"/>
        <v>32000</v>
      </c>
      <c r="J1363" s="7">
        <f t="shared" si="211"/>
        <v>0</v>
      </c>
      <c r="K1363" s="7">
        <f t="shared" si="212"/>
        <v>32000</v>
      </c>
      <c r="L1363" s="4">
        <v>59000</v>
      </c>
      <c r="M1363" s="7">
        <f t="shared" si="213"/>
        <v>91000</v>
      </c>
      <c r="N1363" s="2" t="s">
        <v>21</v>
      </c>
      <c r="O1363" t="s">
        <v>69</v>
      </c>
      <c r="P1363" s="2" t="s">
        <v>2366</v>
      </c>
      <c r="Q1363" s="2">
        <v>2</v>
      </c>
      <c r="R1363" s="2" t="s">
        <v>23</v>
      </c>
      <c r="S1363" s="2" t="str">
        <f t="shared" si="214"/>
        <v>Rendah</v>
      </c>
      <c r="T1363" s="2" t="str">
        <f t="shared" si="215"/>
        <v>FALSE</v>
      </c>
      <c r="U1363" s="2" t="str">
        <f t="shared" si="216"/>
        <v>FALSE</v>
      </c>
      <c r="V1363" s="2" t="b">
        <f t="shared" si="217"/>
        <v>0</v>
      </c>
      <c r="W1363" s="2" t="b">
        <f t="shared" si="218"/>
        <v>0</v>
      </c>
      <c r="X1363" s="2" t="b">
        <f t="shared" si="219"/>
        <v>0</v>
      </c>
    </row>
    <row r="1364" spans="1:24" ht="10.5" customHeight="1">
      <c r="A1364" s="2" t="s">
        <v>1733</v>
      </c>
      <c r="B1364" s="3">
        <v>45926.029236111113</v>
      </c>
      <c r="C1364" s="2" t="s">
        <v>1520</v>
      </c>
      <c r="D1364" s="2" t="s">
        <v>114</v>
      </c>
      <c r="E1364" s="2" t="s">
        <v>75</v>
      </c>
      <c r="F1364" s="4">
        <v>45000</v>
      </c>
      <c r="G1364" s="5">
        <v>0.4</v>
      </c>
      <c r="H1364" s="6">
        <v>0</v>
      </c>
      <c r="I1364" s="7">
        <f t="shared" si="210"/>
        <v>18000</v>
      </c>
      <c r="J1364" s="7">
        <f t="shared" si="211"/>
        <v>0</v>
      </c>
      <c r="K1364" s="7">
        <f t="shared" si="212"/>
        <v>18000</v>
      </c>
      <c r="L1364" s="4">
        <v>78000</v>
      </c>
      <c r="M1364" s="7">
        <f t="shared" si="213"/>
        <v>96000</v>
      </c>
      <c r="N1364" s="2" t="s">
        <v>28</v>
      </c>
      <c r="O1364" t="s">
        <v>69</v>
      </c>
      <c r="P1364" s="2" t="s">
        <v>2365</v>
      </c>
      <c r="Q1364" s="2">
        <v>4</v>
      </c>
      <c r="R1364" s="2" t="s">
        <v>23</v>
      </c>
      <c r="S1364" s="2" t="str">
        <f t="shared" si="214"/>
        <v>Rendah</v>
      </c>
      <c r="T1364" s="2" t="str">
        <f t="shared" si="215"/>
        <v>TRUE</v>
      </c>
      <c r="U1364" s="2" t="str">
        <f t="shared" si="216"/>
        <v>FALSE</v>
      </c>
      <c r="V1364" s="2" t="b">
        <f t="shared" si="217"/>
        <v>0</v>
      </c>
      <c r="W1364" s="2" t="b">
        <f t="shared" si="218"/>
        <v>0</v>
      </c>
      <c r="X1364" s="2" t="b">
        <f t="shared" si="219"/>
        <v>0</v>
      </c>
    </row>
    <row r="1365" spans="1:24" ht="10.5" customHeight="1">
      <c r="A1365" s="2" t="s">
        <v>1734</v>
      </c>
      <c r="B1365" s="3">
        <v>45926.356550925928</v>
      </c>
      <c r="C1365" s="2" t="s">
        <v>79</v>
      </c>
      <c r="D1365" s="2" t="s">
        <v>74</v>
      </c>
      <c r="E1365" s="2" t="s">
        <v>41</v>
      </c>
      <c r="F1365" s="4">
        <v>40000</v>
      </c>
      <c r="G1365" s="5">
        <v>1.3</v>
      </c>
      <c r="H1365" s="6">
        <v>0</v>
      </c>
      <c r="I1365" s="7">
        <f t="shared" si="210"/>
        <v>52000</v>
      </c>
      <c r="J1365" s="7">
        <f t="shared" si="211"/>
        <v>0</v>
      </c>
      <c r="K1365" s="7">
        <f t="shared" si="212"/>
        <v>52000</v>
      </c>
      <c r="L1365" s="4">
        <v>74000</v>
      </c>
      <c r="M1365" s="7">
        <f t="shared" si="213"/>
        <v>126000</v>
      </c>
      <c r="N1365" s="2" t="s">
        <v>33</v>
      </c>
      <c r="O1365" t="s">
        <v>22</v>
      </c>
      <c r="P1365" s="2" t="s">
        <v>2370</v>
      </c>
      <c r="Q1365" s="2">
        <v>1</v>
      </c>
      <c r="R1365" s="2" t="s">
        <v>23</v>
      </c>
      <c r="S1365" s="2" t="str">
        <f t="shared" si="214"/>
        <v>Standar</v>
      </c>
      <c r="T1365" s="2" t="str">
        <f t="shared" si="215"/>
        <v>FALSE</v>
      </c>
      <c r="U1365" s="2" t="str">
        <f t="shared" si="216"/>
        <v>FALSE</v>
      </c>
      <c r="V1365" s="2" t="b">
        <f t="shared" si="217"/>
        <v>0</v>
      </c>
      <c r="W1365" s="2" t="b">
        <f t="shared" si="218"/>
        <v>0</v>
      </c>
      <c r="X1365" s="2" t="b">
        <f t="shared" si="219"/>
        <v>0</v>
      </c>
    </row>
    <row r="1366" spans="1:24" ht="10.5" customHeight="1">
      <c r="A1366" s="2" t="s">
        <v>1735</v>
      </c>
      <c r="B1366" s="3">
        <v>45926.360439814824</v>
      </c>
      <c r="C1366" s="2" t="s">
        <v>189</v>
      </c>
      <c r="D1366" s="2" t="s">
        <v>133</v>
      </c>
      <c r="E1366" s="2" t="s">
        <v>57</v>
      </c>
      <c r="F1366" s="4">
        <v>17500</v>
      </c>
      <c r="G1366" s="5">
        <v>3.9</v>
      </c>
      <c r="H1366" s="6">
        <v>0</v>
      </c>
      <c r="I1366" s="7">
        <f t="shared" si="210"/>
        <v>68250</v>
      </c>
      <c r="J1366" s="7">
        <f t="shared" si="211"/>
        <v>0</v>
      </c>
      <c r="K1366" s="7">
        <f t="shared" si="212"/>
        <v>68250</v>
      </c>
      <c r="L1366" s="4">
        <v>50000</v>
      </c>
      <c r="M1366" s="7">
        <f t="shared" si="213"/>
        <v>118250</v>
      </c>
      <c r="N1366" s="2" t="s">
        <v>58</v>
      </c>
      <c r="O1366" t="s">
        <v>22</v>
      </c>
      <c r="P1366" s="2" t="s">
        <v>2365</v>
      </c>
      <c r="Q1366" s="2">
        <v>4</v>
      </c>
      <c r="R1366" s="2" t="s">
        <v>23</v>
      </c>
      <c r="S1366" s="2" t="str">
        <f t="shared" si="214"/>
        <v>Standar</v>
      </c>
      <c r="T1366" s="2" t="str">
        <f t="shared" si="215"/>
        <v>FALSE</v>
      </c>
      <c r="U1366" s="2" t="str">
        <f t="shared" si="216"/>
        <v>FALSE</v>
      </c>
      <c r="V1366" s="2" t="b">
        <f t="shared" si="217"/>
        <v>0</v>
      </c>
      <c r="W1366" s="2" t="b">
        <f t="shared" si="218"/>
        <v>0</v>
      </c>
      <c r="X1366" s="2" t="b">
        <f t="shared" si="219"/>
        <v>0</v>
      </c>
    </row>
    <row r="1367" spans="1:24" ht="10.5" customHeight="1">
      <c r="A1367" s="2" t="s">
        <v>1736</v>
      </c>
      <c r="B1367" s="3">
        <v>45926.410243055558</v>
      </c>
      <c r="C1367" s="2" t="s">
        <v>216</v>
      </c>
      <c r="D1367" s="2" t="s">
        <v>179</v>
      </c>
      <c r="E1367" s="2" t="s">
        <v>27</v>
      </c>
      <c r="F1367" s="4">
        <v>15000</v>
      </c>
      <c r="G1367" s="5">
        <v>0.7</v>
      </c>
      <c r="H1367" s="6">
        <v>0</v>
      </c>
      <c r="I1367" s="7">
        <f t="shared" si="210"/>
        <v>10500</v>
      </c>
      <c r="J1367" s="7">
        <f t="shared" si="211"/>
        <v>0</v>
      </c>
      <c r="K1367" s="7">
        <f t="shared" si="212"/>
        <v>10500</v>
      </c>
      <c r="L1367" s="4">
        <v>57000</v>
      </c>
      <c r="M1367" s="7">
        <f t="shared" si="213"/>
        <v>67500</v>
      </c>
      <c r="N1367" s="2" t="s">
        <v>28</v>
      </c>
      <c r="O1367" t="s">
        <v>22</v>
      </c>
      <c r="P1367" s="2" t="s">
        <v>2370</v>
      </c>
      <c r="Q1367" s="2">
        <v>1</v>
      </c>
      <c r="R1367" s="2" t="s">
        <v>34</v>
      </c>
      <c r="S1367" s="2" t="str">
        <f t="shared" si="214"/>
        <v>Rendah</v>
      </c>
      <c r="T1367" s="2" t="str">
        <f t="shared" si="215"/>
        <v>FALSE</v>
      </c>
      <c r="U1367" s="2" t="str">
        <f t="shared" si="216"/>
        <v>FALSE</v>
      </c>
      <c r="V1367" s="2" t="b">
        <f t="shared" si="217"/>
        <v>0</v>
      </c>
      <c r="W1367" s="2" t="b">
        <f t="shared" si="218"/>
        <v>0</v>
      </c>
      <c r="X1367" s="2" t="b">
        <f t="shared" si="219"/>
        <v>0</v>
      </c>
    </row>
    <row r="1368" spans="1:24" ht="10.5" customHeight="1">
      <c r="A1368" s="2" t="s">
        <v>1737</v>
      </c>
      <c r="B1368" s="3">
        <v>45926.48233796296</v>
      </c>
      <c r="C1368" s="2" t="s">
        <v>246</v>
      </c>
      <c r="D1368" s="2" t="s">
        <v>98</v>
      </c>
      <c r="E1368" s="2" t="s">
        <v>182</v>
      </c>
      <c r="F1368" s="4">
        <v>11000</v>
      </c>
      <c r="G1368" s="5">
        <v>1</v>
      </c>
      <c r="H1368" s="6">
        <v>0</v>
      </c>
      <c r="I1368" s="7">
        <f t="shared" si="210"/>
        <v>11000</v>
      </c>
      <c r="J1368" s="7">
        <f t="shared" si="211"/>
        <v>0</v>
      </c>
      <c r="K1368" s="7">
        <f t="shared" si="212"/>
        <v>11000</v>
      </c>
      <c r="L1368" s="4">
        <v>97000</v>
      </c>
      <c r="M1368" s="7">
        <f t="shared" si="213"/>
        <v>108000</v>
      </c>
      <c r="N1368" s="2" t="s">
        <v>58</v>
      </c>
      <c r="O1368" t="s">
        <v>69</v>
      </c>
      <c r="P1368" s="2" t="s">
        <v>2366</v>
      </c>
      <c r="Q1368" s="2">
        <v>2</v>
      </c>
      <c r="R1368" s="2" t="s">
        <v>23</v>
      </c>
      <c r="S1368" s="2" t="str">
        <f t="shared" si="214"/>
        <v>Standar</v>
      </c>
      <c r="T1368" s="2" t="str">
        <f t="shared" si="215"/>
        <v>FALSE</v>
      </c>
      <c r="U1368" s="2" t="str">
        <f t="shared" si="216"/>
        <v>FALSE</v>
      </c>
      <c r="V1368" s="2" t="b">
        <f t="shared" si="217"/>
        <v>0</v>
      </c>
      <c r="W1368" s="2" t="b">
        <f t="shared" si="218"/>
        <v>0</v>
      </c>
      <c r="X1368" s="2" t="b">
        <f t="shared" si="219"/>
        <v>0</v>
      </c>
    </row>
    <row r="1369" spans="1:24" ht="10.5" customHeight="1">
      <c r="A1369" s="2" t="s">
        <v>1738</v>
      </c>
      <c r="B1369" s="3">
        <v>45926.504421296297</v>
      </c>
      <c r="C1369" s="2" t="s">
        <v>209</v>
      </c>
      <c r="D1369" s="2" t="s">
        <v>160</v>
      </c>
      <c r="E1369" s="2" t="s">
        <v>75</v>
      </c>
      <c r="F1369" s="4">
        <v>45000</v>
      </c>
      <c r="G1369" s="5">
        <v>0.8</v>
      </c>
      <c r="H1369" s="6">
        <v>0</v>
      </c>
      <c r="I1369" s="7">
        <f t="shared" si="210"/>
        <v>36000</v>
      </c>
      <c r="J1369" s="7">
        <f t="shared" si="211"/>
        <v>0</v>
      </c>
      <c r="K1369" s="7">
        <f t="shared" si="212"/>
        <v>36000</v>
      </c>
      <c r="L1369" s="4">
        <v>46000</v>
      </c>
      <c r="M1369" s="7">
        <f t="shared" si="213"/>
        <v>82000</v>
      </c>
      <c r="N1369" s="2" t="s">
        <v>33</v>
      </c>
      <c r="O1369" t="s">
        <v>22</v>
      </c>
      <c r="P1369" s="2" t="s">
        <v>2370</v>
      </c>
      <c r="Q1369" s="2">
        <v>5</v>
      </c>
      <c r="R1369" s="2" t="s">
        <v>23</v>
      </c>
      <c r="S1369" s="2" t="str">
        <f t="shared" si="214"/>
        <v>Rendah</v>
      </c>
      <c r="T1369" s="2" t="str">
        <f t="shared" si="215"/>
        <v>FALSE</v>
      </c>
      <c r="U1369" s="2" t="str">
        <f t="shared" si="216"/>
        <v>FALSE</v>
      </c>
      <c r="V1369" s="2" t="b">
        <f t="shared" si="217"/>
        <v>0</v>
      </c>
      <c r="W1369" s="2" t="b">
        <f t="shared" si="218"/>
        <v>0</v>
      </c>
      <c r="X1369" s="2" t="b">
        <f t="shared" si="219"/>
        <v>0</v>
      </c>
    </row>
    <row r="1370" spans="1:24" ht="10.5" customHeight="1">
      <c r="A1370" s="2" t="s">
        <v>1739</v>
      </c>
      <c r="B1370" s="3">
        <v>45926.511712962973</v>
      </c>
      <c r="C1370" s="2" t="s">
        <v>345</v>
      </c>
      <c r="D1370" s="2" t="s">
        <v>108</v>
      </c>
      <c r="E1370" s="2" t="s">
        <v>20</v>
      </c>
      <c r="F1370" s="4">
        <v>10000</v>
      </c>
      <c r="G1370" s="5">
        <v>1.3</v>
      </c>
      <c r="H1370" s="6">
        <v>0</v>
      </c>
      <c r="I1370" s="7">
        <f t="shared" si="210"/>
        <v>13000</v>
      </c>
      <c r="J1370" s="7">
        <f t="shared" si="211"/>
        <v>0</v>
      </c>
      <c r="K1370" s="7">
        <f t="shared" si="212"/>
        <v>13000</v>
      </c>
      <c r="L1370" s="4">
        <v>72000</v>
      </c>
      <c r="M1370" s="7">
        <f t="shared" si="213"/>
        <v>85000</v>
      </c>
      <c r="N1370" s="2" t="s">
        <v>28</v>
      </c>
      <c r="O1370" t="s">
        <v>22</v>
      </c>
      <c r="P1370" s="2" t="s">
        <v>2367</v>
      </c>
      <c r="Q1370" s="2">
        <v>2</v>
      </c>
      <c r="R1370" s="2" t="s">
        <v>23</v>
      </c>
      <c r="S1370" s="2" t="str">
        <f t="shared" si="214"/>
        <v>Rendah</v>
      </c>
      <c r="T1370" s="2" t="str">
        <f t="shared" si="215"/>
        <v>FALSE</v>
      </c>
      <c r="U1370" s="2" t="str">
        <f t="shared" si="216"/>
        <v>FALSE</v>
      </c>
      <c r="V1370" s="2" t="b">
        <f t="shared" si="217"/>
        <v>0</v>
      </c>
      <c r="W1370" s="2" t="b">
        <f t="shared" si="218"/>
        <v>1</v>
      </c>
      <c r="X1370" s="2" t="b">
        <f t="shared" si="219"/>
        <v>0</v>
      </c>
    </row>
    <row r="1371" spans="1:24" ht="10.5" customHeight="1">
      <c r="A1371" s="2" t="s">
        <v>1740</v>
      </c>
      <c r="B1371" s="3">
        <v>45926.555949074071</v>
      </c>
      <c r="C1371" s="2" t="s">
        <v>93</v>
      </c>
      <c r="D1371" s="2" t="s">
        <v>94</v>
      </c>
      <c r="E1371" s="2" t="s">
        <v>102</v>
      </c>
      <c r="F1371" s="4">
        <v>55000</v>
      </c>
      <c r="G1371" s="5">
        <v>1.3</v>
      </c>
      <c r="H1371" s="6">
        <v>0</v>
      </c>
      <c r="I1371" s="7">
        <f t="shared" si="210"/>
        <v>71500</v>
      </c>
      <c r="J1371" s="7">
        <f t="shared" si="211"/>
        <v>0</v>
      </c>
      <c r="K1371" s="7">
        <f t="shared" si="212"/>
        <v>71500</v>
      </c>
      <c r="L1371" s="4">
        <v>85000</v>
      </c>
      <c r="M1371" s="7">
        <f t="shared" si="213"/>
        <v>156500</v>
      </c>
      <c r="N1371" s="2" t="s">
        <v>21</v>
      </c>
      <c r="O1371" t="s">
        <v>22</v>
      </c>
      <c r="P1371" s="2" t="s">
        <v>2365</v>
      </c>
      <c r="Q1371" s="2">
        <v>1</v>
      </c>
      <c r="R1371" s="2" t="s">
        <v>23</v>
      </c>
      <c r="S1371" s="2" t="str">
        <f t="shared" si="214"/>
        <v>Tinggi</v>
      </c>
      <c r="T1371" s="2" t="str">
        <f t="shared" si="215"/>
        <v>FALSE</v>
      </c>
      <c r="U1371" s="2" t="str">
        <f t="shared" si="216"/>
        <v>TRUE</v>
      </c>
      <c r="V1371" s="2" t="b">
        <f t="shared" si="217"/>
        <v>0</v>
      </c>
      <c r="W1371" s="2" t="b">
        <f t="shared" si="218"/>
        <v>0</v>
      </c>
      <c r="X1371" s="2" t="b">
        <f t="shared" si="219"/>
        <v>0</v>
      </c>
    </row>
    <row r="1372" spans="1:24" ht="10.5" customHeight="1">
      <c r="A1372" s="2" t="s">
        <v>1741</v>
      </c>
      <c r="B1372" s="3">
        <v>45926.566006944442</v>
      </c>
      <c r="C1372" s="2" t="s">
        <v>539</v>
      </c>
      <c r="D1372" s="2" t="s">
        <v>98</v>
      </c>
      <c r="E1372" s="2" t="s">
        <v>170</v>
      </c>
      <c r="F1372" s="4">
        <v>12000</v>
      </c>
      <c r="G1372" s="5">
        <v>1.4</v>
      </c>
      <c r="H1372" s="6">
        <v>0</v>
      </c>
      <c r="I1372" s="7">
        <f t="shared" si="210"/>
        <v>16800</v>
      </c>
      <c r="J1372" s="7">
        <f t="shared" si="211"/>
        <v>0</v>
      </c>
      <c r="K1372" s="7">
        <f t="shared" si="212"/>
        <v>16800</v>
      </c>
      <c r="L1372" s="4">
        <v>97000</v>
      </c>
      <c r="M1372" s="7">
        <f t="shared" si="213"/>
        <v>113800</v>
      </c>
      <c r="N1372" s="2" t="s">
        <v>58</v>
      </c>
      <c r="O1372" t="s">
        <v>22</v>
      </c>
      <c r="P1372" s="2" t="s">
        <v>2365</v>
      </c>
      <c r="Q1372" s="2">
        <v>5</v>
      </c>
      <c r="R1372" s="2" t="s">
        <v>23</v>
      </c>
      <c r="S1372" s="2" t="str">
        <f t="shared" si="214"/>
        <v>Standar</v>
      </c>
      <c r="T1372" s="2" t="str">
        <f t="shared" si="215"/>
        <v>FALSE</v>
      </c>
      <c r="U1372" s="2" t="str">
        <f t="shared" si="216"/>
        <v>FALSE</v>
      </c>
      <c r="V1372" s="2" t="b">
        <f t="shared" si="217"/>
        <v>0</v>
      </c>
      <c r="W1372" s="2" t="b">
        <f t="shared" si="218"/>
        <v>0</v>
      </c>
      <c r="X1372" s="2" t="b">
        <f t="shared" si="219"/>
        <v>0</v>
      </c>
    </row>
    <row r="1373" spans="1:24" ht="10.5" customHeight="1">
      <c r="A1373" s="2" t="s">
        <v>1741</v>
      </c>
      <c r="B1373" s="3">
        <v>45926.566006944442</v>
      </c>
      <c r="C1373" s="2" t="s">
        <v>539</v>
      </c>
      <c r="D1373" s="2" t="s">
        <v>98</v>
      </c>
      <c r="E1373" s="2" t="s">
        <v>45</v>
      </c>
      <c r="F1373" s="4">
        <v>10500</v>
      </c>
      <c r="G1373" s="5">
        <v>2.4</v>
      </c>
      <c r="H1373" s="6">
        <v>0</v>
      </c>
      <c r="I1373" s="7">
        <f t="shared" si="210"/>
        <v>25200</v>
      </c>
      <c r="J1373" s="7">
        <f t="shared" si="211"/>
        <v>0</v>
      </c>
      <c r="K1373" s="7">
        <f t="shared" si="212"/>
        <v>25200</v>
      </c>
      <c r="L1373" s="4">
        <v>0</v>
      </c>
      <c r="M1373" s="7">
        <f t="shared" si="213"/>
        <v>25200</v>
      </c>
      <c r="N1373" s="2" t="s">
        <v>58</v>
      </c>
      <c r="O1373" t="s">
        <v>22</v>
      </c>
      <c r="P1373" s="2" t="s">
        <v>2365</v>
      </c>
      <c r="Q1373" s="2">
        <v>5</v>
      </c>
      <c r="R1373" s="2" t="s">
        <v>23</v>
      </c>
      <c r="S1373" s="2" t="str">
        <f t="shared" si="214"/>
        <v>Sangat Rendah</v>
      </c>
      <c r="T1373" s="2" t="str">
        <f t="shared" si="215"/>
        <v>FALSE</v>
      </c>
      <c r="U1373" s="2" t="str">
        <f t="shared" si="216"/>
        <v>FALSE</v>
      </c>
      <c r="V1373" s="2" t="b">
        <f t="shared" si="217"/>
        <v>0</v>
      </c>
      <c r="W1373" s="2" t="b">
        <f t="shared" si="218"/>
        <v>0</v>
      </c>
      <c r="X1373" s="2" t="b">
        <f t="shared" si="219"/>
        <v>1</v>
      </c>
    </row>
    <row r="1374" spans="1:24" ht="10.5" customHeight="1">
      <c r="A1374" s="2" t="s">
        <v>1742</v>
      </c>
      <c r="B1374" s="3">
        <v>45926.712696759263</v>
      </c>
      <c r="C1374" s="2" t="s">
        <v>169</v>
      </c>
      <c r="D1374" s="2" t="s">
        <v>61</v>
      </c>
      <c r="E1374" s="2" t="s">
        <v>95</v>
      </c>
      <c r="F1374" s="4">
        <v>9500</v>
      </c>
      <c r="G1374" s="5">
        <v>0.6</v>
      </c>
      <c r="H1374" s="6">
        <v>0</v>
      </c>
      <c r="I1374" s="7">
        <f t="shared" si="210"/>
        <v>5700</v>
      </c>
      <c r="J1374" s="7">
        <f t="shared" si="211"/>
        <v>0</v>
      </c>
      <c r="K1374" s="7">
        <f t="shared" si="212"/>
        <v>5700</v>
      </c>
      <c r="L1374" s="4">
        <v>59000</v>
      </c>
      <c r="M1374" s="7">
        <f t="shared" si="213"/>
        <v>64700</v>
      </c>
      <c r="N1374" s="2" t="s">
        <v>58</v>
      </c>
      <c r="O1374" t="s">
        <v>22</v>
      </c>
      <c r="P1374" s="2" t="s">
        <v>2370</v>
      </c>
      <c r="Q1374" s="2">
        <v>2</v>
      </c>
      <c r="R1374" s="2" t="s">
        <v>23</v>
      </c>
      <c r="S1374" s="2" t="str">
        <f t="shared" si="214"/>
        <v>Rendah</v>
      </c>
      <c r="T1374" s="2" t="str">
        <f t="shared" si="215"/>
        <v>FALSE</v>
      </c>
      <c r="U1374" s="2" t="str">
        <f t="shared" si="216"/>
        <v>FALSE</v>
      </c>
      <c r="V1374" s="2" t="b">
        <f t="shared" si="217"/>
        <v>0</v>
      </c>
      <c r="W1374" s="2" t="b">
        <f t="shared" si="218"/>
        <v>0</v>
      </c>
      <c r="X1374" s="2" t="b">
        <f t="shared" si="219"/>
        <v>0</v>
      </c>
    </row>
    <row r="1375" spans="1:24" ht="10.5" customHeight="1">
      <c r="A1375" s="2" t="s">
        <v>1743</v>
      </c>
      <c r="B1375" s="3">
        <v>45926.733067129629</v>
      </c>
      <c r="C1375" s="2" t="s">
        <v>304</v>
      </c>
      <c r="D1375" s="2" t="s">
        <v>105</v>
      </c>
      <c r="E1375" s="2" t="s">
        <v>53</v>
      </c>
      <c r="F1375" s="4">
        <v>14000</v>
      </c>
      <c r="G1375" s="5">
        <v>1.1000000000000001</v>
      </c>
      <c r="H1375" s="6">
        <v>0</v>
      </c>
      <c r="I1375" s="7">
        <f t="shared" si="210"/>
        <v>15400.000000000002</v>
      </c>
      <c r="J1375" s="7">
        <f t="shared" si="211"/>
        <v>0</v>
      </c>
      <c r="K1375" s="7">
        <f t="shared" si="212"/>
        <v>15400.000000000002</v>
      </c>
      <c r="L1375" s="4">
        <v>18000</v>
      </c>
      <c r="M1375" s="7">
        <f t="shared" si="213"/>
        <v>33400</v>
      </c>
      <c r="N1375" s="2" t="s">
        <v>21</v>
      </c>
      <c r="O1375" t="s">
        <v>22</v>
      </c>
      <c r="P1375" s="2" t="s">
        <v>2366</v>
      </c>
      <c r="Q1375" s="2">
        <v>1</v>
      </c>
      <c r="R1375" s="2" t="s">
        <v>23</v>
      </c>
      <c r="S1375" s="2" t="str">
        <f t="shared" si="214"/>
        <v>Sangat Rendah</v>
      </c>
      <c r="T1375" s="2" t="str">
        <f t="shared" si="215"/>
        <v>FALSE</v>
      </c>
      <c r="U1375" s="2" t="str">
        <f t="shared" si="216"/>
        <v>FALSE</v>
      </c>
      <c r="V1375" s="2" t="b">
        <f t="shared" si="217"/>
        <v>0</v>
      </c>
      <c r="W1375" s="2" t="b">
        <f t="shared" si="218"/>
        <v>0</v>
      </c>
      <c r="X1375" s="2" t="b">
        <f t="shared" si="219"/>
        <v>1</v>
      </c>
    </row>
    <row r="1376" spans="1:24" ht="10.5" customHeight="1">
      <c r="A1376" s="2" t="s">
        <v>1744</v>
      </c>
      <c r="B1376" s="3">
        <v>45926.799085648148</v>
      </c>
      <c r="C1376" s="2" t="s">
        <v>292</v>
      </c>
      <c r="D1376" s="2" t="s">
        <v>68</v>
      </c>
      <c r="E1376" s="2" t="s">
        <v>95</v>
      </c>
      <c r="F1376" s="4">
        <v>9500</v>
      </c>
      <c r="G1376" s="5">
        <v>1.2</v>
      </c>
      <c r="H1376" s="6">
        <v>0</v>
      </c>
      <c r="I1376" s="7">
        <f t="shared" si="210"/>
        <v>11400</v>
      </c>
      <c r="J1376" s="7">
        <f t="shared" si="211"/>
        <v>0</v>
      </c>
      <c r="K1376" s="7">
        <f t="shared" si="212"/>
        <v>11400</v>
      </c>
      <c r="L1376" s="4">
        <v>87000</v>
      </c>
      <c r="M1376" s="7">
        <f t="shared" si="213"/>
        <v>98400</v>
      </c>
      <c r="N1376" s="2" t="s">
        <v>28</v>
      </c>
      <c r="O1376" t="s">
        <v>22</v>
      </c>
      <c r="P1376" s="2" t="s">
        <v>2368</v>
      </c>
      <c r="Q1376" s="2">
        <v>2</v>
      </c>
      <c r="R1376" s="2" t="s">
        <v>23</v>
      </c>
      <c r="S1376" s="2" t="str">
        <f t="shared" si="214"/>
        <v>Rendah</v>
      </c>
      <c r="T1376" s="2" t="str">
        <f t="shared" si="215"/>
        <v>FALSE</v>
      </c>
      <c r="U1376" s="2" t="str">
        <f t="shared" si="216"/>
        <v>FALSE</v>
      </c>
      <c r="V1376" s="2" t="b">
        <f t="shared" si="217"/>
        <v>0</v>
      </c>
      <c r="W1376" s="2" t="b">
        <f t="shared" si="218"/>
        <v>0</v>
      </c>
      <c r="X1376" s="2" t="b">
        <f t="shared" si="219"/>
        <v>0</v>
      </c>
    </row>
    <row r="1377" spans="1:24" ht="10.5" customHeight="1">
      <c r="A1377" s="2" t="s">
        <v>1745</v>
      </c>
      <c r="B1377" s="3">
        <v>45927.250740740739</v>
      </c>
      <c r="C1377" s="2" t="s">
        <v>890</v>
      </c>
      <c r="D1377" s="2" t="s">
        <v>26</v>
      </c>
      <c r="E1377" s="2" t="s">
        <v>57</v>
      </c>
      <c r="F1377" s="4">
        <v>17500</v>
      </c>
      <c r="G1377" s="5">
        <v>2.2000000000000002</v>
      </c>
      <c r="H1377" s="6">
        <v>0</v>
      </c>
      <c r="I1377" s="7">
        <f t="shared" si="210"/>
        <v>38500</v>
      </c>
      <c r="J1377" s="7">
        <f t="shared" si="211"/>
        <v>0</v>
      </c>
      <c r="K1377" s="7">
        <f t="shared" si="212"/>
        <v>38500</v>
      </c>
      <c r="L1377" s="4">
        <v>17000</v>
      </c>
      <c r="M1377" s="7">
        <f t="shared" si="213"/>
        <v>55500</v>
      </c>
      <c r="N1377" s="2" t="s">
        <v>28</v>
      </c>
      <c r="O1377" t="s">
        <v>22</v>
      </c>
      <c r="P1377" s="2" t="s">
        <v>2370</v>
      </c>
      <c r="Q1377" s="2">
        <v>3</v>
      </c>
      <c r="R1377" s="2" t="s">
        <v>23</v>
      </c>
      <c r="S1377" s="2" t="str">
        <f t="shared" si="214"/>
        <v>Rendah</v>
      </c>
      <c r="T1377" s="2" t="str">
        <f t="shared" si="215"/>
        <v>FALSE</v>
      </c>
      <c r="U1377" s="2" t="str">
        <f t="shared" si="216"/>
        <v>FALSE</v>
      </c>
      <c r="V1377" s="2" t="b">
        <f t="shared" si="217"/>
        <v>0</v>
      </c>
      <c r="W1377" s="2" t="b">
        <f t="shared" si="218"/>
        <v>0</v>
      </c>
      <c r="X1377" s="2" t="b">
        <f t="shared" si="219"/>
        <v>0</v>
      </c>
    </row>
    <row r="1378" spans="1:24" ht="10.5" customHeight="1">
      <c r="A1378" s="2" t="s">
        <v>1746</v>
      </c>
      <c r="B1378" s="3">
        <v>45927.308576388888</v>
      </c>
      <c r="C1378" s="2" t="s">
        <v>1747</v>
      </c>
      <c r="D1378" s="2" t="s">
        <v>68</v>
      </c>
      <c r="E1378" s="2" t="s">
        <v>170</v>
      </c>
      <c r="F1378" s="4">
        <v>12000</v>
      </c>
      <c r="G1378" s="5">
        <v>1.2</v>
      </c>
      <c r="H1378" s="6">
        <v>0</v>
      </c>
      <c r="I1378" s="7">
        <f t="shared" si="210"/>
        <v>14400</v>
      </c>
      <c r="J1378" s="7">
        <f t="shared" si="211"/>
        <v>0</v>
      </c>
      <c r="K1378" s="7">
        <f t="shared" si="212"/>
        <v>14400</v>
      </c>
      <c r="L1378" s="4">
        <v>87000</v>
      </c>
      <c r="M1378" s="7">
        <f t="shared" si="213"/>
        <v>101400</v>
      </c>
      <c r="N1378" s="2" t="s">
        <v>21</v>
      </c>
      <c r="O1378" t="s">
        <v>22</v>
      </c>
      <c r="P1378" s="2" t="s">
        <v>2366</v>
      </c>
      <c r="Q1378" s="2">
        <v>3</v>
      </c>
      <c r="R1378" s="2" t="s">
        <v>34</v>
      </c>
      <c r="S1378" s="2" t="str">
        <f t="shared" si="214"/>
        <v>Standar</v>
      </c>
      <c r="T1378" s="2" t="str">
        <f t="shared" si="215"/>
        <v>FALSE</v>
      </c>
      <c r="U1378" s="2" t="str">
        <f t="shared" si="216"/>
        <v>FALSE</v>
      </c>
      <c r="V1378" s="2" t="b">
        <f t="shared" si="217"/>
        <v>0</v>
      </c>
      <c r="W1378" s="2" t="b">
        <f t="shared" si="218"/>
        <v>0</v>
      </c>
      <c r="X1378" s="2" t="b">
        <f t="shared" si="219"/>
        <v>0</v>
      </c>
    </row>
    <row r="1379" spans="1:24" ht="10.5" customHeight="1">
      <c r="A1379" s="2" t="s">
        <v>1748</v>
      </c>
      <c r="B1379" s="3">
        <v>45927.379687499997</v>
      </c>
      <c r="C1379" s="2" t="s">
        <v>55</v>
      </c>
      <c r="D1379" s="2" t="s">
        <v>56</v>
      </c>
      <c r="E1379" s="2" t="s">
        <v>32</v>
      </c>
      <c r="F1379" s="4">
        <v>20000</v>
      </c>
      <c r="G1379" s="5">
        <v>1.5</v>
      </c>
      <c r="H1379" s="6">
        <v>0</v>
      </c>
      <c r="I1379" s="7">
        <f t="shared" si="210"/>
        <v>30000</v>
      </c>
      <c r="J1379" s="7">
        <f t="shared" si="211"/>
        <v>0</v>
      </c>
      <c r="K1379" s="7">
        <f t="shared" si="212"/>
        <v>30000</v>
      </c>
      <c r="L1379" s="4">
        <v>26000</v>
      </c>
      <c r="M1379" s="7">
        <f t="shared" si="213"/>
        <v>56000</v>
      </c>
      <c r="N1379" s="2" t="s">
        <v>58</v>
      </c>
      <c r="O1379" t="s">
        <v>69</v>
      </c>
      <c r="P1379" s="2" t="s">
        <v>2368</v>
      </c>
      <c r="Q1379" s="2">
        <v>3</v>
      </c>
      <c r="R1379" s="2" t="s">
        <v>23</v>
      </c>
      <c r="S1379" s="2" t="str">
        <f t="shared" si="214"/>
        <v>Rendah</v>
      </c>
      <c r="T1379" s="2" t="str">
        <f t="shared" si="215"/>
        <v>FALSE</v>
      </c>
      <c r="U1379" s="2" t="str">
        <f t="shared" si="216"/>
        <v>FALSE</v>
      </c>
      <c r="V1379" s="2" t="b">
        <f t="shared" si="217"/>
        <v>0</v>
      </c>
      <c r="W1379" s="2" t="b">
        <f t="shared" si="218"/>
        <v>0</v>
      </c>
      <c r="X1379" s="2" t="b">
        <f t="shared" si="219"/>
        <v>0</v>
      </c>
    </row>
    <row r="1380" spans="1:24" ht="10.5" customHeight="1">
      <c r="A1380" s="2" t="s">
        <v>1749</v>
      </c>
      <c r="B1380" s="3">
        <v>45927.460949074077</v>
      </c>
      <c r="C1380" s="2" t="s">
        <v>431</v>
      </c>
      <c r="D1380" s="2" t="s">
        <v>108</v>
      </c>
      <c r="E1380" s="2" t="s">
        <v>27</v>
      </c>
      <c r="F1380" s="4">
        <v>15000</v>
      </c>
      <c r="G1380" s="5">
        <v>0.6</v>
      </c>
      <c r="H1380" s="6">
        <v>0</v>
      </c>
      <c r="I1380" s="7">
        <f t="shared" si="210"/>
        <v>9000</v>
      </c>
      <c r="J1380" s="7">
        <f t="shared" si="211"/>
        <v>0</v>
      </c>
      <c r="K1380" s="7">
        <f t="shared" si="212"/>
        <v>9000</v>
      </c>
      <c r="L1380" s="4">
        <v>72000</v>
      </c>
      <c r="M1380" s="7">
        <f t="shared" si="213"/>
        <v>81000</v>
      </c>
      <c r="N1380" s="2" t="s">
        <v>33</v>
      </c>
      <c r="O1380" t="s">
        <v>22</v>
      </c>
      <c r="P1380" s="2" t="s">
        <v>2366</v>
      </c>
      <c r="Q1380" s="2">
        <v>4</v>
      </c>
      <c r="R1380" s="2" t="s">
        <v>34</v>
      </c>
      <c r="S1380" s="2" t="str">
        <f t="shared" si="214"/>
        <v>Rendah</v>
      </c>
      <c r="T1380" s="2" t="str">
        <f t="shared" si="215"/>
        <v>FALSE</v>
      </c>
      <c r="U1380" s="2" t="str">
        <f t="shared" si="216"/>
        <v>FALSE</v>
      </c>
      <c r="V1380" s="2" t="b">
        <f t="shared" si="217"/>
        <v>0</v>
      </c>
      <c r="W1380" s="2" t="b">
        <f t="shared" si="218"/>
        <v>0</v>
      </c>
      <c r="X1380" s="2" t="b">
        <f t="shared" si="219"/>
        <v>0</v>
      </c>
    </row>
    <row r="1381" spans="1:24" ht="10.5" customHeight="1">
      <c r="A1381" s="2" t="s">
        <v>1749</v>
      </c>
      <c r="B1381" s="3">
        <v>45927.460949074077</v>
      </c>
      <c r="C1381" s="2" t="s">
        <v>431</v>
      </c>
      <c r="D1381" s="2" t="s">
        <v>108</v>
      </c>
      <c r="E1381" s="2" t="s">
        <v>35</v>
      </c>
      <c r="F1381" s="4">
        <v>13500</v>
      </c>
      <c r="G1381" s="5">
        <v>1.6</v>
      </c>
      <c r="H1381" s="6">
        <v>0</v>
      </c>
      <c r="I1381" s="7">
        <f t="shared" si="210"/>
        <v>21600</v>
      </c>
      <c r="J1381" s="7">
        <f t="shared" si="211"/>
        <v>0</v>
      </c>
      <c r="K1381" s="7">
        <f t="shared" si="212"/>
        <v>21600</v>
      </c>
      <c r="L1381" s="4">
        <v>0</v>
      </c>
      <c r="M1381" s="7">
        <f t="shared" si="213"/>
        <v>21600</v>
      </c>
      <c r="N1381" s="2" t="s">
        <v>33</v>
      </c>
      <c r="O1381" t="s">
        <v>22</v>
      </c>
      <c r="P1381" s="2" t="s">
        <v>2366</v>
      </c>
      <c r="Q1381" s="2">
        <v>4</v>
      </c>
      <c r="R1381" s="2" t="s">
        <v>34</v>
      </c>
      <c r="S1381" s="2" t="str">
        <f t="shared" si="214"/>
        <v>Sangat Rendah</v>
      </c>
      <c r="T1381" s="2" t="str">
        <f t="shared" si="215"/>
        <v>FALSE</v>
      </c>
      <c r="U1381" s="2" t="str">
        <f t="shared" si="216"/>
        <v>FALSE</v>
      </c>
      <c r="V1381" s="2" t="b">
        <f t="shared" si="217"/>
        <v>0</v>
      </c>
      <c r="W1381" s="2" t="b">
        <f t="shared" si="218"/>
        <v>0</v>
      </c>
      <c r="X1381" s="2" t="b">
        <f t="shared" si="219"/>
        <v>0</v>
      </c>
    </row>
    <row r="1382" spans="1:24" ht="10.5" customHeight="1">
      <c r="A1382" s="2" t="s">
        <v>1750</v>
      </c>
      <c r="B1382" s="3">
        <v>45927.498831018522</v>
      </c>
      <c r="C1382" s="2" t="s">
        <v>1218</v>
      </c>
      <c r="D1382" s="2" t="s">
        <v>31</v>
      </c>
      <c r="E1382" s="2" t="s">
        <v>102</v>
      </c>
      <c r="F1382" s="4">
        <v>55000</v>
      </c>
      <c r="G1382" s="5">
        <v>0.1</v>
      </c>
      <c r="H1382" s="6">
        <v>0</v>
      </c>
      <c r="I1382" s="7">
        <f t="shared" si="210"/>
        <v>5500</v>
      </c>
      <c r="J1382" s="7">
        <f t="shared" si="211"/>
        <v>0</v>
      </c>
      <c r="K1382" s="7">
        <f t="shared" si="212"/>
        <v>5500</v>
      </c>
      <c r="L1382" s="4">
        <v>76000</v>
      </c>
      <c r="M1382" s="7">
        <f t="shared" si="213"/>
        <v>81500</v>
      </c>
      <c r="N1382" s="2" t="s">
        <v>28</v>
      </c>
      <c r="O1382" t="s">
        <v>22</v>
      </c>
      <c r="P1382" s="2" t="s">
        <v>2366</v>
      </c>
      <c r="Q1382" s="2">
        <v>3</v>
      </c>
      <c r="R1382" s="2" t="s">
        <v>23</v>
      </c>
      <c r="S1382" s="2" t="str">
        <f t="shared" si="214"/>
        <v>Rendah</v>
      </c>
      <c r="T1382" s="2" t="str">
        <f t="shared" si="215"/>
        <v>FALSE</v>
      </c>
      <c r="U1382" s="2" t="str">
        <f t="shared" si="216"/>
        <v>FALSE</v>
      </c>
      <c r="V1382" s="2" t="b">
        <f t="shared" si="217"/>
        <v>0</v>
      </c>
      <c r="W1382" s="2" t="b">
        <f t="shared" si="218"/>
        <v>0</v>
      </c>
      <c r="X1382" s="2" t="b">
        <f t="shared" si="219"/>
        <v>0</v>
      </c>
    </row>
    <row r="1383" spans="1:24" ht="10.5" customHeight="1">
      <c r="A1383" s="2" t="s">
        <v>1751</v>
      </c>
      <c r="B1383" s="3">
        <v>45927.595902777779</v>
      </c>
      <c r="C1383" s="2" t="s">
        <v>1564</v>
      </c>
      <c r="D1383" s="2" t="s">
        <v>31</v>
      </c>
      <c r="E1383" s="2" t="s">
        <v>80</v>
      </c>
      <c r="F1383" s="4">
        <v>15000</v>
      </c>
      <c r="G1383" s="5">
        <v>1.5</v>
      </c>
      <c r="H1383" s="6">
        <v>0</v>
      </c>
      <c r="I1383" s="7">
        <f t="shared" si="210"/>
        <v>22500</v>
      </c>
      <c r="J1383" s="7">
        <f t="shared" si="211"/>
        <v>0</v>
      </c>
      <c r="K1383" s="7">
        <f t="shared" si="212"/>
        <v>22500</v>
      </c>
      <c r="L1383" s="4">
        <v>76000</v>
      </c>
      <c r="M1383" s="7">
        <f t="shared" si="213"/>
        <v>98500</v>
      </c>
      <c r="N1383" s="2" t="s">
        <v>33</v>
      </c>
      <c r="O1383" t="s">
        <v>22</v>
      </c>
      <c r="P1383" s="2" t="s">
        <v>2365</v>
      </c>
      <c r="Q1383" s="2">
        <v>5</v>
      </c>
      <c r="R1383" s="2" t="s">
        <v>23</v>
      </c>
      <c r="S1383" s="2" t="str">
        <f t="shared" si="214"/>
        <v>Rendah</v>
      </c>
      <c r="T1383" s="2" t="str">
        <f t="shared" si="215"/>
        <v>FALSE</v>
      </c>
      <c r="U1383" s="2" t="str">
        <f t="shared" si="216"/>
        <v>FALSE</v>
      </c>
      <c r="V1383" s="2" t="b">
        <f t="shared" si="217"/>
        <v>0</v>
      </c>
      <c r="W1383" s="2" t="b">
        <f t="shared" si="218"/>
        <v>0</v>
      </c>
      <c r="X1383" s="2" t="b">
        <f t="shared" si="219"/>
        <v>0</v>
      </c>
    </row>
    <row r="1384" spans="1:24" ht="10.5" customHeight="1">
      <c r="A1384" s="2" t="s">
        <v>1752</v>
      </c>
      <c r="B1384" s="3">
        <v>45927.655578703707</v>
      </c>
      <c r="C1384" s="2" t="s">
        <v>83</v>
      </c>
      <c r="D1384" s="2" t="s">
        <v>84</v>
      </c>
      <c r="E1384" s="2" t="s">
        <v>20</v>
      </c>
      <c r="F1384" s="4">
        <v>10000</v>
      </c>
      <c r="G1384" s="5">
        <v>1.7</v>
      </c>
      <c r="H1384" s="6">
        <v>0</v>
      </c>
      <c r="I1384" s="7">
        <f t="shared" si="210"/>
        <v>17000</v>
      </c>
      <c r="J1384" s="7">
        <f t="shared" si="211"/>
        <v>0</v>
      </c>
      <c r="K1384" s="7">
        <f t="shared" si="212"/>
        <v>17000</v>
      </c>
      <c r="L1384" s="4">
        <v>30000</v>
      </c>
      <c r="M1384" s="7">
        <f t="shared" si="213"/>
        <v>47000</v>
      </c>
      <c r="N1384" s="2" t="s">
        <v>21</v>
      </c>
      <c r="O1384" t="s">
        <v>115</v>
      </c>
      <c r="P1384" s="2" t="s">
        <v>2367</v>
      </c>
      <c r="Q1384" s="2">
        <v>3</v>
      </c>
      <c r="R1384" s="2" t="s">
        <v>23</v>
      </c>
      <c r="S1384" s="2" t="str">
        <f t="shared" si="214"/>
        <v>Sangat Rendah</v>
      </c>
      <c r="T1384" s="2" t="str">
        <f t="shared" si="215"/>
        <v>FALSE</v>
      </c>
      <c r="U1384" s="2" t="str">
        <f t="shared" si="216"/>
        <v>FALSE</v>
      </c>
      <c r="V1384" s="2" t="b">
        <f t="shared" si="217"/>
        <v>0</v>
      </c>
      <c r="W1384" s="2" t="b">
        <f t="shared" si="218"/>
        <v>1</v>
      </c>
      <c r="X1384" s="2" t="b">
        <f t="shared" si="219"/>
        <v>1</v>
      </c>
    </row>
    <row r="1385" spans="1:24" ht="10.5" customHeight="1">
      <c r="A1385" s="2" t="s">
        <v>1752</v>
      </c>
      <c r="B1385" s="3">
        <v>45927.655578703707</v>
      </c>
      <c r="C1385" s="2" t="s">
        <v>83</v>
      </c>
      <c r="D1385" s="2" t="s">
        <v>84</v>
      </c>
      <c r="E1385" s="2" t="s">
        <v>27</v>
      </c>
      <c r="F1385" s="4">
        <v>15000</v>
      </c>
      <c r="G1385" s="5">
        <v>0.6</v>
      </c>
      <c r="H1385" s="6">
        <v>0</v>
      </c>
      <c r="I1385" s="7">
        <f t="shared" si="210"/>
        <v>9000</v>
      </c>
      <c r="J1385" s="7">
        <f t="shared" si="211"/>
        <v>0</v>
      </c>
      <c r="K1385" s="7">
        <f t="shared" si="212"/>
        <v>9000</v>
      </c>
      <c r="L1385" s="4">
        <v>0</v>
      </c>
      <c r="M1385" s="7">
        <f t="shared" si="213"/>
        <v>9000</v>
      </c>
      <c r="N1385" s="2" t="s">
        <v>21</v>
      </c>
      <c r="O1385" t="s">
        <v>115</v>
      </c>
      <c r="P1385" s="2" t="s">
        <v>2367</v>
      </c>
      <c r="Q1385" s="2">
        <v>3</v>
      </c>
      <c r="R1385" s="2" t="s">
        <v>23</v>
      </c>
      <c r="S1385" s="2" t="str">
        <f t="shared" si="214"/>
        <v>Sangat Rendah</v>
      </c>
      <c r="T1385" s="2" t="str">
        <f t="shared" si="215"/>
        <v>FALSE</v>
      </c>
      <c r="U1385" s="2" t="str">
        <f t="shared" si="216"/>
        <v>FALSE</v>
      </c>
      <c r="V1385" s="2" t="b">
        <f t="shared" si="217"/>
        <v>0</v>
      </c>
      <c r="W1385" s="2" t="b">
        <f t="shared" si="218"/>
        <v>1</v>
      </c>
      <c r="X1385" s="2" t="b">
        <f t="shared" si="219"/>
        <v>1</v>
      </c>
    </row>
    <row r="1386" spans="1:24" ht="10.5" customHeight="1">
      <c r="A1386" s="2" t="s">
        <v>1753</v>
      </c>
      <c r="B1386" s="3">
        <v>45927.691296296303</v>
      </c>
      <c r="C1386" s="2" t="s">
        <v>1073</v>
      </c>
      <c r="D1386" s="2" t="s">
        <v>160</v>
      </c>
      <c r="E1386" s="2" t="s">
        <v>143</v>
      </c>
      <c r="F1386" s="4">
        <v>10000</v>
      </c>
      <c r="G1386" s="5">
        <v>0.4</v>
      </c>
      <c r="H1386" s="6">
        <v>0</v>
      </c>
      <c r="I1386" s="7">
        <f t="shared" si="210"/>
        <v>4000</v>
      </c>
      <c r="J1386" s="7">
        <f t="shared" si="211"/>
        <v>0</v>
      </c>
      <c r="K1386" s="7">
        <f t="shared" si="212"/>
        <v>4000</v>
      </c>
      <c r="L1386" s="4">
        <v>46000</v>
      </c>
      <c r="M1386" s="7">
        <f t="shared" si="213"/>
        <v>50000</v>
      </c>
      <c r="N1386" s="2" t="s">
        <v>58</v>
      </c>
      <c r="O1386" t="s">
        <v>69</v>
      </c>
      <c r="P1386" s="2" t="s">
        <v>2370</v>
      </c>
      <c r="Q1386" s="2">
        <v>5</v>
      </c>
      <c r="R1386" s="2" t="s">
        <v>23</v>
      </c>
      <c r="S1386" s="2" t="str">
        <f t="shared" si="214"/>
        <v>Sangat Rendah</v>
      </c>
      <c r="T1386" s="2" t="str">
        <f t="shared" si="215"/>
        <v>FALSE</v>
      </c>
      <c r="U1386" s="2" t="str">
        <f t="shared" si="216"/>
        <v>TRUE</v>
      </c>
      <c r="V1386" s="2" t="b">
        <f t="shared" si="217"/>
        <v>0</v>
      </c>
      <c r="W1386" s="2" t="b">
        <f t="shared" si="218"/>
        <v>0</v>
      </c>
      <c r="X1386" s="2" t="b">
        <f t="shared" si="219"/>
        <v>1</v>
      </c>
    </row>
    <row r="1387" spans="1:24" ht="10.5" customHeight="1">
      <c r="A1387" s="2" t="s">
        <v>1754</v>
      </c>
      <c r="B1387" s="3">
        <v>45927.745393518519</v>
      </c>
      <c r="C1387" s="2" t="s">
        <v>349</v>
      </c>
      <c r="D1387" s="2" t="s">
        <v>64</v>
      </c>
      <c r="E1387" s="2" t="s">
        <v>35</v>
      </c>
      <c r="F1387" s="4">
        <v>13500</v>
      </c>
      <c r="G1387" s="5">
        <v>2.2999999999999998</v>
      </c>
      <c r="H1387" s="6">
        <v>0</v>
      </c>
      <c r="I1387" s="7">
        <f t="shared" si="210"/>
        <v>31049.999999999996</v>
      </c>
      <c r="J1387" s="7">
        <f t="shared" si="211"/>
        <v>0</v>
      </c>
      <c r="K1387" s="7">
        <f t="shared" si="212"/>
        <v>31049.999999999996</v>
      </c>
      <c r="L1387" s="4">
        <v>89000</v>
      </c>
      <c r="M1387" s="7">
        <f t="shared" si="213"/>
        <v>120050</v>
      </c>
      <c r="N1387" s="2" t="s">
        <v>58</v>
      </c>
      <c r="O1387" t="s">
        <v>69</v>
      </c>
      <c r="P1387" s="2" t="s">
        <v>2365</v>
      </c>
      <c r="Q1387" s="2">
        <v>2</v>
      </c>
      <c r="R1387" s="2" t="s">
        <v>23</v>
      </c>
      <c r="S1387" s="2" t="str">
        <f t="shared" si="214"/>
        <v>Standar</v>
      </c>
      <c r="T1387" s="2" t="str">
        <f t="shared" si="215"/>
        <v>FALSE</v>
      </c>
      <c r="U1387" s="2" t="str">
        <f t="shared" si="216"/>
        <v>FALSE</v>
      </c>
      <c r="V1387" s="2" t="b">
        <f t="shared" si="217"/>
        <v>0</v>
      </c>
      <c r="W1387" s="2" t="b">
        <f t="shared" si="218"/>
        <v>0</v>
      </c>
      <c r="X1387" s="2" t="b">
        <f t="shared" si="219"/>
        <v>0</v>
      </c>
    </row>
    <row r="1388" spans="1:24" ht="10.5" customHeight="1">
      <c r="A1388" s="2" t="s">
        <v>1755</v>
      </c>
      <c r="B1388" s="3">
        <v>45927.768078703702</v>
      </c>
      <c r="C1388" s="2" t="s">
        <v>330</v>
      </c>
      <c r="D1388" s="2" t="s">
        <v>118</v>
      </c>
      <c r="E1388" s="2" t="s">
        <v>95</v>
      </c>
      <c r="F1388" s="4">
        <v>9500</v>
      </c>
      <c r="G1388" s="5">
        <v>2</v>
      </c>
      <c r="H1388" s="6">
        <v>0</v>
      </c>
      <c r="I1388" s="7">
        <f t="shared" si="210"/>
        <v>19000</v>
      </c>
      <c r="J1388" s="7">
        <f t="shared" si="211"/>
        <v>0</v>
      </c>
      <c r="K1388" s="7">
        <f t="shared" si="212"/>
        <v>19000</v>
      </c>
      <c r="L1388" s="4">
        <v>84000</v>
      </c>
      <c r="M1388" s="7">
        <f t="shared" si="213"/>
        <v>103000</v>
      </c>
      <c r="N1388" s="2" t="s">
        <v>28</v>
      </c>
      <c r="O1388" t="s">
        <v>22</v>
      </c>
      <c r="P1388" s="2" t="s">
        <v>2368</v>
      </c>
      <c r="Q1388" s="2">
        <v>1</v>
      </c>
      <c r="R1388" s="2" t="s">
        <v>34</v>
      </c>
      <c r="S1388" s="2" t="str">
        <f t="shared" si="214"/>
        <v>Standar</v>
      </c>
      <c r="T1388" s="2" t="str">
        <f t="shared" si="215"/>
        <v>FALSE</v>
      </c>
      <c r="U1388" s="2" t="str">
        <f t="shared" si="216"/>
        <v>FALSE</v>
      </c>
      <c r="V1388" s="2" t="b">
        <f t="shared" si="217"/>
        <v>0</v>
      </c>
      <c r="W1388" s="2" t="b">
        <f t="shared" si="218"/>
        <v>0</v>
      </c>
      <c r="X1388" s="2" t="b">
        <f t="shared" si="219"/>
        <v>0</v>
      </c>
    </row>
    <row r="1389" spans="1:24" ht="10.5" customHeight="1">
      <c r="A1389" s="2" t="s">
        <v>1756</v>
      </c>
      <c r="B1389" s="3">
        <v>45927.772141203714</v>
      </c>
      <c r="C1389" s="2" t="s">
        <v>494</v>
      </c>
      <c r="D1389" s="2" t="s">
        <v>185</v>
      </c>
      <c r="E1389" s="2" t="s">
        <v>95</v>
      </c>
      <c r="F1389" s="4">
        <v>9500</v>
      </c>
      <c r="G1389" s="5">
        <v>1.5</v>
      </c>
      <c r="H1389" s="6">
        <v>0</v>
      </c>
      <c r="I1389" s="7">
        <f t="shared" si="210"/>
        <v>14250</v>
      </c>
      <c r="J1389" s="7">
        <f t="shared" si="211"/>
        <v>0</v>
      </c>
      <c r="K1389" s="7">
        <f t="shared" si="212"/>
        <v>14250</v>
      </c>
      <c r="L1389" s="4">
        <v>87000</v>
      </c>
      <c r="M1389" s="7">
        <f t="shared" si="213"/>
        <v>101250</v>
      </c>
      <c r="N1389" s="2" t="s">
        <v>28</v>
      </c>
      <c r="O1389" t="s">
        <v>22</v>
      </c>
      <c r="P1389" s="2" t="s">
        <v>2365</v>
      </c>
      <c r="Q1389" s="2">
        <v>5</v>
      </c>
      <c r="R1389" s="2" t="s">
        <v>23</v>
      </c>
      <c r="S1389" s="2" t="str">
        <f t="shared" si="214"/>
        <v>Standar</v>
      </c>
      <c r="T1389" s="2" t="str">
        <f t="shared" si="215"/>
        <v>FALSE</v>
      </c>
      <c r="U1389" s="2" t="str">
        <f t="shared" si="216"/>
        <v>FALSE</v>
      </c>
      <c r="V1389" s="2" t="b">
        <f t="shared" si="217"/>
        <v>0</v>
      </c>
      <c r="W1389" s="2" t="b">
        <f t="shared" si="218"/>
        <v>0</v>
      </c>
      <c r="X1389" s="2" t="b">
        <f t="shared" si="219"/>
        <v>0</v>
      </c>
    </row>
    <row r="1390" spans="1:24" ht="10.5" customHeight="1">
      <c r="A1390" s="2" t="s">
        <v>1757</v>
      </c>
      <c r="B1390" s="3">
        <v>45927.804247685177</v>
      </c>
      <c r="C1390" s="2" t="s">
        <v>774</v>
      </c>
      <c r="D1390" s="2" t="s">
        <v>108</v>
      </c>
      <c r="E1390" s="2" t="s">
        <v>20</v>
      </c>
      <c r="F1390" s="4">
        <v>10000</v>
      </c>
      <c r="G1390" s="5">
        <v>1.8</v>
      </c>
      <c r="H1390" s="6">
        <v>0</v>
      </c>
      <c r="I1390" s="7">
        <f t="shared" si="210"/>
        <v>18000</v>
      </c>
      <c r="J1390" s="7">
        <f t="shared" si="211"/>
        <v>0</v>
      </c>
      <c r="K1390" s="7">
        <f t="shared" si="212"/>
        <v>18000</v>
      </c>
      <c r="L1390" s="4">
        <v>72000</v>
      </c>
      <c r="M1390" s="7">
        <f t="shared" si="213"/>
        <v>90000</v>
      </c>
      <c r="N1390" s="2" t="s">
        <v>21</v>
      </c>
      <c r="O1390" t="s">
        <v>22</v>
      </c>
      <c r="P1390" s="2" t="s">
        <v>2366</v>
      </c>
      <c r="Q1390" s="2">
        <v>1</v>
      </c>
      <c r="R1390" s="2" t="s">
        <v>23</v>
      </c>
      <c r="S1390" s="2" t="str">
        <f t="shared" si="214"/>
        <v>Rendah</v>
      </c>
      <c r="T1390" s="2" t="str">
        <f t="shared" si="215"/>
        <v>FALSE</v>
      </c>
      <c r="U1390" s="2" t="str">
        <f t="shared" si="216"/>
        <v>FALSE</v>
      </c>
      <c r="V1390" s="2" t="b">
        <f t="shared" si="217"/>
        <v>0</v>
      </c>
      <c r="W1390" s="2" t="b">
        <f t="shared" si="218"/>
        <v>0</v>
      </c>
      <c r="X1390" s="2" t="b">
        <f t="shared" si="219"/>
        <v>0</v>
      </c>
    </row>
    <row r="1391" spans="1:24" ht="10.5" customHeight="1">
      <c r="A1391" s="2" t="s">
        <v>1758</v>
      </c>
      <c r="B1391" s="3">
        <v>45928.318182870367</v>
      </c>
      <c r="C1391" s="2" t="s">
        <v>802</v>
      </c>
      <c r="D1391" s="2" t="s">
        <v>31</v>
      </c>
      <c r="E1391" s="2" t="s">
        <v>102</v>
      </c>
      <c r="F1391" s="4">
        <v>55000</v>
      </c>
      <c r="G1391" s="5">
        <v>0.2</v>
      </c>
      <c r="H1391" s="6">
        <v>0</v>
      </c>
      <c r="I1391" s="7">
        <f t="shared" si="210"/>
        <v>11000</v>
      </c>
      <c r="J1391" s="7">
        <f t="shared" si="211"/>
        <v>0</v>
      </c>
      <c r="K1391" s="7">
        <f t="shared" si="212"/>
        <v>11000</v>
      </c>
      <c r="L1391" s="4">
        <v>76000</v>
      </c>
      <c r="M1391" s="7">
        <f t="shared" si="213"/>
        <v>87000</v>
      </c>
      <c r="N1391" s="2" t="s">
        <v>58</v>
      </c>
      <c r="O1391" t="s">
        <v>22</v>
      </c>
      <c r="P1391" s="2" t="s">
        <v>2367</v>
      </c>
      <c r="Q1391" s="2">
        <v>1</v>
      </c>
      <c r="R1391" s="2" t="s">
        <v>23</v>
      </c>
      <c r="S1391" s="2" t="str">
        <f t="shared" si="214"/>
        <v>Rendah</v>
      </c>
      <c r="T1391" s="2" t="str">
        <f t="shared" si="215"/>
        <v>FALSE</v>
      </c>
      <c r="U1391" s="2" t="str">
        <f t="shared" si="216"/>
        <v>FALSE</v>
      </c>
      <c r="V1391" s="2" t="b">
        <f t="shared" si="217"/>
        <v>0</v>
      </c>
      <c r="W1391" s="2" t="b">
        <f t="shared" si="218"/>
        <v>1</v>
      </c>
      <c r="X1391" s="2" t="b">
        <f t="shared" si="219"/>
        <v>0</v>
      </c>
    </row>
    <row r="1392" spans="1:24" ht="10.5" customHeight="1">
      <c r="A1392" s="2" t="s">
        <v>1758</v>
      </c>
      <c r="B1392" s="3">
        <v>45928.318182870367</v>
      </c>
      <c r="C1392" s="2" t="s">
        <v>802</v>
      </c>
      <c r="D1392" s="2" t="s">
        <v>31</v>
      </c>
      <c r="E1392" s="2" t="s">
        <v>27</v>
      </c>
      <c r="F1392" s="4">
        <v>15000</v>
      </c>
      <c r="G1392" s="5">
        <v>0.9</v>
      </c>
      <c r="H1392" s="6">
        <v>0</v>
      </c>
      <c r="I1392" s="7">
        <f t="shared" si="210"/>
        <v>13500</v>
      </c>
      <c r="J1392" s="7">
        <f t="shared" si="211"/>
        <v>0</v>
      </c>
      <c r="K1392" s="7">
        <f t="shared" si="212"/>
        <v>13500</v>
      </c>
      <c r="L1392" s="4">
        <v>0</v>
      </c>
      <c r="M1392" s="7">
        <f t="shared" si="213"/>
        <v>13500</v>
      </c>
      <c r="N1392" s="2" t="s">
        <v>58</v>
      </c>
      <c r="O1392" t="s">
        <v>22</v>
      </c>
      <c r="P1392" s="2" t="s">
        <v>2367</v>
      </c>
      <c r="Q1392" s="2">
        <v>1</v>
      </c>
      <c r="R1392" s="2" t="s">
        <v>23</v>
      </c>
      <c r="S1392" s="2" t="str">
        <f t="shared" si="214"/>
        <v>Sangat Rendah</v>
      </c>
      <c r="T1392" s="2" t="str">
        <f t="shared" si="215"/>
        <v>FALSE</v>
      </c>
      <c r="U1392" s="2" t="str">
        <f t="shared" si="216"/>
        <v>FALSE</v>
      </c>
      <c r="V1392" s="2" t="b">
        <f t="shared" si="217"/>
        <v>0</v>
      </c>
      <c r="W1392" s="2" t="b">
        <f t="shared" si="218"/>
        <v>1</v>
      </c>
      <c r="X1392" s="2" t="b">
        <f t="shared" si="219"/>
        <v>1</v>
      </c>
    </row>
    <row r="1393" spans="1:24" ht="10.5" customHeight="1">
      <c r="A1393" s="2" t="s">
        <v>1759</v>
      </c>
      <c r="B1393" s="3">
        <v>45928.343726851846</v>
      </c>
      <c r="C1393" s="2" t="s">
        <v>445</v>
      </c>
      <c r="D1393" s="2" t="s">
        <v>31</v>
      </c>
      <c r="E1393" s="2" t="s">
        <v>35</v>
      </c>
      <c r="F1393" s="4">
        <v>13500</v>
      </c>
      <c r="G1393" s="5">
        <v>2.8</v>
      </c>
      <c r="H1393" s="6">
        <v>0</v>
      </c>
      <c r="I1393" s="7">
        <f t="shared" si="210"/>
        <v>37800</v>
      </c>
      <c r="J1393" s="7">
        <f t="shared" si="211"/>
        <v>0</v>
      </c>
      <c r="K1393" s="7">
        <f t="shared" si="212"/>
        <v>37800</v>
      </c>
      <c r="L1393" s="4">
        <v>76000</v>
      </c>
      <c r="M1393" s="7">
        <f t="shared" si="213"/>
        <v>113800</v>
      </c>
      <c r="N1393" s="2" t="s">
        <v>58</v>
      </c>
      <c r="O1393" t="s">
        <v>22</v>
      </c>
      <c r="P1393" s="2" t="s">
        <v>2370</v>
      </c>
      <c r="Q1393" s="2">
        <v>5</v>
      </c>
      <c r="R1393" s="2" t="s">
        <v>23</v>
      </c>
      <c r="S1393" s="2" t="str">
        <f t="shared" si="214"/>
        <v>Standar</v>
      </c>
      <c r="T1393" s="2" t="str">
        <f t="shared" si="215"/>
        <v>FALSE</v>
      </c>
      <c r="U1393" s="2" t="str">
        <f t="shared" si="216"/>
        <v>FALSE</v>
      </c>
      <c r="V1393" s="2" t="b">
        <f t="shared" si="217"/>
        <v>0</v>
      </c>
      <c r="W1393" s="2" t="b">
        <f t="shared" si="218"/>
        <v>0</v>
      </c>
      <c r="X1393" s="2" t="b">
        <f t="shared" si="219"/>
        <v>0</v>
      </c>
    </row>
    <row r="1394" spans="1:24" ht="10.5" customHeight="1">
      <c r="A1394" s="2" t="s">
        <v>1760</v>
      </c>
      <c r="B1394" s="3">
        <v>45928.365601851852</v>
      </c>
      <c r="C1394" s="2" t="s">
        <v>402</v>
      </c>
      <c r="D1394" s="2" t="s">
        <v>64</v>
      </c>
      <c r="E1394" s="2" t="s">
        <v>102</v>
      </c>
      <c r="F1394" s="4">
        <v>55000</v>
      </c>
      <c r="G1394" s="5">
        <v>0.6</v>
      </c>
      <c r="H1394" s="6">
        <v>0</v>
      </c>
      <c r="I1394" s="7">
        <f t="shared" si="210"/>
        <v>33000</v>
      </c>
      <c r="J1394" s="7">
        <f t="shared" si="211"/>
        <v>0</v>
      </c>
      <c r="K1394" s="7">
        <f t="shared" si="212"/>
        <v>33000</v>
      </c>
      <c r="L1394" s="4">
        <v>89000</v>
      </c>
      <c r="M1394" s="7">
        <f t="shared" si="213"/>
        <v>122000</v>
      </c>
      <c r="N1394" s="2" t="s">
        <v>58</v>
      </c>
      <c r="O1394" t="s">
        <v>22</v>
      </c>
      <c r="P1394" s="2" t="s">
        <v>2367</v>
      </c>
      <c r="Q1394" s="2">
        <v>1</v>
      </c>
      <c r="R1394" s="2" t="s">
        <v>23</v>
      </c>
      <c r="S1394" s="2" t="str">
        <f t="shared" si="214"/>
        <v>Standar</v>
      </c>
      <c r="T1394" s="2" t="str">
        <f t="shared" si="215"/>
        <v>FALSE</v>
      </c>
      <c r="U1394" s="2" t="str">
        <f t="shared" si="216"/>
        <v>FALSE</v>
      </c>
      <c r="V1394" s="2" t="b">
        <f t="shared" si="217"/>
        <v>0</v>
      </c>
      <c r="W1394" s="2" t="b">
        <f t="shared" si="218"/>
        <v>1</v>
      </c>
      <c r="X1394" s="2" t="b">
        <f t="shared" si="219"/>
        <v>0</v>
      </c>
    </row>
    <row r="1395" spans="1:24" ht="10.5" customHeight="1">
      <c r="A1395" s="2" t="s">
        <v>1761</v>
      </c>
      <c r="B1395" s="3">
        <v>45928.380578703713</v>
      </c>
      <c r="C1395" s="2" t="s">
        <v>323</v>
      </c>
      <c r="D1395" s="2" t="s">
        <v>98</v>
      </c>
      <c r="E1395" s="2" t="s">
        <v>65</v>
      </c>
      <c r="F1395" s="4">
        <v>46000</v>
      </c>
      <c r="G1395" s="5">
        <v>0.7</v>
      </c>
      <c r="H1395" s="6">
        <v>0</v>
      </c>
      <c r="I1395" s="7">
        <f t="shared" si="210"/>
        <v>32199.999999999996</v>
      </c>
      <c r="J1395" s="7">
        <f t="shared" si="211"/>
        <v>0</v>
      </c>
      <c r="K1395" s="7">
        <f t="shared" si="212"/>
        <v>32199.999999999996</v>
      </c>
      <c r="L1395" s="4">
        <v>97000</v>
      </c>
      <c r="M1395" s="7">
        <f t="shared" si="213"/>
        <v>129200</v>
      </c>
      <c r="N1395" s="2" t="s">
        <v>33</v>
      </c>
      <c r="O1395" t="s">
        <v>22</v>
      </c>
      <c r="P1395" s="2" t="s">
        <v>2366</v>
      </c>
      <c r="Q1395" s="2">
        <v>1</v>
      </c>
      <c r="R1395" s="2" t="s">
        <v>34</v>
      </c>
      <c r="S1395" s="2" t="str">
        <f t="shared" si="214"/>
        <v>Standar</v>
      </c>
      <c r="T1395" s="2" t="str">
        <f t="shared" si="215"/>
        <v>FALSE</v>
      </c>
      <c r="U1395" s="2" t="str">
        <f t="shared" si="216"/>
        <v>FALSE</v>
      </c>
      <c r="V1395" s="2" t="b">
        <f t="shared" si="217"/>
        <v>0</v>
      </c>
      <c r="W1395" s="2" t="b">
        <f t="shared" si="218"/>
        <v>0</v>
      </c>
      <c r="X1395" s="2" t="b">
        <f t="shared" si="219"/>
        <v>0</v>
      </c>
    </row>
    <row r="1396" spans="1:24" ht="10.5" customHeight="1">
      <c r="A1396" s="2" t="s">
        <v>1762</v>
      </c>
      <c r="B1396" s="3">
        <v>45928.422326388893</v>
      </c>
      <c r="C1396" s="2" t="s">
        <v>689</v>
      </c>
      <c r="D1396" s="2" t="s">
        <v>229</v>
      </c>
      <c r="E1396" s="2" t="s">
        <v>190</v>
      </c>
      <c r="F1396" s="4">
        <v>15500</v>
      </c>
      <c r="G1396" s="5">
        <v>0.2</v>
      </c>
      <c r="H1396" s="6">
        <v>0</v>
      </c>
      <c r="I1396" s="7">
        <f t="shared" si="210"/>
        <v>3100</v>
      </c>
      <c r="J1396" s="7">
        <f t="shared" si="211"/>
        <v>0</v>
      </c>
      <c r="K1396" s="7">
        <f t="shared" si="212"/>
        <v>3100</v>
      </c>
      <c r="L1396" s="4">
        <v>28000</v>
      </c>
      <c r="M1396" s="7">
        <f t="shared" si="213"/>
        <v>31100</v>
      </c>
      <c r="N1396" s="2" t="s">
        <v>33</v>
      </c>
      <c r="O1396" t="s">
        <v>22</v>
      </c>
      <c r="P1396" s="2" t="s">
        <v>2366</v>
      </c>
      <c r="Q1396" s="2">
        <v>3</v>
      </c>
      <c r="R1396" s="2" t="s">
        <v>34</v>
      </c>
      <c r="S1396" s="2" t="str">
        <f t="shared" si="214"/>
        <v>Sangat Rendah</v>
      </c>
      <c r="T1396" s="2" t="str">
        <f t="shared" si="215"/>
        <v>FALSE</v>
      </c>
      <c r="U1396" s="2" t="str">
        <f t="shared" si="216"/>
        <v>FALSE</v>
      </c>
      <c r="V1396" s="2" t="b">
        <f t="shared" si="217"/>
        <v>0</v>
      </c>
      <c r="W1396" s="2" t="b">
        <f t="shared" si="218"/>
        <v>0</v>
      </c>
      <c r="X1396" s="2" t="b">
        <f t="shared" si="219"/>
        <v>0</v>
      </c>
    </row>
    <row r="1397" spans="1:24" ht="10.5" customHeight="1">
      <c r="A1397" s="2" t="s">
        <v>1763</v>
      </c>
      <c r="B1397" s="3">
        <v>45928.42255787037</v>
      </c>
      <c r="C1397" s="2" t="s">
        <v>77</v>
      </c>
      <c r="D1397" s="2" t="s">
        <v>52</v>
      </c>
      <c r="E1397" s="2" t="s">
        <v>65</v>
      </c>
      <c r="F1397" s="4">
        <v>46000</v>
      </c>
      <c r="G1397" s="5">
        <v>0.5</v>
      </c>
      <c r="H1397" s="6">
        <v>0</v>
      </c>
      <c r="I1397" s="7">
        <f t="shared" si="210"/>
        <v>23000</v>
      </c>
      <c r="J1397" s="7">
        <f t="shared" si="211"/>
        <v>0</v>
      </c>
      <c r="K1397" s="7">
        <f t="shared" si="212"/>
        <v>23000</v>
      </c>
      <c r="L1397" s="4">
        <v>80000</v>
      </c>
      <c r="M1397" s="7">
        <f t="shared" si="213"/>
        <v>103000</v>
      </c>
      <c r="N1397" s="2" t="s">
        <v>21</v>
      </c>
      <c r="O1397" t="s">
        <v>22</v>
      </c>
      <c r="P1397" s="2" t="s">
        <v>2370</v>
      </c>
      <c r="Q1397" s="2">
        <v>4</v>
      </c>
      <c r="R1397" s="2" t="s">
        <v>34</v>
      </c>
      <c r="S1397" s="2" t="str">
        <f t="shared" si="214"/>
        <v>Standar</v>
      </c>
      <c r="T1397" s="2" t="str">
        <f t="shared" si="215"/>
        <v>FALSE</v>
      </c>
      <c r="U1397" s="2" t="str">
        <f t="shared" si="216"/>
        <v>FALSE</v>
      </c>
      <c r="V1397" s="2" t="b">
        <f t="shared" si="217"/>
        <v>0</v>
      </c>
      <c r="W1397" s="2" t="b">
        <f t="shared" si="218"/>
        <v>0</v>
      </c>
      <c r="X1397" s="2" t="b">
        <f t="shared" si="219"/>
        <v>0</v>
      </c>
    </row>
    <row r="1398" spans="1:24" ht="10.5" customHeight="1">
      <c r="A1398" s="2" t="s">
        <v>1764</v>
      </c>
      <c r="B1398" s="3">
        <v>45928.487800925926</v>
      </c>
      <c r="C1398" s="2" t="s">
        <v>248</v>
      </c>
      <c r="D1398" s="2" t="s">
        <v>40</v>
      </c>
      <c r="E1398" s="2" t="s">
        <v>190</v>
      </c>
      <c r="F1398" s="4">
        <v>15500</v>
      </c>
      <c r="G1398" s="5">
        <v>0.4</v>
      </c>
      <c r="H1398" s="6">
        <v>0</v>
      </c>
      <c r="I1398" s="7">
        <f t="shared" si="210"/>
        <v>6200</v>
      </c>
      <c r="J1398" s="7">
        <f t="shared" si="211"/>
        <v>0</v>
      </c>
      <c r="K1398" s="7">
        <f t="shared" si="212"/>
        <v>6200</v>
      </c>
      <c r="L1398" s="4">
        <v>93000</v>
      </c>
      <c r="M1398" s="7">
        <f t="shared" si="213"/>
        <v>99200</v>
      </c>
      <c r="N1398" s="2" t="s">
        <v>21</v>
      </c>
      <c r="O1398" t="s">
        <v>115</v>
      </c>
      <c r="P1398" s="2" t="s">
        <v>2368</v>
      </c>
      <c r="Q1398" s="2">
        <v>4</v>
      </c>
      <c r="R1398" s="2" t="s">
        <v>23</v>
      </c>
      <c r="S1398" s="2" t="str">
        <f t="shared" si="214"/>
        <v>Rendah</v>
      </c>
      <c r="T1398" s="2" t="str">
        <f t="shared" si="215"/>
        <v>FALSE</v>
      </c>
      <c r="U1398" s="2" t="str">
        <f t="shared" si="216"/>
        <v>FALSE</v>
      </c>
      <c r="V1398" s="2" t="b">
        <f t="shared" si="217"/>
        <v>0</v>
      </c>
      <c r="W1398" s="2" t="b">
        <f t="shared" si="218"/>
        <v>0</v>
      </c>
      <c r="X1398" s="2" t="b">
        <f t="shared" si="219"/>
        <v>0</v>
      </c>
    </row>
    <row r="1399" spans="1:24" ht="10.5" customHeight="1">
      <c r="A1399" s="2" t="s">
        <v>1764</v>
      </c>
      <c r="B1399" s="3">
        <v>45928.487800925926</v>
      </c>
      <c r="C1399" s="2" t="s">
        <v>248</v>
      </c>
      <c r="D1399" s="2" t="s">
        <v>40</v>
      </c>
      <c r="E1399" s="2" t="s">
        <v>102</v>
      </c>
      <c r="F1399" s="4">
        <v>55000</v>
      </c>
      <c r="G1399" s="5">
        <v>1</v>
      </c>
      <c r="H1399" s="6">
        <v>0</v>
      </c>
      <c r="I1399" s="7">
        <f t="shared" si="210"/>
        <v>55000</v>
      </c>
      <c r="J1399" s="7">
        <f t="shared" si="211"/>
        <v>0</v>
      </c>
      <c r="K1399" s="7">
        <f t="shared" si="212"/>
        <v>55000</v>
      </c>
      <c r="L1399" s="4">
        <v>0</v>
      </c>
      <c r="M1399" s="7">
        <f t="shared" si="213"/>
        <v>55000</v>
      </c>
      <c r="N1399" s="2" t="s">
        <v>21</v>
      </c>
      <c r="O1399" t="s">
        <v>115</v>
      </c>
      <c r="P1399" s="2" t="s">
        <v>2368</v>
      </c>
      <c r="Q1399" s="2">
        <v>4</v>
      </c>
      <c r="R1399" s="2" t="s">
        <v>23</v>
      </c>
      <c r="S1399" s="2" t="str">
        <f t="shared" si="214"/>
        <v>Rendah</v>
      </c>
      <c r="T1399" s="2" t="str">
        <f t="shared" si="215"/>
        <v>FALSE</v>
      </c>
      <c r="U1399" s="2" t="str">
        <f t="shared" si="216"/>
        <v>FALSE</v>
      </c>
      <c r="V1399" s="2" t="b">
        <f t="shared" si="217"/>
        <v>0</v>
      </c>
      <c r="W1399" s="2" t="b">
        <f t="shared" si="218"/>
        <v>0</v>
      </c>
      <c r="X1399" s="2" t="b">
        <f t="shared" si="219"/>
        <v>0</v>
      </c>
    </row>
    <row r="1400" spans="1:24" ht="10.5" customHeight="1">
      <c r="A1400" s="2" t="s">
        <v>1765</v>
      </c>
      <c r="B1400" s="3">
        <v>45928.550763888888</v>
      </c>
      <c r="C1400" s="2" t="s">
        <v>439</v>
      </c>
      <c r="D1400" s="2" t="s">
        <v>140</v>
      </c>
      <c r="E1400" s="2" t="s">
        <v>57</v>
      </c>
      <c r="F1400" s="4">
        <v>17500</v>
      </c>
      <c r="G1400" s="5">
        <v>1.2</v>
      </c>
      <c r="H1400" s="6">
        <v>0</v>
      </c>
      <c r="I1400" s="7">
        <f t="shared" si="210"/>
        <v>21000</v>
      </c>
      <c r="J1400" s="7">
        <f t="shared" si="211"/>
        <v>0</v>
      </c>
      <c r="K1400" s="7">
        <f t="shared" si="212"/>
        <v>21000</v>
      </c>
      <c r="L1400" s="4">
        <v>55000</v>
      </c>
      <c r="M1400" s="7">
        <f t="shared" si="213"/>
        <v>76000</v>
      </c>
      <c r="N1400" s="2" t="s">
        <v>58</v>
      </c>
      <c r="O1400" t="s">
        <v>22</v>
      </c>
      <c r="P1400" s="2" t="s">
        <v>2368</v>
      </c>
      <c r="Q1400" s="2">
        <v>1</v>
      </c>
      <c r="R1400" s="2" t="s">
        <v>23</v>
      </c>
      <c r="S1400" s="2" t="str">
        <f t="shared" si="214"/>
        <v>Rendah</v>
      </c>
      <c r="T1400" s="2" t="str">
        <f t="shared" si="215"/>
        <v>FALSE</v>
      </c>
      <c r="U1400" s="2" t="str">
        <f t="shared" si="216"/>
        <v>FALSE</v>
      </c>
      <c r="V1400" s="2" t="b">
        <f t="shared" si="217"/>
        <v>0</v>
      </c>
      <c r="W1400" s="2" t="b">
        <f t="shared" si="218"/>
        <v>0</v>
      </c>
      <c r="X1400" s="2" t="b">
        <f t="shared" si="219"/>
        <v>0</v>
      </c>
    </row>
    <row r="1401" spans="1:24" ht="10.5" customHeight="1">
      <c r="A1401" s="2" t="s">
        <v>1766</v>
      </c>
      <c r="B1401" s="3">
        <v>45928.552129629628</v>
      </c>
      <c r="C1401" s="2" t="s">
        <v>687</v>
      </c>
      <c r="D1401" s="2" t="s">
        <v>133</v>
      </c>
      <c r="E1401" s="2" t="s">
        <v>32</v>
      </c>
      <c r="F1401" s="4">
        <v>20000</v>
      </c>
      <c r="G1401" s="5">
        <v>0.8</v>
      </c>
      <c r="H1401" s="6">
        <v>0</v>
      </c>
      <c r="I1401" s="7">
        <f t="shared" si="210"/>
        <v>16000</v>
      </c>
      <c r="J1401" s="7">
        <f t="shared" si="211"/>
        <v>0</v>
      </c>
      <c r="K1401" s="7">
        <f t="shared" si="212"/>
        <v>16000</v>
      </c>
      <c r="L1401" s="4">
        <v>50000</v>
      </c>
      <c r="M1401" s="7">
        <f t="shared" si="213"/>
        <v>66000</v>
      </c>
      <c r="N1401" s="2" t="s">
        <v>28</v>
      </c>
      <c r="O1401" t="s">
        <v>22</v>
      </c>
      <c r="P1401" s="2" t="s">
        <v>2366</v>
      </c>
      <c r="Q1401" s="2">
        <v>5</v>
      </c>
      <c r="R1401" s="2" t="s">
        <v>34</v>
      </c>
      <c r="S1401" s="2" t="str">
        <f t="shared" si="214"/>
        <v>Rendah</v>
      </c>
      <c r="T1401" s="2" t="str">
        <f t="shared" si="215"/>
        <v>FALSE</v>
      </c>
      <c r="U1401" s="2" t="str">
        <f t="shared" si="216"/>
        <v>FALSE</v>
      </c>
      <c r="V1401" s="2" t="b">
        <f t="shared" si="217"/>
        <v>0</v>
      </c>
      <c r="W1401" s="2" t="b">
        <f t="shared" si="218"/>
        <v>0</v>
      </c>
      <c r="X1401" s="2" t="b">
        <f t="shared" si="219"/>
        <v>0</v>
      </c>
    </row>
    <row r="1402" spans="1:24" ht="10.5" customHeight="1">
      <c r="A1402" s="2" t="s">
        <v>1767</v>
      </c>
      <c r="B1402" s="3">
        <v>45928.56958333333</v>
      </c>
      <c r="C1402" s="2" t="s">
        <v>966</v>
      </c>
      <c r="D1402" s="2" t="s">
        <v>173</v>
      </c>
      <c r="E1402" s="2" t="s">
        <v>57</v>
      </c>
      <c r="F1402" s="4">
        <v>17500</v>
      </c>
      <c r="G1402" s="5">
        <v>2.9</v>
      </c>
      <c r="H1402" s="6">
        <v>0</v>
      </c>
      <c r="I1402" s="7">
        <f t="shared" si="210"/>
        <v>50750</v>
      </c>
      <c r="J1402" s="7">
        <f t="shared" si="211"/>
        <v>0</v>
      </c>
      <c r="K1402" s="7">
        <f t="shared" si="212"/>
        <v>50750</v>
      </c>
      <c r="L1402" s="4">
        <v>48000</v>
      </c>
      <c r="M1402" s="7">
        <f t="shared" si="213"/>
        <v>98750</v>
      </c>
      <c r="N1402" s="2" t="s">
        <v>21</v>
      </c>
      <c r="O1402" t="s">
        <v>69</v>
      </c>
      <c r="P1402" s="2" t="s">
        <v>2366</v>
      </c>
      <c r="Q1402" s="2">
        <v>4</v>
      </c>
      <c r="R1402" s="2" t="s">
        <v>23</v>
      </c>
      <c r="S1402" s="2" t="str">
        <f t="shared" si="214"/>
        <v>Rendah</v>
      </c>
      <c r="T1402" s="2" t="str">
        <f t="shared" si="215"/>
        <v>FALSE</v>
      </c>
      <c r="U1402" s="2" t="str">
        <f t="shared" si="216"/>
        <v>FALSE</v>
      </c>
      <c r="V1402" s="2" t="b">
        <f t="shared" si="217"/>
        <v>0</v>
      </c>
      <c r="W1402" s="2" t="b">
        <f t="shared" si="218"/>
        <v>0</v>
      </c>
      <c r="X1402" s="2" t="b">
        <f t="shared" si="219"/>
        <v>0</v>
      </c>
    </row>
    <row r="1403" spans="1:24" ht="10.5" customHeight="1">
      <c r="A1403" s="2" t="s">
        <v>1768</v>
      </c>
      <c r="B1403" s="3">
        <v>45928.627754629633</v>
      </c>
      <c r="C1403" s="2" t="s">
        <v>515</v>
      </c>
      <c r="D1403" s="2" t="s">
        <v>87</v>
      </c>
      <c r="E1403" s="2" t="s">
        <v>161</v>
      </c>
      <c r="F1403" s="4">
        <v>115000</v>
      </c>
      <c r="G1403" s="5">
        <v>0.2</v>
      </c>
      <c r="H1403" s="6">
        <v>0</v>
      </c>
      <c r="I1403" s="7">
        <f t="shared" si="210"/>
        <v>23000</v>
      </c>
      <c r="J1403" s="7">
        <f t="shared" si="211"/>
        <v>0</v>
      </c>
      <c r="K1403" s="7">
        <f t="shared" si="212"/>
        <v>23000</v>
      </c>
      <c r="L1403" s="4">
        <v>49000</v>
      </c>
      <c r="M1403" s="7">
        <f t="shared" si="213"/>
        <v>72000</v>
      </c>
      <c r="N1403" s="2" t="s">
        <v>28</v>
      </c>
      <c r="O1403" t="s">
        <v>22</v>
      </c>
      <c r="P1403" s="2" t="s">
        <v>2370</v>
      </c>
      <c r="Q1403" s="2">
        <v>1</v>
      </c>
      <c r="R1403" s="2" t="s">
        <v>23</v>
      </c>
      <c r="S1403" s="2" t="str">
        <f t="shared" si="214"/>
        <v>Rendah</v>
      </c>
      <c r="T1403" s="2" t="str">
        <f t="shared" si="215"/>
        <v>FALSE</v>
      </c>
      <c r="U1403" s="2" t="str">
        <f t="shared" si="216"/>
        <v>FALSE</v>
      </c>
      <c r="V1403" s="2" t="b">
        <f t="shared" si="217"/>
        <v>0</v>
      </c>
      <c r="W1403" s="2" t="b">
        <f t="shared" si="218"/>
        <v>0</v>
      </c>
      <c r="X1403" s="2" t="b">
        <f t="shared" si="219"/>
        <v>0</v>
      </c>
    </row>
    <row r="1404" spans="1:24" ht="10.5" customHeight="1">
      <c r="A1404" s="2" t="s">
        <v>1769</v>
      </c>
      <c r="B1404" s="3">
        <v>45928.674733796302</v>
      </c>
      <c r="C1404" s="2" t="s">
        <v>261</v>
      </c>
      <c r="D1404" s="2" t="s">
        <v>44</v>
      </c>
      <c r="E1404" s="2" t="s">
        <v>53</v>
      </c>
      <c r="F1404" s="4">
        <v>14000</v>
      </c>
      <c r="G1404" s="5">
        <v>1.1000000000000001</v>
      </c>
      <c r="H1404" s="6">
        <v>0</v>
      </c>
      <c r="I1404" s="7">
        <f t="shared" si="210"/>
        <v>15400.000000000002</v>
      </c>
      <c r="J1404" s="7">
        <f t="shared" si="211"/>
        <v>0</v>
      </c>
      <c r="K1404" s="7">
        <f t="shared" si="212"/>
        <v>15400.000000000002</v>
      </c>
      <c r="L1404" s="4">
        <v>43000</v>
      </c>
      <c r="M1404" s="7">
        <f t="shared" si="213"/>
        <v>58400</v>
      </c>
      <c r="N1404" s="2" t="s">
        <v>28</v>
      </c>
      <c r="O1404" t="s">
        <v>22</v>
      </c>
      <c r="P1404" s="2" t="s">
        <v>2365</v>
      </c>
      <c r="Q1404" s="2">
        <v>3</v>
      </c>
      <c r="R1404" s="2" t="s">
        <v>23</v>
      </c>
      <c r="S1404" s="2" t="str">
        <f t="shared" si="214"/>
        <v>Rendah</v>
      </c>
      <c r="T1404" s="2" t="str">
        <f t="shared" si="215"/>
        <v>FALSE</v>
      </c>
      <c r="U1404" s="2" t="str">
        <f t="shared" si="216"/>
        <v>FALSE</v>
      </c>
      <c r="V1404" s="2" t="b">
        <f t="shared" si="217"/>
        <v>0</v>
      </c>
      <c r="W1404" s="2" t="b">
        <f t="shared" si="218"/>
        <v>0</v>
      </c>
      <c r="X1404" s="2" t="b">
        <f t="shared" si="219"/>
        <v>0</v>
      </c>
    </row>
    <row r="1405" spans="1:24" ht="10.5" customHeight="1">
      <c r="A1405" s="2" t="s">
        <v>1770</v>
      </c>
      <c r="B1405" s="3">
        <v>45928.786215277767</v>
      </c>
      <c r="C1405" s="2" t="s">
        <v>539</v>
      </c>
      <c r="D1405" s="2" t="s">
        <v>98</v>
      </c>
      <c r="E1405" s="2" t="s">
        <v>99</v>
      </c>
      <c r="F1405" s="4">
        <v>10000</v>
      </c>
      <c r="G1405" s="5">
        <v>0.4</v>
      </c>
      <c r="H1405" s="6">
        <v>0</v>
      </c>
      <c r="I1405" s="7">
        <f t="shared" si="210"/>
        <v>4000</v>
      </c>
      <c r="J1405" s="7">
        <f t="shared" si="211"/>
        <v>0</v>
      </c>
      <c r="K1405" s="7">
        <f t="shared" si="212"/>
        <v>4000</v>
      </c>
      <c r="L1405" s="4">
        <v>97000</v>
      </c>
      <c r="M1405" s="7">
        <f t="shared" si="213"/>
        <v>101000</v>
      </c>
      <c r="N1405" s="2" t="s">
        <v>28</v>
      </c>
      <c r="O1405" t="s">
        <v>22</v>
      </c>
      <c r="P1405" s="2" t="s">
        <v>2370</v>
      </c>
      <c r="Q1405" s="2">
        <v>4</v>
      </c>
      <c r="R1405" s="2" t="s">
        <v>23</v>
      </c>
      <c r="S1405" s="2" t="str">
        <f t="shared" si="214"/>
        <v>Standar</v>
      </c>
      <c r="T1405" s="2" t="str">
        <f t="shared" si="215"/>
        <v>FALSE</v>
      </c>
      <c r="U1405" s="2" t="str">
        <f t="shared" si="216"/>
        <v>FALSE</v>
      </c>
      <c r="V1405" s="2" t="b">
        <f t="shared" si="217"/>
        <v>0</v>
      </c>
      <c r="W1405" s="2" t="b">
        <f t="shared" si="218"/>
        <v>0</v>
      </c>
      <c r="X1405" s="2" t="b">
        <f t="shared" si="219"/>
        <v>0</v>
      </c>
    </row>
    <row r="1406" spans="1:24" ht="10.5" customHeight="1">
      <c r="A1406" s="2" t="s">
        <v>1771</v>
      </c>
      <c r="B1406" s="3">
        <v>45928.791805555556</v>
      </c>
      <c r="C1406" s="2" t="s">
        <v>43</v>
      </c>
      <c r="D1406" s="2" t="s">
        <v>44</v>
      </c>
      <c r="E1406" s="2" t="s">
        <v>20</v>
      </c>
      <c r="F1406" s="4">
        <v>10000</v>
      </c>
      <c r="G1406" s="5">
        <v>2.2999999999999998</v>
      </c>
      <c r="H1406" s="6">
        <v>0</v>
      </c>
      <c r="I1406" s="7">
        <f t="shared" si="210"/>
        <v>23000</v>
      </c>
      <c r="J1406" s="7">
        <f t="shared" si="211"/>
        <v>0</v>
      </c>
      <c r="K1406" s="7">
        <f t="shared" si="212"/>
        <v>23000</v>
      </c>
      <c r="L1406" s="4">
        <v>43000</v>
      </c>
      <c r="M1406" s="7">
        <f t="shared" si="213"/>
        <v>66000</v>
      </c>
      <c r="N1406" s="2" t="s">
        <v>21</v>
      </c>
      <c r="O1406" t="s">
        <v>22</v>
      </c>
      <c r="P1406" s="2" t="s">
        <v>2365</v>
      </c>
      <c r="Q1406" s="2">
        <v>2</v>
      </c>
      <c r="R1406" s="2" t="s">
        <v>23</v>
      </c>
      <c r="S1406" s="2" t="str">
        <f t="shared" si="214"/>
        <v>Rendah</v>
      </c>
      <c r="T1406" s="2" t="str">
        <f t="shared" si="215"/>
        <v>FALSE</v>
      </c>
      <c r="U1406" s="2" t="str">
        <f t="shared" si="216"/>
        <v>FALSE</v>
      </c>
      <c r="V1406" s="2" t="b">
        <f t="shared" si="217"/>
        <v>0</v>
      </c>
      <c r="W1406" s="2" t="b">
        <f t="shared" si="218"/>
        <v>0</v>
      </c>
      <c r="X1406" s="2" t="b">
        <f t="shared" si="219"/>
        <v>0</v>
      </c>
    </row>
    <row r="1407" spans="1:24" ht="10.5" customHeight="1">
      <c r="A1407" s="2" t="s">
        <v>1772</v>
      </c>
      <c r="B1407" s="3">
        <v>45928.815995370373</v>
      </c>
      <c r="C1407" s="2" t="s">
        <v>371</v>
      </c>
      <c r="D1407" s="2" t="s">
        <v>94</v>
      </c>
      <c r="E1407" s="2" t="s">
        <v>41</v>
      </c>
      <c r="F1407" s="4">
        <v>40000</v>
      </c>
      <c r="G1407" s="5">
        <v>0.5</v>
      </c>
      <c r="H1407" s="6">
        <v>0</v>
      </c>
      <c r="I1407" s="7">
        <f t="shared" si="210"/>
        <v>20000</v>
      </c>
      <c r="J1407" s="7">
        <f t="shared" si="211"/>
        <v>0</v>
      </c>
      <c r="K1407" s="7">
        <f t="shared" si="212"/>
        <v>20000</v>
      </c>
      <c r="L1407" s="4">
        <v>85000</v>
      </c>
      <c r="M1407" s="7">
        <f t="shared" si="213"/>
        <v>105000</v>
      </c>
      <c r="N1407" s="2" t="s">
        <v>58</v>
      </c>
      <c r="O1407" t="s">
        <v>22</v>
      </c>
      <c r="P1407" s="2" t="s">
        <v>2365</v>
      </c>
      <c r="Q1407" s="2">
        <v>2</v>
      </c>
      <c r="R1407" s="2" t="s">
        <v>23</v>
      </c>
      <c r="S1407" s="2" t="str">
        <f t="shared" si="214"/>
        <v>Standar</v>
      </c>
      <c r="T1407" s="2" t="str">
        <f t="shared" si="215"/>
        <v>FALSE</v>
      </c>
      <c r="U1407" s="2" t="str">
        <f t="shared" si="216"/>
        <v>FALSE</v>
      </c>
      <c r="V1407" s="2" t="b">
        <f t="shared" si="217"/>
        <v>0</v>
      </c>
      <c r="W1407" s="2" t="b">
        <f t="shared" si="218"/>
        <v>0</v>
      </c>
      <c r="X1407" s="2" t="b">
        <f t="shared" si="219"/>
        <v>0</v>
      </c>
    </row>
    <row r="1408" spans="1:24" ht="10.5" customHeight="1">
      <c r="A1408" s="2" t="s">
        <v>1773</v>
      </c>
      <c r="B1408" s="3">
        <v>45928.855833333328</v>
      </c>
      <c r="C1408" s="2" t="s">
        <v>792</v>
      </c>
      <c r="D1408" s="2" t="s">
        <v>118</v>
      </c>
      <c r="E1408" s="2" t="s">
        <v>170</v>
      </c>
      <c r="F1408" s="4">
        <v>12000</v>
      </c>
      <c r="G1408" s="5">
        <v>0.9</v>
      </c>
      <c r="H1408" s="6">
        <v>0</v>
      </c>
      <c r="I1408" s="7">
        <f t="shared" si="210"/>
        <v>10800</v>
      </c>
      <c r="J1408" s="7">
        <f t="shared" si="211"/>
        <v>0</v>
      </c>
      <c r="K1408" s="7">
        <f t="shared" si="212"/>
        <v>10800</v>
      </c>
      <c r="L1408" s="4">
        <v>84000</v>
      </c>
      <c r="M1408" s="7">
        <f t="shared" si="213"/>
        <v>94800</v>
      </c>
      <c r="N1408" s="2" t="s">
        <v>28</v>
      </c>
      <c r="O1408" t="s">
        <v>22</v>
      </c>
      <c r="P1408" s="2" t="s">
        <v>2370</v>
      </c>
      <c r="Q1408" s="2">
        <v>1</v>
      </c>
      <c r="R1408" s="2" t="s">
        <v>23</v>
      </c>
      <c r="S1408" s="2" t="str">
        <f t="shared" si="214"/>
        <v>Rendah</v>
      </c>
      <c r="T1408" s="2" t="str">
        <f t="shared" si="215"/>
        <v>FALSE</v>
      </c>
      <c r="U1408" s="2" t="str">
        <f t="shared" si="216"/>
        <v>FALSE</v>
      </c>
      <c r="V1408" s="2" t="b">
        <f t="shared" si="217"/>
        <v>0</v>
      </c>
      <c r="W1408" s="2" t="b">
        <f t="shared" si="218"/>
        <v>0</v>
      </c>
      <c r="X1408" s="2" t="b">
        <f t="shared" si="219"/>
        <v>0</v>
      </c>
    </row>
    <row r="1409" spans="1:24" ht="10.5" customHeight="1">
      <c r="A1409" s="2" t="s">
        <v>1774</v>
      </c>
      <c r="B1409" s="3">
        <v>45928.87704861111</v>
      </c>
      <c r="C1409" s="2" t="s">
        <v>273</v>
      </c>
      <c r="D1409" s="2" t="s">
        <v>84</v>
      </c>
      <c r="E1409" s="2" t="s">
        <v>45</v>
      </c>
      <c r="F1409" s="4">
        <v>10500</v>
      </c>
      <c r="G1409" s="5">
        <v>1.7</v>
      </c>
      <c r="H1409" s="6">
        <v>0</v>
      </c>
      <c r="I1409" s="7">
        <f t="shared" si="210"/>
        <v>17850</v>
      </c>
      <c r="J1409" s="7">
        <f t="shared" si="211"/>
        <v>0</v>
      </c>
      <c r="K1409" s="7">
        <f t="shared" si="212"/>
        <v>17850</v>
      </c>
      <c r="L1409" s="4">
        <v>30000</v>
      </c>
      <c r="M1409" s="7">
        <f t="shared" si="213"/>
        <v>47850</v>
      </c>
      <c r="N1409" s="2" t="s">
        <v>28</v>
      </c>
      <c r="O1409" t="s">
        <v>22</v>
      </c>
      <c r="P1409" s="2" t="s">
        <v>2365</v>
      </c>
      <c r="Q1409" s="2">
        <v>1</v>
      </c>
      <c r="R1409" s="2" t="s">
        <v>23</v>
      </c>
      <c r="S1409" s="2" t="str">
        <f t="shared" si="214"/>
        <v>Sangat Rendah</v>
      </c>
      <c r="T1409" s="2" t="str">
        <f t="shared" si="215"/>
        <v>FALSE</v>
      </c>
      <c r="U1409" s="2" t="str">
        <f t="shared" si="216"/>
        <v>FALSE</v>
      </c>
      <c r="V1409" s="2" t="b">
        <f t="shared" si="217"/>
        <v>0</v>
      </c>
      <c r="W1409" s="2" t="b">
        <f t="shared" si="218"/>
        <v>0</v>
      </c>
      <c r="X1409" s="2" t="b">
        <f t="shared" si="219"/>
        <v>1</v>
      </c>
    </row>
    <row r="1410" spans="1:24" ht="10.5" customHeight="1">
      <c r="A1410" s="2" t="s">
        <v>1775</v>
      </c>
      <c r="B1410" s="3">
        <v>45928.913715277777</v>
      </c>
      <c r="C1410" s="2" t="s">
        <v>729</v>
      </c>
      <c r="D1410" s="2" t="s">
        <v>167</v>
      </c>
      <c r="E1410" s="2" t="s">
        <v>182</v>
      </c>
      <c r="F1410" s="4">
        <v>11000</v>
      </c>
      <c r="G1410" s="5">
        <v>1.5</v>
      </c>
      <c r="H1410" s="6">
        <v>0</v>
      </c>
      <c r="I1410" s="7">
        <f t="shared" si="210"/>
        <v>16500</v>
      </c>
      <c r="J1410" s="7">
        <f t="shared" si="211"/>
        <v>0</v>
      </c>
      <c r="K1410" s="7">
        <f t="shared" si="212"/>
        <v>16500</v>
      </c>
      <c r="L1410" s="4">
        <v>56000</v>
      </c>
      <c r="M1410" s="7">
        <f t="shared" si="213"/>
        <v>72500</v>
      </c>
      <c r="N1410" s="2" t="s">
        <v>58</v>
      </c>
      <c r="O1410" t="s">
        <v>22</v>
      </c>
      <c r="P1410" s="2" t="s">
        <v>2366</v>
      </c>
      <c r="Q1410" s="2">
        <v>3</v>
      </c>
      <c r="R1410" s="2" t="s">
        <v>23</v>
      </c>
      <c r="S1410" s="2" t="str">
        <f t="shared" si="214"/>
        <v>Rendah</v>
      </c>
      <c r="T1410" s="2" t="str">
        <f t="shared" si="215"/>
        <v>FALSE</v>
      </c>
      <c r="U1410" s="2" t="str">
        <f t="shared" si="216"/>
        <v>FALSE</v>
      </c>
      <c r="V1410" s="2" t="b">
        <f t="shared" si="217"/>
        <v>0</v>
      </c>
      <c r="W1410" s="2" t="b">
        <f t="shared" si="218"/>
        <v>0</v>
      </c>
      <c r="X1410" s="2" t="b">
        <f t="shared" si="219"/>
        <v>0</v>
      </c>
    </row>
    <row r="1411" spans="1:24" ht="10.5" customHeight="1">
      <c r="A1411" s="2" t="s">
        <v>1776</v>
      </c>
      <c r="B1411" s="3">
        <v>45929.260034722232</v>
      </c>
      <c r="C1411" s="2" t="s">
        <v>605</v>
      </c>
      <c r="D1411" s="2" t="s">
        <v>84</v>
      </c>
      <c r="E1411" s="2" t="s">
        <v>41</v>
      </c>
      <c r="F1411" s="4">
        <v>40000</v>
      </c>
      <c r="G1411" s="5">
        <v>0.8</v>
      </c>
      <c r="H1411" s="6">
        <v>0</v>
      </c>
      <c r="I1411" s="7">
        <f t="shared" si="210"/>
        <v>32000</v>
      </c>
      <c r="J1411" s="7">
        <f t="shared" si="211"/>
        <v>0</v>
      </c>
      <c r="K1411" s="7">
        <f t="shared" si="212"/>
        <v>32000</v>
      </c>
      <c r="L1411" s="4">
        <v>30000</v>
      </c>
      <c r="M1411" s="7">
        <f t="shared" si="213"/>
        <v>62000</v>
      </c>
      <c r="N1411" s="2" t="s">
        <v>21</v>
      </c>
      <c r="O1411" t="s">
        <v>22</v>
      </c>
      <c r="P1411" s="2" t="s">
        <v>2366</v>
      </c>
      <c r="Q1411" s="2">
        <v>5</v>
      </c>
      <c r="R1411" s="2" t="s">
        <v>23</v>
      </c>
      <c r="S1411" s="2" t="str">
        <f t="shared" si="214"/>
        <v>Rendah</v>
      </c>
      <c r="T1411" s="2" t="str">
        <f t="shared" si="215"/>
        <v>FALSE</v>
      </c>
      <c r="U1411" s="2" t="str">
        <f t="shared" si="216"/>
        <v>FALSE</v>
      </c>
      <c r="V1411" s="2" t="b">
        <f t="shared" si="217"/>
        <v>0</v>
      </c>
      <c r="W1411" s="2" t="b">
        <f t="shared" si="218"/>
        <v>0</v>
      </c>
      <c r="X1411" s="2" t="b">
        <f t="shared" si="219"/>
        <v>0</v>
      </c>
    </row>
    <row r="1412" spans="1:24" ht="10.5" customHeight="1">
      <c r="A1412" s="2" t="s">
        <v>1777</v>
      </c>
      <c r="B1412" s="3">
        <v>45929.270682870367</v>
      </c>
      <c r="C1412" s="2" t="s">
        <v>244</v>
      </c>
      <c r="D1412" s="2" t="s">
        <v>56</v>
      </c>
      <c r="E1412" s="2" t="s">
        <v>57</v>
      </c>
      <c r="F1412" s="4">
        <v>17500</v>
      </c>
      <c r="G1412" s="5">
        <v>3.7</v>
      </c>
      <c r="H1412" s="6">
        <v>0</v>
      </c>
      <c r="I1412" s="7">
        <f t="shared" ref="I1412:I1475" si="220">F1412*G1412</f>
        <v>64750</v>
      </c>
      <c r="J1412" s="7">
        <f t="shared" ref="J1412:J1475" si="221">I1412*(H1412/100)</f>
        <v>0</v>
      </c>
      <c r="K1412" s="7">
        <f t="shared" ref="K1412:K1475" si="222">I1412-J1412</f>
        <v>64750</v>
      </c>
      <c r="L1412" s="4">
        <v>26000</v>
      </c>
      <c r="M1412" s="7">
        <f t="shared" ref="M1412:M1475" si="223">K1412+L1412</f>
        <v>90750</v>
      </c>
      <c r="N1412" s="2" t="s">
        <v>28</v>
      </c>
      <c r="O1412" t="s">
        <v>22</v>
      </c>
      <c r="P1412" s="2" t="s">
        <v>2368</v>
      </c>
      <c r="Q1412" s="2">
        <v>4</v>
      </c>
      <c r="R1412" s="2" t="s">
        <v>23</v>
      </c>
      <c r="S1412" s="2" t="str">
        <f t="shared" ref="S1412:S1475" si="224">IF(M1412&lt;=50000,"Sangat Rendah",IF(M1412&lt;=100000,"Rendah",IF(M1412&lt;=150000,"Standar",IF(M1412&lt;=200000,"Tinggi","Sangat Tinggi"))))</f>
        <v>Rendah</v>
      </c>
      <c r="T1412" s="2" t="str">
        <f t="shared" ref="T1412:T1475" si="225">IF(AND(S1412="Rendah",D1412="Yogyakarta"),"TRUE","FALSE")</f>
        <v>FALSE</v>
      </c>
      <c r="U1412" s="2" t="str">
        <f t="shared" ref="U1412:U1475" si="226">IF(OR(S1412="Tinggi",E1412="Bayam"),"TRUE","FALSE")</f>
        <v>FALSE</v>
      </c>
      <c r="V1412" s="2" t="b">
        <f t="shared" ref="V1412:V1475" si="227">IF(AND(S1412="Standar",N1412="Transef Bank"),TRUE,FALSE)</f>
        <v>0</v>
      </c>
      <c r="W1412" s="2" t="b">
        <f t="shared" ref="W1412:W1475" si="228">IF(OR(S1412="Sangat Tinggi",P1412="FoodMart"),TRUE,FALSE)</f>
        <v>0</v>
      </c>
      <c r="X1412" s="2" t="b">
        <f t="shared" ref="X1412:X1475" si="229">IF(AND(S1412="Sangat Rendah",R1412="Perempuan"),TRUE,FALSE)</f>
        <v>0</v>
      </c>
    </row>
    <row r="1413" spans="1:24" ht="10.5" customHeight="1">
      <c r="A1413" s="2" t="s">
        <v>1778</v>
      </c>
      <c r="B1413" s="3">
        <v>45929.286145833343</v>
      </c>
      <c r="C1413" s="2" t="s">
        <v>1110</v>
      </c>
      <c r="D1413" s="2" t="s">
        <v>164</v>
      </c>
      <c r="E1413" s="2" t="s">
        <v>53</v>
      </c>
      <c r="F1413" s="4">
        <v>14000</v>
      </c>
      <c r="G1413" s="5">
        <v>0.4</v>
      </c>
      <c r="H1413" s="6">
        <v>0</v>
      </c>
      <c r="I1413" s="7">
        <f t="shared" si="220"/>
        <v>5600</v>
      </c>
      <c r="J1413" s="7">
        <f t="shared" si="221"/>
        <v>0</v>
      </c>
      <c r="K1413" s="7">
        <f t="shared" si="222"/>
        <v>5600</v>
      </c>
      <c r="L1413" s="4">
        <v>49000</v>
      </c>
      <c r="M1413" s="7">
        <f t="shared" si="223"/>
        <v>54600</v>
      </c>
      <c r="N1413" s="2" t="s">
        <v>58</v>
      </c>
      <c r="O1413" t="s">
        <v>22</v>
      </c>
      <c r="P1413" s="2" t="s">
        <v>2366</v>
      </c>
      <c r="Q1413" s="2">
        <v>4</v>
      </c>
      <c r="R1413" s="2" t="s">
        <v>23</v>
      </c>
      <c r="S1413" s="2" t="str">
        <f t="shared" si="224"/>
        <v>Rendah</v>
      </c>
      <c r="T1413" s="2" t="str">
        <f t="shared" si="225"/>
        <v>FALSE</v>
      </c>
      <c r="U1413" s="2" t="str">
        <f t="shared" si="226"/>
        <v>FALSE</v>
      </c>
      <c r="V1413" s="2" t="b">
        <f t="shared" si="227"/>
        <v>0</v>
      </c>
      <c r="W1413" s="2" t="b">
        <f t="shared" si="228"/>
        <v>0</v>
      </c>
      <c r="X1413" s="2" t="b">
        <f t="shared" si="229"/>
        <v>0</v>
      </c>
    </row>
    <row r="1414" spans="1:24" ht="10.5" customHeight="1">
      <c r="A1414" s="2" t="s">
        <v>1779</v>
      </c>
      <c r="B1414" s="3">
        <v>45929.326307870368</v>
      </c>
      <c r="C1414" s="2" t="s">
        <v>949</v>
      </c>
      <c r="D1414" s="2" t="s">
        <v>173</v>
      </c>
      <c r="E1414" s="2" t="s">
        <v>20</v>
      </c>
      <c r="F1414" s="4">
        <v>10000</v>
      </c>
      <c r="G1414" s="5">
        <v>1.7</v>
      </c>
      <c r="H1414" s="6">
        <v>0</v>
      </c>
      <c r="I1414" s="7">
        <f t="shared" si="220"/>
        <v>17000</v>
      </c>
      <c r="J1414" s="7">
        <f t="shared" si="221"/>
        <v>0</v>
      </c>
      <c r="K1414" s="7">
        <f t="shared" si="222"/>
        <v>17000</v>
      </c>
      <c r="L1414" s="4">
        <v>48000</v>
      </c>
      <c r="M1414" s="7">
        <f t="shared" si="223"/>
        <v>65000</v>
      </c>
      <c r="N1414" s="2" t="s">
        <v>33</v>
      </c>
      <c r="O1414" t="s">
        <v>22</v>
      </c>
      <c r="P1414" s="2" t="s">
        <v>2367</v>
      </c>
      <c r="Q1414" s="2">
        <v>1</v>
      </c>
      <c r="R1414" s="2" t="s">
        <v>23</v>
      </c>
      <c r="S1414" s="2" t="str">
        <f t="shared" si="224"/>
        <v>Rendah</v>
      </c>
      <c r="T1414" s="2" t="str">
        <f t="shared" si="225"/>
        <v>FALSE</v>
      </c>
      <c r="U1414" s="2" t="str">
        <f t="shared" si="226"/>
        <v>FALSE</v>
      </c>
      <c r="V1414" s="2" t="b">
        <f t="shared" si="227"/>
        <v>0</v>
      </c>
      <c r="W1414" s="2" t="b">
        <f t="shared" si="228"/>
        <v>1</v>
      </c>
      <c r="X1414" s="2" t="b">
        <f t="shared" si="229"/>
        <v>0</v>
      </c>
    </row>
    <row r="1415" spans="1:24" ht="10.5" customHeight="1">
      <c r="A1415" s="2" t="s">
        <v>1780</v>
      </c>
      <c r="B1415" s="3">
        <v>45929.333310185182</v>
      </c>
      <c r="C1415" s="2" t="s">
        <v>145</v>
      </c>
      <c r="D1415" s="2" t="s">
        <v>84</v>
      </c>
      <c r="E1415" s="2" t="s">
        <v>57</v>
      </c>
      <c r="F1415" s="4">
        <v>17500</v>
      </c>
      <c r="G1415" s="5">
        <v>3.1</v>
      </c>
      <c r="H1415" s="6">
        <v>0</v>
      </c>
      <c r="I1415" s="7">
        <f t="shared" si="220"/>
        <v>54250</v>
      </c>
      <c r="J1415" s="7">
        <f t="shared" si="221"/>
        <v>0</v>
      </c>
      <c r="K1415" s="7">
        <f t="shared" si="222"/>
        <v>54250</v>
      </c>
      <c r="L1415" s="4">
        <v>30000</v>
      </c>
      <c r="M1415" s="7">
        <f t="shared" si="223"/>
        <v>84250</v>
      </c>
      <c r="N1415" s="2" t="s">
        <v>58</v>
      </c>
      <c r="O1415" t="s">
        <v>22</v>
      </c>
      <c r="P1415" s="2" t="s">
        <v>2366</v>
      </c>
      <c r="Q1415" s="2">
        <v>3</v>
      </c>
      <c r="R1415" s="2" t="s">
        <v>23</v>
      </c>
      <c r="S1415" s="2" t="str">
        <f t="shared" si="224"/>
        <v>Rendah</v>
      </c>
      <c r="T1415" s="2" t="str">
        <f t="shared" si="225"/>
        <v>FALSE</v>
      </c>
      <c r="U1415" s="2" t="str">
        <f t="shared" si="226"/>
        <v>FALSE</v>
      </c>
      <c r="V1415" s="2" t="b">
        <f t="shared" si="227"/>
        <v>0</v>
      </c>
      <c r="W1415" s="2" t="b">
        <f t="shared" si="228"/>
        <v>0</v>
      </c>
      <c r="X1415" s="2" t="b">
        <f t="shared" si="229"/>
        <v>0</v>
      </c>
    </row>
    <row r="1416" spans="1:24" ht="10.5" customHeight="1">
      <c r="A1416" s="2" t="s">
        <v>1781</v>
      </c>
      <c r="B1416" s="3">
        <v>45929.501828703702</v>
      </c>
      <c r="C1416" s="2" t="s">
        <v>1782</v>
      </c>
      <c r="D1416" s="2" t="s">
        <v>44</v>
      </c>
      <c r="E1416" s="2" t="s">
        <v>75</v>
      </c>
      <c r="F1416" s="4">
        <v>45000</v>
      </c>
      <c r="G1416" s="5">
        <v>0.8</v>
      </c>
      <c r="H1416" s="6">
        <v>0</v>
      </c>
      <c r="I1416" s="7">
        <f t="shared" si="220"/>
        <v>36000</v>
      </c>
      <c r="J1416" s="7">
        <f t="shared" si="221"/>
        <v>0</v>
      </c>
      <c r="K1416" s="7">
        <f t="shared" si="222"/>
        <v>36000</v>
      </c>
      <c r="L1416" s="4">
        <v>43000</v>
      </c>
      <c r="M1416" s="7">
        <f t="shared" si="223"/>
        <v>79000</v>
      </c>
      <c r="N1416" s="2" t="s">
        <v>21</v>
      </c>
      <c r="O1416" t="s">
        <v>22</v>
      </c>
      <c r="P1416" s="2" t="s">
        <v>2367</v>
      </c>
      <c r="Q1416" s="2">
        <v>2</v>
      </c>
      <c r="R1416" s="2" t="s">
        <v>34</v>
      </c>
      <c r="S1416" s="2" t="str">
        <f t="shared" si="224"/>
        <v>Rendah</v>
      </c>
      <c r="T1416" s="2" t="str">
        <f t="shared" si="225"/>
        <v>FALSE</v>
      </c>
      <c r="U1416" s="2" t="str">
        <f t="shared" si="226"/>
        <v>FALSE</v>
      </c>
      <c r="V1416" s="2" t="b">
        <f t="shared" si="227"/>
        <v>0</v>
      </c>
      <c r="W1416" s="2" t="b">
        <f t="shared" si="228"/>
        <v>1</v>
      </c>
      <c r="X1416" s="2" t="b">
        <f t="shared" si="229"/>
        <v>0</v>
      </c>
    </row>
    <row r="1417" spans="1:24" ht="10.5" customHeight="1">
      <c r="A1417" s="2" t="s">
        <v>1783</v>
      </c>
      <c r="B1417" s="3">
        <v>45929.624907407408</v>
      </c>
      <c r="C1417" s="2" t="s">
        <v>1784</v>
      </c>
      <c r="D1417" s="2" t="s">
        <v>185</v>
      </c>
      <c r="E1417" s="2" t="s">
        <v>170</v>
      </c>
      <c r="F1417" s="4">
        <v>12000</v>
      </c>
      <c r="G1417" s="5">
        <v>0.9</v>
      </c>
      <c r="H1417" s="6">
        <v>0</v>
      </c>
      <c r="I1417" s="7">
        <f t="shared" si="220"/>
        <v>10800</v>
      </c>
      <c r="J1417" s="7">
        <f t="shared" si="221"/>
        <v>0</v>
      </c>
      <c r="K1417" s="7">
        <f t="shared" si="222"/>
        <v>10800</v>
      </c>
      <c r="L1417" s="4">
        <v>87000</v>
      </c>
      <c r="M1417" s="7">
        <f t="shared" si="223"/>
        <v>97800</v>
      </c>
      <c r="N1417" s="2" t="s">
        <v>33</v>
      </c>
      <c r="O1417" t="s">
        <v>22</v>
      </c>
      <c r="P1417" s="2" t="s">
        <v>2365</v>
      </c>
      <c r="Q1417" s="2">
        <v>5</v>
      </c>
      <c r="R1417" s="2" t="s">
        <v>34</v>
      </c>
      <c r="S1417" s="2" t="str">
        <f t="shared" si="224"/>
        <v>Rendah</v>
      </c>
      <c r="T1417" s="2" t="str">
        <f t="shared" si="225"/>
        <v>FALSE</v>
      </c>
      <c r="U1417" s="2" t="str">
        <f t="shared" si="226"/>
        <v>FALSE</v>
      </c>
      <c r="V1417" s="2" t="b">
        <f t="shared" si="227"/>
        <v>0</v>
      </c>
      <c r="W1417" s="2" t="b">
        <f t="shared" si="228"/>
        <v>0</v>
      </c>
      <c r="X1417" s="2" t="b">
        <f t="shared" si="229"/>
        <v>0</v>
      </c>
    </row>
    <row r="1418" spans="1:24" ht="10.5" customHeight="1">
      <c r="A1418" s="2" t="s">
        <v>1783</v>
      </c>
      <c r="B1418" s="3">
        <v>45929.624907407408</v>
      </c>
      <c r="C1418" s="2" t="s">
        <v>1784</v>
      </c>
      <c r="D1418" s="2" t="s">
        <v>185</v>
      </c>
      <c r="E1418" s="2" t="s">
        <v>57</v>
      </c>
      <c r="F1418" s="4">
        <v>17500</v>
      </c>
      <c r="G1418" s="5">
        <v>2.1</v>
      </c>
      <c r="H1418" s="6">
        <v>0</v>
      </c>
      <c r="I1418" s="7">
        <f t="shared" si="220"/>
        <v>36750</v>
      </c>
      <c r="J1418" s="7">
        <f t="shared" si="221"/>
        <v>0</v>
      </c>
      <c r="K1418" s="7">
        <f t="shared" si="222"/>
        <v>36750</v>
      </c>
      <c r="L1418" s="4">
        <v>0</v>
      </c>
      <c r="M1418" s="7">
        <f t="shared" si="223"/>
        <v>36750</v>
      </c>
      <c r="N1418" s="2" t="s">
        <v>33</v>
      </c>
      <c r="O1418" t="s">
        <v>22</v>
      </c>
      <c r="P1418" s="2" t="s">
        <v>2365</v>
      </c>
      <c r="Q1418" s="2">
        <v>5</v>
      </c>
      <c r="R1418" s="2" t="s">
        <v>34</v>
      </c>
      <c r="S1418" s="2" t="str">
        <f t="shared" si="224"/>
        <v>Sangat Rendah</v>
      </c>
      <c r="T1418" s="2" t="str">
        <f t="shared" si="225"/>
        <v>FALSE</v>
      </c>
      <c r="U1418" s="2" t="str">
        <f t="shared" si="226"/>
        <v>FALSE</v>
      </c>
      <c r="V1418" s="2" t="b">
        <f t="shared" si="227"/>
        <v>0</v>
      </c>
      <c r="W1418" s="2" t="b">
        <f t="shared" si="228"/>
        <v>0</v>
      </c>
      <c r="X1418" s="2" t="b">
        <f t="shared" si="229"/>
        <v>0</v>
      </c>
    </row>
    <row r="1419" spans="1:24" ht="10.5" customHeight="1">
      <c r="A1419" s="2" t="s">
        <v>1785</v>
      </c>
      <c r="B1419" s="3">
        <v>45929.637141203697</v>
      </c>
      <c r="C1419" s="2" t="s">
        <v>1331</v>
      </c>
      <c r="D1419" s="2" t="s">
        <v>98</v>
      </c>
      <c r="E1419" s="2" t="s">
        <v>182</v>
      </c>
      <c r="F1419" s="4">
        <v>11000</v>
      </c>
      <c r="G1419" s="5">
        <v>2.6</v>
      </c>
      <c r="H1419" s="6">
        <v>0</v>
      </c>
      <c r="I1419" s="7">
        <f t="shared" si="220"/>
        <v>28600</v>
      </c>
      <c r="J1419" s="7">
        <f t="shared" si="221"/>
        <v>0</v>
      </c>
      <c r="K1419" s="7">
        <f t="shared" si="222"/>
        <v>28600</v>
      </c>
      <c r="L1419" s="4">
        <v>97000</v>
      </c>
      <c r="M1419" s="7">
        <f t="shared" si="223"/>
        <v>125600</v>
      </c>
      <c r="N1419" s="2" t="s">
        <v>21</v>
      </c>
      <c r="O1419" t="s">
        <v>115</v>
      </c>
      <c r="P1419" s="2" t="s">
        <v>2365</v>
      </c>
      <c r="Q1419" s="2">
        <v>2</v>
      </c>
      <c r="R1419" s="2" t="s">
        <v>34</v>
      </c>
      <c r="S1419" s="2" t="str">
        <f t="shared" si="224"/>
        <v>Standar</v>
      </c>
      <c r="T1419" s="2" t="str">
        <f t="shared" si="225"/>
        <v>FALSE</v>
      </c>
      <c r="U1419" s="2" t="str">
        <f t="shared" si="226"/>
        <v>FALSE</v>
      </c>
      <c r="V1419" s="2" t="b">
        <f t="shared" si="227"/>
        <v>0</v>
      </c>
      <c r="W1419" s="2" t="b">
        <f t="shared" si="228"/>
        <v>0</v>
      </c>
      <c r="X1419" s="2" t="b">
        <f t="shared" si="229"/>
        <v>0</v>
      </c>
    </row>
    <row r="1420" spans="1:24" ht="10.5" customHeight="1">
      <c r="A1420" s="2" t="s">
        <v>1786</v>
      </c>
      <c r="B1420" s="3">
        <v>45929.64571759259</v>
      </c>
      <c r="C1420" s="2" t="s">
        <v>478</v>
      </c>
      <c r="D1420" s="2" t="s">
        <v>44</v>
      </c>
      <c r="E1420" s="2" t="s">
        <v>57</v>
      </c>
      <c r="F1420" s="4">
        <v>17500</v>
      </c>
      <c r="G1420" s="5">
        <v>1.5</v>
      </c>
      <c r="H1420" s="6">
        <v>0</v>
      </c>
      <c r="I1420" s="7">
        <f t="shared" si="220"/>
        <v>26250</v>
      </c>
      <c r="J1420" s="7">
        <f t="shared" si="221"/>
        <v>0</v>
      </c>
      <c r="K1420" s="7">
        <f t="shared" si="222"/>
        <v>26250</v>
      </c>
      <c r="L1420" s="4">
        <v>43000</v>
      </c>
      <c r="M1420" s="7">
        <f t="shared" si="223"/>
        <v>69250</v>
      </c>
      <c r="N1420" s="2" t="s">
        <v>33</v>
      </c>
      <c r="O1420" t="s">
        <v>69</v>
      </c>
      <c r="P1420" s="2" t="s">
        <v>2366</v>
      </c>
      <c r="Q1420" s="2">
        <v>4</v>
      </c>
      <c r="R1420" s="2" t="s">
        <v>23</v>
      </c>
      <c r="S1420" s="2" t="str">
        <f t="shared" si="224"/>
        <v>Rendah</v>
      </c>
      <c r="T1420" s="2" t="str">
        <f t="shared" si="225"/>
        <v>FALSE</v>
      </c>
      <c r="U1420" s="2" t="str">
        <f t="shared" si="226"/>
        <v>FALSE</v>
      </c>
      <c r="V1420" s="2" t="b">
        <f t="shared" si="227"/>
        <v>0</v>
      </c>
      <c r="W1420" s="2" t="b">
        <f t="shared" si="228"/>
        <v>0</v>
      </c>
      <c r="X1420" s="2" t="b">
        <f t="shared" si="229"/>
        <v>0</v>
      </c>
    </row>
    <row r="1421" spans="1:24" ht="10.5" customHeight="1">
      <c r="A1421" s="2" t="s">
        <v>1787</v>
      </c>
      <c r="B1421" s="3">
        <v>45929.680752314824</v>
      </c>
      <c r="C1421" s="2" t="s">
        <v>487</v>
      </c>
      <c r="D1421" s="2" t="s">
        <v>164</v>
      </c>
      <c r="E1421" s="2" t="s">
        <v>75</v>
      </c>
      <c r="F1421" s="4">
        <v>45000</v>
      </c>
      <c r="G1421" s="5">
        <v>1.4</v>
      </c>
      <c r="H1421" s="6">
        <v>0</v>
      </c>
      <c r="I1421" s="7">
        <f t="shared" si="220"/>
        <v>62999.999999999993</v>
      </c>
      <c r="J1421" s="7">
        <f t="shared" si="221"/>
        <v>0</v>
      </c>
      <c r="K1421" s="7">
        <f t="shared" si="222"/>
        <v>62999.999999999993</v>
      </c>
      <c r="L1421" s="4">
        <v>49000</v>
      </c>
      <c r="M1421" s="7">
        <f t="shared" si="223"/>
        <v>112000</v>
      </c>
      <c r="N1421" s="2" t="s">
        <v>33</v>
      </c>
      <c r="O1421" t="s">
        <v>69</v>
      </c>
      <c r="P1421" s="2" t="s">
        <v>2365</v>
      </c>
      <c r="Q1421" s="2">
        <v>1</v>
      </c>
      <c r="R1421" s="2" t="s">
        <v>34</v>
      </c>
      <c r="S1421" s="2" t="str">
        <f t="shared" si="224"/>
        <v>Standar</v>
      </c>
      <c r="T1421" s="2" t="str">
        <f t="shared" si="225"/>
        <v>FALSE</v>
      </c>
      <c r="U1421" s="2" t="str">
        <f t="shared" si="226"/>
        <v>FALSE</v>
      </c>
      <c r="V1421" s="2" t="b">
        <f t="shared" si="227"/>
        <v>0</v>
      </c>
      <c r="W1421" s="2" t="b">
        <f t="shared" si="228"/>
        <v>0</v>
      </c>
      <c r="X1421" s="2" t="b">
        <f t="shared" si="229"/>
        <v>0</v>
      </c>
    </row>
    <row r="1422" spans="1:24" ht="10.5" customHeight="1">
      <c r="A1422" s="2" t="s">
        <v>1788</v>
      </c>
      <c r="B1422" s="3">
        <v>45929.825011574067</v>
      </c>
      <c r="C1422" s="2" t="s">
        <v>772</v>
      </c>
      <c r="D1422" s="2" t="s">
        <v>167</v>
      </c>
      <c r="E1422" s="2" t="s">
        <v>95</v>
      </c>
      <c r="F1422" s="4">
        <v>9500</v>
      </c>
      <c r="G1422" s="5">
        <v>0.9</v>
      </c>
      <c r="H1422" s="6">
        <v>0</v>
      </c>
      <c r="I1422" s="7">
        <f t="shared" si="220"/>
        <v>8550</v>
      </c>
      <c r="J1422" s="7">
        <f t="shared" si="221"/>
        <v>0</v>
      </c>
      <c r="K1422" s="7">
        <f t="shared" si="222"/>
        <v>8550</v>
      </c>
      <c r="L1422" s="4">
        <v>56000</v>
      </c>
      <c r="M1422" s="7">
        <f t="shared" si="223"/>
        <v>64550</v>
      </c>
      <c r="N1422" s="2" t="s">
        <v>33</v>
      </c>
      <c r="O1422" t="s">
        <v>22</v>
      </c>
      <c r="P1422" s="2" t="s">
        <v>2368</v>
      </c>
      <c r="Q1422" s="2">
        <v>2</v>
      </c>
      <c r="R1422" s="2" t="s">
        <v>23</v>
      </c>
      <c r="S1422" s="2" t="str">
        <f t="shared" si="224"/>
        <v>Rendah</v>
      </c>
      <c r="T1422" s="2" t="str">
        <f t="shared" si="225"/>
        <v>FALSE</v>
      </c>
      <c r="U1422" s="2" t="str">
        <f t="shared" si="226"/>
        <v>FALSE</v>
      </c>
      <c r="V1422" s="2" t="b">
        <f t="shared" si="227"/>
        <v>0</v>
      </c>
      <c r="W1422" s="2" t="b">
        <f t="shared" si="228"/>
        <v>0</v>
      </c>
      <c r="X1422" s="2" t="b">
        <f t="shared" si="229"/>
        <v>0</v>
      </c>
    </row>
    <row r="1423" spans="1:24" ht="10.5" customHeight="1">
      <c r="A1423" s="2" t="s">
        <v>1789</v>
      </c>
      <c r="B1423" s="3">
        <v>45930.250115740739</v>
      </c>
      <c r="C1423" s="2" t="s">
        <v>1386</v>
      </c>
      <c r="D1423" s="2" t="s">
        <v>425</v>
      </c>
      <c r="E1423" s="2" t="s">
        <v>80</v>
      </c>
      <c r="F1423" s="4">
        <v>15000</v>
      </c>
      <c r="G1423" s="5">
        <v>2.7</v>
      </c>
      <c r="H1423" s="6">
        <v>0</v>
      </c>
      <c r="I1423" s="7">
        <f t="shared" si="220"/>
        <v>40500</v>
      </c>
      <c r="J1423" s="7">
        <f t="shared" si="221"/>
        <v>0</v>
      </c>
      <c r="K1423" s="7">
        <f t="shared" si="222"/>
        <v>40500</v>
      </c>
      <c r="L1423" s="4">
        <v>67000</v>
      </c>
      <c r="M1423" s="7">
        <f t="shared" si="223"/>
        <v>107500</v>
      </c>
      <c r="N1423" s="2" t="s">
        <v>21</v>
      </c>
      <c r="O1423" t="s">
        <v>22</v>
      </c>
      <c r="P1423" s="2" t="s">
        <v>2367</v>
      </c>
      <c r="Q1423" s="2">
        <v>4</v>
      </c>
      <c r="R1423" s="2" t="s">
        <v>23</v>
      </c>
      <c r="S1423" s="2" t="str">
        <f t="shared" si="224"/>
        <v>Standar</v>
      </c>
      <c r="T1423" s="2" t="str">
        <f t="shared" si="225"/>
        <v>FALSE</v>
      </c>
      <c r="U1423" s="2" t="str">
        <f t="shared" si="226"/>
        <v>FALSE</v>
      </c>
      <c r="V1423" s="2" t="b">
        <f t="shared" si="227"/>
        <v>0</v>
      </c>
      <c r="W1423" s="2" t="b">
        <f t="shared" si="228"/>
        <v>1</v>
      </c>
      <c r="X1423" s="2" t="b">
        <f t="shared" si="229"/>
        <v>0</v>
      </c>
    </row>
    <row r="1424" spans="1:24" ht="10.5" customHeight="1">
      <c r="A1424" s="2" t="s">
        <v>1790</v>
      </c>
      <c r="B1424" s="3">
        <v>45930.250763888893</v>
      </c>
      <c r="C1424" s="2" t="s">
        <v>566</v>
      </c>
      <c r="D1424" s="2" t="s">
        <v>52</v>
      </c>
      <c r="E1424" s="2" t="s">
        <v>182</v>
      </c>
      <c r="F1424" s="4">
        <v>11000</v>
      </c>
      <c r="G1424" s="5">
        <v>1.5</v>
      </c>
      <c r="H1424" s="6">
        <v>0</v>
      </c>
      <c r="I1424" s="7">
        <f t="shared" si="220"/>
        <v>16500</v>
      </c>
      <c r="J1424" s="7">
        <f t="shared" si="221"/>
        <v>0</v>
      </c>
      <c r="K1424" s="7">
        <f t="shared" si="222"/>
        <v>16500</v>
      </c>
      <c r="L1424" s="4">
        <v>80000</v>
      </c>
      <c r="M1424" s="7">
        <f t="shared" si="223"/>
        <v>96500</v>
      </c>
      <c r="N1424" s="2" t="s">
        <v>28</v>
      </c>
      <c r="O1424" t="s">
        <v>22</v>
      </c>
      <c r="P1424" s="2" t="s">
        <v>2365</v>
      </c>
      <c r="Q1424" s="2">
        <v>1</v>
      </c>
      <c r="R1424" s="2" t="s">
        <v>34</v>
      </c>
      <c r="S1424" s="2" t="str">
        <f t="shared" si="224"/>
        <v>Rendah</v>
      </c>
      <c r="T1424" s="2" t="str">
        <f t="shared" si="225"/>
        <v>FALSE</v>
      </c>
      <c r="U1424" s="2" t="str">
        <f t="shared" si="226"/>
        <v>FALSE</v>
      </c>
      <c r="V1424" s="2" t="b">
        <f t="shared" si="227"/>
        <v>0</v>
      </c>
      <c r="W1424" s="2" t="b">
        <f t="shared" si="228"/>
        <v>0</v>
      </c>
      <c r="X1424" s="2" t="b">
        <f t="shared" si="229"/>
        <v>0</v>
      </c>
    </row>
    <row r="1425" spans="1:24" ht="10.5" customHeight="1">
      <c r="A1425" s="2" t="s">
        <v>1791</v>
      </c>
      <c r="B1425" s="3">
        <v>45930.356342592589</v>
      </c>
      <c r="C1425" s="2" t="s">
        <v>786</v>
      </c>
      <c r="D1425" s="2" t="s">
        <v>111</v>
      </c>
      <c r="E1425" s="2" t="s">
        <v>65</v>
      </c>
      <c r="F1425" s="4">
        <v>46000</v>
      </c>
      <c r="G1425" s="5">
        <v>0.6</v>
      </c>
      <c r="H1425" s="6">
        <v>0</v>
      </c>
      <c r="I1425" s="7">
        <f t="shared" si="220"/>
        <v>27600</v>
      </c>
      <c r="J1425" s="7">
        <f t="shared" si="221"/>
        <v>0</v>
      </c>
      <c r="K1425" s="7">
        <f t="shared" si="222"/>
        <v>27600</v>
      </c>
      <c r="L1425" s="4">
        <v>0</v>
      </c>
      <c r="M1425" s="7">
        <f t="shared" si="223"/>
        <v>27600</v>
      </c>
      <c r="N1425" s="2" t="s">
        <v>21</v>
      </c>
      <c r="O1425" t="s">
        <v>22</v>
      </c>
      <c r="P1425" s="2" t="s">
        <v>2368</v>
      </c>
      <c r="Q1425" s="2">
        <v>3</v>
      </c>
      <c r="R1425" s="2" t="s">
        <v>23</v>
      </c>
      <c r="S1425" s="2" t="str">
        <f t="shared" si="224"/>
        <v>Sangat Rendah</v>
      </c>
      <c r="T1425" s="2" t="str">
        <f t="shared" si="225"/>
        <v>FALSE</v>
      </c>
      <c r="U1425" s="2" t="str">
        <f t="shared" si="226"/>
        <v>FALSE</v>
      </c>
      <c r="V1425" s="2" t="b">
        <f t="shared" si="227"/>
        <v>0</v>
      </c>
      <c r="W1425" s="2" t="b">
        <f t="shared" si="228"/>
        <v>0</v>
      </c>
      <c r="X1425" s="2" t="b">
        <f t="shared" si="229"/>
        <v>1</v>
      </c>
    </row>
    <row r="1426" spans="1:24" ht="10.5" customHeight="1">
      <c r="A1426" s="2" t="s">
        <v>1792</v>
      </c>
      <c r="B1426" s="3">
        <v>45930.438148148147</v>
      </c>
      <c r="C1426" s="2" t="s">
        <v>586</v>
      </c>
      <c r="D1426" s="2" t="s">
        <v>64</v>
      </c>
      <c r="E1426" s="2" t="s">
        <v>75</v>
      </c>
      <c r="F1426" s="4">
        <v>45000</v>
      </c>
      <c r="G1426" s="5">
        <v>1.2</v>
      </c>
      <c r="H1426" s="6">
        <v>0</v>
      </c>
      <c r="I1426" s="7">
        <f t="shared" si="220"/>
        <v>54000</v>
      </c>
      <c r="J1426" s="7">
        <f t="shared" si="221"/>
        <v>0</v>
      </c>
      <c r="K1426" s="7">
        <f t="shared" si="222"/>
        <v>54000</v>
      </c>
      <c r="L1426" s="4">
        <v>89000</v>
      </c>
      <c r="M1426" s="7">
        <f t="shared" si="223"/>
        <v>143000</v>
      </c>
      <c r="N1426" s="2" t="s">
        <v>33</v>
      </c>
      <c r="O1426" t="s">
        <v>22</v>
      </c>
      <c r="P1426" s="2" t="s">
        <v>2370</v>
      </c>
      <c r="Q1426" s="2">
        <v>5</v>
      </c>
      <c r="R1426" s="2" t="s">
        <v>23</v>
      </c>
      <c r="S1426" s="2" t="str">
        <f t="shared" si="224"/>
        <v>Standar</v>
      </c>
      <c r="T1426" s="2" t="str">
        <f t="shared" si="225"/>
        <v>FALSE</v>
      </c>
      <c r="U1426" s="2" t="str">
        <f t="shared" si="226"/>
        <v>FALSE</v>
      </c>
      <c r="V1426" s="2" t="b">
        <f t="shared" si="227"/>
        <v>0</v>
      </c>
      <c r="W1426" s="2" t="b">
        <f t="shared" si="228"/>
        <v>0</v>
      </c>
      <c r="X1426" s="2" t="b">
        <f t="shared" si="229"/>
        <v>0</v>
      </c>
    </row>
    <row r="1427" spans="1:24" ht="10.5" customHeight="1">
      <c r="A1427" s="2" t="s">
        <v>1793</v>
      </c>
      <c r="B1427" s="3">
        <v>45930.556608796287</v>
      </c>
      <c r="C1427" s="2" t="s">
        <v>1782</v>
      </c>
      <c r="D1427" s="2" t="s">
        <v>44</v>
      </c>
      <c r="E1427" s="2" t="s">
        <v>49</v>
      </c>
      <c r="F1427" s="4">
        <v>26000</v>
      </c>
      <c r="G1427" s="5">
        <v>0.6</v>
      </c>
      <c r="H1427" s="6">
        <v>0</v>
      </c>
      <c r="I1427" s="7">
        <f t="shared" si="220"/>
        <v>15600</v>
      </c>
      <c r="J1427" s="7">
        <f t="shared" si="221"/>
        <v>0</v>
      </c>
      <c r="K1427" s="7">
        <f t="shared" si="222"/>
        <v>15600</v>
      </c>
      <c r="L1427" s="4">
        <v>43000</v>
      </c>
      <c r="M1427" s="7">
        <f t="shared" si="223"/>
        <v>58600</v>
      </c>
      <c r="N1427" s="2" t="s">
        <v>28</v>
      </c>
      <c r="O1427" t="s">
        <v>22</v>
      </c>
      <c r="P1427" s="2" t="s">
        <v>2365</v>
      </c>
      <c r="Q1427" s="2">
        <v>3</v>
      </c>
      <c r="R1427" s="2" t="s">
        <v>34</v>
      </c>
      <c r="S1427" s="2" t="str">
        <f t="shared" si="224"/>
        <v>Rendah</v>
      </c>
      <c r="T1427" s="2" t="str">
        <f t="shared" si="225"/>
        <v>FALSE</v>
      </c>
      <c r="U1427" s="2" t="str">
        <f t="shared" si="226"/>
        <v>FALSE</v>
      </c>
      <c r="V1427" s="2" t="b">
        <f t="shared" si="227"/>
        <v>0</v>
      </c>
      <c r="W1427" s="2" t="b">
        <f t="shared" si="228"/>
        <v>0</v>
      </c>
      <c r="X1427" s="2" t="b">
        <f t="shared" si="229"/>
        <v>0</v>
      </c>
    </row>
    <row r="1428" spans="1:24" ht="10.5" customHeight="1">
      <c r="A1428" s="2" t="s">
        <v>1794</v>
      </c>
      <c r="B1428" s="3">
        <v>45930.576701388891</v>
      </c>
      <c r="C1428" s="2" t="s">
        <v>639</v>
      </c>
      <c r="D1428" s="2" t="s">
        <v>167</v>
      </c>
      <c r="E1428" s="2" t="s">
        <v>182</v>
      </c>
      <c r="F1428" s="4">
        <v>11000</v>
      </c>
      <c r="G1428" s="5">
        <v>1.7</v>
      </c>
      <c r="H1428" s="6">
        <v>0</v>
      </c>
      <c r="I1428" s="7">
        <f t="shared" si="220"/>
        <v>18700</v>
      </c>
      <c r="J1428" s="7">
        <f t="shared" si="221"/>
        <v>0</v>
      </c>
      <c r="K1428" s="7">
        <f t="shared" si="222"/>
        <v>18700</v>
      </c>
      <c r="L1428" s="4">
        <v>56000</v>
      </c>
      <c r="M1428" s="7">
        <f t="shared" si="223"/>
        <v>74700</v>
      </c>
      <c r="N1428" s="2" t="s">
        <v>28</v>
      </c>
      <c r="O1428" t="s">
        <v>22</v>
      </c>
      <c r="P1428" s="2" t="s">
        <v>2367</v>
      </c>
      <c r="Q1428" s="2">
        <v>2</v>
      </c>
      <c r="R1428" s="2" t="s">
        <v>23</v>
      </c>
      <c r="S1428" s="2" t="str">
        <f t="shared" si="224"/>
        <v>Rendah</v>
      </c>
      <c r="T1428" s="2" t="str">
        <f t="shared" si="225"/>
        <v>FALSE</v>
      </c>
      <c r="U1428" s="2" t="str">
        <f t="shared" si="226"/>
        <v>FALSE</v>
      </c>
      <c r="V1428" s="2" t="b">
        <f t="shared" si="227"/>
        <v>0</v>
      </c>
      <c r="W1428" s="2" t="b">
        <f t="shared" si="228"/>
        <v>1</v>
      </c>
      <c r="X1428" s="2" t="b">
        <f t="shared" si="229"/>
        <v>0</v>
      </c>
    </row>
    <row r="1429" spans="1:24" ht="10.5" customHeight="1">
      <c r="A1429" s="2" t="s">
        <v>1795</v>
      </c>
      <c r="B1429" s="3">
        <v>45930.587407407409</v>
      </c>
      <c r="C1429" s="2" t="s">
        <v>1372</v>
      </c>
      <c r="D1429" s="2" t="s">
        <v>68</v>
      </c>
      <c r="E1429" s="2" t="s">
        <v>161</v>
      </c>
      <c r="F1429" s="4">
        <v>115000</v>
      </c>
      <c r="G1429" s="5">
        <v>0.4</v>
      </c>
      <c r="H1429" s="6">
        <v>0</v>
      </c>
      <c r="I1429" s="7">
        <f t="shared" si="220"/>
        <v>46000</v>
      </c>
      <c r="J1429" s="7">
        <f t="shared" si="221"/>
        <v>0</v>
      </c>
      <c r="K1429" s="7">
        <f t="shared" si="222"/>
        <v>46000</v>
      </c>
      <c r="L1429" s="4">
        <v>87000</v>
      </c>
      <c r="M1429" s="7">
        <f t="shared" si="223"/>
        <v>133000</v>
      </c>
      <c r="N1429" s="2" t="s">
        <v>28</v>
      </c>
      <c r="O1429" t="s">
        <v>22</v>
      </c>
      <c r="P1429" s="2" t="s">
        <v>2366</v>
      </c>
      <c r="Q1429" s="2">
        <v>3</v>
      </c>
      <c r="R1429" s="2" t="s">
        <v>23</v>
      </c>
      <c r="S1429" s="2" t="str">
        <f t="shared" si="224"/>
        <v>Standar</v>
      </c>
      <c r="T1429" s="2" t="str">
        <f t="shared" si="225"/>
        <v>FALSE</v>
      </c>
      <c r="U1429" s="2" t="str">
        <f t="shared" si="226"/>
        <v>FALSE</v>
      </c>
      <c r="V1429" s="2" t="b">
        <f t="shared" si="227"/>
        <v>0</v>
      </c>
      <c r="W1429" s="2" t="b">
        <f t="shared" si="228"/>
        <v>0</v>
      </c>
      <c r="X1429" s="2" t="b">
        <f t="shared" si="229"/>
        <v>0</v>
      </c>
    </row>
    <row r="1430" spans="1:24" ht="10.5" customHeight="1">
      <c r="A1430" s="2" t="s">
        <v>1796</v>
      </c>
      <c r="B1430" s="3">
        <v>45930.615729166668</v>
      </c>
      <c r="C1430" s="2" t="s">
        <v>1307</v>
      </c>
      <c r="D1430" s="2" t="s">
        <v>105</v>
      </c>
      <c r="E1430" s="2" t="s">
        <v>35</v>
      </c>
      <c r="F1430" s="4">
        <v>13500</v>
      </c>
      <c r="G1430" s="5">
        <v>0.7</v>
      </c>
      <c r="H1430" s="6">
        <v>0</v>
      </c>
      <c r="I1430" s="7">
        <f t="shared" si="220"/>
        <v>9450</v>
      </c>
      <c r="J1430" s="7">
        <f t="shared" si="221"/>
        <v>0</v>
      </c>
      <c r="K1430" s="7">
        <f t="shared" si="222"/>
        <v>9450</v>
      </c>
      <c r="L1430" s="4">
        <v>18000</v>
      </c>
      <c r="M1430" s="7">
        <f t="shared" si="223"/>
        <v>27450</v>
      </c>
      <c r="N1430" s="2" t="s">
        <v>28</v>
      </c>
      <c r="O1430" t="s">
        <v>22</v>
      </c>
      <c r="P1430" s="2" t="s">
        <v>2367</v>
      </c>
      <c r="Q1430" s="2">
        <v>5</v>
      </c>
      <c r="R1430" s="2" t="s">
        <v>34</v>
      </c>
      <c r="S1430" s="2" t="str">
        <f t="shared" si="224"/>
        <v>Sangat Rendah</v>
      </c>
      <c r="T1430" s="2" t="str">
        <f t="shared" si="225"/>
        <v>FALSE</v>
      </c>
      <c r="U1430" s="2" t="str">
        <f t="shared" si="226"/>
        <v>FALSE</v>
      </c>
      <c r="V1430" s="2" t="b">
        <f t="shared" si="227"/>
        <v>0</v>
      </c>
      <c r="W1430" s="2" t="b">
        <f t="shared" si="228"/>
        <v>1</v>
      </c>
      <c r="X1430" s="2" t="b">
        <f t="shared" si="229"/>
        <v>0</v>
      </c>
    </row>
    <row r="1431" spans="1:24" ht="10.5" customHeight="1">
      <c r="A1431" s="2" t="s">
        <v>1797</v>
      </c>
      <c r="B1431" s="3">
        <v>45930.652141203696</v>
      </c>
      <c r="C1431" s="2" t="s">
        <v>1798</v>
      </c>
      <c r="D1431" s="2" t="s">
        <v>74</v>
      </c>
      <c r="E1431" s="2" t="s">
        <v>143</v>
      </c>
      <c r="F1431" s="4">
        <v>10000</v>
      </c>
      <c r="G1431" s="5">
        <v>0.8</v>
      </c>
      <c r="H1431" s="6">
        <v>0</v>
      </c>
      <c r="I1431" s="7">
        <f t="shared" si="220"/>
        <v>8000</v>
      </c>
      <c r="J1431" s="7">
        <f t="shared" si="221"/>
        <v>0</v>
      </c>
      <c r="K1431" s="7">
        <f t="shared" si="222"/>
        <v>8000</v>
      </c>
      <c r="L1431" s="4">
        <v>74000</v>
      </c>
      <c r="M1431" s="7">
        <f t="shared" si="223"/>
        <v>82000</v>
      </c>
      <c r="N1431" s="2" t="s">
        <v>21</v>
      </c>
      <c r="O1431" t="s">
        <v>22</v>
      </c>
      <c r="P1431" s="2" t="s">
        <v>2365</v>
      </c>
      <c r="Q1431" s="2">
        <v>3</v>
      </c>
      <c r="R1431" s="2" t="s">
        <v>23</v>
      </c>
      <c r="S1431" s="2" t="str">
        <f t="shared" si="224"/>
        <v>Rendah</v>
      </c>
      <c r="T1431" s="2" t="str">
        <f t="shared" si="225"/>
        <v>FALSE</v>
      </c>
      <c r="U1431" s="2" t="str">
        <f t="shared" si="226"/>
        <v>TRUE</v>
      </c>
      <c r="V1431" s="2" t="b">
        <f t="shared" si="227"/>
        <v>0</v>
      </c>
      <c r="W1431" s="2" t="b">
        <f t="shared" si="228"/>
        <v>0</v>
      </c>
      <c r="X1431" s="2" t="b">
        <f t="shared" si="229"/>
        <v>0</v>
      </c>
    </row>
    <row r="1432" spans="1:24" ht="10.5" customHeight="1">
      <c r="A1432" s="2" t="s">
        <v>1797</v>
      </c>
      <c r="B1432" s="3">
        <v>45930.652141203696</v>
      </c>
      <c r="C1432" s="2" t="s">
        <v>1798</v>
      </c>
      <c r="D1432" s="2" t="s">
        <v>74</v>
      </c>
      <c r="E1432" s="2" t="s">
        <v>35</v>
      </c>
      <c r="F1432" s="4">
        <v>13500</v>
      </c>
      <c r="G1432" s="5">
        <v>1.1000000000000001</v>
      </c>
      <c r="H1432" s="6">
        <v>0</v>
      </c>
      <c r="I1432" s="7">
        <f t="shared" si="220"/>
        <v>14850.000000000002</v>
      </c>
      <c r="J1432" s="7">
        <f t="shared" si="221"/>
        <v>0</v>
      </c>
      <c r="K1432" s="7">
        <f t="shared" si="222"/>
        <v>14850.000000000002</v>
      </c>
      <c r="L1432" s="4">
        <v>0</v>
      </c>
      <c r="M1432" s="7">
        <f t="shared" si="223"/>
        <v>14850.000000000002</v>
      </c>
      <c r="N1432" s="2" t="s">
        <v>21</v>
      </c>
      <c r="O1432" t="s">
        <v>22</v>
      </c>
      <c r="P1432" s="2" t="s">
        <v>2365</v>
      </c>
      <c r="Q1432" s="2">
        <v>3</v>
      </c>
      <c r="R1432" s="2" t="s">
        <v>23</v>
      </c>
      <c r="S1432" s="2" t="str">
        <f t="shared" si="224"/>
        <v>Sangat Rendah</v>
      </c>
      <c r="T1432" s="2" t="str">
        <f t="shared" si="225"/>
        <v>FALSE</v>
      </c>
      <c r="U1432" s="2" t="str">
        <f t="shared" si="226"/>
        <v>FALSE</v>
      </c>
      <c r="V1432" s="2" t="b">
        <f t="shared" si="227"/>
        <v>0</v>
      </c>
      <c r="W1432" s="2" t="b">
        <f t="shared" si="228"/>
        <v>0</v>
      </c>
      <c r="X1432" s="2" t="b">
        <f t="shared" si="229"/>
        <v>1</v>
      </c>
    </row>
    <row r="1433" spans="1:24" ht="10.5" customHeight="1">
      <c r="A1433" s="2" t="s">
        <v>1799</v>
      </c>
      <c r="B1433" s="3">
        <v>45930.741990740738</v>
      </c>
      <c r="C1433" s="2" t="s">
        <v>503</v>
      </c>
      <c r="D1433" s="2" t="s">
        <v>173</v>
      </c>
      <c r="E1433" s="2" t="s">
        <v>20</v>
      </c>
      <c r="F1433" s="4">
        <v>10000</v>
      </c>
      <c r="G1433" s="5">
        <v>2.1</v>
      </c>
      <c r="H1433" s="6">
        <v>0</v>
      </c>
      <c r="I1433" s="7">
        <f t="shared" si="220"/>
        <v>21000</v>
      </c>
      <c r="J1433" s="7">
        <f t="shared" si="221"/>
        <v>0</v>
      </c>
      <c r="K1433" s="7">
        <f t="shared" si="222"/>
        <v>21000</v>
      </c>
      <c r="L1433" s="4">
        <v>48000</v>
      </c>
      <c r="M1433" s="7">
        <f t="shared" si="223"/>
        <v>69000</v>
      </c>
      <c r="N1433" s="2" t="s">
        <v>58</v>
      </c>
      <c r="O1433" t="s">
        <v>69</v>
      </c>
      <c r="P1433" s="2" t="s">
        <v>2370</v>
      </c>
      <c r="Q1433" s="2">
        <v>2</v>
      </c>
      <c r="R1433" s="2" t="s">
        <v>23</v>
      </c>
      <c r="S1433" s="2" t="str">
        <f t="shared" si="224"/>
        <v>Rendah</v>
      </c>
      <c r="T1433" s="2" t="str">
        <f t="shared" si="225"/>
        <v>FALSE</v>
      </c>
      <c r="U1433" s="2" t="str">
        <f t="shared" si="226"/>
        <v>FALSE</v>
      </c>
      <c r="V1433" s="2" t="b">
        <f t="shared" si="227"/>
        <v>0</v>
      </c>
      <c r="W1433" s="2" t="b">
        <f t="shared" si="228"/>
        <v>0</v>
      </c>
      <c r="X1433" s="2" t="b">
        <f t="shared" si="229"/>
        <v>0</v>
      </c>
    </row>
    <row r="1434" spans="1:24" ht="10.5" customHeight="1">
      <c r="A1434" s="2" t="s">
        <v>1800</v>
      </c>
      <c r="B1434" s="3">
        <v>45930.846574074072</v>
      </c>
      <c r="C1434" s="2" t="s">
        <v>113</v>
      </c>
      <c r="D1434" s="2" t="s">
        <v>114</v>
      </c>
      <c r="E1434" s="2" t="s">
        <v>80</v>
      </c>
      <c r="F1434" s="4">
        <v>15000</v>
      </c>
      <c r="G1434" s="5">
        <v>1.4</v>
      </c>
      <c r="H1434" s="6">
        <v>0</v>
      </c>
      <c r="I1434" s="7">
        <f t="shared" si="220"/>
        <v>21000</v>
      </c>
      <c r="J1434" s="7">
        <f t="shared" si="221"/>
        <v>0</v>
      </c>
      <c r="K1434" s="7">
        <f t="shared" si="222"/>
        <v>21000</v>
      </c>
      <c r="L1434" s="4">
        <v>78000</v>
      </c>
      <c r="M1434" s="7">
        <f t="shared" si="223"/>
        <v>99000</v>
      </c>
      <c r="N1434" s="2" t="s">
        <v>58</v>
      </c>
      <c r="O1434" t="s">
        <v>22</v>
      </c>
      <c r="P1434" s="2" t="s">
        <v>2370</v>
      </c>
      <c r="Q1434" s="2">
        <v>4</v>
      </c>
      <c r="R1434" s="2" t="s">
        <v>23</v>
      </c>
      <c r="S1434" s="2" t="str">
        <f t="shared" si="224"/>
        <v>Rendah</v>
      </c>
      <c r="T1434" s="2" t="str">
        <f t="shared" si="225"/>
        <v>TRUE</v>
      </c>
      <c r="U1434" s="2" t="str">
        <f t="shared" si="226"/>
        <v>FALSE</v>
      </c>
      <c r="V1434" s="2" t="b">
        <f t="shared" si="227"/>
        <v>0</v>
      </c>
      <c r="W1434" s="2" t="b">
        <f t="shared" si="228"/>
        <v>0</v>
      </c>
      <c r="X1434" s="2" t="b">
        <f t="shared" si="229"/>
        <v>0</v>
      </c>
    </row>
    <row r="1435" spans="1:24" ht="10.5" customHeight="1">
      <c r="A1435" s="2" t="s">
        <v>1801</v>
      </c>
      <c r="B1435" s="3">
        <v>45930.853668981479</v>
      </c>
      <c r="C1435" s="2" t="s">
        <v>1520</v>
      </c>
      <c r="D1435" s="2" t="s">
        <v>114</v>
      </c>
      <c r="E1435" s="2" t="s">
        <v>75</v>
      </c>
      <c r="F1435" s="4">
        <v>45000</v>
      </c>
      <c r="G1435" s="5">
        <v>1.2</v>
      </c>
      <c r="H1435" s="6">
        <v>0</v>
      </c>
      <c r="I1435" s="7">
        <f t="shared" si="220"/>
        <v>54000</v>
      </c>
      <c r="J1435" s="7">
        <f t="shared" si="221"/>
        <v>0</v>
      </c>
      <c r="K1435" s="7">
        <f t="shared" si="222"/>
        <v>54000</v>
      </c>
      <c r="L1435" s="4">
        <v>78000</v>
      </c>
      <c r="M1435" s="7">
        <f t="shared" si="223"/>
        <v>132000</v>
      </c>
      <c r="N1435" s="2" t="s">
        <v>21</v>
      </c>
      <c r="O1435" t="s">
        <v>22</v>
      </c>
      <c r="P1435" s="2" t="s">
        <v>2370</v>
      </c>
      <c r="Q1435" s="2">
        <v>4</v>
      </c>
      <c r="R1435" s="2" t="s">
        <v>23</v>
      </c>
      <c r="S1435" s="2" t="str">
        <f t="shared" si="224"/>
        <v>Standar</v>
      </c>
      <c r="T1435" s="2" t="str">
        <f t="shared" si="225"/>
        <v>FALSE</v>
      </c>
      <c r="U1435" s="2" t="str">
        <f t="shared" si="226"/>
        <v>FALSE</v>
      </c>
      <c r="V1435" s="2" t="b">
        <f t="shared" si="227"/>
        <v>0</v>
      </c>
      <c r="W1435" s="2" t="b">
        <f t="shared" si="228"/>
        <v>0</v>
      </c>
      <c r="X1435" s="2" t="b">
        <f t="shared" si="229"/>
        <v>0</v>
      </c>
    </row>
    <row r="1436" spans="1:24" ht="10.5" customHeight="1">
      <c r="A1436" s="2" t="s">
        <v>1802</v>
      </c>
      <c r="B1436" s="3">
        <v>45930.858252314807</v>
      </c>
      <c r="C1436" s="2" t="s">
        <v>261</v>
      </c>
      <c r="D1436" s="2" t="s">
        <v>44</v>
      </c>
      <c r="E1436" s="2" t="s">
        <v>75</v>
      </c>
      <c r="F1436" s="4">
        <v>45000</v>
      </c>
      <c r="G1436" s="5">
        <v>1</v>
      </c>
      <c r="H1436" s="6">
        <v>0</v>
      </c>
      <c r="I1436" s="7">
        <f t="shared" si="220"/>
        <v>45000</v>
      </c>
      <c r="J1436" s="7">
        <f t="shared" si="221"/>
        <v>0</v>
      </c>
      <c r="K1436" s="7">
        <f t="shared" si="222"/>
        <v>45000</v>
      </c>
      <c r="L1436" s="4">
        <v>43000</v>
      </c>
      <c r="M1436" s="7">
        <f t="shared" si="223"/>
        <v>88000</v>
      </c>
      <c r="N1436" s="2" t="s">
        <v>21</v>
      </c>
      <c r="O1436" t="s">
        <v>22</v>
      </c>
      <c r="P1436" s="2" t="s">
        <v>2367</v>
      </c>
      <c r="Q1436" s="2">
        <v>5</v>
      </c>
      <c r="R1436" s="2" t="s">
        <v>23</v>
      </c>
      <c r="S1436" s="2" t="str">
        <f t="shared" si="224"/>
        <v>Rendah</v>
      </c>
      <c r="T1436" s="2" t="str">
        <f t="shared" si="225"/>
        <v>FALSE</v>
      </c>
      <c r="U1436" s="2" t="str">
        <f t="shared" si="226"/>
        <v>FALSE</v>
      </c>
      <c r="V1436" s="2" t="b">
        <f t="shared" si="227"/>
        <v>0</v>
      </c>
      <c r="W1436" s="2" t="b">
        <f t="shared" si="228"/>
        <v>1</v>
      </c>
      <c r="X1436" s="2" t="b">
        <f t="shared" si="229"/>
        <v>0</v>
      </c>
    </row>
    <row r="1437" spans="1:24" ht="10.5" customHeight="1">
      <c r="A1437" s="2" t="s">
        <v>1803</v>
      </c>
      <c r="B1437" s="3">
        <v>45931.001319444447</v>
      </c>
      <c r="C1437" s="2" t="s">
        <v>371</v>
      </c>
      <c r="D1437" s="2" t="s">
        <v>94</v>
      </c>
      <c r="E1437" s="2" t="s">
        <v>170</v>
      </c>
      <c r="F1437" s="4">
        <v>12000</v>
      </c>
      <c r="G1437" s="5">
        <v>1</v>
      </c>
      <c r="H1437" s="6">
        <v>0</v>
      </c>
      <c r="I1437" s="7">
        <f t="shared" si="220"/>
        <v>12000</v>
      </c>
      <c r="J1437" s="7">
        <f t="shared" si="221"/>
        <v>0</v>
      </c>
      <c r="K1437" s="7">
        <f t="shared" si="222"/>
        <v>12000</v>
      </c>
      <c r="L1437" s="4">
        <v>85000</v>
      </c>
      <c r="M1437" s="7">
        <f t="shared" si="223"/>
        <v>97000</v>
      </c>
      <c r="N1437" s="2" t="s">
        <v>21</v>
      </c>
      <c r="O1437" t="s">
        <v>115</v>
      </c>
      <c r="P1437" s="2" t="s">
        <v>2367</v>
      </c>
      <c r="Q1437" s="2">
        <v>4</v>
      </c>
      <c r="R1437" s="2" t="s">
        <v>23</v>
      </c>
      <c r="S1437" s="2" t="str">
        <f t="shared" si="224"/>
        <v>Rendah</v>
      </c>
      <c r="T1437" s="2" t="str">
        <f t="shared" si="225"/>
        <v>FALSE</v>
      </c>
      <c r="U1437" s="2" t="str">
        <f t="shared" si="226"/>
        <v>FALSE</v>
      </c>
      <c r="V1437" s="2" t="b">
        <f t="shared" si="227"/>
        <v>0</v>
      </c>
      <c r="W1437" s="2" t="b">
        <f t="shared" si="228"/>
        <v>1</v>
      </c>
      <c r="X1437" s="2" t="b">
        <f t="shared" si="229"/>
        <v>0</v>
      </c>
    </row>
    <row r="1438" spans="1:24" ht="10.5" customHeight="1">
      <c r="A1438" s="2" t="s">
        <v>1804</v>
      </c>
      <c r="B1438" s="3">
        <v>45931.353402777779</v>
      </c>
      <c r="C1438" s="2" t="s">
        <v>43</v>
      </c>
      <c r="D1438" s="2" t="s">
        <v>44</v>
      </c>
      <c r="E1438" s="2" t="s">
        <v>80</v>
      </c>
      <c r="F1438" s="4">
        <v>15000</v>
      </c>
      <c r="G1438" s="5">
        <v>1.6</v>
      </c>
      <c r="H1438" s="6">
        <v>0</v>
      </c>
      <c r="I1438" s="7">
        <f t="shared" si="220"/>
        <v>24000</v>
      </c>
      <c r="J1438" s="7">
        <f t="shared" si="221"/>
        <v>0</v>
      </c>
      <c r="K1438" s="7">
        <f t="shared" si="222"/>
        <v>24000</v>
      </c>
      <c r="L1438" s="4">
        <v>43000</v>
      </c>
      <c r="M1438" s="7">
        <f t="shared" si="223"/>
        <v>67000</v>
      </c>
      <c r="N1438" s="2" t="s">
        <v>33</v>
      </c>
      <c r="O1438" t="s">
        <v>22</v>
      </c>
      <c r="P1438" s="2" t="s">
        <v>2367</v>
      </c>
      <c r="Q1438" s="2">
        <v>3</v>
      </c>
      <c r="R1438" s="2" t="s">
        <v>23</v>
      </c>
      <c r="S1438" s="2" t="str">
        <f t="shared" si="224"/>
        <v>Rendah</v>
      </c>
      <c r="T1438" s="2" t="str">
        <f t="shared" si="225"/>
        <v>FALSE</v>
      </c>
      <c r="U1438" s="2" t="str">
        <f t="shared" si="226"/>
        <v>FALSE</v>
      </c>
      <c r="V1438" s="2" t="b">
        <f t="shared" si="227"/>
        <v>0</v>
      </c>
      <c r="W1438" s="2" t="b">
        <f t="shared" si="228"/>
        <v>1</v>
      </c>
      <c r="X1438" s="2" t="b">
        <f t="shared" si="229"/>
        <v>0</v>
      </c>
    </row>
    <row r="1439" spans="1:24" ht="10.5" customHeight="1">
      <c r="A1439" s="2" t="s">
        <v>1805</v>
      </c>
      <c r="B1439" s="3">
        <v>45933.407430555562</v>
      </c>
      <c r="C1439" s="2" t="s">
        <v>384</v>
      </c>
      <c r="D1439" s="2" t="s">
        <v>48</v>
      </c>
      <c r="E1439" s="2" t="s">
        <v>161</v>
      </c>
      <c r="F1439" s="4">
        <v>115000</v>
      </c>
      <c r="G1439" s="5">
        <v>0.3</v>
      </c>
      <c r="H1439" s="6">
        <v>0</v>
      </c>
      <c r="I1439" s="7">
        <f t="shared" si="220"/>
        <v>34500</v>
      </c>
      <c r="J1439" s="7">
        <f t="shared" si="221"/>
        <v>0</v>
      </c>
      <c r="K1439" s="7">
        <f t="shared" si="222"/>
        <v>34500</v>
      </c>
      <c r="L1439" s="4">
        <v>18000</v>
      </c>
      <c r="M1439" s="7">
        <f t="shared" si="223"/>
        <v>52500</v>
      </c>
      <c r="N1439" s="2" t="s">
        <v>28</v>
      </c>
      <c r="O1439" t="s">
        <v>22</v>
      </c>
      <c r="P1439" s="2" t="s">
        <v>2365</v>
      </c>
      <c r="Q1439" s="2">
        <v>2</v>
      </c>
      <c r="R1439" s="2" t="s">
        <v>23</v>
      </c>
      <c r="S1439" s="2" t="str">
        <f t="shared" si="224"/>
        <v>Rendah</v>
      </c>
      <c r="T1439" s="2" t="str">
        <f t="shared" si="225"/>
        <v>FALSE</v>
      </c>
      <c r="U1439" s="2" t="str">
        <f t="shared" si="226"/>
        <v>FALSE</v>
      </c>
      <c r="V1439" s="2" t="b">
        <f t="shared" si="227"/>
        <v>0</v>
      </c>
      <c r="W1439" s="2" t="b">
        <f t="shared" si="228"/>
        <v>0</v>
      </c>
      <c r="X1439" s="2" t="b">
        <f t="shared" si="229"/>
        <v>0</v>
      </c>
    </row>
    <row r="1440" spans="1:24" ht="10.5" customHeight="1">
      <c r="A1440" s="2" t="s">
        <v>1806</v>
      </c>
      <c r="B1440" s="3">
        <v>45933.593993055547</v>
      </c>
      <c r="C1440" s="2" t="s">
        <v>841</v>
      </c>
      <c r="D1440" s="2" t="s">
        <v>61</v>
      </c>
      <c r="E1440" s="2" t="s">
        <v>95</v>
      </c>
      <c r="F1440" s="4">
        <v>9500</v>
      </c>
      <c r="G1440" s="5">
        <v>0.4</v>
      </c>
      <c r="H1440" s="6">
        <v>0</v>
      </c>
      <c r="I1440" s="7">
        <f t="shared" si="220"/>
        <v>3800</v>
      </c>
      <c r="J1440" s="7">
        <f t="shared" si="221"/>
        <v>0</v>
      </c>
      <c r="K1440" s="7">
        <f t="shared" si="222"/>
        <v>3800</v>
      </c>
      <c r="L1440" s="4">
        <v>59000</v>
      </c>
      <c r="M1440" s="7">
        <f t="shared" si="223"/>
        <v>62800</v>
      </c>
      <c r="N1440" s="2" t="s">
        <v>28</v>
      </c>
      <c r="O1440" t="s">
        <v>22</v>
      </c>
      <c r="P1440" s="2" t="s">
        <v>2366</v>
      </c>
      <c r="Q1440" s="2">
        <v>3</v>
      </c>
      <c r="R1440" s="2" t="s">
        <v>34</v>
      </c>
      <c r="S1440" s="2" t="str">
        <f t="shared" si="224"/>
        <v>Rendah</v>
      </c>
      <c r="T1440" s="2" t="str">
        <f t="shared" si="225"/>
        <v>FALSE</v>
      </c>
      <c r="U1440" s="2" t="str">
        <f t="shared" si="226"/>
        <v>FALSE</v>
      </c>
      <c r="V1440" s="2" t="b">
        <f t="shared" si="227"/>
        <v>0</v>
      </c>
      <c r="W1440" s="2" t="b">
        <f t="shared" si="228"/>
        <v>0</v>
      </c>
      <c r="X1440" s="2" t="b">
        <f t="shared" si="229"/>
        <v>0</v>
      </c>
    </row>
    <row r="1441" spans="1:24" ht="10.5" customHeight="1">
      <c r="A1441" s="2" t="s">
        <v>1807</v>
      </c>
      <c r="B1441" s="3">
        <v>45934.634895833333</v>
      </c>
      <c r="C1441" s="2" t="s">
        <v>719</v>
      </c>
      <c r="D1441" s="2" t="s">
        <v>68</v>
      </c>
      <c r="E1441" s="2" t="s">
        <v>57</v>
      </c>
      <c r="F1441" s="4">
        <v>17500</v>
      </c>
      <c r="G1441" s="5">
        <v>1.7</v>
      </c>
      <c r="H1441" s="6">
        <v>0</v>
      </c>
      <c r="I1441" s="7">
        <f t="shared" si="220"/>
        <v>29750</v>
      </c>
      <c r="J1441" s="7">
        <f t="shared" si="221"/>
        <v>0</v>
      </c>
      <c r="K1441" s="7">
        <f t="shared" si="222"/>
        <v>29750</v>
      </c>
      <c r="L1441" s="4">
        <v>87000</v>
      </c>
      <c r="M1441" s="7">
        <f t="shared" si="223"/>
        <v>116750</v>
      </c>
      <c r="N1441" s="2" t="s">
        <v>28</v>
      </c>
      <c r="O1441" t="s">
        <v>22</v>
      </c>
      <c r="P1441" s="2" t="s">
        <v>2365</v>
      </c>
      <c r="Q1441" s="2">
        <v>5</v>
      </c>
      <c r="R1441" s="2" t="s">
        <v>23</v>
      </c>
      <c r="S1441" s="2" t="str">
        <f t="shared" si="224"/>
        <v>Standar</v>
      </c>
      <c r="T1441" s="2" t="str">
        <f t="shared" si="225"/>
        <v>FALSE</v>
      </c>
      <c r="U1441" s="2" t="str">
        <f t="shared" si="226"/>
        <v>FALSE</v>
      </c>
      <c r="V1441" s="2" t="b">
        <f t="shared" si="227"/>
        <v>0</v>
      </c>
      <c r="W1441" s="2" t="b">
        <f t="shared" si="228"/>
        <v>0</v>
      </c>
      <c r="X1441" s="2" t="b">
        <f t="shared" si="229"/>
        <v>0</v>
      </c>
    </row>
    <row r="1442" spans="1:24" ht="10.5" customHeight="1">
      <c r="A1442" s="2" t="s">
        <v>1808</v>
      </c>
      <c r="B1442" s="3">
        <v>45934.778379629628</v>
      </c>
      <c r="C1442" s="2" t="s">
        <v>147</v>
      </c>
      <c r="D1442" s="2" t="s">
        <v>19</v>
      </c>
      <c r="E1442" s="2" t="s">
        <v>65</v>
      </c>
      <c r="F1442" s="4">
        <v>46000</v>
      </c>
      <c r="G1442" s="5">
        <v>0.5</v>
      </c>
      <c r="H1442" s="6">
        <v>0</v>
      </c>
      <c r="I1442" s="7">
        <f t="shared" si="220"/>
        <v>23000</v>
      </c>
      <c r="J1442" s="7">
        <f t="shared" si="221"/>
        <v>0</v>
      </c>
      <c r="K1442" s="7">
        <f t="shared" si="222"/>
        <v>23000</v>
      </c>
      <c r="L1442" s="4">
        <v>15000</v>
      </c>
      <c r="M1442" s="7">
        <f t="shared" si="223"/>
        <v>38000</v>
      </c>
      <c r="N1442" s="2" t="s">
        <v>21</v>
      </c>
      <c r="O1442" t="s">
        <v>22</v>
      </c>
      <c r="P1442" s="2" t="s">
        <v>2368</v>
      </c>
      <c r="Q1442" s="2">
        <v>1</v>
      </c>
      <c r="R1442" s="2" t="s">
        <v>23</v>
      </c>
      <c r="S1442" s="2" t="str">
        <f t="shared" si="224"/>
        <v>Sangat Rendah</v>
      </c>
      <c r="T1442" s="2" t="str">
        <f t="shared" si="225"/>
        <v>FALSE</v>
      </c>
      <c r="U1442" s="2" t="str">
        <f t="shared" si="226"/>
        <v>FALSE</v>
      </c>
      <c r="V1442" s="2" t="b">
        <f t="shared" si="227"/>
        <v>0</v>
      </c>
      <c r="W1442" s="2" t="b">
        <f t="shared" si="228"/>
        <v>0</v>
      </c>
      <c r="X1442" s="2" t="b">
        <f t="shared" si="229"/>
        <v>1</v>
      </c>
    </row>
    <row r="1443" spans="1:24" ht="10.5" customHeight="1">
      <c r="A1443" s="2" t="s">
        <v>1809</v>
      </c>
      <c r="B1443" s="3">
        <v>45934.896099537043</v>
      </c>
      <c r="C1443" s="2" t="s">
        <v>1040</v>
      </c>
      <c r="D1443" s="2" t="s">
        <v>84</v>
      </c>
      <c r="E1443" s="2" t="s">
        <v>95</v>
      </c>
      <c r="F1443" s="4">
        <v>9500</v>
      </c>
      <c r="G1443" s="5">
        <v>1.3</v>
      </c>
      <c r="H1443" s="6">
        <v>0</v>
      </c>
      <c r="I1443" s="7">
        <f t="shared" si="220"/>
        <v>12350</v>
      </c>
      <c r="J1443" s="7">
        <f t="shared" si="221"/>
        <v>0</v>
      </c>
      <c r="K1443" s="7">
        <f t="shared" si="222"/>
        <v>12350</v>
      </c>
      <c r="L1443" s="4">
        <v>30000</v>
      </c>
      <c r="M1443" s="7">
        <f t="shared" si="223"/>
        <v>42350</v>
      </c>
      <c r="N1443" s="2" t="s">
        <v>21</v>
      </c>
      <c r="O1443" t="s">
        <v>22</v>
      </c>
      <c r="P1443" s="2" t="s">
        <v>2367</v>
      </c>
      <c r="Q1443" s="2">
        <v>5</v>
      </c>
      <c r="R1443" s="2" t="s">
        <v>23</v>
      </c>
      <c r="S1443" s="2" t="str">
        <f t="shared" si="224"/>
        <v>Sangat Rendah</v>
      </c>
      <c r="T1443" s="2" t="str">
        <f t="shared" si="225"/>
        <v>FALSE</v>
      </c>
      <c r="U1443" s="2" t="str">
        <f t="shared" si="226"/>
        <v>FALSE</v>
      </c>
      <c r="V1443" s="2" t="b">
        <f t="shared" si="227"/>
        <v>0</v>
      </c>
      <c r="W1443" s="2" t="b">
        <f t="shared" si="228"/>
        <v>1</v>
      </c>
      <c r="X1443" s="2" t="b">
        <f t="shared" si="229"/>
        <v>1</v>
      </c>
    </row>
    <row r="1444" spans="1:24" ht="10.5" customHeight="1">
      <c r="A1444" s="2" t="s">
        <v>1810</v>
      </c>
      <c r="B1444" s="3">
        <v>45935.505474537043</v>
      </c>
      <c r="C1444" s="2" t="s">
        <v>1307</v>
      </c>
      <c r="D1444" s="2" t="s">
        <v>105</v>
      </c>
      <c r="E1444" s="2" t="s">
        <v>65</v>
      </c>
      <c r="F1444" s="4">
        <v>46000</v>
      </c>
      <c r="G1444" s="5">
        <v>0.7</v>
      </c>
      <c r="H1444" s="6">
        <v>0</v>
      </c>
      <c r="I1444" s="7">
        <f t="shared" si="220"/>
        <v>32199.999999999996</v>
      </c>
      <c r="J1444" s="7">
        <f t="shared" si="221"/>
        <v>0</v>
      </c>
      <c r="K1444" s="7">
        <f t="shared" si="222"/>
        <v>32199.999999999996</v>
      </c>
      <c r="L1444" s="4">
        <v>18000</v>
      </c>
      <c r="M1444" s="7">
        <f t="shared" si="223"/>
        <v>50200</v>
      </c>
      <c r="N1444" s="2" t="s">
        <v>58</v>
      </c>
      <c r="O1444" t="s">
        <v>22</v>
      </c>
      <c r="P1444" s="2" t="s">
        <v>2370</v>
      </c>
      <c r="Q1444" s="2">
        <v>2</v>
      </c>
      <c r="R1444" s="2" t="s">
        <v>34</v>
      </c>
      <c r="S1444" s="2" t="str">
        <f t="shared" si="224"/>
        <v>Rendah</v>
      </c>
      <c r="T1444" s="2" t="str">
        <f t="shared" si="225"/>
        <v>FALSE</v>
      </c>
      <c r="U1444" s="2" t="str">
        <f t="shared" si="226"/>
        <v>FALSE</v>
      </c>
      <c r="V1444" s="2" t="b">
        <f t="shared" si="227"/>
        <v>0</v>
      </c>
      <c r="W1444" s="2" t="b">
        <f t="shared" si="228"/>
        <v>0</v>
      </c>
      <c r="X1444" s="2" t="b">
        <f t="shared" si="229"/>
        <v>0</v>
      </c>
    </row>
    <row r="1445" spans="1:24" ht="10.5" customHeight="1">
      <c r="A1445" s="2" t="s">
        <v>1811</v>
      </c>
      <c r="B1445" s="3">
        <v>45935.614942129629</v>
      </c>
      <c r="C1445" s="2" t="s">
        <v>1120</v>
      </c>
      <c r="D1445" s="2" t="s">
        <v>114</v>
      </c>
      <c r="E1445" s="2" t="s">
        <v>57</v>
      </c>
      <c r="F1445" s="4">
        <v>17500</v>
      </c>
      <c r="G1445" s="5">
        <v>0.9</v>
      </c>
      <c r="H1445" s="6">
        <v>0</v>
      </c>
      <c r="I1445" s="7">
        <f t="shared" si="220"/>
        <v>15750</v>
      </c>
      <c r="J1445" s="7">
        <f t="shared" si="221"/>
        <v>0</v>
      </c>
      <c r="K1445" s="7">
        <f t="shared" si="222"/>
        <v>15750</v>
      </c>
      <c r="L1445" s="4">
        <v>78000</v>
      </c>
      <c r="M1445" s="7">
        <f t="shared" si="223"/>
        <v>93750</v>
      </c>
      <c r="N1445" s="2" t="s">
        <v>28</v>
      </c>
      <c r="O1445" t="s">
        <v>22</v>
      </c>
      <c r="P1445" s="2" t="s">
        <v>2366</v>
      </c>
      <c r="Q1445" s="2">
        <v>2</v>
      </c>
      <c r="R1445" s="2" t="s">
        <v>23</v>
      </c>
      <c r="S1445" s="2" t="str">
        <f t="shared" si="224"/>
        <v>Rendah</v>
      </c>
      <c r="T1445" s="2" t="str">
        <f t="shared" si="225"/>
        <v>TRUE</v>
      </c>
      <c r="U1445" s="2" t="str">
        <f t="shared" si="226"/>
        <v>FALSE</v>
      </c>
      <c r="V1445" s="2" t="b">
        <f t="shared" si="227"/>
        <v>0</v>
      </c>
      <c r="W1445" s="2" t="b">
        <f t="shared" si="228"/>
        <v>0</v>
      </c>
      <c r="X1445" s="2" t="b">
        <f t="shared" si="229"/>
        <v>0</v>
      </c>
    </row>
    <row r="1446" spans="1:24" ht="10.5" customHeight="1">
      <c r="A1446" s="2" t="s">
        <v>1811</v>
      </c>
      <c r="B1446" s="3">
        <v>45935.614942129629</v>
      </c>
      <c r="C1446" s="2" t="s">
        <v>1120</v>
      </c>
      <c r="D1446" s="2" t="s">
        <v>114</v>
      </c>
      <c r="E1446" s="2" t="s">
        <v>190</v>
      </c>
      <c r="F1446" s="4">
        <v>15500</v>
      </c>
      <c r="G1446" s="5">
        <v>0.5</v>
      </c>
      <c r="H1446" s="6">
        <v>0</v>
      </c>
      <c r="I1446" s="7">
        <f t="shared" si="220"/>
        <v>7750</v>
      </c>
      <c r="J1446" s="7">
        <f t="shared" si="221"/>
        <v>0</v>
      </c>
      <c r="K1446" s="7">
        <f t="shared" si="222"/>
        <v>7750</v>
      </c>
      <c r="L1446" s="4">
        <v>0</v>
      </c>
      <c r="M1446" s="7">
        <f t="shared" si="223"/>
        <v>7750</v>
      </c>
      <c r="N1446" s="2" t="s">
        <v>28</v>
      </c>
      <c r="O1446" t="s">
        <v>22</v>
      </c>
      <c r="P1446" s="2" t="s">
        <v>2366</v>
      </c>
      <c r="Q1446" s="2">
        <v>2</v>
      </c>
      <c r="R1446" s="2" t="s">
        <v>23</v>
      </c>
      <c r="S1446" s="2" t="str">
        <f t="shared" si="224"/>
        <v>Sangat Rendah</v>
      </c>
      <c r="T1446" s="2" t="str">
        <f t="shared" si="225"/>
        <v>FALSE</v>
      </c>
      <c r="U1446" s="2" t="str">
        <f t="shared" si="226"/>
        <v>FALSE</v>
      </c>
      <c r="V1446" s="2" t="b">
        <f t="shared" si="227"/>
        <v>0</v>
      </c>
      <c r="W1446" s="2" t="b">
        <f t="shared" si="228"/>
        <v>0</v>
      </c>
      <c r="X1446" s="2" t="b">
        <f t="shared" si="229"/>
        <v>1</v>
      </c>
    </row>
    <row r="1447" spans="1:24" ht="10.5" customHeight="1">
      <c r="A1447" s="2" t="s">
        <v>1812</v>
      </c>
      <c r="B1447" s="3">
        <v>45936.162916666668</v>
      </c>
      <c r="C1447" s="2" t="s">
        <v>1227</v>
      </c>
      <c r="D1447" s="2" t="s">
        <v>84</v>
      </c>
      <c r="E1447" s="2" t="s">
        <v>102</v>
      </c>
      <c r="F1447" s="4">
        <v>55000</v>
      </c>
      <c r="G1447" s="5">
        <v>0.8</v>
      </c>
      <c r="H1447" s="6">
        <v>0</v>
      </c>
      <c r="I1447" s="7">
        <f t="shared" si="220"/>
        <v>44000</v>
      </c>
      <c r="J1447" s="7">
        <f t="shared" si="221"/>
        <v>0</v>
      </c>
      <c r="K1447" s="7">
        <f t="shared" si="222"/>
        <v>44000</v>
      </c>
      <c r="L1447" s="4">
        <v>30000</v>
      </c>
      <c r="M1447" s="7">
        <f t="shared" si="223"/>
        <v>74000</v>
      </c>
      <c r="N1447" s="2" t="s">
        <v>21</v>
      </c>
      <c r="O1447" t="s">
        <v>69</v>
      </c>
      <c r="P1447" s="2" t="s">
        <v>2368</v>
      </c>
      <c r="Q1447" s="2">
        <v>2</v>
      </c>
      <c r="R1447" s="2" t="s">
        <v>23</v>
      </c>
      <c r="S1447" s="2" t="str">
        <f t="shared" si="224"/>
        <v>Rendah</v>
      </c>
      <c r="T1447" s="2" t="str">
        <f t="shared" si="225"/>
        <v>FALSE</v>
      </c>
      <c r="U1447" s="2" t="str">
        <f t="shared" si="226"/>
        <v>FALSE</v>
      </c>
      <c r="V1447" s="2" t="b">
        <f t="shared" si="227"/>
        <v>0</v>
      </c>
      <c r="W1447" s="2" t="b">
        <f t="shared" si="228"/>
        <v>0</v>
      </c>
      <c r="X1447" s="2" t="b">
        <f t="shared" si="229"/>
        <v>0</v>
      </c>
    </row>
    <row r="1448" spans="1:24" ht="10.5" customHeight="1">
      <c r="A1448" s="2" t="s">
        <v>1813</v>
      </c>
      <c r="B1448" s="3">
        <v>45936.455879629633</v>
      </c>
      <c r="C1448" s="2" t="s">
        <v>1551</v>
      </c>
      <c r="D1448" s="2" t="s">
        <v>150</v>
      </c>
      <c r="E1448" s="2" t="s">
        <v>57</v>
      </c>
      <c r="F1448" s="4">
        <v>17500</v>
      </c>
      <c r="G1448" s="5">
        <v>3.3</v>
      </c>
      <c r="H1448" s="6">
        <v>0</v>
      </c>
      <c r="I1448" s="7">
        <f t="shared" si="220"/>
        <v>57750</v>
      </c>
      <c r="J1448" s="7">
        <f t="shared" si="221"/>
        <v>0</v>
      </c>
      <c r="K1448" s="7">
        <f t="shared" si="222"/>
        <v>57750</v>
      </c>
      <c r="L1448" s="4">
        <v>68000</v>
      </c>
      <c r="M1448" s="7">
        <f t="shared" si="223"/>
        <v>125750</v>
      </c>
      <c r="N1448" s="2" t="s">
        <v>33</v>
      </c>
      <c r="O1448" t="s">
        <v>22</v>
      </c>
      <c r="P1448" s="2" t="s">
        <v>2368</v>
      </c>
      <c r="Q1448" s="2">
        <v>1</v>
      </c>
      <c r="R1448" s="2" t="s">
        <v>23</v>
      </c>
      <c r="S1448" s="2" t="str">
        <f t="shared" si="224"/>
        <v>Standar</v>
      </c>
      <c r="T1448" s="2" t="str">
        <f t="shared" si="225"/>
        <v>FALSE</v>
      </c>
      <c r="U1448" s="2" t="str">
        <f t="shared" si="226"/>
        <v>FALSE</v>
      </c>
      <c r="V1448" s="2" t="b">
        <f t="shared" si="227"/>
        <v>0</v>
      </c>
      <c r="W1448" s="2" t="b">
        <f t="shared" si="228"/>
        <v>0</v>
      </c>
      <c r="X1448" s="2" t="b">
        <f t="shared" si="229"/>
        <v>0</v>
      </c>
    </row>
    <row r="1449" spans="1:24" ht="10.5" customHeight="1">
      <c r="A1449" s="2" t="s">
        <v>1814</v>
      </c>
      <c r="B1449" s="3">
        <v>45936.642708333333</v>
      </c>
      <c r="C1449" s="2" t="s">
        <v>1218</v>
      </c>
      <c r="D1449" s="2" t="s">
        <v>31</v>
      </c>
      <c r="E1449" s="2" t="s">
        <v>45</v>
      </c>
      <c r="F1449" s="4">
        <v>10500</v>
      </c>
      <c r="G1449" s="5">
        <v>1.8</v>
      </c>
      <c r="H1449" s="6">
        <v>0</v>
      </c>
      <c r="I1449" s="7">
        <f t="shared" si="220"/>
        <v>18900</v>
      </c>
      <c r="J1449" s="7">
        <f t="shared" si="221"/>
        <v>0</v>
      </c>
      <c r="K1449" s="7">
        <f t="shared" si="222"/>
        <v>18900</v>
      </c>
      <c r="L1449" s="4">
        <v>76000</v>
      </c>
      <c r="M1449" s="7">
        <f t="shared" si="223"/>
        <v>94900</v>
      </c>
      <c r="N1449" s="2" t="s">
        <v>28</v>
      </c>
      <c r="O1449" t="s">
        <v>22</v>
      </c>
      <c r="P1449" s="2" t="s">
        <v>2367</v>
      </c>
      <c r="Q1449" s="2">
        <v>2</v>
      </c>
      <c r="R1449" s="2" t="s">
        <v>23</v>
      </c>
      <c r="S1449" s="2" t="str">
        <f t="shared" si="224"/>
        <v>Rendah</v>
      </c>
      <c r="T1449" s="2" t="str">
        <f t="shared" si="225"/>
        <v>FALSE</v>
      </c>
      <c r="U1449" s="2" t="str">
        <f t="shared" si="226"/>
        <v>FALSE</v>
      </c>
      <c r="V1449" s="2" t="b">
        <f t="shared" si="227"/>
        <v>0</v>
      </c>
      <c r="W1449" s="2" t="b">
        <f t="shared" si="228"/>
        <v>1</v>
      </c>
      <c r="X1449" s="2" t="b">
        <f t="shared" si="229"/>
        <v>0</v>
      </c>
    </row>
    <row r="1450" spans="1:24" ht="10.5" customHeight="1">
      <c r="A1450" s="2" t="s">
        <v>1814</v>
      </c>
      <c r="B1450" s="3">
        <v>45936.642708333333</v>
      </c>
      <c r="C1450" s="2" t="s">
        <v>1218</v>
      </c>
      <c r="D1450" s="2" t="s">
        <v>31</v>
      </c>
      <c r="E1450" s="2" t="s">
        <v>143</v>
      </c>
      <c r="F1450" s="4">
        <v>10000</v>
      </c>
      <c r="G1450" s="5">
        <v>0.7</v>
      </c>
      <c r="H1450" s="6">
        <v>0</v>
      </c>
      <c r="I1450" s="7">
        <f t="shared" si="220"/>
        <v>7000</v>
      </c>
      <c r="J1450" s="7">
        <f t="shared" si="221"/>
        <v>0</v>
      </c>
      <c r="K1450" s="7">
        <f t="shared" si="222"/>
        <v>7000</v>
      </c>
      <c r="L1450" s="4">
        <v>0</v>
      </c>
      <c r="M1450" s="7">
        <f t="shared" si="223"/>
        <v>7000</v>
      </c>
      <c r="N1450" s="2" t="s">
        <v>28</v>
      </c>
      <c r="O1450" t="s">
        <v>22</v>
      </c>
      <c r="P1450" s="2" t="s">
        <v>2367</v>
      </c>
      <c r="Q1450" s="2">
        <v>2</v>
      </c>
      <c r="R1450" s="2" t="s">
        <v>23</v>
      </c>
      <c r="S1450" s="2" t="str">
        <f t="shared" si="224"/>
        <v>Sangat Rendah</v>
      </c>
      <c r="T1450" s="2" t="str">
        <f t="shared" si="225"/>
        <v>FALSE</v>
      </c>
      <c r="U1450" s="2" t="str">
        <f t="shared" si="226"/>
        <v>TRUE</v>
      </c>
      <c r="V1450" s="2" t="b">
        <f t="shared" si="227"/>
        <v>0</v>
      </c>
      <c r="W1450" s="2" t="b">
        <f t="shared" si="228"/>
        <v>1</v>
      </c>
      <c r="X1450" s="2" t="b">
        <f t="shared" si="229"/>
        <v>1</v>
      </c>
    </row>
    <row r="1451" spans="1:24" ht="10.5" customHeight="1">
      <c r="A1451" s="2" t="s">
        <v>1815</v>
      </c>
      <c r="B1451" s="3">
        <v>45937.601342592592</v>
      </c>
      <c r="C1451" s="2" t="s">
        <v>139</v>
      </c>
      <c r="D1451" s="2" t="s">
        <v>140</v>
      </c>
      <c r="E1451" s="2" t="s">
        <v>41</v>
      </c>
      <c r="F1451" s="4">
        <v>40000</v>
      </c>
      <c r="G1451" s="5">
        <v>0.9</v>
      </c>
      <c r="H1451" s="6">
        <v>0</v>
      </c>
      <c r="I1451" s="7">
        <f t="shared" si="220"/>
        <v>36000</v>
      </c>
      <c r="J1451" s="7">
        <f t="shared" si="221"/>
        <v>0</v>
      </c>
      <c r="K1451" s="7">
        <f t="shared" si="222"/>
        <v>36000</v>
      </c>
      <c r="L1451" s="4">
        <v>55000</v>
      </c>
      <c r="M1451" s="7">
        <f t="shared" si="223"/>
        <v>91000</v>
      </c>
      <c r="N1451" s="2" t="s">
        <v>21</v>
      </c>
      <c r="O1451" t="s">
        <v>69</v>
      </c>
      <c r="P1451" s="2" t="s">
        <v>2367</v>
      </c>
      <c r="Q1451" s="2">
        <v>5</v>
      </c>
      <c r="R1451" s="2" t="s">
        <v>34</v>
      </c>
      <c r="S1451" s="2" t="str">
        <f t="shared" si="224"/>
        <v>Rendah</v>
      </c>
      <c r="T1451" s="2" t="str">
        <f t="shared" si="225"/>
        <v>FALSE</v>
      </c>
      <c r="U1451" s="2" t="str">
        <f t="shared" si="226"/>
        <v>FALSE</v>
      </c>
      <c r="V1451" s="2" t="b">
        <f t="shared" si="227"/>
        <v>0</v>
      </c>
      <c r="W1451" s="2" t="b">
        <f t="shared" si="228"/>
        <v>1</v>
      </c>
      <c r="X1451" s="2" t="b">
        <f t="shared" si="229"/>
        <v>0</v>
      </c>
    </row>
    <row r="1452" spans="1:24" ht="10.5" customHeight="1">
      <c r="A1452" s="2" t="s">
        <v>1816</v>
      </c>
      <c r="B1452" s="3">
        <v>45937.749537037038</v>
      </c>
      <c r="C1452" s="2" t="s">
        <v>155</v>
      </c>
      <c r="D1452" s="2" t="s">
        <v>133</v>
      </c>
      <c r="E1452" s="2" t="s">
        <v>75</v>
      </c>
      <c r="F1452" s="4">
        <v>45000</v>
      </c>
      <c r="G1452" s="5">
        <v>1</v>
      </c>
      <c r="H1452" s="6">
        <v>0</v>
      </c>
      <c r="I1452" s="7">
        <f t="shared" si="220"/>
        <v>45000</v>
      </c>
      <c r="J1452" s="7">
        <f t="shared" si="221"/>
        <v>0</v>
      </c>
      <c r="K1452" s="7">
        <f t="shared" si="222"/>
        <v>45000</v>
      </c>
      <c r="L1452" s="4">
        <v>50000</v>
      </c>
      <c r="M1452" s="7">
        <f t="shared" si="223"/>
        <v>95000</v>
      </c>
      <c r="N1452" s="2" t="s">
        <v>33</v>
      </c>
      <c r="O1452" t="s">
        <v>22</v>
      </c>
      <c r="P1452" s="2" t="s">
        <v>2366</v>
      </c>
      <c r="Q1452" s="2">
        <v>4</v>
      </c>
      <c r="R1452" s="2" t="s">
        <v>23</v>
      </c>
      <c r="S1452" s="2" t="str">
        <f t="shared" si="224"/>
        <v>Rendah</v>
      </c>
      <c r="T1452" s="2" t="str">
        <f t="shared" si="225"/>
        <v>FALSE</v>
      </c>
      <c r="U1452" s="2" t="str">
        <f t="shared" si="226"/>
        <v>FALSE</v>
      </c>
      <c r="V1452" s="2" t="b">
        <f t="shared" si="227"/>
        <v>0</v>
      </c>
      <c r="W1452" s="2" t="b">
        <f t="shared" si="228"/>
        <v>0</v>
      </c>
      <c r="X1452" s="2" t="b">
        <f t="shared" si="229"/>
        <v>0</v>
      </c>
    </row>
    <row r="1453" spans="1:24" ht="10.5" customHeight="1">
      <c r="A1453" s="2" t="s">
        <v>1817</v>
      </c>
      <c r="B1453" s="3">
        <v>45938.667881944442</v>
      </c>
      <c r="C1453" s="2" t="s">
        <v>377</v>
      </c>
      <c r="D1453" s="2" t="s">
        <v>44</v>
      </c>
      <c r="E1453" s="2" t="s">
        <v>57</v>
      </c>
      <c r="F1453" s="4">
        <v>17500</v>
      </c>
      <c r="G1453" s="5">
        <v>1.8</v>
      </c>
      <c r="H1453" s="6">
        <v>0</v>
      </c>
      <c r="I1453" s="7">
        <f t="shared" si="220"/>
        <v>31500</v>
      </c>
      <c r="J1453" s="7">
        <f t="shared" si="221"/>
        <v>0</v>
      </c>
      <c r="K1453" s="7">
        <f t="shared" si="222"/>
        <v>31500</v>
      </c>
      <c r="L1453" s="4">
        <v>43000</v>
      </c>
      <c r="M1453" s="7">
        <f t="shared" si="223"/>
        <v>74500</v>
      </c>
      <c r="N1453" s="2" t="s">
        <v>21</v>
      </c>
      <c r="O1453" t="s">
        <v>22</v>
      </c>
      <c r="P1453" s="2" t="s">
        <v>2365</v>
      </c>
      <c r="Q1453" s="2">
        <v>2</v>
      </c>
      <c r="R1453" s="2" t="s">
        <v>34</v>
      </c>
      <c r="S1453" s="2" t="str">
        <f t="shared" si="224"/>
        <v>Rendah</v>
      </c>
      <c r="T1453" s="2" t="str">
        <f t="shared" si="225"/>
        <v>FALSE</v>
      </c>
      <c r="U1453" s="2" t="str">
        <f t="shared" si="226"/>
        <v>FALSE</v>
      </c>
      <c r="V1453" s="2" t="b">
        <f t="shared" si="227"/>
        <v>0</v>
      </c>
      <c r="W1453" s="2" t="b">
        <f t="shared" si="228"/>
        <v>0</v>
      </c>
      <c r="X1453" s="2" t="b">
        <f t="shared" si="229"/>
        <v>0</v>
      </c>
    </row>
    <row r="1454" spans="1:24" ht="10.5" customHeight="1">
      <c r="A1454" s="2" t="s">
        <v>1818</v>
      </c>
      <c r="B1454" s="3">
        <v>45938.721319444441</v>
      </c>
      <c r="C1454" s="2" t="s">
        <v>371</v>
      </c>
      <c r="D1454" s="2" t="s">
        <v>94</v>
      </c>
      <c r="E1454" s="2" t="s">
        <v>41</v>
      </c>
      <c r="F1454" s="4">
        <v>40000</v>
      </c>
      <c r="G1454" s="5">
        <v>0.4</v>
      </c>
      <c r="H1454" s="6">
        <v>0</v>
      </c>
      <c r="I1454" s="7">
        <f t="shared" si="220"/>
        <v>16000</v>
      </c>
      <c r="J1454" s="7">
        <f t="shared" si="221"/>
        <v>0</v>
      </c>
      <c r="K1454" s="7">
        <f t="shared" si="222"/>
        <v>16000</v>
      </c>
      <c r="L1454" s="4">
        <v>85000</v>
      </c>
      <c r="M1454" s="7">
        <f t="shared" si="223"/>
        <v>101000</v>
      </c>
      <c r="N1454" s="2" t="s">
        <v>33</v>
      </c>
      <c r="O1454" t="s">
        <v>22</v>
      </c>
      <c r="P1454" s="2" t="s">
        <v>2370</v>
      </c>
      <c r="Q1454" s="2">
        <v>1</v>
      </c>
      <c r="R1454" s="2" t="s">
        <v>23</v>
      </c>
      <c r="S1454" s="2" t="str">
        <f t="shared" si="224"/>
        <v>Standar</v>
      </c>
      <c r="T1454" s="2" t="str">
        <f t="shared" si="225"/>
        <v>FALSE</v>
      </c>
      <c r="U1454" s="2" t="str">
        <f t="shared" si="226"/>
        <v>FALSE</v>
      </c>
      <c r="V1454" s="2" t="b">
        <f t="shared" si="227"/>
        <v>0</v>
      </c>
      <c r="W1454" s="2" t="b">
        <f t="shared" si="228"/>
        <v>0</v>
      </c>
      <c r="X1454" s="2" t="b">
        <f t="shared" si="229"/>
        <v>0</v>
      </c>
    </row>
    <row r="1455" spans="1:24" ht="10.5" customHeight="1">
      <c r="A1455" s="2" t="s">
        <v>1819</v>
      </c>
      <c r="B1455" s="3">
        <v>45939.125069444453</v>
      </c>
      <c r="C1455" s="2" t="s">
        <v>130</v>
      </c>
      <c r="D1455" s="2" t="s">
        <v>84</v>
      </c>
      <c r="E1455" s="2" t="s">
        <v>102</v>
      </c>
      <c r="F1455" s="4">
        <v>55000</v>
      </c>
      <c r="G1455" s="5">
        <v>0.6</v>
      </c>
      <c r="H1455" s="6">
        <v>0</v>
      </c>
      <c r="I1455" s="7">
        <f t="shared" si="220"/>
        <v>33000</v>
      </c>
      <c r="J1455" s="7">
        <f t="shared" si="221"/>
        <v>0</v>
      </c>
      <c r="K1455" s="7">
        <f t="shared" si="222"/>
        <v>33000</v>
      </c>
      <c r="L1455" s="4">
        <v>30000</v>
      </c>
      <c r="M1455" s="7">
        <f t="shared" si="223"/>
        <v>63000</v>
      </c>
      <c r="N1455" s="2" t="s">
        <v>58</v>
      </c>
      <c r="O1455" t="s">
        <v>115</v>
      </c>
      <c r="P1455" s="2" t="s">
        <v>2367</v>
      </c>
      <c r="Q1455" s="2">
        <v>4</v>
      </c>
      <c r="R1455" s="2" t="s">
        <v>23</v>
      </c>
      <c r="S1455" s="2" t="str">
        <f t="shared" si="224"/>
        <v>Rendah</v>
      </c>
      <c r="T1455" s="2" t="str">
        <f t="shared" si="225"/>
        <v>FALSE</v>
      </c>
      <c r="U1455" s="2" t="str">
        <f t="shared" si="226"/>
        <v>FALSE</v>
      </c>
      <c r="V1455" s="2" t="b">
        <f t="shared" si="227"/>
        <v>0</v>
      </c>
      <c r="W1455" s="2" t="b">
        <f t="shared" si="228"/>
        <v>1</v>
      </c>
      <c r="X1455" s="2" t="b">
        <f t="shared" si="229"/>
        <v>0</v>
      </c>
    </row>
    <row r="1456" spans="1:24" ht="10.5" customHeight="1">
      <c r="A1456" s="2" t="s">
        <v>1820</v>
      </c>
      <c r="B1456" s="3">
        <v>45939.650069444448</v>
      </c>
      <c r="C1456" s="2" t="s">
        <v>498</v>
      </c>
      <c r="D1456" s="2" t="s">
        <v>19</v>
      </c>
      <c r="E1456" s="2" t="s">
        <v>80</v>
      </c>
      <c r="F1456" s="4">
        <v>15000</v>
      </c>
      <c r="G1456" s="5">
        <v>1.5</v>
      </c>
      <c r="H1456" s="6">
        <v>0</v>
      </c>
      <c r="I1456" s="7">
        <f t="shared" si="220"/>
        <v>22500</v>
      </c>
      <c r="J1456" s="7">
        <f t="shared" si="221"/>
        <v>0</v>
      </c>
      <c r="K1456" s="7">
        <f t="shared" si="222"/>
        <v>22500</v>
      </c>
      <c r="L1456" s="4">
        <v>15000</v>
      </c>
      <c r="M1456" s="7">
        <f t="shared" si="223"/>
        <v>37500</v>
      </c>
      <c r="N1456" s="2" t="s">
        <v>28</v>
      </c>
      <c r="O1456" t="s">
        <v>22</v>
      </c>
      <c r="P1456" s="2" t="s">
        <v>2366</v>
      </c>
      <c r="Q1456" s="2">
        <v>4</v>
      </c>
      <c r="R1456" s="2" t="s">
        <v>34</v>
      </c>
      <c r="S1456" s="2" t="str">
        <f t="shared" si="224"/>
        <v>Sangat Rendah</v>
      </c>
      <c r="T1456" s="2" t="str">
        <f t="shared" si="225"/>
        <v>FALSE</v>
      </c>
      <c r="U1456" s="2" t="str">
        <f t="shared" si="226"/>
        <v>FALSE</v>
      </c>
      <c r="V1456" s="2" t="b">
        <f t="shared" si="227"/>
        <v>0</v>
      </c>
      <c r="W1456" s="2" t="b">
        <f t="shared" si="228"/>
        <v>0</v>
      </c>
      <c r="X1456" s="2" t="b">
        <f t="shared" si="229"/>
        <v>0</v>
      </c>
    </row>
    <row r="1457" spans="1:24" ht="10.5" customHeight="1">
      <c r="A1457" s="2" t="s">
        <v>1820</v>
      </c>
      <c r="B1457" s="3">
        <v>45939.650069444448</v>
      </c>
      <c r="C1457" s="2" t="s">
        <v>498</v>
      </c>
      <c r="D1457" s="2" t="s">
        <v>19</v>
      </c>
      <c r="E1457" s="2" t="s">
        <v>20</v>
      </c>
      <c r="F1457" s="4">
        <v>10000</v>
      </c>
      <c r="G1457" s="5">
        <v>1</v>
      </c>
      <c r="H1457" s="6">
        <v>0</v>
      </c>
      <c r="I1457" s="7">
        <f t="shared" si="220"/>
        <v>10000</v>
      </c>
      <c r="J1457" s="7">
        <f t="shared" si="221"/>
        <v>0</v>
      </c>
      <c r="K1457" s="7">
        <f t="shared" si="222"/>
        <v>10000</v>
      </c>
      <c r="L1457" s="4">
        <v>0</v>
      </c>
      <c r="M1457" s="7">
        <f t="shared" si="223"/>
        <v>10000</v>
      </c>
      <c r="N1457" s="2" t="s">
        <v>28</v>
      </c>
      <c r="O1457" t="s">
        <v>22</v>
      </c>
      <c r="P1457" s="2" t="s">
        <v>2366</v>
      </c>
      <c r="Q1457" s="2">
        <v>4</v>
      </c>
      <c r="R1457" s="2" t="s">
        <v>34</v>
      </c>
      <c r="S1457" s="2" t="str">
        <f t="shared" si="224"/>
        <v>Sangat Rendah</v>
      </c>
      <c r="T1457" s="2" t="str">
        <f t="shared" si="225"/>
        <v>FALSE</v>
      </c>
      <c r="U1457" s="2" t="str">
        <f t="shared" si="226"/>
        <v>FALSE</v>
      </c>
      <c r="V1457" s="2" t="b">
        <f t="shared" si="227"/>
        <v>0</v>
      </c>
      <c r="W1457" s="2" t="b">
        <f t="shared" si="228"/>
        <v>0</v>
      </c>
      <c r="X1457" s="2" t="b">
        <f t="shared" si="229"/>
        <v>0</v>
      </c>
    </row>
    <row r="1458" spans="1:24" ht="10.5" customHeight="1">
      <c r="A1458" s="2" t="s">
        <v>1821</v>
      </c>
      <c r="B1458" s="3">
        <v>45939.654409722221</v>
      </c>
      <c r="C1458" s="2" t="s">
        <v>406</v>
      </c>
      <c r="D1458" s="2" t="s">
        <v>123</v>
      </c>
      <c r="E1458" s="2" t="s">
        <v>161</v>
      </c>
      <c r="F1458" s="4">
        <v>115000</v>
      </c>
      <c r="G1458" s="5">
        <v>1.1000000000000001</v>
      </c>
      <c r="H1458" s="6">
        <v>0</v>
      </c>
      <c r="I1458" s="7">
        <f t="shared" si="220"/>
        <v>126500.00000000001</v>
      </c>
      <c r="J1458" s="7">
        <f t="shared" si="221"/>
        <v>0</v>
      </c>
      <c r="K1458" s="7">
        <f t="shared" si="222"/>
        <v>126500.00000000001</v>
      </c>
      <c r="L1458" s="4">
        <v>59000</v>
      </c>
      <c r="M1458" s="7">
        <f t="shared" si="223"/>
        <v>185500</v>
      </c>
      <c r="N1458" s="2" t="s">
        <v>58</v>
      </c>
      <c r="O1458" t="s">
        <v>69</v>
      </c>
      <c r="P1458" s="2" t="s">
        <v>2367</v>
      </c>
      <c r="Q1458" s="2">
        <v>5</v>
      </c>
      <c r="R1458" s="2" t="s">
        <v>23</v>
      </c>
      <c r="S1458" s="2" t="str">
        <f t="shared" si="224"/>
        <v>Tinggi</v>
      </c>
      <c r="T1458" s="2" t="str">
        <f t="shared" si="225"/>
        <v>FALSE</v>
      </c>
      <c r="U1458" s="2" t="str">
        <f t="shared" si="226"/>
        <v>TRUE</v>
      </c>
      <c r="V1458" s="2" t="b">
        <f t="shared" si="227"/>
        <v>0</v>
      </c>
      <c r="W1458" s="2" t="b">
        <f t="shared" si="228"/>
        <v>1</v>
      </c>
      <c r="X1458" s="2" t="b">
        <f t="shared" si="229"/>
        <v>0</v>
      </c>
    </row>
    <row r="1459" spans="1:24" ht="10.5" customHeight="1">
      <c r="A1459" s="2" t="s">
        <v>1822</v>
      </c>
      <c r="B1459" s="3">
        <v>45939.834849537037</v>
      </c>
      <c r="C1459" s="2" t="s">
        <v>184</v>
      </c>
      <c r="D1459" s="2" t="s">
        <v>185</v>
      </c>
      <c r="E1459" s="2" t="s">
        <v>41</v>
      </c>
      <c r="F1459" s="4">
        <v>40000</v>
      </c>
      <c r="G1459" s="5">
        <v>0.4</v>
      </c>
      <c r="H1459" s="6">
        <v>0</v>
      </c>
      <c r="I1459" s="7">
        <f t="shared" si="220"/>
        <v>16000</v>
      </c>
      <c r="J1459" s="7">
        <f t="shared" si="221"/>
        <v>0</v>
      </c>
      <c r="K1459" s="7">
        <f t="shared" si="222"/>
        <v>16000</v>
      </c>
      <c r="L1459" s="4">
        <v>87000</v>
      </c>
      <c r="M1459" s="7">
        <f t="shared" si="223"/>
        <v>103000</v>
      </c>
      <c r="N1459" s="2" t="s">
        <v>21</v>
      </c>
      <c r="O1459" t="s">
        <v>22</v>
      </c>
      <c r="P1459" s="2" t="s">
        <v>2370</v>
      </c>
      <c r="Q1459" s="2">
        <v>1</v>
      </c>
      <c r="R1459" s="2" t="s">
        <v>23</v>
      </c>
      <c r="S1459" s="2" t="str">
        <f t="shared" si="224"/>
        <v>Standar</v>
      </c>
      <c r="T1459" s="2" t="str">
        <f t="shared" si="225"/>
        <v>FALSE</v>
      </c>
      <c r="U1459" s="2" t="str">
        <f t="shared" si="226"/>
        <v>FALSE</v>
      </c>
      <c r="V1459" s="2" t="b">
        <f t="shared" si="227"/>
        <v>0</v>
      </c>
      <c r="W1459" s="2" t="b">
        <f t="shared" si="228"/>
        <v>0</v>
      </c>
      <c r="X1459" s="2" t="b">
        <f t="shared" si="229"/>
        <v>0</v>
      </c>
    </row>
    <row r="1460" spans="1:24" ht="10.5" customHeight="1">
      <c r="A1460" s="2" t="s">
        <v>1823</v>
      </c>
      <c r="B1460" s="3">
        <v>45940.310949074083</v>
      </c>
      <c r="C1460" s="2" t="s">
        <v>388</v>
      </c>
      <c r="D1460" s="2" t="s">
        <v>173</v>
      </c>
      <c r="E1460" s="2" t="s">
        <v>41</v>
      </c>
      <c r="F1460" s="4">
        <v>40000</v>
      </c>
      <c r="G1460" s="5">
        <v>1.6</v>
      </c>
      <c r="H1460" s="6">
        <v>5</v>
      </c>
      <c r="I1460" s="7">
        <f t="shared" si="220"/>
        <v>64000</v>
      </c>
      <c r="J1460" s="7">
        <f t="shared" si="221"/>
        <v>3200</v>
      </c>
      <c r="K1460" s="7">
        <f t="shared" si="222"/>
        <v>60800</v>
      </c>
      <c r="L1460" s="4">
        <v>48000</v>
      </c>
      <c r="M1460" s="7">
        <f t="shared" si="223"/>
        <v>108800</v>
      </c>
      <c r="N1460" s="2" t="s">
        <v>21</v>
      </c>
      <c r="O1460" t="s">
        <v>22</v>
      </c>
      <c r="P1460" s="2" t="s">
        <v>2366</v>
      </c>
      <c r="Q1460" s="2">
        <v>4</v>
      </c>
      <c r="R1460" s="2" t="s">
        <v>23</v>
      </c>
      <c r="S1460" s="2" t="str">
        <f t="shared" si="224"/>
        <v>Standar</v>
      </c>
      <c r="T1460" s="2" t="str">
        <f t="shared" si="225"/>
        <v>FALSE</v>
      </c>
      <c r="U1460" s="2" t="str">
        <f t="shared" si="226"/>
        <v>FALSE</v>
      </c>
      <c r="V1460" s="2" t="b">
        <f t="shared" si="227"/>
        <v>0</v>
      </c>
      <c r="W1460" s="2" t="b">
        <f t="shared" si="228"/>
        <v>0</v>
      </c>
      <c r="X1460" s="2" t="b">
        <f t="shared" si="229"/>
        <v>0</v>
      </c>
    </row>
    <row r="1461" spans="1:24" ht="10.5" customHeight="1">
      <c r="A1461" s="2" t="s">
        <v>1824</v>
      </c>
      <c r="B1461" s="3">
        <v>45940.352407407408</v>
      </c>
      <c r="C1461" s="2" t="s">
        <v>436</v>
      </c>
      <c r="D1461" s="2" t="s">
        <v>286</v>
      </c>
      <c r="E1461" s="2" t="s">
        <v>45</v>
      </c>
      <c r="F1461" s="4">
        <v>10500</v>
      </c>
      <c r="G1461" s="5">
        <v>0.6</v>
      </c>
      <c r="H1461" s="6">
        <v>5</v>
      </c>
      <c r="I1461" s="7">
        <f t="shared" si="220"/>
        <v>6300</v>
      </c>
      <c r="J1461" s="7">
        <f t="shared" si="221"/>
        <v>315</v>
      </c>
      <c r="K1461" s="7">
        <f t="shared" si="222"/>
        <v>5985</v>
      </c>
      <c r="L1461" s="4">
        <v>79000</v>
      </c>
      <c r="M1461" s="7">
        <f t="shared" si="223"/>
        <v>84985</v>
      </c>
      <c r="N1461" s="2" t="s">
        <v>58</v>
      </c>
      <c r="O1461" t="s">
        <v>22</v>
      </c>
      <c r="P1461" s="2" t="s">
        <v>2365</v>
      </c>
      <c r="Q1461" s="2">
        <v>3</v>
      </c>
      <c r="R1461" s="2" t="s">
        <v>34</v>
      </c>
      <c r="S1461" s="2" t="str">
        <f t="shared" si="224"/>
        <v>Rendah</v>
      </c>
      <c r="T1461" s="2" t="str">
        <f t="shared" si="225"/>
        <v>FALSE</v>
      </c>
      <c r="U1461" s="2" t="str">
        <f t="shared" si="226"/>
        <v>FALSE</v>
      </c>
      <c r="V1461" s="2" t="b">
        <f t="shared" si="227"/>
        <v>0</v>
      </c>
      <c r="W1461" s="2" t="b">
        <f t="shared" si="228"/>
        <v>0</v>
      </c>
      <c r="X1461" s="2" t="b">
        <f t="shared" si="229"/>
        <v>0</v>
      </c>
    </row>
    <row r="1462" spans="1:24" ht="10.5" customHeight="1">
      <c r="A1462" s="2" t="s">
        <v>1825</v>
      </c>
      <c r="B1462" s="3">
        <v>45940.419756944437</v>
      </c>
      <c r="C1462" s="2" t="s">
        <v>427</v>
      </c>
      <c r="D1462" s="2" t="s">
        <v>365</v>
      </c>
      <c r="E1462" s="2" t="s">
        <v>57</v>
      </c>
      <c r="F1462" s="4">
        <v>17500</v>
      </c>
      <c r="G1462" s="5">
        <v>2.6</v>
      </c>
      <c r="H1462" s="6">
        <v>5</v>
      </c>
      <c r="I1462" s="7">
        <f t="shared" si="220"/>
        <v>45500</v>
      </c>
      <c r="J1462" s="7">
        <f t="shared" si="221"/>
        <v>2275</v>
      </c>
      <c r="K1462" s="7">
        <f t="shared" si="222"/>
        <v>43225</v>
      </c>
      <c r="L1462" s="4">
        <v>21000</v>
      </c>
      <c r="M1462" s="7">
        <f t="shared" si="223"/>
        <v>64225</v>
      </c>
      <c r="N1462" s="2" t="s">
        <v>58</v>
      </c>
      <c r="O1462" t="s">
        <v>22</v>
      </c>
      <c r="P1462" s="2" t="s">
        <v>2368</v>
      </c>
      <c r="Q1462" s="2">
        <v>5</v>
      </c>
      <c r="R1462" s="2" t="s">
        <v>23</v>
      </c>
      <c r="S1462" s="2" t="str">
        <f t="shared" si="224"/>
        <v>Rendah</v>
      </c>
      <c r="T1462" s="2" t="str">
        <f t="shared" si="225"/>
        <v>FALSE</v>
      </c>
      <c r="U1462" s="2" t="str">
        <f t="shared" si="226"/>
        <v>FALSE</v>
      </c>
      <c r="V1462" s="2" t="b">
        <f t="shared" si="227"/>
        <v>0</v>
      </c>
      <c r="W1462" s="2" t="b">
        <f t="shared" si="228"/>
        <v>0</v>
      </c>
      <c r="X1462" s="2" t="b">
        <f t="shared" si="229"/>
        <v>0</v>
      </c>
    </row>
    <row r="1463" spans="1:24" ht="10.5" customHeight="1">
      <c r="A1463" s="2" t="s">
        <v>1826</v>
      </c>
      <c r="B1463" s="3">
        <v>45940.459849537037</v>
      </c>
      <c r="C1463" s="2" t="s">
        <v>1301</v>
      </c>
      <c r="D1463" s="2" t="s">
        <v>44</v>
      </c>
      <c r="E1463" s="2" t="s">
        <v>35</v>
      </c>
      <c r="F1463" s="4">
        <v>13500</v>
      </c>
      <c r="G1463" s="5">
        <v>1.2</v>
      </c>
      <c r="H1463" s="6">
        <v>5</v>
      </c>
      <c r="I1463" s="7">
        <f t="shared" si="220"/>
        <v>16200</v>
      </c>
      <c r="J1463" s="7">
        <f t="shared" si="221"/>
        <v>810</v>
      </c>
      <c r="K1463" s="7">
        <f t="shared" si="222"/>
        <v>15390</v>
      </c>
      <c r="L1463" s="4">
        <v>43000</v>
      </c>
      <c r="M1463" s="7">
        <f t="shared" si="223"/>
        <v>58390</v>
      </c>
      <c r="N1463" s="2" t="s">
        <v>33</v>
      </c>
      <c r="O1463" t="s">
        <v>22</v>
      </c>
      <c r="P1463" s="2" t="s">
        <v>2368</v>
      </c>
      <c r="Q1463" s="2">
        <v>4</v>
      </c>
      <c r="R1463" s="2" t="s">
        <v>23</v>
      </c>
      <c r="S1463" s="2" t="str">
        <f t="shared" si="224"/>
        <v>Rendah</v>
      </c>
      <c r="T1463" s="2" t="str">
        <f t="shared" si="225"/>
        <v>FALSE</v>
      </c>
      <c r="U1463" s="2" t="str">
        <f t="shared" si="226"/>
        <v>FALSE</v>
      </c>
      <c r="V1463" s="2" t="b">
        <f t="shared" si="227"/>
        <v>0</v>
      </c>
      <c r="W1463" s="2" t="b">
        <f t="shared" si="228"/>
        <v>0</v>
      </c>
      <c r="X1463" s="2" t="b">
        <f t="shared" si="229"/>
        <v>0</v>
      </c>
    </row>
    <row r="1464" spans="1:24" ht="10.5" customHeight="1">
      <c r="A1464" s="2" t="s">
        <v>1827</v>
      </c>
      <c r="B1464" s="3">
        <v>45940.552997685183</v>
      </c>
      <c r="C1464" s="2" t="s">
        <v>841</v>
      </c>
      <c r="D1464" s="2" t="s">
        <v>61</v>
      </c>
      <c r="E1464" s="2" t="s">
        <v>45</v>
      </c>
      <c r="F1464" s="4">
        <v>10500</v>
      </c>
      <c r="G1464" s="5">
        <v>1.5</v>
      </c>
      <c r="H1464" s="6">
        <v>5</v>
      </c>
      <c r="I1464" s="7">
        <f t="shared" si="220"/>
        <v>15750</v>
      </c>
      <c r="J1464" s="7">
        <f t="shared" si="221"/>
        <v>787.5</v>
      </c>
      <c r="K1464" s="7">
        <f t="shared" si="222"/>
        <v>14962.5</v>
      </c>
      <c r="L1464" s="4">
        <v>59000</v>
      </c>
      <c r="M1464" s="7">
        <f t="shared" si="223"/>
        <v>73962.5</v>
      </c>
      <c r="N1464" s="2" t="s">
        <v>58</v>
      </c>
      <c r="O1464" t="s">
        <v>115</v>
      </c>
      <c r="P1464" s="2" t="s">
        <v>2370</v>
      </c>
      <c r="Q1464" s="2">
        <v>4</v>
      </c>
      <c r="R1464" s="2" t="s">
        <v>34</v>
      </c>
      <c r="S1464" s="2" t="str">
        <f t="shared" si="224"/>
        <v>Rendah</v>
      </c>
      <c r="T1464" s="2" t="str">
        <f t="shared" si="225"/>
        <v>FALSE</v>
      </c>
      <c r="U1464" s="2" t="str">
        <f t="shared" si="226"/>
        <v>FALSE</v>
      </c>
      <c r="V1464" s="2" t="b">
        <f t="shared" si="227"/>
        <v>0</v>
      </c>
      <c r="W1464" s="2" t="b">
        <f t="shared" si="228"/>
        <v>0</v>
      </c>
      <c r="X1464" s="2" t="b">
        <f t="shared" si="229"/>
        <v>0</v>
      </c>
    </row>
    <row r="1465" spans="1:24" ht="10.5" customHeight="1">
      <c r="A1465" s="2" t="s">
        <v>1828</v>
      </c>
      <c r="B1465" s="3">
        <v>45940.589305555557</v>
      </c>
      <c r="C1465" s="2" t="s">
        <v>478</v>
      </c>
      <c r="D1465" s="2" t="s">
        <v>44</v>
      </c>
      <c r="E1465" s="2" t="s">
        <v>41</v>
      </c>
      <c r="F1465" s="4">
        <v>40000</v>
      </c>
      <c r="G1465" s="5">
        <v>1.2</v>
      </c>
      <c r="H1465" s="6">
        <v>5</v>
      </c>
      <c r="I1465" s="7">
        <f t="shared" si="220"/>
        <v>48000</v>
      </c>
      <c r="J1465" s="7">
        <f t="shared" si="221"/>
        <v>2400</v>
      </c>
      <c r="K1465" s="7">
        <f t="shared" si="222"/>
        <v>45600</v>
      </c>
      <c r="L1465" s="4">
        <v>43000</v>
      </c>
      <c r="M1465" s="7">
        <f t="shared" si="223"/>
        <v>88600</v>
      </c>
      <c r="N1465" s="2" t="s">
        <v>33</v>
      </c>
      <c r="O1465" t="s">
        <v>69</v>
      </c>
      <c r="P1465" s="2" t="s">
        <v>2370</v>
      </c>
      <c r="Q1465" s="2">
        <v>4</v>
      </c>
      <c r="R1465" s="2" t="s">
        <v>23</v>
      </c>
      <c r="S1465" s="2" t="str">
        <f t="shared" si="224"/>
        <v>Rendah</v>
      </c>
      <c r="T1465" s="2" t="str">
        <f t="shared" si="225"/>
        <v>FALSE</v>
      </c>
      <c r="U1465" s="2" t="str">
        <f t="shared" si="226"/>
        <v>FALSE</v>
      </c>
      <c r="V1465" s="2" t="b">
        <f t="shared" si="227"/>
        <v>0</v>
      </c>
      <c r="W1465" s="2" t="b">
        <f t="shared" si="228"/>
        <v>0</v>
      </c>
      <c r="X1465" s="2" t="b">
        <f t="shared" si="229"/>
        <v>0</v>
      </c>
    </row>
    <row r="1466" spans="1:24" ht="10.5" customHeight="1">
      <c r="A1466" s="2" t="s">
        <v>1829</v>
      </c>
      <c r="B1466" s="3">
        <v>45940.785104166673</v>
      </c>
      <c r="C1466" s="2" t="s">
        <v>634</v>
      </c>
      <c r="D1466" s="2" t="s">
        <v>235</v>
      </c>
      <c r="E1466" s="2" t="s">
        <v>143</v>
      </c>
      <c r="F1466" s="4">
        <v>10000</v>
      </c>
      <c r="G1466" s="5">
        <v>1.1000000000000001</v>
      </c>
      <c r="H1466" s="6">
        <v>5</v>
      </c>
      <c r="I1466" s="7">
        <f t="shared" si="220"/>
        <v>11000</v>
      </c>
      <c r="J1466" s="7">
        <f t="shared" si="221"/>
        <v>550</v>
      </c>
      <c r="K1466" s="7">
        <f t="shared" si="222"/>
        <v>10450</v>
      </c>
      <c r="L1466" s="4">
        <v>80000</v>
      </c>
      <c r="M1466" s="7">
        <f t="shared" si="223"/>
        <v>90450</v>
      </c>
      <c r="N1466" s="2" t="s">
        <v>58</v>
      </c>
      <c r="O1466" t="s">
        <v>22</v>
      </c>
      <c r="P1466" s="2" t="s">
        <v>2365</v>
      </c>
      <c r="Q1466" s="2">
        <v>1</v>
      </c>
      <c r="R1466" s="2" t="s">
        <v>23</v>
      </c>
      <c r="S1466" s="2" t="str">
        <f t="shared" si="224"/>
        <v>Rendah</v>
      </c>
      <c r="T1466" s="2" t="str">
        <f t="shared" si="225"/>
        <v>FALSE</v>
      </c>
      <c r="U1466" s="2" t="str">
        <f t="shared" si="226"/>
        <v>TRUE</v>
      </c>
      <c r="V1466" s="2" t="b">
        <f t="shared" si="227"/>
        <v>0</v>
      </c>
      <c r="W1466" s="2" t="b">
        <f t="shared" si="228"/>
        <v>0</v>
      </c>
      <c r="X1466" s="2" t="b">
        <f t="shared" si="229"/>
        <v>0</v>
      </c>
    </row>
    <row r="1467" spans="1:24" ht="10.5" customHeight="1">
      <c r="A1467" s="2" t="s">
        <v>1830</v>
      </c>
      <c r="B1467" s="3">
        <v>45941.095648148148</v>
      </c>
      <c r="C1467" s="2" t="s">
        <v>113</v>
      </c>
      <c r="D1467" s="2" t="s">
        <v>114</v>
      </c>
      <c r="E1467" s="2" t="s">
        <v>65</v>
      </c>
      <c r="F1467" s="4">
        <v>46000</v>
      </c>
      <c r="G1467" s="5">
        <v>0.7</v>
      </c>
      <c r="H1467" s="6">
        <v>0</v>
      </c>
      <c r="I1467" s="7">
        <f t="shared" si="220"/>
        <v>32199.999999999996</v>
      </c>
      <c r="J1467" s="7">
        <f t="shared" si="221"/>
        <v>0</v>
      </c>
      <c r="K1467" s="7">
        <f t="shared" si="222"/>
        <v>32199.999999999996</v>
      </c>
      <c r="L1467" s="4">
        <v>78000</v>
      </c>
      <c r="M1467" s="7">
        <f t="shared" si="223"/>
        <v>110200</v>
      </c>
      <c r="N1467" s="2" t="s">
        <v>28</v>
      </c>
      <c r="O1467" t="s">
        <v>22</v>
      </c>
      <c r="P1467" s="2" t="s">
        <v>2367</v>
      </c>
      <c r="Q1467" s="2">
        <v>1</v>
      </c>
      <c r="R1467" s="2" t="s">
        <v>23</v>
      </c>
      <c r="S1467" s="2" t="str">
        <f t="shared" si="224"/>
        <v>Standar</v>
      </c>
      <c r="T1467" s="2" t="str">
        <f t="shared" si="225"/>
        <v>FALSE</v>
      </c>
      <c r="U1467" s="2" t="str">
        <f t="shared" si="226"/>
        <v>FALSE</v>
      </c>
      <c r="V1467" s="2" t="b">
        <f t="shared" si="227"/>
        <v>0</v>
      </c>
      <c r="W1467" s="2" t="b">
        <f t="shared" si="228"/>
        <v>1</v>
      </c>
      <c r="X1467" s="2" t="b">
        <f t="shared" si="229"/>
        <v>0</v>
      </c>
    </row>
    <row r="1468" spans="1:24" ht="10.5" customHeight="1">
      <c r="A1468" s="2" t="s">
        <v>1831</v>
      </c>
      <c r="B1468" s="3">
        <v>45941.653101851851</v>
      </c>
      <c r="C1468" s="2" t="s">
        <v>211</v>
      </c>
      <c r="D1468" s="2" t="s">
        <v>48</v>
      </c>
      <c r="E1468" s="2" t="s">
        <v>57</v>
      </c>
      <c r="F1468" s="4">
        <v>17500</v>
      </c>
      <c r="G1468" s="5">
        <v>2.2000000000000002</v>
      </c>
      <c r="H1468" s="6">
        <v>0</v>
      </c>
      <c r="I1468" s="7">
        <f t="shared" si="220"/>
        <v>38500</v>
      </c>
      <c r="J1468" s="7">
        <f t="shared" si="221"/>
        <v>0</v>
      </c>
      <c r="K1468" s="7">
        <f t="shared" si="222"/>
        <v>38500</v>
      </c>
      <c r="L1468" s="4">
        <v>18000</v>
      </c>
      <c r="M1468" s="7">
        <f t="shared" si="223"/>
        <v>56500</v>
      </c>
      <c r="N1468" s="2" t="s">
        <v>21</v>
      </c>
      <c r="O1468" t="s">
        <v>22</v>
      </c>
      <c r="P1468" s="2" t="s">
        <v>2365</v>
      </c>
      <c r="Q1468" s="2">
        <v>1</v>
      </c>
      <c r="R1468" s="2" t="s">
        <v>23</v>
      </c>
      <c r="S1468" s="2" t="str">
        <f t="shared" si="224"/>
        <v>Rendah</v>
      </c>
      <c r="T1468" s="2" t="str">
        <f t="shared" si="225"/>
        <v>FALSE</v>
      </c>
      <c r="U1468" s="2" t="str">
        <f t="shared" si="226"/>
        <v>FALSE</v>
      </c>
      <c r="V1468" s="2" t="b">
        <f t="shared" si="227"/>
        <v>0</v>
      </c>
      <c r="W1468" s="2" t="b">
        <f t="shared" si="228"/>
        <v>0</v>
      </c>
      <c r="X1468" s="2" t="b">
        <f t="shared" si="229"/>
        <v>0</v>
      </c>
    </row>
    <row r="1469" spans="1:24" ht="10.5" customHeight="1">
      <c r="A1469" s="2" t="s">
        <v>1832</v>
      </c>
      <c r="B1469" s="3">
        <v>45942.656307870369</v>
      </c>
      <c r="C1469" s="2" t="s">
        <v>406</v>
      </c>
      <c r="D1469" s="2" t="s">
        <v>123</v>
      </c>
      <c r="E1469" s="2" t="s">
        <v>99</v>
      </c>
      <c r="F1469" s="4">
        <v>10000</v>
      </c>
      <c r="G1469" s="5">
        <v>1.2</v>
      </c>
      <c r="H1469" s="6">
        <v>0</v>
      </c>
      <c r="I1469" s="7">
        <f t="shared" si="220"/>
        <v>12000</v>
      </c>
      <c r="J1469" s="7">
        <f t="shared" si="221"/>
        <v>0</v>
      </c>
      <c r="K1469" s="7">
        <f t="shared" si="222"/>
        <v>12000</v>
      </c>
      <c r="L1469" s="4">
        <v>59000</v>
      </c>
      <c r="M1469" s="7">
        <f t="shared" si="223"/>
        <v>71000</v>
      </c>
      <c r="N1469" s="2" t="s">
        <v>58</v>
      </c>
      <c r="O1469" t="s">
        <v>22</v>
      </c>
      <c r="P1469" s="2" t="s">
        <v>2367</v>
      </c>
      <c r="Q1469" s="2">
        <v>5</v>
      </c>
      <c r="R1469" s="2" t="s">
        <v>23</v>
      </c>
      <c r="S1469" s="2" t="str">
        <f t="shared" si="224"/>
        <v>Rendah</v>
      </c>
      <c r="T1469" s="2" t="str">
        <f t="shared" si="225"/>
        <v>FALSE</v>
      </c>
      <c r="U1469" s="2" t="str">
        <f t="shared" si="226"/>
        <v>FALSE</v>
      </c>
      <c r="V1469" s="2" t="b">
        <f t="shared" si="227"/>
        <v>0</v>
      </c>
      <c r="W1469" s="2" t="b">
        <f t="shared" si="228"/>
        <v>1</v>
      </c>
      <c r="X1469" s="2" t="b">
        <f t="shared" si="229"/>
        <v>0</v>
      </c>
    </row>
    <row r="1470" spans="1:24" ht="10.5" customHeight="1">
      <c r="A1470" s="2" t="s">
        <v>1833</v>
      </c>
      <c r="B1470" s="3">
        <v>45942.785439814812</v>
      </c>
      <c r="C1470" s="2" t="s">
        <v>402</v>
      </c>
      <c r="D1470" s="2" t="s">
        <v>64</v>
      </c>
      <c r="E1470" s="2" t="s">
        <v>95</v>
      </c>
      <c r="F1470" s="4">
        <v>9500</v>
      </c>
      <c r="G1470" s="5">
        <v>1.1000000000000001</v>
      </c>
      <c r="H1470" s="6">
        <v>0</v>
      </c>
      <c r="I1470" s="7">
        <f t="shared" si="220"/>
        <v>10450</v>
      </c>
      <c r="J1470" s="7">
        <f t="shared" si="221"/>
        <v>0</v>
      </c>
      <c r="K1470" s="7">
        <f t="shared" si="222"/>
        <v>10450</v>
      </c>
      <c r="L1470" s="4">
        <v>89000</v>
      </c>
      <c r="M1470" s="7">
        <f t="shared" si="223"/>
        <v>99450</v>
      </c>
      <c r="N1470" s="2" t="s">
        <v>33</v>
      </c>
      <c r="O1470" t="s">
        <v>22</v>
      </c>
      <c r="P1470" s="2" t="s">
        <v>2366</v>
      </c>
      <c r="Q1470" s="2">
        <v>3</v>
      </c>
      <c r="R1470" s="2" t="s">
        <v>23</v>
      </c>
      <c r="S1470" s="2" t="str">
        <f t="shared" si="224"/>
        <v>Rendah</v>
      </c>
      <c r="T1470" s="2" t="str">
        <f t="shared" si="225"/>
        <v>FALSE</v>
      </c>
      <c r="U1470" s="2" t="str">
        <f t="shared" si="226"/>
        <v>FALSE</v>
      </c>
      <c r="V1470" s="2" t="b">
        <f t="shared" si="227"/>
        <v>0</v>
      </c>
      <c r="W1470" s="2" t="b">
        <f t="shared" si="228"/>
        <v>0</v>
      </c>
      <c r="X1470" s="2" t="b">
        <f t="shared" si="229"/>
        <v>0</v>
      </c>
    </row>
    <row r="1471" spans="1:24" ht="10.5" customHeight="1">
      <c r="A1471" s="2" t="s">
        <v>1834</v>
      </c>
      <c r="B1471" s="3">
        <v>45942.817048611112</v>
      </c>
      <c r="C1471" s="2" t="s">
        <v>1311</v>
      </c>
      <c r="D1471" s="2" t="s">
        <v>105</v>
      </c>
      <c r="E1471" s="2" t="s">
        <v>170</v>
      </c>
      <c r="F1471" s="4">
        <v>12000</v>
      </c>
      <c r="G1471" s="5">
        <v>0.5</v>
      </c>
      <c r="H1471" s="6">
        <v>0</v>
      </c>
      <c r="I1471" s="7">
        <f t="shared" si="220"/>
        <v>6000</v>
      </c>
      <c r="J1471" s="7">
        <f t="shared" si="221"/>
        <v>0</v>
      </c>
      <c r="K1471" s="7">
        <f t="shared" si="222"/>
        <v>6000</v>
      </c>
      <c r="L1471" s="4">
        <v>18000</v>
      </c>
      <c r="M1471" s="7">
        <f t="shared" si="223"/>
        <v>24000</v>
      </c>
      <c r="N1471" s="2" t="s">
        <v>28</v>
      </c>
      <c r="O1471" t="s">
        <v>22</v>
      </c>
      <c r="P1471" s="2" t="s">
        <v>2370</v>
      </c>
      <c r="Q1471" s="2">
        <v>5</v>
      </c>
      <c r="R1471" s="2" t="s">
        <v>23</v>
      </c>
      <c r="S1471" s="2" t="str">
        <f t="shared" si="224"/>
        <v>Sangat Rendah</v>
      </c>
      <c r="T1471" s="2" t="str">
        <f t="shared" si="225"/>
        <v>FALSE</v>
      </c>
      <c r="U1471" s="2" t="str">
        <f t="shared" si="226"/>
        <v>FALSE</v>
      </c>
      <c r="V1471" s="2" t="b">
        <f t="shared" si="227"/>
        <v>0</v>
      </c>
      <c r="W1471" s="2" t="b">
        <f t="shared" si="228"/>
        <v>0</v>
      </c>
      <c r="X1471" s="2" t="b">
        <f t="shared" si="229"/>
        <v>1</v>
      </c>
    </row>
    <row r="1472" spans="1:24" ht="10.5" customHeight="1">
      <c r="A1472" s="2" t="s">
        <v>1835</v>
      </c>
      <c r="B1472" s="3">
        <v>45943.485173611109</v>
      </c>
      <c r="C1472" s="2" t="s">
        <v>400</v>
      </c>
      <c r="D1472" s="2" t="s">
        <v>140</v>
      </c>
      <c r="E1472" s="2" t="s">
        <v>80</v>
      </c>
      <c r="F1472" s="4">
        <v>15000</v>
      </c>
      <c r="G1472" s="5">
        <v>1.1000000000000001</v>
      </c>
      <c r="H1472" s="6">
        <v>0</v>
      </c>
      <c r="I1472" s="7">
        <f t="shared" si="220"/>
        <v>16500</v>
      </c>
      <c r="J1472" s="7">
        <f t="shared" si="221"/>
        <v>0</v>
      </c>
      <c r="K1472" s="7">
        <f t="shared" si="222"/>
        <v>16500</v>
      </c>
      <c r="L1472" s="4">
        <v>55000</v>
      </c>
      <c r="M1472" s="7">
        <f t="shared" si="223"/>
        <v>71500</v>
      </c>
      <c r="N1472" s="2" t="s">
        <v>33</v>
      </c>
      <c r="O1472" t="s">
        <v>22</v>
      </c>
      <c r="P1472" s="2" t="s">
        <v>2367</v>
      </c>
      <c r="Q1472" s="2">
        <v>1</v>
      </c>
      <c r="R1472" s="2" t="s">
        <v>23</v>
      </c>
      <c r="S1472" s="2" t="str">
        <f t="shared" si="224"/>
        <v>Rendah</v>
      </c>
      <c r="T1472" s="2" t="str">
        <f t="shared" si="225"/>
        <v>FALSE</v>
      </c>
      <c r="U1472" s="2" t="str">
        <f t="shared" si="226"/>
        <v>FALSE</v>
      </c>
      <c r="V1472" s="2" t="b">
        <f t="shared" si="227"/>
        <v>0</v>
      </c>
      <c r="W1472" s="2" t="b">
        <f t="shared" si="228"/>
        <v>1</v>
      </c>
      <c r="X1472" s="2" t="b">
        <f t="shared" si="229"/>
        <v>0</v>
      </c>
    </row>
    <row r="1473" spans="1:24" ht="10.5" customHeight="1">
      <c r="A1473" s="2" t="s">
        <v>1836</v>
      </c>
      <c r="B1473" s="3">
        <v>45945.05332175926</v>
      </c>
      <c r="C1473" s="2" t="s">
        <v>242</v>
      </c>
      <c r="D1473" s="2" t="s">
        <v>123</v>
      </c>
      <c r="E1473" s="2" t="s">
        <v>27</v>
      </c>
      <c r="F1473" s="4">
        <v>15000</v>
      </c>
      <c r="G1473" s="5">
        <v>0.5</v>
      </c>
      <c r="H1473" s="6">
        <v>0</v>
      </c>
      <c r="I1473" s="7">
        <f t="shared" si="220"/>
        <v>7500</v>
      </c>
      <c r="J1473" s="7">
        <f t="shared" si="221"/>
        <v>0</v>
      </c>
      <c r="K1473" s="7">
        <f t="shared" si="222"/>
        <v>7500</v>
      </c>
      <c r="L1473" s="4">
        <v>59000</v>
      </c>
      <c r="M1473" s="7">
        <f t="shared" si="223"/>
        <v>66500</v>
      </c>
      <c r="N1473" s="2" t="s">
        <v>58</v>
      </c>
      <c r="O1473" t="s">
        <v>69</v>
      </c>
      <c r="P1473" s="2" t="s">
        <v>2367</v>
      </c>
      <c r="Q1473" s="2">
        <v>4</v>
      </c>
      <c r="R1473" s="2" t="s">
        <v>23</v>
      </c>
      <c r="S1473" s="2" t="str">
        <f t="shared" si="224"/>
        <v>Rendah</v>
      </c>
      <c r="T1473" s="2" t="str">
        <f t="shared" si="225"/>
        <v>FALSE</v>
      </c>
      <c r="U1473" s="2" t="str">
        <f t="shared" si="226"/>
        <v>FALSE</v>
      </c>
      <c r="V1473" s="2" t="b">
        <f t="shared" si="227"/>
        <v>0</v>
      </c>
      <c r="W1473" s="2" t="b">
        <f t="shared" si="228"/>
        <v>1</v>
      </c>
      <c r="X1473" s="2" t="b">
        <f t="shared" si="229"/>
        <v>0</v>
      </c>
    </row>
    <row r="1474" spans="1:24" ht="10.5" customHeight="1">
      <c r="A1474" s="2" t="s">
        <v>1837</v>
      </c>
      <c r="B1474" s="3">
        <v>45945.680902777778</v>
      </c>
      <c r="C1474" s="2" t="s">
        <v>79</v>
      </c>
      <c r="D1474" s="2" t="s">
        <v>74</v>
      </c>
      <c r="E1474" s="2" t="s">
        <v>49</v>
      </c>
      <c r="F1474" s="4">
        <v>26000</v>
      </c>
      <c r="G1474" s="5">
        <v>0.2</v>
      </c>
      <c r="H1474" s="6">
        <v>0</v>
      </c>
      <c r="I1474" s="7">
        <f t="shared" si="220"/>
        <v>5200</v>
      </c>
      <c r="J1474" s="7">
        <f t="shared" si="221"/>
        <v>0</v>
      </c>
      <c r="K1474" s="7">
        <f t="shared" si="222"/>
        <v>5200</v>
      </c>
      <c r="L1474" s="4">
        <v>74000</v>
      </c>
      <c r="M1474" s="7">
        <f t="shared" si="223"/>
        <v>79200</v>
      </c>
      <c r="N1474" s="2" t="s">
        <v>28</v>
      </c>
      <c r="O1474" t="s">
        <v>69</v>
      </c>
      <c r="P1474" s="2" t="s">
        <v>2370</v>
      </c>
      <c r="Q1474" s="2">
        <v>2</v>
      </c>
      <c r="R1474" s="2" t="s">
        <v>23</v>
      </c>
      <c r="S1474" s="2" t="str">
        <f t="shared" si="224"/>
        <v>Rendah</v>
      </c>
      <c r="T1474" s="2" t="str">
        <f t="shared" si="225"/>
        <v>FALSE</v>
      </c>
      <c r="U1474" s="2" t="str">
        <f t="shared" si="226"/>
        <v>FALSE</v>
      </c>
      <c r="V1474" s="2" t="b">
        <f t="shared" si="227"/>
        <v>0</v>
      </c>
      <c r="W1474" s="2" t="b">
        <f t="shared" si="228"/>
        <v>0</v>
      </c>
      <c r="X1474" s="2" t="b">
        <f t="shared" si="229"/>
        <v>0</v>
      </c>
    </row>
    <row r="1475" spans="1:24" ht="10.5" customHeight="1">
      <c r="A1475" s="2" t="s">
        <v>1838</v>
      </c>
      <c r="B1475" s="3">
        <v>45946.295185185183</v>
      </c>
      <c r="C1475" s="2" t="s">
        <v>1839</v>
      </c>
      <c r="D1475" s="2" t="s">
        <v>229</v>
      </c>
      <c r="E1475" s="2" t="s">
        <v>49</v>
      </c>
      <c r="F1475" s="4">
        <v>26000</v>
      </c>
      <c r="G1475" s="5">
        <v>1.8</v>
      </c>
      <c r="H1475" s="6">
        <v>0</v>
      </c>
      <c r="I1475" s="7">
        <f t="shared" si="220"/>
        <v>46800</v>
      </c>
      <c r="J1475" s="7">
        <f t="shared" si="221"/>
        <v>0</v>
      </c>
      <c r="K1475" s="7">
        <f t="shared" si="222"/>
        <v>46800</v>
      </c>
      <c r="L1475" s="4">
        <v>28000</v>
      </c>
      <c r="M1475" s="7">
        <f t="shared" si="223"/>
        <v>74800</v>
      </c>
      <c r="N1475" s="2" t="s">
        <v>58</v>
      </c>
      <c r="O1475" t="s">
        <v>22</v>
      </c>
      <c r="P1475" s="2" t="s">
        <v>2366</v>
      </c>
      <c r="Q1475" s="2">
        <v>5</v>
      </c>
      <c r="R1475" s="2" t="s">
        <v>23</v>
      </c>
      <c r="S1475" s="2" t="str">
        <f t="shared" si="224"/>
        <v>Rendah</v>
      </c>
      <c r="T1475" s="2" t="str">
        <f t="shared" si="225"/>
        <v>FALSE</v>
      </c>
      <c r="U1475" s="2" t="str">
        <f t="shared" si="226"/>
        <v>FALSE</v>
      </c>
      <c r="V1475" s="2" t="b">
        <f t="shared" si="227"/>
        <v>0</v>
      </c>
      <c r="W1475" s="2" t="b">
        <f t="shared" si="228"/>
        <v>0</v>
      </c>
      <c r="X1475" s="2" t="b">
        <f t="shared" si="229"/>
        <v>0</v>
      </c>
    </row>
    <row r="1476" spans="1:24" ht="10.5" customHeight="1">
      <c r="A1476" s="2" t="s">
        <v>1840</v>
      </c>
      <c r="B1476" s="3">
        <v>45946.743530092594</v>
      </c>
      <c r="C1476" s="2" t="s">
        <v>421</v>
      </c>
      <c r="D1476" s="2" t="s">
        <v>31</v>
      </c>
      <c r="E1476" s="2" t="s">
        <v>41</v>
      </c>
      <c r="F1476" s="4">
        <v>40000</v>
      </c>
      <c r="G1476" s="5">
        <v>1.1000000000000001</v>
      </c>
      <c r="H1476" s="6">
        <v>0</v>
      </c>
      <c r="I1476" s="7">
        <f t="shared" ref="I1476:I1539" si="230">F1476*G1476</f>
        <v>44000</v>
      </c>
      <c r="J1476" s="7">
        <f t="shared" ref="J1476:J1539" si="231">I1476*(H1476/100)</f>
        <v>0</v>
      </c>
      <c r="K1476" s="7">
        <f t="shared" ref="K1476:K1539" si="232">I1476-J1476</f>
        <v>44000</v>
      </c>
      <c r="L1476" s="4">
        <v>76000</v>
      </c>
      <c r="M1476" s="7">
        <f t="shared" ref="M1476:M1539" si="233">K1476+L1476</f>
        <v>120000</v>
      </c>
      <c r="N1476" s="2" t="s">
        <v>21</v>
      </c>
      <c r="O1476" t="s">
        <v>22</v>
      </c>
      <c r="P1476" s="2" t="s">
        <v>2368</v>
      </c>
      <c r="Q1476" s="2">
        <v>5</v>
      </c>
      <c r="R1476" s="2" t="s">
        <v>23</v>
      </c>
      <c r="S1476" s="2" t="str">
        <f t="shared" ref="S1476:S1539" si="234">IF(M1476&lt;=50000,"Sangat Rendah",IF(M1476&lt;=100000,"Rendah",IF(M1476&lt;=150000,"Standar",IF(M1476&lt;=200000,"Tinggi","Sangat Tinggi"))))</f>
        <v>Standar</v>
      </c>
      <c r="T1476" s="2" t="str">
        <f t="shared" ref="T1476:T1539" si="235">IF(AND(S1476="Rendah",D1476="Yogyakarta"),"TRUE","FALSE")</f>
        <v>FALSE</v>
      </c>
      <c r="U1476" s="2" t="str">
        <f t="shared" ref="U1476:U1539" si="236">IF(OR(S1476="Tinggi",E1476="Bayam"),"TRUE","FALSE")</f>
        <v>FALSE</v>
      </c>
      <c r="V1476" s="2" t="b">
        <f t="shared" ref="V1476:V1539" si="237">IF(AND(S1476="Standar",N1476="Transef Bank"),TRUE,FALSE)</f>
        <v>0</v>
      </c>
      <c r="W1476" s="2" t="b">
        <f t="shared" ref="W1476:W1539" si="238">IF(OR(S1476="Sangat Tinggi",P1476="FoodMart"),TRUE,FALSE)</f>
        <v>0</v>
      </c>
      <c r="X1476" s="2" t="b">
        <f t="shared" ref="X1476:X1539" si="239">IF(AND(S1476="Sangat Rendah",R1476="Perempuan"),TRUE,FALSE)</f>
        <v>0</v>
      </c>
    </row>
    <row r="1477" spans="1:24" ht="10.5" customHeight="1">
      <c r="A1477" s="2" t="s">
        <v>1840</v>
      </c>
      <c r="B1477" s="3">
        <v>45946.743530092594</v>
      </c>
      <c r="C1477" s="2" t="s">
        <v>421</v>
      </c>
      <c r="D1477" s="2" t="s">
        <v>31</v>
      </c>
      <c r="E1477" s="2" t="s">
        <v>75</v>
      </c>
      <c r="F1477" s="4">
        <v>45000</v>
      </c>
      <c r="G1477" s="5">
        <v>0.7</v>
      </c>
      <c r="H1477" s="6">
        <v>0</v>
      </c>
      <c r="I1477" s="7">
        <f t="shared" si="230"/>
        <v>31499.999999999996</v>
      </c>
      <c r="J1477" s="7">
        <f t="shared" si="231"/>
        <v>0</v>
      </c>
      <c r="K1477" s="7">
        <f t="shared" si="232"/>
        <v>31499.999999999996</v>
      </c>
      <c r="L1477" s="4">
        <v>0</v>
      </c>
      <c r="M1477" s="7">
        <f t="shared" si="233"/>
        <v>31499.999999999996</v>
      </c>
      <c r="N1477" s="2" t="s">
        <v>21</v>
      </c>
      <c r="O1477" t="s">
        <v>22</v>
      </c>
      <c r="P1477" s="2" t="s">
        <v>2368</v>
      </c>
      <c r="Q1477" s="2">
        <v>5</v>
      </c>
      <c r="R1477" s="2" t="s">
        <v>23</v>
      </c>
      <c r="S1477" s="2" t="str">
        <f t="shared" si="234"/>
        <v>Sangat Rendah</v>
      </c>
      <c r="T1477" s="2" t="str">
        <f t="shared" si="235"/>
        <v>FALSE</v>
      </c>
      <c r="U1477" s="2" t="str">
        <f t="shared" si="236"/>
        <v>FALSE</v>
      </c>
      <c r="V1477" s="2" t="b">
        <f t="shared" si="237"/>
        <v>0</v>
      </c>
      <c r="W1477" s="2" t="b">
        <f t="shared" si="238"/>
        <v>0</v>
      </c>
      <c r="X1477" s="2" t="b">
        <f t="shared" si="239"/>
        <v>1</v>
      </c>
    </row>
    <row r="1478" spans="1:24" ht="10.5" customHeight="1">
      <c r="A1478" s="2" t="s">
        <v>1841</v>
      </c>
      <c r="B1478" s="3">
        <v>45946.761041666658</v>
      </c>
      <c r="C1478" s="2" t="s">
        <v>817</v>
      </c>
      <c r="D1478" s="2" t="s">
        <v>19</v>
      </c>
      <c r="E1478" s="2" t="s">
        <v>80</v>
      </c>
      <c r="F1478" s="4">
        <v>15000</v>
      </c>
      <c r="G1478" s="5">
        <v>0.3</v>
      </c>
      <c r="H1478" s="6">
        <v>0</v>
      </c>
      <c r="I1478" s="7">
        <f t="shared" si="230"/>
        <v>4500</v>
      </c>
      <c r="J1478" s="7">
        <f t="shared" si="231"/>
        <v>0</v>
      </c>
      <c r="K1478" s="7">
        <f t="shared" si="232"/>
        <v>4500</v>
      </c>
      <c r="L1478" s="4">
        <v>15000</v>
      </c>
      <c r="M1478" s="7">
        <f t="shared" si="233"/>
        <v>19500</v>
      </c>
      <c r="N1478" s="2" t="s">
        <v>33</v>
      </c>
      <c r="O1478" t="s">
        <v>22</v>
      </c>
      <c r="P1478" s="2" t="s">
        <v>2367</v>
      </c>
      <c r="Q1478" s="2">
        <v>3</v>
      </c>
      <c r="R1478" s="2" t="s">
        <v>23</v>
      </c>
      <c r="S1478" s="2" t="str">
        <f t="shared" si="234"/>
        <v>Sangat Rendah</v>
      </c>
      <c r="T1478" s="2" t="str">
        <f t="shared" si="235"/>
        <v>FALSE</v>
      </c>
      <c r="U1478" s="2" t="str">
        <f t="shared" si="236"/>
        <v>FALSE</v>
      </c>
      <c r="V1478" s="2" t="b">
        <f t="shared" si="237"/>
        <v>0</v>
      </c>
      <c r="W1478" s="2" t="b">
        <f t="shared" si="238"/>
        <v>1</v>
      </c>
      <c r="X1478" s="2" t="b">
        <f t="shared" si="239"/>
        <v>1</v>
      </c>
    </row>
    <row r="1479" spans="1:24" ht="10.5" customHeight="1">
      <c r="A1479" s="2" t="s">
        <v>1842</v>
      </c>
      <c r="B1479" s="3">
        <v>45946.875219907408</v>
      </c>
      <c r="C1479" s="2" t="s">
        <v>445</v>
      </c>
      <c r="D1479" s="2" t="s">
        <v>31</v>
      </c>
      <c r="E1479" s="2" t="s">
        <v>32</v>
      </c>
      <c r="F1479" s="4">
        <v>20000</v>
      </c>
      <c r="G1479" s="5">
        <v>1.6</v>
      </c>
      <c r="H1479" s="6">
        <v>0</v>
      </c>
      <c r="I1479" s="7">
        <f t="shared" si="230"/>
        <v>32000</v>
      </c>
      <c r="J1479" s="7">
        <f t="shared" si="231"/>
        <v>0</v>
      </c>
      <c r="K1479" s="7">
        <f t="shared" si="232"/>
        <v>32000</v>
      </c>
      <c r="L1479" s="4">
        <v>76000</v>
      </c>
      <c r="M1479" s="7">
        <f t="shared" si="233"/>
        <v>108000</v>
      </c>
      <c r="N1479" s="2" t="s">
        <v>28</v>
      </c>
      <c r="O1479" t="s">
        <v>22</v>
      </c>
      <c r="P1479" s="2" t="s">
        <v>2365</v>
      </c>
      <c r="Q1479" s="2">
        <v>5</v>
      </c>
      <c r="R1479" s="2" t="s">
        <v>23</v>
      </c>
      <c r="S1479" s="2" t="str">
        <f t="shared" si="234"/>
        <v>Standar</v>
      </c>
      <c r="T1479" s="2" t="str">
        <f t="shared" si="235"/>
        <v>FALSE</v>
      </c>
      <c r="U1479" s="2" t="str">
        <f t="shared" si="236"/>
        <v>FALSE</v>
      </c>
      <c r="V1479" s="2" t="b">
        <f t="shared" si="237"/>
        <v>0</v>
      </c>
      <c r="W1479" s="2" t="b">
        <f t="shared" si="238"/>
        <v>0</v>
      </c>
      <c r="X1479" s="2" t="b">
        <f t="shared" si="239"/>
        <v>0</v>
      </c>
    </row>
    <row r="1480" spans="1:24" ht="10.5" customHeight="1">
      <c r="A1480" s="2" t="s">
        <v>1843</v>
      </c>
      <c r="B1480" s="3">
        <v>45947.52071759259</v>
      </c>
      <c r="C1480" s="2" t="s">
        <v>1120</v>
      </c>
      <c r="D1480" s="2" t="s">
        <v>114</v>
      </c>
      <c r="E1480" s="2" t="s">
        <v>45</v>
      </c>
      <c r="F1480" s="4">
        <v>10500</v>
      </c>
      <c r="G1480" s="5">
        <v>0.7</v>
      </c>
      <c r="H1480" s="6">
        <v>0</v>
      </c>
      <c r="I1480" s="7">
        <f t="shared" si="230"/>
        <v>7349.9999999999991</v>
      </c>
      <c r="J1480" s="7">
        <f t="shared" si="231"/>
        <v>0</v>
      </c>
      <c r="K1480" s="7">
        <f t="shared" si="232"/>
        <v>7349.9999999999991</v>
      </c>
      <c r="L1480" s="4">
        <v>78000</v>
      </c>
      <c r="M1480" s="7">
        <f t="shared" si="233"/>
        <v>85350</v>
      </c>
      <c r="N1480" s="2" t="s">
        <v>58</v>
      </c>
      <c r="O1480" t="s">
        <v>22</v>
      </c>
      <c r="P1480" s="2" t="s">
        <v>2370</v>
      </c>
      <c r="Q1480" s="2">
        <v>3</v>
      </c>
      <c r="R1480" s="2" t="s">
        <v>23</v>
      </c>
      <c r="S1480" s="2" t="str">
        <f t="shared" si="234"/>
        <v>Rendah</v>
      </c>
      <c r="T1480" s="2" t="str">
        <f t="shared" si="235"/>
        <v>TRUE</v>
      </c>
      <c r="U1480" s="2" t="str">
        <f t="shared" si="236"/>
        <v>FALSE</v>
      </c>
      <c r="V1480" s="2" t="b">
        <f t="shared" si="237"/>
        <v>0</v>
      </c>
      <c r="W1480" s="2" t="b">
        <f t="shared" si="238"/>
        <v>0</v>
      </c>
      <c r="X1480" s="2" t="b">
        <f t="shared" si="239"/>
        <v>0</v>
      </c>
    </row>
    <row r="1481" spans="1:24" ht="10.5" customHeight="1">
      <c r="A1481" s="2" t="s">
        <v>1844</v>
      </c>
      <c r="B1481" s="3">
        <v>45947.549837962957</v>
      </c>
      <c r="C1481" s="2" t="s">
        <v>367</v>
      </c>
      <c r="D1481" s="2" t="s">
        <v>173</v>
      </c>
      <c r="E1481" s="2" t="s">
        <v>161</v>
      </c>
      <c r="F1481" s="4">
        <v>115000</v>
      </c>
      <c r="G1481" s="5">
        <v>1.2</v>
      </c>
      <c r="H1481" s="6">
        <v>0</v>
      </c>
      <c r="I1481" s="7">
        <f t="shared" si="230"/>
        <v>138000</v>
      </c>
      <c r="J1481" s="7">
        <f t="shared" si="231"/>
        <v>0</v>
      </c>
      <c r="K1481" s="7">
        <f t="shared" si="232"/>
        <v>138000</v>
      </c>
      <c r="L1481" s="4">
        <v>48000</v>
      </c>
      <c r="M1481" s="7">
        <f t="shared" si="233"/>
        <v>186000</v>
      </c>
      <c r="N1481" s="2" t="s">
        <v>58</v>
      </c>
      <c r="O1481" t="s">
        <v>22</v>
      </c>
      <c r="P1481" s="2" t="s">
        <v>2365</v>
      </c>
      <c r="Q1481" s="2">
        <v>4</v>
      </c>
      <c r="R1481" s="2" t="s">
        <v>23</v>
      </c>
      <c r="S1481" s="2" t="str">
        <f t="shared" si="234"/>
        <v>Tinggi</v>
      </c>
      <c r="T1481" s="2" t="str">
        <f t="shared" si="235"/>
        <v>FALSE</v>
      </c>
      <c r="U1481" s="2" t="str">
        <f t="shared" si="236"/>
        <v>TRUE</v>
      </c>
      <c r="V1481" s="2" t="b">
        <f t="shared" si="237"/>
        <v>0</v>
      </c>
      <c r="W1481" s="2" t="b">
        <f t="shared" si="238"/>
        <v>0</v>
      </c>
      <c r="X1481" s="2" t="b">
        <f t="shared" si="239"/>
        <v>0</v>
      </c>
    </row>
    <row r="1482" spans="1:24" ht="10.5" customHeight="1">
      <c r="A1482" s="2" t="s">
        <v>1845</v>
      </c>
      <c r="B1482" s="3">
        <v>45947.806296296287</v>
      </c>
      <c r="C1482" s="2" t="s">
        <v>1028</v>
      </c>
      <c r="D1482" s="2" t="s">
        <v>48</v>
      </c>
      <c r="E1482" s="2" t="s">
        <v>99</v>
      </c>
      <c r="F1482" s="4">
        <v>10000</v>
      </c>
      <c r="G1482" s="5">
        <v>0.4</v>
      </c>
      <c r="H1482" s="6">
        <v>0</v>
      </c>
      <c r="I1482" s="7">
        <f t="shared" si="230"/>
        <v>4000</v>
      </c>
      <c r="J1482" s="7">
        <f t="shared" si="231"/>
        <v>0</v>
      </c>
      <c r="K1482" s="7">
        <f t="shared" si="232"/>
        <v>4000</v>
      </c>
      <c r="L1482" s="4">
        <v>18000</v>
      </c>
      <c r="M1482" s="7">
        <f t="shared" si="233"/>
        <v>22000</v>
      </c>
      <c r="N1482" s="2" t="s">
        <v>33</v>
      </c>
      <c r="O1482" t="s">
        <v>22</v>
      </c>
      <c r="P1482" s="2" t="s">
        <v>2370</v>
      </c>
      <c r="Q1482" s="2">
        <v>3</v>
      </c>
      <c r="R1482" s="2" t="s">
        <v>23</v>
      </c>
      <c r="S1482" s="2" t="str">
        <f t="shared" si="234"/>
        <v>Sangat Rendah</v>
      </c>
      <c r="T1482" s="2" t="str">
        <f t="shared" si="235"/>
        <v>FALSE</v>
      </c>
      <c r="U1482" s="2" t="str">
        <f t="shared" si="236"/>
        <v>FALSE</v>
      </c>
      <c r="V1482" s="2" t="b">
        <f t="shared" si="237"/>
        <v>0</v>
      </c>
      <c r="W1482" s="2" t="b">
        <f t="shared" si="238"/>
        <v>0</v>
      </c>
      <c r="X1482" s="2" t="b">
        <f t="shared" si="239"/>
        <v>1</v>
      </c>
    </row>
    <row r="1483" spans="1:24" ht="10.5" customHeight="1">
      <c r="A1483" s="2" t="s">
        <v>1846</v>
      </c>
      <c r="B1483" s="3">
        <v>45949.613113425927</v>
      </c>
      <c r="C1483" s="2" t="s">
        <v>458</v>
      </c>
      <c r="D1483" s="2" t="s">
        <v>153</v>
      </c>
      <c r="E1483" s="2" t="s">
        <v>65</v>
      </c>
      <c r="F1483" s="4">
        <v>46000</v>
      </c>
      <c r="G1483" s="5">
        <v>0.2</v>
      </c>
      <c r="H1483" s="6">
        <v>0</v>
      </c>
      <c r="I1483" s="7">
        <f t="shared" si="230"/>
        <v>9200</v>
      </c>
      <c r="J1483" s="7">
        <f t="shared" si="231"/>
        <v>0</v>
      </c>
      <c r="K1483" s="7">
        <f t="shared" si="232"/>
        <v>9200</v>
      </c>
      <c r="L1483" s="4">
        <v>50000</v>
      </c>
      <c r="M1483" s="7">
        <f t="shared" si="233"/>
        <v>59200</v>
      </c>
      <c r="N1483" s="2" t="s">
        <v>21</v>
      </c>
      <c r="O1483" t="s">
        <v>22</v>
      </c>
      <c r="P1483" s="2" t="s">
        <v>2366</v>
      </c>
      <c r="Q1483" s="2">
        <v>4</v>
      </c>
      <c r="R1483" s="2" t="s">
        <v>23</v>
      </c>
      <c r="S1483" s="2" t="str">
        <f t="shared" si="234"/>
        <v>Rendah</v>
      </c>
      <c r="T1483" s="2" t="str">
        <f t="shared" si="235"/>
        <v>FALSE</v>
      </c>
      <c r="U1483" s="2" t="str">
        <f t="shared" si="236"/>
        <v>FALSE</v>
      </c>
      <c r="V1483" s="2" t="b">
        <f t="shared" si="237"/>
        <v>0</v>
      </c>
      <c r="W1483" s="2" t="b">
        <f t="shared" si="238"/>
        <v>0</v>
      </c>
      <c r="X1483" s="2" t="b">
        <f t="shared" si="239"/>
        <v>0</v>
      </c>
    </row>
    <row r="1484" spans="1:24" ht="10.5" customHeight="1">
      <c r="A1484" s="2" t="s">
        <v>1847</v>
      </c>
      <c r="B1484" s="3">
        <v>45950.506712962961</v>
      </c>
      <c r="C1484" s="2" t="s">
        <v>120</v>
      </c>
      <c r="D1484" s="2" t="s">
        <v>94</v>
      </c>
      <c r="E1484" s="2" t="s">
        <v>57</v>
      </c>
      <c r="F1484" s="4">
        <v>17500</v>
      </c>
      <c r="G1484" s="5">
        <v>2.9</v>
      </c>
      <c r="H1484" s="6">
        <v>0</v>
      </c>
      <c r="I1484" s="7">
        <f t="shared" si="230"/>
        <v>50750</v>
      </c>
      <c r="J1484" s="7">
        <f t="shared" si="231"/>
        <v>0</v>
      </c>
      <c r="K1484" s="7">
        <f t="shared" si="232"/>
        <v>50750</v>
      </c>
      <c r="L1484" s="4">
        <v>85000</v>
      </c>
      <c r="M1484" s="7">
        <f t="shared" si="233"/>
        <v>135750</v>
      </c>
      <c r="N1484" s="2" t="s">
        <v>28</v>
      </c>
      <c r="O1484" t="s">
        <v>69</v>
      </c>
      <c r="P1484" s="2" t="s">
        <v>2365</v>
      </c>
      <c r="Q1484" s="2">
        <v>5</v>
      </c>
      <c r="R1484" s="2" t="s">
        <v>34</v>
      </c>
      <c r="S1484" s="2" t="str">
        <f t="shared" si="234"/>
        <v>Standar</v>
      </c>
      <c r="T1484" s="2" t="str">
        <f t="shared" si="235"/>
        <v>FALSE</v>
      </c>
      <c r="U1484" s="2" t="str">
        <f t="shared" si="236"/>
        <v>FALSE</v>
      </c>
      <c r="V1484" s="2" t="b">
        <f t="shared" si="237"/>
        <v>0</v>
      </c>
      <c r="W1484" s="2" t="b">
        <f t="shared" si="238"/>
        <v>0</v>
      </c>
      <c r="X1484" s="2" t="b">
        <f t="shared" si="239"/>
        <v>0</v>
      </c>
    </row>
    <row r="1485" spans="1:24" ht="10.5" customHeight="1">
      <c r="A1485" s="2" t="s">
        <v>1848</v>
      </c>
      <c r="B1485" s="3">
        <v>45950.676215277781</v>
      </c>
      <c r="C1485" s="2" t="s">
        <v>621</v>
      </c>
      <c r="D1485" s="2" t="s">
        <v>19</v>
      </c>
      <c r="E1485" s="2" t="s">
        <v>143</v>
      </c>
      <c r="F1485" s="4">
        <v>10000</v>
      </c>
      <c r="G1485" s="5">
        <v>0.4</v>
      </c>
      <c r="H1485" s="6">
        <v>0</v>
      </c>
      <c r="I1485" s="7">
        <f t="shared" si="230"/>
        <v>4000</v>
      </c>
      <c r="J1485" s="7">
        <f t="shared" si="231"/>
        <v>0</v>
      </c>
      <c r="K1485" s="7">
        <f t="shared" si="232"/>
        <v>4000</v>
      </c>
      <c r="L1485" s="4">
        <v>15000</v>
      </c>
      <c r="M1485" s="7">
        <f t="shared" si="233"/>
        <v>19000</v>
      </c>
      <c r="N1485" s="2" t="s">
        <v>21</v>
      </c>
      <c r="O1485" t="s">
        <v>22</v>
      </c>
      <c r="P1485" s="2" t="s">
        <v>2365</v>
      </c>
      <c r="Q1485" s="2">
        <v>2</v>
      </c>
      <c r="R1485" s="2" t="s">
        <v>34</v>
      </c>
      <c r="S1485" s="2" t="str">
        <f t="shared" si="234"/>
        <v>Sangat Rendah</v>
      </c>
      <c r="T1485" s="2" t="str">
        <f t="shared" si="235"/>
        <v>FALSE</v>
      </c>
      <c r="U1485" s="2" t="str">
        <f t="shared" si="236"/>
        <v>TRUE</v>
      </c>
      <c r="V1485" s="2" t="b">
        <f t="shared" si="237"/>
        <v>0</v>
      </c>
      <c r="W1485" s="2" t="b">
        <f t="shared" si="238"/>
        <v>0</v>
      </c>
      <c r="X1485" s="2" t="b">
        <f t="shared" si="239"/>
        <v>0</v>
      </c>
    </row>
    <row r="1486" spans="1:24" ht="10.5" customHeight="1">
      <c r="A1486" s="2" t="s">
        <v>1849</v>
      </c>
      <c r="B1486" s="3">
        <v>45950.723773148151</v>
      </c>
      <c r="C1486" s="2" t="s">
        <v>137</v>
      </c>
      <c r="D1486" s="2" t="s">
        <v>68</v>
      </c>
      <c r="E1486" s="2" t="s">
        <v>80</v>
      </c>
      <c r="F1486" s="4">
        <v>15000</v>
      </c>
      <c r="G1486" s="5">
        <v>1.1000000000000001</v>
      </c>
      <c r="H1486" s="6">
        <v>0</v>
      </c>
      <c r="I1486" s="7">
        <f t="shared" si="230"/>
        <v>16500</v>
      </c>
      <c r="J1486" s="7">
        <f t="shared" si="231"/>
        <v>0</v>
      </c>
      <c r="K1486" s="7">
        <f t="shared" si="232"/>
        <v>16500</v>
      </c>
      <c r="L1486" s="4">
        <v>87000</v>
      </c>
      <c r="M1486" s="7">
        <f t="shared" si="233"/>
        <v>103500</v>
      </c>
      <c r="N1486" s="2" t="s">
        <v>58</v>
      </c>
      <c r="O1486" t="s">
        <v>22</v>
      </c>
      <c r="P1486" s="2" t="s">
        <v>2366</v>
      </c>
      <c r="Q1486" s="2">
        <v>4</v>
      </c>
      <c r="R1486" s="2" t="s">
        <v>23</v>
      </c>
      <c r="S1486" s="2" t="str">
        <f t="shared" si="234"/>
        <v>Standar</v>
      </c>
      <c r="T1486" s="2" t="str">
        <f t="shared" si="235"/>
        <v>FALSE</v>
      </c>
      <c r="U1486" s="2" t="str">
        <f t="shared" si="236"/>
        <v>FALSE</v>
      </c>
      <c r="V1486" s="2" t="b">
        <f t="shared" si="237"/>
        <v>0</v>
      </c>
      <c r="W1486" s="2" t="b">
        <f t="shared" si="238"/>
        <v>0</v>
      </c>
      <c r="X1486" s="2" t="b">
        <f t="shared" si="239"/>
        <v>0</v>
      </c>
    </row>
    <row r="1487" spans="1:24" ht="10.5" customHeight="1">
      <c r="A1487" s="2" t="s">
        <v>1850</v>
      </c>
      <c r="B1487" s="3">
        <v>45951.27207175926</v>
      </c>
      <c r="C1487" s="2" t="s">
        <v>1301</v>
      </c>
      <c r="D1487" s="2" t="s">
        <v>44</v>
      </c>
      <c r="E1487" s="2" t="s">
        <v>65</v>
      </c>
      <c r="F1487" s="4">
        <v>46000</v>
      </c>
      <c r="G1487" s="5">
        <v>0.5</v>
      </c>
      <c r="H1487" s="6">
        <v>0</v>
      </c>
      <c r="I1487" s="7">
        <f t="shared" si="230"/>
        <v>23000</v>
      </c>
      <c r="J1487" s="7">
        <f t="shared" si="231"/>
        <v>0</v>
      </c>
      <c r="K1487" s="7">
        <f t="shared" si="232"/>
        <v>23000</v>
      </c>
      <c r="L1487" s="4">
        <v>43000</v>
      </c>
      <c r="M1487" s="7">
        <f t="shared" si="233"/>
        <v>66000</v>
      </c>
      <c r="N1487" s="2" t="s">
        <v>28</v>
      </c>
      <c r="O1487" t="s">
        <v>22</v>
      </c>
      <c r="P1487" s="2" t="s">
        <v>2365</v>
      </c>
      <c r="Q1487" s="2">
        <v>3</v>
      </c>
      <c r="R1487" s="2" t="s">
        <v>23</v>
      </c>
      <c r="S1487" s="2" t="str">
        <f t="shared" si="234"/>
        <v>Rendah</v>
      </c>
      <c r="T1487" s="2" t="str">
        <f t="shared" si="235"/>
        <v>FALSE</v>
      </c>
      <c r="U1487" s="2" t="str">
        <f t="shared" si="236"/>
        <v>FALSE</v>
      </c>
      <c r="V1487" s="2" t="b">
        <f t="shared" si="237"/>
        <v>0</v>
      </c>
      <c r="W1487" s="2" t="b">
        <f t="shared" si="238"/>
        <v>0</v>
      </c>
      <c r="X1487" s="2" t="b">
        <f t="shared" si="239"/>
        <v>0</v>
      </c>
    </row>
    <row r="1488" spans="1:24" ht="10.5" customHeight="1">
      <c r="A1488" s="2" t="s">
        <v>1851</v>
      </c>
      <c r="B1488" s="3">
        <v>45951.652974537043</v>
      </c>
      <c r="C1488" s="2" t="s">
        <v>419</v>
      </c>
      <c r="D1488" s="2" t="s">
        <v>167</v>
      </c>
      <c r="E1488" s="2" t="s">
        <v>49</v>
      </c>
      <c r="F1488" s="4">
        <v>26000</v>
      </c>
      <c r="G1488" s="5">
        <v>1.4</v>
      </c>
      <c r="H1488" s="6">
        <v>0</v>
      </c>
      <c r="I1488" s="7">
        <f t="shared" si="230"/>
        <v>36400</v>
      </c>
      <c r="J1488" s="7">
        <f t="shared" si="231"/>
        <v>0</v>
      </c>
      <c r="K1488" s="7">
        <f t="shared" si="232"/>
        <v>36400</v>
      </c>
      <c r="L1488" s="4">
        <v>56000</v>
      </c>
      <c r="M1488" s="7">
        <f t="shared" si="233"/>
        <v>92400</v>
      </c>
      <c r="N1488" s="2" t="s">
        <v>21</v>
      </c>
      <c r="O1488" t="s">
        <v>22</v>
      </c>
      <c r="P1488" s="2" t="s">
        <v>2367</v>
      </c>
      <c r="Q1488" s="2">
        <v>3</v>
      </c>
      <c r="R1488" s="2" t="s">
        <v>34</v>
      </c>
      <c r="S1488" s="2" t="str">
        <f t="shared" si="234"/>
        <v>Rendah</v>
      </c>
      <c r="T1488" s="2" t="str">
        <f t="shared" si="235"/>
        <v>FALSE</v>
      </c>
      <c r="U1488" s="2" t="str">
        <f t="shared" si="236"/>
        <v>FALSE</v>
      </c>
      <c r="V1488" s="2" t="b">
        <f t="shared" si="237"/>
        <v>0</v>
      </c>
      <c r="W1488" s="2" t="b">
        <f t="shared" si="238"/>
        <v>1</v>
      </c>
      <c r="X1488" s="2" t="b">
        <f t="shared" si="239"/>
        <v>0</v>
      </c>
    </row>
    <row r="1489" spans="1:24" ht="10.5" customHeight="1">
      <c r="A1489" s="2" t="s">
        <v>1852</v>
      </c>
      <c r="B1489" s="3">
        <v>45952.431458333333</v>
      </c>
      <c r="C1489" s="2" t="s">
        <v>60</v>
      </c>
      <c r="D1489" s="2" t="s">
        <v>61</v>
      </c>
      <c r="E1489" s="2" t="s">
        <v>65</v>
      </c>
      <c r="F1489" s="4">
        <v>46000</v>
      </c>
      <c r="G1489" s="5">
        <v>0.6</v>
      </c>
      <c r="H1489" s="6">
        <v>0</v>
      </c>
      <c r="I1489" s="7">
        <f t="shared" si="230"/>
        <v>27600</v>
      </c>
      <c r="J1489" s="7">
        <f t="shared" si="231"/>
        <v>0</v>
      </c>
      <c r="K1489" s="7">
        <f t="shared" si="232"/>
        <v>27600</v>
      </c>
      <c r="L1489" s="4">
        <v>59000</v>
      </c>
      <c r="M1489" s="7">
        <f t="shared" si="233"/>
        <v>86600</v>
      </c>
      <c r="N1489" s="2" t="s">
        <v>21</v>
      </c>
      <c r="O1489" t="s">
        <v>22</v>
      </c>
      <c r="P1489" s="2" t="s">
        <v>2368</v>
      </c>
      <c r="Q1489" s="2">
        <v>4</v>
      </c>
      <c r="R1489" s="2" t="s">
        <v>34</v>
      </c>
      <c r="S1489" s="2" t="str">
        <f t="shared" si="234"/>
        <v>Rendah</v>
      </c>
      <c r="T1489" s="2" t="str">
        <f t="shared" si="235"/>
        <v>FALSE</v>
      </c>
      <c r="U1489" s="2" t="str">
        <f t="shared" si="236"/>
        <v>FALSE</v>
      </c>
      <c r="V1489" s="2" t="b">
        <f t="shared" si="237"/>
        <v>0</v>
      </c>
      <c r="W1489" s="2" t="b">
        <f t="shared" si="238"/>
        <v>0</v>
      </c>
      <c r="X1489" s="2" t="b">
        <f t="shared" si="239"/>
        <v>0</v>
      </c>
    </row>
    <row r="1490" spans="1:24" ht="10.5" customHeight="1">
      <c r="A1490" s="2" t="s">
        <v>1853</v>
      </c>
      <c r="B1490" s="3">
        <v>45953.543749999997</v>
      </c>
      <c r="C1490" s="2" t="s">
        <v>198</v>
      </c>
      <c r="D1490" s="2" t="s">
        <v>87</v>
      </c>
      <c r="E1490" s="2" t="s">
        <v>190</v>
      </c>
      <c r="F1490" s="4">
        <v>15500</v>
      </c>
      <c r="G1490" s="5">
        <v>0.5</v>
      </c>
      <c r="H1490" s="6">
        <v>0</v>
      </c>
      <c r="I1490" s="7">
        <f t="shared" si="230"/>
        <v>7750</v>
      </c>
      <c r="J1490" s="7">
        <f t="shared" si="231"/>
        <v>0</v>
      </c>
      <c r="K1490" s="7">
        <f t="shared" si="232"/>
        <v>7750</v>
      </c>
      <c r="L1490" s="4">
        <v>49000</v>
      </c>
      <c r="M1490" s="7">
        <f t="shared" si="233"/>
        <v>56750</v>
      </c>
      <c r="N1490" s="2" t="s">
        <v>58</v>
      </c>
      <c r="O1490" t="s">
        <v>22</v>
      </c>
      <c r="P1490" s="2" t="s">
        <v>2367</v>
      </c>
      <c r="Q1490" s="2">
        <v>1</v>
      </c>
      <c r="R1490" s="2" t="s">
        <v>23</v>
      </c>
      <c r="S1490" s="2" t="str">
        <f t="shared" si="234"/>
        <v>Rendah</v>
      </c>
      <c r="T1490" s="2" t="str">
        <f t="shared" si="235"/>
        <v>FALSE</v>
      </c>
      <c r="U1490" s="2" t="str">
        <f t="shared" si="236"/>
        <v>FALSE</v>
      </c>
      <c r="V1490" s="2" t="b">
        <f t="shared" si="237"/>
        <v>0</v>
      </c>
      <c r="W1490" s="2" t="b">
        <f t="shared" si="238"/>
        <v>1</v>
      </c>
      <c r="X1490" s="2" t="b">
        <f t="shared" si="239"/>
        <v>0</v>
      </c>
    </row>
    <row r="1491" spans="1:24" ht="10.5" customHeight="1">
      <c r="A1491" s="2" t="s">
        <v>1854</v>
      </c>
      <c r="B1491" s="3">
        <v>45954.397303240738</v>
      </c>
      <c r="C1491" s="2" t="s">
        <v>1025</v>
      </c>
      <c r="D1491" s="2" t="s">
        <v>61</v>
      </c>
      <c r="E1491" s="2" t="s">
        <v>35</v>
      </c>
      <c r="F1491" s="4">
        <v>13500</v>
      </c>
      <c r="G1491" s="5">
        <v>3.4</v>
      </c>
      <c r="H1491" s="6">
        <v>0</v>
      </c>
      <c r="I1491" s="7">
        <f t="shared" si="230"/>
        <v>45900</v>
      </c>
      <c r="J1491" s="7">
        <f t="shared" si="231"/>
        <v>0</v>
      </c>
      <c r="K1491" s="7">
        <f t="shared" si="232"/>
        <v>45900</v>
      </c>
      <c r="L1491" s="4">
        <v>59000</v>
      </c>
      <c r="M1491" s="7">
        <f t="shared" si="233"/>
        <v>104900</v>
      </c>
      <c r="N1491" s="2" t="s">
        <v>58</v>
      </c>
      <c r="O1491" t="s">
        <v>22</v>
      </c>
      <c r="P1491" s="2" t="s">
        <v>2366</v>
      </c>
      <c r="Q1491" s="2">
        <v>3</v>
      </c>
      <c r="R1491" s="2" t="s">
        <v>23</v>
      </c>
      <c r="S1491" s="2" t="str">
        <f t="shared" si="234"/>
        <v>Standar</v>
      </c>
      <c r="T1491" s="2" t="str">
        <f t="shared" si="235"/>
        <v>FALSE</v>
      </c>
      <c r="U1491" s="2" t="str">
        <f t="shared" si="236"/>
        <v>FALSE</v>
      </c>
      <c r="V1491" s="2" t="b">
        <f t="shared" si="237"/>
        <v>0</v>
      </c>
      <c r="W1491" s="2" t="b">
        <f t="shared" si="238"/>
        <v>0</v>
      </c>
      <c r="X1491" s="2" t="b">
        <f t="shared" si="239"/>
        <v>0</v>
      </c>
    </row>
    <row r="1492" spans="1:24" ht="10.5" customHeight="1">
      <c r="A1492" s="2" t="s">
        <v>1855</v>
      </c>
      <c r="B1492" s="3">
        <v>45954.567407407398</v>
      </c>
      <c r="C1492" s="2" t="s">
        <v>1053</v>
      </c>
      <c r="D1492" s="2" t="s">
        <v>87</v>
      </c>
      <c r="E1492" s="2" t="s">
        <v>35</v>
      </c>
      <c r="F1492" s="4">
        <v>13500</v>
      </c>
      <c r="G1492" s="5">
        <v>1.5</v>
      </c>
      <c r="H1492" s="6">
        <v>0</v>
      </c>
      <c r="I1492" s="7">
        <f t="shared" si="230"/>
        <v>20250</v>
      </c>
      <c r="J1492" s="7">
        <f t="shared" si="231"/>
        <v>0</v>
      </c>
      <c r="K1492" s="7">
        <f t="shared" si="232"/>
        <v>20250</v>
      </c>
      <c r="L1492" s="4">
        <v>49000</v>
      </c>
      <c r="M1492" s="7">
        <f t="shared" si="233"/>
        <v>69250</v>
      </c>
      <c r="N1492" s="2" t="s">
        <v>58</v>
      </c>
      <c r="O1492" t="s">
        <v>22</v>
      </c>
      <c r="P1492" s="2" t="s">
        <v>2366</v>
      </c>
      <c r="Q1492" s="2">
        <v>3</v>
      </c>
      <c r="R1492" s="2" t="s">
        <v>23</v>
      </c>
      <c r="S1492" s="2" t="str">
        <f t="shared" si="234"/>
        <v>Rendah</v>
      </c>
      <c r="T1492" s="2" t="str">
        <f t="shared" si="235"/>
        <v>FALSE</v>
      </c>
      <c r="U1492" s="2" t="str">
        <f t="shared" si="236"/>
        <v>FALSE</v>
      </c>
      <c r="V1492" s="2" t="b">
        <f t="shared" si="237"/>
        <v>0</v>
      </c>
      <c r="W1492" s="2" t="b">
        <f t="shared" si="238"/>
        <v>0</v>
      </c>
      <c r="X1492" s="2" t="b">
        <f t="shared" si="239"/>
        <v>0</v>
      </c>
    </row>
    <row r="1493" spans="1:24" ht="10.5" customHeight="1">
      <c r="A1493" s="2" t="s">
        <v>1856</v>
      </c>
      <c r="B1493" s="3">
        <v>45955.164918981478</v>
      </c>
      <c r="C1493" s="2" t="s">
        <v>367</v>
      </c>
      <c r="D1493" s="2" t="s">
        <v>173</v>
      </c>
      <c r="E1493" s="2" t="s">
        <v>49</v>
      </c>
      <c r="F1493" s="4">
        <v>26000</v>
      </c>
      <c r="G1493" s="5">
        <v>1.7</v>
      </c>
      <c r="H1493" s="6">
        <v>5</v>
      </c>
      <c r="I1493" s="7">
        <f t="shared" si="230"/>
        <v>44200</v>
      </c>
      <c r="J1493" s="7">
        <f t="shared" si="231"/>
        <v>2210</v>
      </c>
      <c r="K1493" s="7">
        <f t="shared" si="232"/>
        <v>41990</v>
      </c>
      <c r="L1493" s="4">
        <v>48000</v>
      </c>
      <c r="M1493" s="7">
        <f t="shared" si="233"/>
        <v>89990</v>
      </c>
      <c r="N1493" s="2" t="s">
        <v>33</v>
      </c>
      <c r="O1493" t="s">
        <v>22</v>
      </c>
      <c r="P1493" s="2" t="s">
        <v>2367</v>
      </c>
      <c r="Q1493" s="2">
        <v>4</v>
      </c>
      <c r="R1493" s="2" t="s">
        <v>23</v>
      </c>
      <c r="S1493" s="2" t="str">
        <f t="shared" si="234"/>
        <v>Rendah</v>
      </c>
      <c r="T1493" s="2" t="str">
        <f t="shared" si="235"/>
        <v>FALSE</v>
      </c>
      <c r="U1493" s="2" t="str">
        <f t="shared" si="236"/>
        <v>FALSE</v>
      </c>
      <c r="V1493" s="2" t="b">
        <f t="shared" si="237"/>
        <v>0</v>
      </c>
      <c r="W1493" s="2" t="b">
        <f t="shared" si="238"/>
        <v>1</v>
      </c>
      <c r="X1493" s="2" t="b">
        <f t="shared" si="239"/>
        <v>0</v>
      </c>
    </row>
    <row r="1494" spans="1:24" ht="10.5" customHeight="1">
      <c r="A1494" s="2" t="s">
        <v>1857</v>
      </c>
      <c r="B1494" s="3">
        <v>45955.167303240742</v>
      </c>
      <c r="C1494" s="2" t="s">
        <v>198</v>
      </c>
      <c r="D1494" s="2" t="s">
        <v>87</v>
      </c>
      <c r="E1494" s="2" t="s">
        <v>53</v>
      </c>
      <c r="F1494" s="4">
        <v>14000</v>
      </c>
      <c r="G1494" s="5">
        <v>0.7</v>
      </c>
      <c r="H1494" s="6">
        <v>5</v>
      </c>
      <c r="I1494" s="7">
        <f t="shared" si="230"/>
        <v>9800</v>
      </c>
      <c r="J1494" s="7">
        <f t="shared" si="231"/>
        <v>490</v>
      </c>
      <c r="K1494" s="7">
        <f t="shared" si="232"/>
        <v>9310</v>
      </c>
      <c r="L1494" s="4">
        <v>49000</v>
      </c>
      <c r="M1494" s="7">
        <f t="shared" si="233"/>
        <v>58310</v>
      </c>
      <c r="N1494" s="2" t="s">
        <v>33</v>
      </c>
      <c r="O1494" t="s">
        <v>22</v>
      </c>
      <c r="P1494" s="2" t="s">
        <v>2370</v>
      </c>
      <c r="Q1494" s="2">
        <v>2</v>
      </c>
      <c r="R1494" s="2" t="s">
        <v>23</v>
      </c>
      <c r="S1494" s="2" t="str">
        <f t="shared" si="234"/>
        <v>Rendah</v>
      </c>
      <c r="T1494" s="2" t="str">
        <f t="shared" si="235"/>
        <v>FALSE</v>
      </c>
      <c r="U1494" s="2" t="str">
        <f t="shared" si="236"/>
        <v>FALSE</v>
      </c>
      <c r="V1494" s="2" t="b">
        <f t="shared" si="237"/>
        <v>0</v>
      </c>
      <c r="W1494" s="2" t="b">
        <f t="shared" si="238"/>
        <v>0</v>
      </c>
      <c r="X1494" s="2" t="b">
        <f t="shared" si="239"/>
        <v>0</v>
      </c>
    </row>
    <row r="1495" spans="1:24" ht="10.5" customHeight="1">
      <c r="A1495" s="2" t="s">
        <v>1857</v>
      </c>
      <c r="B1495" s="3">
        <v>45955.167303240742</v>
      </c>
      <c r="C1495" s="2" t="s">
        <v>198</v>
      </c>
      <c r="D1495" s="2" t="s">
        <v>87</v>
      </c>
      <c r="E1495" s="2" t="s">
        <v>41</v>
      </c>
      <c r="F1495" s="4">
        <v>40000</v>
      </c>
      <c r="G1495" s="5">
        <v>0.7</v>
      </c>
      <c r="H1495" s="6">
        <v>5</v>
      </c>
      <c r="I1495" s="7">
        <f t="shared" si="230"/>
        <v>28000</v>
      </c>
      <c r="J1495" s="7">
        <f t="shared" si="231"/>
        <v>1400</v>
      </c>
      <c r="K1495" s="7">
        <f t="shared" si="232"/>
        <v>26600</v>
      </c>
      <c r="L1495" s="4">
        <v>0</v>
      </c>
      <c r="M1495" s="7">
        <f t="shared" si="233"/>
        <v>26600</v>
      </c>
      <c r="N1495" s="2" t="s">
        <v>33</v>
      </c>
      <c r="O1495" t="s">
        <v>22</v>
      </c>
      <c r="P1495" s="2" t="s">
        <v>2370</v>
      </c>
      <c r="Q1495" s="2">
        <v>2</v>
      </c>
      <c r="R1495" s="2" t="s">
        <v>23</v>
      </c>
      <c r="S1495" s="2" t="str">
        <f t="shared" si="234"/>
        <v>Sangat Rendah</v>
      </c>
      <c r="T1495" s="2" t="str">
        <f t="shared" si="235"/>
        <v>FALSE</v>
      </c>
      <c r="U1495" s="2" t="str">
        <f t="shared" si="236"/>
        <v>FALSE</v>
      </c>
      <c r="V1495" s="2" t="b">
        <f t="shared" si="237"/>
        <v>0</v>
      </c>
      <c r="W1495" s="2" t="b">
        <f t="shared" si="238"/>
        <v>0</v>
      </c>
      <c r="X1495" s="2" t="b">
        <f t="shared" si="239"/>
        <v>1</v>
      </c>
    </row>
    <row r="1496" spans="1:24" ht="10.5" customHeight="1">
      <c r="A1496" s="2" t="s">
        <v>1858</v>
      </c>
      <c r="B1496" s="3">
        <v>45955.257800925923</v>
      </c>
      <c r="C1496" s="2" t="s">
        <v>591</v>
      </c>
      <c r="D1496" s="2" t="s">
        <v>111</v>
      </c>
      <c r="E1496" s="2" t="s">
        <v>57</v>
      </c>
      <c r="F1496" s="4">
        <v>17500</v>
      </c>
      <c r="G1496" s="5">
        <v>1.6</v>
      </c>
      <c r="H1496" s="6">
        <v>5</v>
      </c>
      <c r="I1496" s="7">
        <f t="shared" si="230"/>
        <v>28000</v>
      </c>
      <c r="J1496" s="7">
        <f t="shared" si="231"/>
        <v>1400</v>
      </c>
      <c r="K1496" s="7">
        <f t="shared" si="232"/>
        <v>26600</v>
      </c>
      <c r="L1496" s="4">
        <v>0</v>
      </c>
      <c r="M1496" s="7">
        <f t="shared" si="233"/>
        <v>26600</v>
      </c>
      <c r="N1496" s="2" t="s">
        <v>28</v>
      </c>
      <c r="O1496" t="s">
        <v>22</v>
      </c>
      <c r="P1496" s="2" t="s">
        <v>2367</v>
      </c>
      <c r="Q1496" s="2">
        <v>3</v>
      </c>
      <c r="R1496" s="2" t="s">
        <v>23</v>
      </c>
      <c r="S1496" s="2" t="str">
        <f t="shared" si="234"/>
        <v>Sangat Rendah</v>
      </c>
      <c r="T1496" s="2" t="str">
        <f t="shared" si="235"/>
        <v>FALSE</v>
      </c>
      <c r="U1496" s="2" t="str">
        <f t="shared" si="236"/>
        <v>FALSE</v>
      </c>
      <c r="V1496" s="2" t="b">
        <f t="shared" si="237"/>
        <v>0</v>
      </c>
      <c r="W1496" s="2" t="b">
        <f t="shared" si="238"/>
        <v>1</v>
      </c>
      <c r="X1496" s="2" t="b">
        <f t="shared" si="239"/>
        <v>1</v>
      </c>
    </row>
    <row r="1497" spans="1:24" ht="10.5" customHeight="1">
      <c r="A1497" s="2" t="s">
        <v>1859</v>
      </c>
      <c r="B1497" s="3">
        <v>45955.288298611107</v>
      </c>
      <c r="C1497" s="2" t="s">
        <v>181</v>
      </c>
      <c r="D1497" s="2" t="s">
        <v>98</v>
      </c>
      <c r="E1497" s="2" t="s">
        <v>95</v>
      </c>
      <c r="F1497" s="4">
        <v>9500</v>
      </c>
      <c r="G1497" s="5">
        <v>0.6</v>
      </c>
      <c r="H1497" s="6">
        <v>5</v>
      </c>
      <c r="I1497" s="7">
        <f t="shared" si="230"/>
        <v>5700</v>
      </c>
      <c r="J1497" s="7">
        <f t="shared" si="231"/>
        <v>285</v>
      </c>
      <c r="K1497" s="7">
        <f t="shared" si="232"/>
        <v>5415</v>
      </c>
      <c r="L1497" s="4">
        <v>97000</v>
      </c>
      <c r="M1497" s="7">
        <f t="shared" si="233"/>
        <v>102415</v>
      </c>
      <c r="N1497" s="2" t="s">
        <v>58</v>
      </c>
      <c r="O1497" t="s">
        <v>22</v>
      </c>
      <c r="P1497" s="2" t="s">
        <v>2366</v>
      </c>
      <c r="Q1497" s="2">
        <v>3</v>
      </c>
      <c r="R1497" s="2" t="s">
        <v>23</v>
      </c>
      <c r="S1497" s="2" t="str">
        <f t="shared" si="234"/>
        <v>Standar</v>
      </c>
      <c r="T1497" s="2" t="str">
        <f t="shared" si="235"/>
        <v>FALSE</v>
      </c>
      <c r="U1497" s="2" t="str">
        <f t="shared" si="236"/>
        <v>FALSE</v>
      </c>
      <c r="V1497" s="2" t="b">
        <f t="shared" si="237"/>
        <v>0</v>
      </c>
      <c r="W1497" s="2" t="b">
        <f t="shared" si="238"/>
        <v>0</v>
      </c>
      <c r="X1497" s="2" t="b">
        <f t="shared" si="239"/>
        <v>0</v>
      </c>
    </row>
    <row r="1498" spans="1:24" ht="10.5" customHeight="1">
      <c r="A1498" s="2" t="s">
        <v>1860</v>
      </c>
      <c r="B1498" s="3">
        <v>45955.36042824074</v>
      </c>
      <c r="C1498" s="2" t="s">
        <v>251</v>
      </c>
      <c r="D1498" s="2" t="s">
        <v>252</v>
      </c>
      <c r="E1498" s="2" t="s">
        <v>75</v>
      </c>
      <c r="F1498" s="4">
        <v>45000</v>
      </c>
      <c r="G1498" s="5">
        <v>0.3</v>
      </c>
      <c r="H1498" s="6">
        <v>5</v>
      </c>
      <c r="I1498" s="7">
        <f t="shared" si="230"/>
        <v>13500</v>
      </c>
      <c r="J1498" s="7">
        <f t="shared" si="231"/>
        <v>675</v>
      </c>
      <c r="K1498" s="7">
        <f t="shared" si="232"/>
        <v>12825</v>
      </c>
      <c r="L1498" s="4">
        <v>18000</v>
      </c>
      <c r="M1498" s="7">
        <f t="shared" si="233"/>
        <v>30825</v>
      </c>
      <c r="N1498" s="2" t="s">
        <v>28</v>
      </c>
      <c r="O1498" t="s">
        <v>22</v>
      </c>
      <c r="P1498" s="2" t="s">
        <v>2366</v>
      </c>
      <c r="Q1498" s="2">
        <v>4</v>
      </c>
      <c r="R1498" s="2" t="s">
        <v>23</v>
      </c>
      <c r="S1498" s="2" t="str">
        <f t="shared" si="234"/>
        <v>Sangat Rendah</v>
      </c>
      <c r="T1498" s="2" t="str">
        <f t="shared" si="235"/>
        <v>FALSE</v>
      </c>
      <c r="U1498" s="2" t="str">
        <f t="shared" si="236"/>
        <v>FALSE</v>
      </c>
      <c r="V1498" s="2" t="b">
        <f t="shared" si="237"/>
        <v>0</v>
      </c>
      <c r="W1498" s="2" t="b">
        <f t="shared" si="238"/>
        <v>0</v>
      </c>
      <c r="X1498" s="2" t="b">
        <f t="shared" si="239"/>
        <v>1</v>
      </c>
    </row>
    <row r="1499" spans="1:24" ht="10.5" customHeight="1">
      <c r="A1499" s="2" t="s">
        <v>1861</v>
      </c>
      <c r="B1499" s="3">
        <v>45955.377372685187</v>
      </c>
      <c r="C1499" s="2" t="s">
        <v>104</v>
      </c>
      <c r="D1499" s="2" t="s">
        <v>105</v>
      </c>
      <c r="E1499" s="2" t="s">
        <v>75</v>
      </c>
      <c r="F1499" s="4">
        <v>45000</v>
      </c>
      <c r="G1499" s="5">
        <v>1.3</v>
      </c>
      <c r="H1499" s="6">
        <v>5</v>
      </c>
      <c r="I1499" s="7">
        <f t="shared" si="230"/>
        <v>58500</v>
      </c>
      <c r="J1499" s="7">
        <f t="shared" si="231"/>
        <v>2925</v>
      </c>
      <c r="K1499" s="7">
        <f t="shared" si="232"/>
        <v>55575</v>
      </c>
      <c r="L1499" s="4">
        <v>18000</v>
      </c>
      <c r="M1499" s="7">
        <f t="shared" si="233"/>
        <v>73575</v>
      </c>
      <c r="N1499" s="2" t="s">
        <v>33</v>
      </c>
      <c r="O1499" t="s">
        <v>69</v>
      </c>
      <c r="P1499" s="2" t="s">
        <v>2370</v>
      </c>
      <c r="Q1499" s="2">
        <v>3</v>
      </c>
      <c r="R1499" s="2" t="s">
        <v>23</v>
      </c>
      <c r="S1499" s="2" t="str">
        <f t="shared" si="234"/>
        <v>Rendah</v>
      </c>
      <c r="T1499" s="2" t="str">
        <f t="shared" si="235"/>
        <v>FALSE</v>
      </c>
      <c r="U1499" s="2" t="str">
        <f t="shared" si="236"/>
        <v>FALSE</v>
      </c>
      <c r="V1499" s="2" t="b">
        <f t="shared" si="237"/>
        <v>0</v>
      </c>
      <c r="W1499" s="2" t="b">
        <f t="shared" si="238"/>
        <v>0</v>
      </c>
      <c r="X1499" s="2" t="b">
        <f t="shared" si="239"/>
        <v>0</v>
      </c>
    </row>
    <row r="1500" spans="1:24" ht="10.5" customHeight="1">
      <c r="A1500" s="2" t="s">
        <v>1862</v>
      </c>
      <c r="B1500" s="3">
        <v>45955.413518518522</v>
      </c>
      <c r="C1500" s="2" t="s">
        <v>487</v>
      </c>
      <c r="D1500" s="2" t="s">
        <v>164</v>
      </c>
      <c r="E1500" s="2" t="s">
        <v>80</v>
      </c>
      <c r="F1500" s="4">
        <v>15000</v>
      </c>
      <c r="G1500" s="5">
        <v>2</v>
      </c>
      <c r="H1500" s="6">
        <v>5</v>
      </c>
      <c r="I1500" s="7">
        <f t="shared" si="230"/>
        <v>30000</v>
      </c>
      <c r="J1500" s="7">
        <f t="shared" si="231"/>
        <v>1500</v>
      </c>
      <c r="K1500" s="7">
        <f t="shared" si="232"/>
        <v>28500</v>
      </c>
      <c r="L1500" s="4">
        <v>49000</v>
      </c>
      <c r="M1500" s="7">
        <f t="shared" si="233"/>
        <v>77500</v>
      </c>
      <c r="N1500" s="2" t="s">
        <v>28</v>
      </c>
      <c r="O1500" t="s">
        <v>22</v>
      </c>
      <c r="P1500" s="2" t="s">
        <v>2365</v>
      </c>
      <c r="Q1500" s="2">
        <v>4</v>
      </c>
      <c r="R1500" s="2" t="s">
        <v>34</v>
      </c>
      <c r="S1500" s="2" t="str">
        <f t="shared" si="234"/>
        <v>Rendah</v>
      </c>
      <c r="T1500" s="2" t="str">
        <f t="shared" si="235"/>
        <v>FALSE</v>
      </c>
      <c r="U1500" s="2" t="str">
        <f t="shared" si="236"/>
        <v>FALSE</v>
      </c>
      <c r="V1500" s="2" t="b">
        <f t="shared" si="237"/>
        <v>0</v>
      </c>
      <c r="W1500" s="2" t="b">
        <f t="shared" si="238"/>
        <v>0</v>
      </c>
      <c r="X1500" s="2" t="b">
        <f t="shared" si="239"/>
        <v>0</v>
      </c>
    </row>
    <row r="1501" spans="1:24" ht="10.5" customHeight="1">
      <c r="A1501" s="2" t="s">
        <v>1863</v>
      </c>
      <c r="B1501" s="3">
        <v>45955.445520833331</v>
      </c>
      <c r="C1501" s="2" t="s">
        <v>850</v>
      </c>
      <c r="D1501" s="2" t="s">
        <v>40</v>
      </c>
      <c r="E1501" s="2" t="s">
        <v>45</v>
      </c>
      <c r="F1501" s="4">
        <v>10500</v>
      </c>
      <c r="G1501" s="5">
        <v>1.2</v>
      </c>
      <c r="H1501" s="6">
        <v>5</v>
      </c>
      <c r="I1501" s="7">
        <f t="shared" si="230"/>
        <v>12600</v>
      </c>
      <c r="J1501" s="7">
        <f t="shared" si="231"/>
        <v>630</v>
      </c>
      <c r="K1501" s="7">
        <f t="shared" si="232"/>
        <v>11970</v>
      </c>
      <c r="L1501" s="4">
        <v>93000</v>
      </c>
      <c r="M1501" s="7">
        <f t="shared" si="233"/>
        <v>104970</v>
      </c>
      <c r="N1501" s="2" t="s">
        <v>21</v>
      </c>
      <c r="O1501" t="s">
        <v>22</v>
      </c>
      <c r="P1501" s="2" t="s">
        <v>2367</v>
      </c>
      <c r="Q1501" s="2">
        <v>5</v>
      </c>
      <c r="R1501" s="2" t="s">
        <v>34</v>
      </c>
      <c r="S1501" s="2" t="str">
        <f t="shared" si="234"/>
        <v>Standar</v>
      </c>
      <c r="T1501" s="2" t="str">
        <f t="shared" si="235"/>
        <v>FALSE</v>
      </c>
      <c r="U1501" s="2" t="str">
        <f t="shared" si="236"/>
        <v>FALSE</v>
      </c>
      <c r="V1501" s="2" t="b">
        <f t="shared" si="237"/>
        <v>0</v>
      </c>
      <c r="W1501" s="2" t="b">
        <f t="shared" si="238"/>
        <v>1</v>
      </c>
      <c r="X1501" s="2" t="b">
        <f t="shared" si="239"/>
        <v>0</v>
      </c>
    </row>
    <row r="1502" spans="1:24" ht="10.5" customHeight="1">
      <c r="A1502" s="2" t="s">
        <v>1864</v>
      </c>
      <c r="B1502" s="3">
        <v>45955.449444444443</v>
      </c>
      <c r="C1502" s="2" t="s">
        <v>122</v>
      </c>
      <c r="D1502" s="2" t="s">
        <v>123</v>
      </c>
      <c r="E1502" s="2" t="s">
        <v>99</v>
      </c>
      <c r="F1502" s="4">
        <v>10000</v>
      </c>
      <c r="G1502" s="5">
        <v>0.5</v>
      </c>
      <c r="H1502" s="6">
        <v>5</v>
      </c>
      <c r="I1502" s="7">
        <f t="shared" si="230"/>
        <v>5000</v>
      </c>
      <c r="J1502" s="7">
        <f t="shared" si="231"/>
        <v>250</v>
      </c>
      <c r="K1502" s="7">
        <f t="shared" si="232"/>
        <v>4750</v>
      </c>
      <c r="L1502" s="4">
        <v>59000</v>
      </c>
      <c r="M1502" s="7">
        <f t="shared" si="233"/>
        <v>63750</v>
      </c>
      <c r="N1502" s="2" t="s">
        <v>28</v>
      </c>
      <c r="O1502" t="s">
        <v>115</v>
      </c>
      <c r="P1502" s="2" t="s">
        <v>2367</v>
      </c>
      <c r="Q1502" s="2">
        <v>2</v>
      </c>
      <c r="R1502" s="2" t="s">
        <v>23</v>
      </c>
      <c r="S1502" s="2" t="str">
        <f t="shared" si="234"/>
        <v>Rendah</v>
      </c>
      <c r="T1502" s="2" t="str">
        <f t="shared" si="235"/>
        <v>FALSE</v>
      </c>
      <c r="U1502" s="2" t="str">
        <f t="shared" si="236"/>
        <v>FALSE</v>
      </c>
      <c r="V1502" s="2" t="b">
        <f t="shared" si="237"/>
        <v>0</v>
      </c>
      <c r="W1502" s="2" t="b">
        <f t="shared" si="238"/>
        <v>1</v>
      </c>
      <c r="X1502" s="2" t="b">
        <f t="shared" si="239"/>
        <v>0</v>
      </c>
    </row>
    <row r="1503" spans="1:24" ht="10.5" customHeight="1">
      <c r="A1503" s="2" t="s">
        <v>1865</v>
      </c>
      <c r="B1503" s="3">
        <v>45955.487604166658</v>
      </c>
      <c r="C1503" s="2" t="s">
        <v>311</v>
      </c>
      <c r="D1503" s="2" t="s">
        <v>74</v>
      </c>
      <c r="E1503" s="2" t="s">
        <v>80</v>
      </c>
      <c r="F1503" s="4">
        <v>15000</v>
      </c>
      <c r="G1503" s="5">
        <v>1.5</v>
      </c>
      <c r="H1503" s="6">
        <v>5</v>
      </c>
      <c r="I1503" s="7">
        <f t="shared" si="230"/>
        <v>22500</v>
      </c>
      <c r="J1503" s="7">
        <f t="shared" si="231"/>
        <v>1125</v>
      </c>
      <c r="K1503" s="7">
        <f t="shared" si="232"/>
        <v>21375</v>
      </c>
      <c r="L1503" s="4">
        <v>74000</v>
      </c>
      <c r="M1503" s="7">
        <f t="shared" si="233"/>
        <v>95375</v>
      </c>
      <c r="N1503" s="2" t="s">
        <v>58</v>
      </c>
      <c r="O1503" t="s">
        <v>22</v>
      </c>
      <c r="P1503" s="2" t="s">
        <v>2365</v>
      </c>
      <c r="Q1503" s="2">
        <v>3</v>
      </c>
      <c r="R1503" s="2" t="s">
        <v>23</v>
      </c>
      <c r="S1503" s="2" t="str">
        <f t="shared" si="234"/>
        <v>Rendah</v>
      </c>
      <c r="T1503" s="2" t="str">
        <f t="shared" si="235"/>
        <v>FALSE</v>
      </c>
      <c r="U1503" s="2" t="str">
        <f t="shared" si="236"/>
        <v>FALSE</v>
      </c>
      <c r="V1503" s="2" t="b">
        <f t="shared" si="237"/>
        <v>0</v>
      </c>
      <c r="W1503" s="2" t="b">
        <f t="shared" si="238"/>
        <v>0</v>
      </c>
      <c r="X1503" s="2" t="b">
        <f t="shared" si="239"/>
        <v>0</v>
      </c>
    </row>
    <row r="1504" spans="1:24" ht="10.5" customHeight="1">
      <c r="A1504" s="2" t="s">
        <v>1866</v>
      </c>
      <c r="B1504" s="3">
        <v>45955.539861111109</v>
      </c>
      <c r="C1504" s="2" t="s">
        <v>671</v>
      </c>
      <c r="D1504" s="2" t="s">
        <v>252</v>
      </c>
      <c r="E1504" s="2" t="s">
        <v>45</v>
      </c>
      <c r="F1504" s="4">
        <v>10500</v>
      </c>
      <c r="G1504" s="5">
        <v>1.2</v>
      </c>
      <c r="H1504" s="6">
        <v>5</v>
      </c>
      <c r="I1504" s="7">
        <f t="shared" si="230"/>
        <v>12600</v>
      </c>
      <c r="J1504" s="7">
        <f t="shared" si="231"/>
        <v>630</v>
      </c>
      <c r="K1504" s="7">
        <f t="shared" si="232"/>
        <v>11970</v>
      </c>
      <c r="L1504" s="4">
        <v>18000</v>
      </c>
      <c r="M1504" s="7">
        <f t="shared" si="233"/>
        <v>29970</v>
      </c>
      <c r="N1504" s="2" t="s">
        <v>33</v>
      </c>
      <c r="O1504" t="s">
        <v>22</v>
      </c>
      <c r="P1504" s="2" t="s">
        <v>2365</v>
      </c>
      <c r="Q1504" s="2">
        <v>1</v>
      </c>
      <c r="R1504" s="2" t="s">
        <v>23</v>
      </c>
      <c r="S1504" s="2" t="str">
        <f t="shared" si="234"/>
        <v>Sangat Rendah</v>
      </c>
      <c r="T1504" s="2" t="str">
        <f t="shared" si="235"/>
        <v>FALSE</v>
      </c>
      <c r="U1504" s="2" t="str">
        <f t="shared" si="236"/>
        <v>FALSE</v>
      </c>
      <c r="V1504" s="2" t="b">
        <f t="shared" si="237"/>
        <v>0</v>
      </c>
      <c r="W1504" s="2" t="b">
        <f t="shared" si="238"/>
        <v>0</v>
      </c>
      <c r="X1504" s="2" t="b">
        <f t="shared" si="239"/>
        <v>1</v>
      </c>
    </row>
    <row r="1505" spans="1:24" ht="10.5" customHeight="1">
      <c r="A1505" s="2" t="s">
        <v>1867</v>
      </c>
      <c r="B1505" s="3">
        <v>45955.580231481479</v>
      </c>
      <c r="C1505" s="2" t="s">
        <v>583</v>
      </c>
      <c r="D1505" s="2" t="s">
        <v>185</v>
      </c>
      <c r="E1505" s="2" t="s">
        <v>57</v>
      </c>
      <c r="F1505" s="4">
        <v>17500</v>
      </c>
      <c r="G1505" s="5">
        <v>1.8</v>
      </c>
      <c r="H1505" s="6">
        <v>5</v>
      </c>
      <c r="I1505" s="7">
        <f t="shared" si="230"/>
        <v>31500</v>
      </c>
      <c r="J1505" s="7">
        <f t="shared" si="231"/>
        <v>1575</v>
      </c>
      <c r="K1505" s="7">
        <f t="shared" si="232"/>
        <v>29925</v>
      </c>
      <c r="L1505" s="4">
        <v>87000</v>
      </c>
      <c r="M1505" s="7">
        <f t="shared" si="233"/>
        <v>116925</v>
      </c>
      <c r="N1505" s="2" t="s">
        <v>21</v>
      </c>
      <c r="O1505" t="s">
        <v>22</v>
      </c>
      <c r="P1505" s="2" t="s">
        <v>2366</v>
      </c>
      <c r="Q1505" s="2">
        <v>2</v>
      </c>
      <c r="R1505" s="2" t="s">
        <v>23</v>
      </c>
      <c r="S1505" s="2" t="str">
        <f t="shared" si="234"/>
        <v>Standar</v>
      </c>
      <c r="T1505" s="2" t="str">
        <f t="shared" si="235"/>
        <v>FALSE</v>
      </c>
      <c r="U1505" s="2" t="str">
        <f t="shared" si="236"/>
        <v>FALSE</v>
      </c>
      <c r="V1505" s="2" t="b">
        <f t="shared" si="237"/>
        <v>0</v>
      </c>
      <c r="W1505" s="2" t="b">
        <f t="shared" si="238"/>
        <v>0</v>
      </c>
      <c r="X1505" s="2" t="b">
        <f t="shared" si="239"/>
        <v>0</v>
      </c>
    </row>
    <row r="1506" spans="1:24" ht="10.5" customHeight="1">
      <c r="A1506" s="2" t="s">
        <v>1868</v>
      </c>
      <c r="B1506" s="3">
        <v>45955.583611111113</v>
      </c>
      <c r="C1506" s="2" t="s">
        <v>583</v>
      </c>
      <c r="D1506" s="2" t="s">
        <v>185</v>
      </c>
      <c r="E1506" s="2" t="s">
        <v>49</v>
      </c>
      <c r="F1506" s="4">
        <v>26000</v>
      </c>
      <c r="G1506" s="5">
        <v>1.4</v>
      </c>
      <c r="H1506" s="6">
        <v>5</v>
      </c>
      <c r="I1506" s="7">
        <f t="shared" si="230"/>
        <v>36400</v>
      </c>
      <c r="J1506" s="7">
        <f t="shared" si="231"/>
        <v>1820</v>
      </c>
      <c r="K1506" s="7">
        <f t="shared" si="232"/>
        <v>34580</v>
      </c>
      <c r="L1506" s="4">
        <v>87000</v>
      </c>
      <c r="M1506" s="7">
        <f t="shared" si="233"/>
        <v>121580</v>
      </c>
      <c r="N1506" s="2" t="s">
        <v>58</v>
      </c>
      <c r="O1506" t="s">
        <v>22</v>
      </c>
      <c r="P1506" s="2" t="s">
        <v>2365</v>
      </c>
      <c r="Q1506" s="2">
        <v>3</v>
      </c>
      <c r="R1506" s="2" t="s">
        <v>23</v>
      </c>
      <c r="S1506" s="2" t="str">
        <f t="shared" si="234"/>
        <v>Standar</v>
      </c>
      <c r="T1506" s="2" t="str">
        <f t="shared" si="235"/>
        <v>FALSE</v>
      </c>
      <c r="U1506" s="2" t="str">
        <f t="shared" si="236"/>
        <v>FALSE</v>
      </c>
      <c r="V1506" s="2" t="b">
        <f t="shared" si="237"/>
        <v>0</v>
      </c>
      <c r="W1506" s="2" t="b">
        <f t="shared" si="238"/>
        <v>0</v>
      </c>
      <c r="X1506" s="2" t="b">
        <f t="shared" si="239"/>
        <v>0</v>
      </c>
    </row>
    <row r="1507" spans="1:24" ht="10.5" customHeight="1">
      <c r="A1507" s="2" t="s">
        <v>1869</v>
      </c>
      <c r="B1507" s="3">
        <v>45955.601365740738</v>
      </c>
      <c r="C1507" s="2" t="s">
        <v>1426</v>
      </c>
      <c r="D1507" s="2" t="s">
        <v>111</v>
      </c>
      <c r="E1507" s="2" t="s">
        <v>95</v>
      </c>
      <c r="F1507" s="4">
        <v>9500</v>
      </c>
      <c r="G1507" s="5">
        <v>1.7</v>
      </c>
      <c r="H1507" s="6">
        <v>5</v>
      </c>
      <c r="I1507" s="7">
        <f t="shared" si="230"/>
        <v>16150</v>
      </c>
      <c r="J1507" s="7">
        <f t="shared" si="231"/>
        <v>807.5</v>
      </c>
      <c r="K1507" s="7">
        <f t="shared" si="232"/>
        <v>15342.5</v>
      </c>
      <c r="L1507" s="4">
        <v>0</v>
      </c>
      <c r="M1507" s="7">
        <f t="shared" si="233"/>
        <v>15342.5</v>
      </c>
      <c r="N1507" s="2" t="s">
        <v>28</v>
      </c>
      <c r="O1507" t="s">
        <v>22</v>
      </c>
      <c r="P1507" s="2" t="s">
        <v>2367</v>
      </c>
      <c r="Q1507" s="2">
        <v>2</v>
      </c>
      <c r="R1507" s="2" t="s">
        <v>23</v>
      </c>
      <c r="S1507" s="2" t="str">
        <f t="shared" si="234"/>
        <v>Sangat Rendah</v>
      </c>
      <c r="T1507" s="2" t="str">
        <f t="shared" si="235"/>
        <v>FALSE</v>
      </c>
      <c r="U1507" s="2" t="str">
        <f t="shared" si="236"/>
        <v>FALSE</v>
      </c>
      <c r="V1507" s="2" t="b">
        <f t="shared" si="237"/>
        <v>0</v>
      </c>
      <c r="W1507" s="2" t="b">
        <f t="shared" si="238"/>
        <v>1</v>
      </c>
      <c r="X1507" s="2" t="b">
        <f t="shared" si="239"/>
        <v>1</v>
      </c>
    </row>
    <row r="1508" spans="1:24" ht="10.5" customHeight="1">
      <c r="A1508" s="2" t="s">
        <v>1870</v>
      </c>
      <c r="B1508" s="3">
        <v>45955.603645833333</v>
      </c>
      <c r="C1508" s="2" t="s">
        <v>463</v>
      </c>
      <c r="D1508" s="2" t="s">
        <v>114</v>
      </c>
      <c r="E1508" s="2" t="s">
        <v>45</v>
      </c>
      <c r="F1508" s="4">
        <v>10500</v>
      </c>
      <c r="G1508" s="5">
        <v>1.9</v>
      </c>
      <c r="H1508" s="6">
        <v>5</v>
      </c>
      <c r="I1508" s="7">
        <f t="shared" si="230"/>
        <v>19950</v>
      </c>
      <c r="J1508" s="7">
        <f t="shared" si="231"/>
        <v>997.5</v>
      </c>
      <c r="K1508" s="7">
        <f t="shared" si="232"/>
        <v>18952.5</v>
      </c>
      <c r="L1508" s="4">
        <v>78000</v>
      </c>
      <c r="M1508" s="7">
        <f t="shared" si="233"/>
        <v>96952.5</v>
      </c>
      <c r="N1508" s="2" t="s">
        <v>21</v>
      </c>
      <c r="O1508" t="s">
        <v>22</v>
      </c>
      <c r="P1508" s="2" t="s">
        <v>2366</v>
      </c>
      <c r="Q1508" s="2">
        <v>1</v>
      </c>
      <c r="R1508" s="2" t="s">
        <v>23</v>
      </c>
      <c r="S1508" s="2" t="str">
        <f t="shared" si="234"/>
        <v>Rendah</v>
      </c>
      <c r="T1508" s="2" t="str">
        <f t="shared" si="235"/>
        <v>TRUE</v>
      </c>
      <c r="U1508" s="2" t="str">
        <f t="shared" si="236"/>
        <v>FALSE</v>
      </c>
      <c r="V1508" s="2" t="b">
        <f t="shared" si="237"/>
        <v>0</v>
      </c>
      <c r="W1508" s="2" t="b">
        <f t="shared" si="238"/>
        <v>0</v>
      </c>
      <c r="X1508" s="2" t="b">
        <f t="shared" si="239"/>
        <v>0</v>
      </c>
    </row>
    <row r="1509" spans="1:24" ht="10.5" customHeight="1">
      <c r="A1509" s="2" t="s">
        <v>1871</v>
      </c>
      <c r="B1509" s="3">
        <v>45955.608946759261</v>
      </c>
      <c r="C1509" s="2" t="s">
        <v>678</v>
      </c>
      <c r="D1509" s="2" t="s">
        <v>84</v>
      </c>
      <c r="E1509" s="2" t="s">
        <v>41</v>
      </c>
      <c r="F1509" s="4">
        <v>40000</v>
      </c>
      <c r="G1509" s="5">
        <v>1</v>
      </c>
      <c r="H1509" s="6">
        <v>5</v>
      </c>
      <c r="I1509" s="7">
        <f t="shared" si="230"/>
        <v>40000</v>
      </c>
      <c r="J1509" s="7">
        <f t="shared" si="231"/>
        <v>2000</v>
      </c>
      <c r="K1509" s="7">
        <f t="shared" si="232"/>
        <v>38000</v>
      </c>
      <c r="L1509" s="4">
        <v>30000</v>
      </c>
      <c r="M1509" s="7">
        <f t="shared" si="233"/>
        <v>68000</v>
      </c>
      <c r="N1509" s="2" t="s">
        <v>28</v>
      </c>
      <c r="O1509" t="s">
        <v>22</v>
      </c>
      <c r="P1509" s="2" t="s">
        <v>2367</v>
      </c>
      <c r="Q1509" s="2">
        <v>1</v>
      </c>
      <c r="R1509" s="2" t="s">
        <v>23</v>
      </c>
      <c r="S1509" s="2" t="str">
        <f t="shared" si="234"/>
        <v>Rendah</v>
      </c>
      <c r="T1509" s="2" t="str">
        <f t="shared" si="235"/>
        <v>FALSE</v>
      </c>
      <c r="U1509" s="2" t="str">
        <f t="shared" si="236"/>
        <v>FALSE</v>
      </c>
      <c r="V1509" s="2" t="b">
        <f t="shared" si="237"/>
        <v>0</v>
      </c>
      <c r="W1509" s="2" t="b">
        <f t="shared" si="238"/>
        <v>1</v>
      </c>
      <c r="X1509" s="2" t="b">
        <f t="shared" si="239"/>
        <v>0</v>
      </c>
    </row>
    <row r="1510" spans="1:24" ht="10.5" customHeight="1">
      <c r="A1510" s="2" t="s">
        <v>1872</v>
      </c>
      <c r="B1510" s="3">
        <v>45955.611770833333</v>
      </c>
      <c r="C1510" s="2" t="s">
        <v>547</v>
      </c>
      <c r="D1510" s="2" t="s">
        <v>164</v>
      </c>
      <c r="E1510" s="2" t="s">
        <v>80</v>
      </c>
      <c r="F1510" s="4">
        <v>15000</v>
      </c>
      <c r="G1510" s="5">
        <v>0.9</v>
      </c>
      <c r="H1510" s="6">
        <v>5</v>
      </c>
      <c r="I1510" s="7">
        <f t="shared" si="230"/>
        <v>13500</v>
      </c>
      <c r="J1510" s="7">
        <f t="shared" si="231"/>
        <v>675</v>
      </c>
      <c r="K1510" s="7">
        <f t="shared" si="232"/>
        <v>12825</v>
      </c>
      <c r="L1510" s="4">
        <v>49000</v>
      </c>
      <c r="M1510" s="7">
        <f t="shared" si="233"/>
        <v>61825</v>
      </c>
      <c r="N1510" s="2" t="s">
        <v>28</v>
      </c>
      <c r="O1510" t="s">
        <v>115</v>
      </c>
      <c r="P1510" s="2" t="s">
        <v>2367</v>
      </c>
      <c r="Q1510" s="2">
        <v>5</v>
      </c>
      <c r="R1510" s="2" t="s">
        <v>23</v>
      </c>
      <c r="S1510" s="2" t="str">
        <f t="shared" si="234"/>
        <v>Rendah</v>
      </c>
      <c r="T1510" s="2" t="str">
        <f t="shared" si="235"/>
        <v>FALSE</v>
      </c>
      <c r="U1510" s="2" t="str">
        <f t="shared" si="236"/>
        <v>FALSE</v>
      </c>
      <c r="V1510" s="2" t="b">
        <f t="shared" si="237"/>
        <v>0</v>
      </c>
      <c r="W1510" s="2" t="b">
        <f t="shared" si="238"/>
        <v>1</v>
      </c>
      <c r="X1510" s="2" t="b">
        <f t="shared" si="239"/>
        <v>0</v>
      </c>
    </row>
    <row r="1511" spans="1:24" ht="10.5" customHeight="1">
      <c r="A1511" s="2" t="s">
        <v>1873</v>
      </c>
      <c r="B1511" s="3">
        <v>45955.636261574073</v>
      </c>
      <c r="C1511" s="2" t="s">
        <v>1520</v>
      </c>
      <c r="D1511" s="2" t="s">
        <v>114</v>
      </c>
      <c r="E1511" s="2" t="s">
        <v>41</v>
      </c>
      <c r="F1511" s="4">
        <v>40000</v>
      </c>
      <c r="G1511" s="5">
        <v>1.3</v>
      </c>
      <c r="H1511" s="6">
        <v>5</v>
      </c>
      <c r="I1511" s="7">
        <f t="shared" si="230"/>
        <v>52000</v>
      </c>
      <c r="J1511" s="7">
        <f t="shared" si="231"/>
        <v>2600</v>
      </c>
      <c r="K1511" s="7">
        <f t="shared" si="232"/>
        <v>49400</v>
      </c>
      <c r="L1511" s="4">
        <v>78000</v>
      </c>
      <c r="M1511" s="7">
        <f t="shared" si="233"/>
        <v>127400</v>
      </c>
      <c r="N1511" s="2" t="s">
        <v>21</v>
      </c>
      <c r="O1511" t="s">
        <v>115</v>
      </c>
      <c r="P1511" s="2" t="s">
        <v>2368</v>
      </c>
      <c r="Q1511" s="2">
        <v>3</v>
      </c>
      <c r="R1511" s="2" t="s">
        <v>23</v>
      </c>
      <c r="S1511" s="2" t="str">
        <f t="shared" si="234"/>
        <v>Standar</v>
      </c>
      <c r="T1511" s="2" t="str">
        <f t="shared" si="235"/>
        <v>FALSE</v>
      </c>
      <c r="U1511" s="2" t="str">
        <f t="shared" si="236"/>
        <v>FALSE</v>
      </c>
      <c r="V1511" s="2" t="b">
        <f t="shared" si="237"/>
        <v>0</v>
      </c>
      <c r="W1511" s="2" t="b">
        <f t="shared" si="238"/>
        <v>0</v>
      </c>
      <c r="X1511" s="2" t="b">
        <f t="shared" si="239"/>
        <v>0</v>
      </c>
    </row>
    <row r="1512" spans="1:24" ht="10.5" customHeight="1">
      <c r="A1512" s="2" t="s">
        <v>1874</v>
      </c>
      <c r="B1512" s="3">
        <v>45955.657939814817</v>
      </c>
      <c r="C1512" s="2" t="s">
        <v>157</v>
      </c>
      <c r="D1512" s="2" t="s">
        <v>40</v>
      </c>
      <c r="E1512" s="2" t="s">
        <v>182</v>
      </c>
      <c r="F1512" s="4">
        <v>11000</v>
      </c>
      <c r="G1512" s="5">
        <v>0.7</v>
      </c>
      <c r="H1512" s="6">
        <v>5</v>
      </c>
      <c r="I1512" s="7">
        <f t="shared" si="230"/>
        <v>7699.9999999999991</v>
      </c>
      <c r="J1512" s="7">
        <f t="shared" si="231"/>
        <v>385</v>
      </c>
      <c r="K1512" s="7">
        <f t="shared" si="232"/>
        <v>7314.9999999999991</v>
      </c>
      <c r="L1512" s="4">
        <v>93000</v>
      </c>
      <c r="M1512" s="7">
        <f t="shared" si="233"/>
        <v>100315</v>
      </c>
      <c r="N1512" s="2" t="s">
        <v>21</v>
      </c>
      <c r="O1512" t="s">
        <v>22</v>
      </c>
      <c r="P1512" s="2" t="s">
        <v>2368</v>
      </c>
      <c r="Q1512" s="2">
        <v>4</v>
      </c>
      <c r="R1512" s="2" t="s">
        <v>23</v>
      </c>
      <c r="S1512" s="2" t="str">
        <f t="shared" si="234"/>
        <v>Standar</v>
      </c>
      <c r="T1512" s="2" t="str">
        <f t="shared" si="235"/>
        <v>FALSE</v>
      </c>
      <c r="U1512" s="2" t="str">
        <f t="shared" si="236"/>
        <v>FALSE</v>
      </c>
      <c r="V1512" s="2" t="b">
        <f t="shared" si="237"/>
        <v>0</v>
      </c>
      <c r="W1512" s="2" t="b">
        <f t="shared" si="238"/>
        <v>0</v>
      </c>
      <c r="X1512" s="2" t="b">
        <f t="shared" si="239"/>
        <v>0</v>
      </c>
    </row>
    <row r="1513" spans="1:24" ht="10.5" customHeight="1">
      <c r="A1513" s="2" t="s">
        <v>1875</v>
      </c>
      <c r="B1513" s="3">
        <v>45955.703946759262</v>
      </c>
      <c r="C1513" s="2" t="s">
        <v>776</v>
      </c>
      <c r="D1513" s="2" t="s">
        <v>98</v>
      </c>
      <c r="E1513" s="2" t="s">
        <v>143</v>
      </c>
      <c r="F1513" s="4">
        <v>10000</v>
      </c>
      <c r="G1513" s="5">
        <v>0.5</v>
      </c>
      <c r="H1513" s="6">
        <v>5</v>
      </c>
      <c r="I1513" s="7">
        <f t="shared" si="230"/>
        <v>5000</v>
      </c>
      <c r="J1513" s="7">
        <f t="shared" si="231"/>
        <v>250</v>
      </c>
      <c r="K1513" s="7">
        <f t="shared" si="232"/>
        <v>4750</v>
      </c>
      <c r="L1513" s="4">
        <v>97000</v>
      </c>
      <c r="M1513" s="7">
        <f t="shared" si="233"/>
        <v>101750</v>
      </c>
      <c r="N1513" s="2" t="s">
        <v>21</v>
      </c>
      <c r="O1513" t="s">
        <v>69</v>
      </c>
      <c r="P1513" s="2" t="s">
        <v>2366</v>
      </c>
      <c r="Q1513" s="2">
        <v>3</v>
      </c>
      <c r="R1513" s="2" t="s">
        <v>23</v>
      </c>
      <c r="S1513" s="2" t="str">
        <f t="shared" si="234"/>
        <v>Standar</v>
      </c>
      <c r="T1513" s="2" t="str">
        <f t="shared" si="235"/>
        <v>FALSE</v>
      </c>
      <c r="U1513" s="2" t="str">
        <f t="shared" si="236"/>
        <v>TRUE</v>
      </c>
      <c r="V1513" s="2" t="b">
        <f t="shared" si="237"/>
        <v>0</v>
      </c>
      <c r="W1513" s="2" t="b">
        <f t="shared" si="238"/>
        <v>0</v>
      </c>
      <c r="X1513" s="2" t="b">
        <f t="shared" si="239"/>
        <v>0</v>
      </c>
    </row>
    <row r="1514" spans="1:24" ht="10.5" customHeight="1">
      <c r="A1514" s="2" t="s">
        <v>1876</v>
      </c>
      <c r="B1514" s="3">
        <v>45955.735729166663</v>
      </c>
      <c r="C1514" s="2" t="s">
        <v>1877</v>
      </c>
      <c r="D1514" s="2" t="s">
        <v>229</v>
      </c>
      <c r="E1514" s="2" t="s">
        <v>95</v>
      </c>
      <c r="F1514" s="4">
        <v>9500</v>
      </c>
      <c r="G1514" s="5">
        <v>1.4</v>
      </c>
      <c r="H1514" s="6">
        <v>5</v>
      </c>
      <c r="I1514" s="7">
        <f t="shared" si="230"/>
        <v>13300</v>
      </c>
      <c r="J1514" s="7">
        <f t="shared" si="231"/>
        <v>665</v>
      </c>
      <c r="K1514" s="7">
        <f t="shared" si="232"/>
        <v>12635</v>
      </c>
      <c r="L1514" s="4">
        <v>28000</v>
      </c>
      <c r="M1514" s="7">
        <f t="shared" si="233"/>
        <v>40635</v>
      </c>
      <c r="N1514" s="2" t="s">
        <v>58</v>
      </c>
      <c r="O1514" t="s">
        <v>22</v>
      </c>
      <c r="P1514" s="2" t="s">
        <v>2367</v>
      </c>
      <c r="Q1514" s="2">
        <v>2</v>
      </c>
      <c r="R1514" s="2" t="s">
        <v>23</v>
      </c>
      <c r="S1514" s="2" t="str">
        <f t="shared" si="234"/>
        <v>Sangat Rendah</v>
      </c>
      <c r="T1514" s="2" t="str">
        <f t="shared" si="235"/>
        <v>FALSE</v>
      </c>
      <c r="U1514" s="2" t="str">
        <f t="shared" si="236"/>
        <v>FALSE</v>
      </c>
      <c r="V1514" s="2" t="b">
        <f t="shared" si="237"/>
        <v>0</v>
      </c>
      <c r="W1514" s="2" t="b">
        <f t="shared" si="238"/>
        <v>1</v>
      </c>
      <c r="X1514" s="2" t="b">
        <f t="shared" si="239"/>
        <v>1</v>
      </c>
    </row>
    <row r="1515" spans="1:24" ht="10.5" customHeight="1">
      <c r="A1515" s="2" t="s">
        <v>1876</v>
      </c>
      <c r="B1515" s="3">
        <v>45955.735729166663</v>
      </c>
      <c r="C1515" s="2" t="s">
        <v>1877</v>
      </c>
      <c r="D1515" s="2" t="s">
        <v>229</v>
      </c>
      <c r="E1515" s="2" t="s">
        <v>170</v>
      </c>
      <c r="F1515" s="4">
        <v>12000</v>
      </c>
      <c r="G1515" s="5">
        <v>1.5</v>
      </c>
      <c r="H1515" s="6">
        <v>5</v>
      </c>
      <c r="I1515" s="7">
        <f t="shared" si="230"/>
        <v>18000</v>
      </c>
      <c r="J1515" s="7">
        <f t="shared" si="231"/>
        <v>900</v>
      </c>
      <c r="K1515" s="7">
        <f t="shared" si="232"/>
        <v>17100</v>
      </c>
      <c r="L1515" s="4">
        <v>0</v>
      </c>
      <c r="M1515" s="7">
        <f t="shared" si="233"/>
        <v>17100</v>
      </c>
      <c r="N1515" s="2" t="s">
        <v>58</v>
      </c>
      <c r="O1515" t="s">
        <v>22</v>
      </c>
      <c r="P1515" s="2" t="s">
        <v>2367</v>
      </c>
      <c r="Q1515" s="2">
        <v>2</v>
      </c>
      <c r="R1515" s="2" t="s">
        <v>23</v>
      </c>
      <c r="S1515" s="2" t="str">
        <f t="shared" si="234"/>
        <v>Sangat Rendah</v>
      </c>
      <c r="T1515" s="2" t="str">
        <f t="shared" si="235"/>
        <v>FALSE</v>
      </c>
      <c r="U1515" s="2" t="str">
        <f t="shared" si="236"/>
        <v>FALSE</v>
      </c>
      <c r="V1515" s="2" t="b">
        <f t="shared" si="237"/>
        <v>0</v>
      </c>
      <c r="W1515" s="2" t="b">
        <f t="shared" si="238"/>
        <v>1</v>
      </c>
      <c r="X1515" s="2" t="b">
        <f t="shared" si="239"/>
        <v>1</v>
      </c>
    </row>
    <row r="1516" spans="1:24" ht="10.5" customHeight="1">
      <c r="A1516" s="2" t="s">
        <v>1878</v>
      </c>
      <c r="B1516" s="3">
        <v>45955.76394675926</v>
      </c>
      <c r="C1516" s="2" t="s">
        <v>213</v>
      </c>
      <c r="D1516" s="2" t="s">
        <v>44</v>
      </c>
      <c r="E1516" s="2" t="s">
        <v>20</v>
      </c>
      <c r="F1516" s="4">
        <v>10000</v>
      </c>
      <c r="G1516" s="5">
        <v>1.3</v>
      </c>
      <c r="H1516" s="6">
        <v>5</v>
      </c>
      <c r="I1516" s="7">
        <f t="shared" si="230"/>
        <v>13000</v>
      </c>
      <c r="J1516" s="7">
        <f t="shared" si="231"/>
        <v>650</v>
      </c>
      <c r="K1516" s="7">
        <f t="shared" si="232"/>
        <v>12350</v>
      </c>
      <c r="L1516" s="4">
        <v>43000</v>
      </c>
      <c r="M1516" s="7">
        <f t="shared" si="233"/>
        <v>55350</v>
      </c>
      <c r="N1516" s="2" t="s">
        <v>58</v>
      </c>
      <c r="O1516" t="s">
        <v>22</v>
      </c>
      <c r="P1516" s="2" t="s">
        <v>2368</v>
      </c>
      <c r="Q1516" s="2">
        <v>1</v>
      </c>
      <c r="R1516" s="2" t="s">
        <v>23</v>
      </c>
      <c r="S1516" s="2" t="str">
        <f t="shared" si="234"/>
        <v>Rendah</v>
      </c>
      <c r="T1516" s="2" t="str">
        <f t="shared" si="235"/>
        <v>FALSE</v>
      </c>
      <c r="U1516" s="2" t="str">
        <f t="shared" si="236"/>
        <v>FALSE</v>
      </c>
      <c r="V1516" s="2" t="b">
        <f t="shared" si="237"/>
        <v>0</v>
      </c>
      <c r="W1516" s="2" t="b">
        <f t="shared" si="238"/>
        <v>0</v>
      </c>
      <c r="X1516" s="2" t="b">
        <f t="shared" si="239"/>
        <v>0</v>
      </c>
    </row>
    <row r="1517" spans="1:24" ht="10.5" customHeight="1">
      <c r="A1517" s="2" t="s">
        <v>1879</v>
      </c>
      <c r="B1517" s="3">
        <v>45955.790925925918</v>
      </c>
      <c r="C1517" s="2" t="s">
        <v>698</v>
      </c>
      <c r="D1517" s="2" t="s">
        <v>108</v>
      </c>
      <c r="E1517" s="2" t="s">
        <v>35</v>
      </c>
      <c r="F1517" s="4">
        <v>13500</v>
      </c>
      <c r="G1517" s="5">
        <v>1.7</v>
      </c>
      <c r="H1517" s="6">
        <v>5</v>
      </c>
      <c r="I1517" s="7">
        <f t="shared" si="230"/>
        <v>22950</v>
      </c>
      <c r="J1517" s="7">
        <f t="shared" si="231"/>
        <v>1147.5</v>
      </c>
      <c r="K1517" s="7">
        <f t="shared" si="232"/>
        <v>21802.5</v>
      </c>
      <c r="L1517" s="4">
        <v>72000</v>
      </c>
      <c r="M1517" s="7">
        <f t="shared" si="233"/>
        <v>93802.5</v>
      </c>
      <c r="N1517" s="2" t="s">
        <v>28</v>
      </c>
      <c r="O1517" t="s">
        <v>22</v>
      </c>
      <c r="P1517" s="2" t="s">
        <v>2366</v>
      </c>
      <c r="Q1517" s="2">
        <v>1</v>
      </c>
      <c r="R1517" s="2" t="s">
        <v>23</v>
      </c>
      <c r="S1517" s="2" t="str">
        <f t="shared" si="234"/>
        <v>Rendah</v>
      </c>
      <c r="T1517" s="2" t="str">
        <f t="shared" si="235"/>
        <v>FALSE</v>
      </c>
      <c r="U1517" s="2" t="str">
        <f t="shared" si="236"/>
        <v>FALSE</v>
      </c>
      <c r="V1517" s="2" t="b">
        <f t="shared" si="237"/>
        <v>0</v>
      </c>
      <c r="W1517" s="2" t="b">
        <f t="shared" si="238"/>
        <v>0</v>
      </c>
      <c r="X1517" s="2" t="b">
        <f t="shared" si="239"/>
        <v>0</v>
      </c>
    </row>
    <row r="1518" spans="1:24" ht="10.5" customHeight="1">
      <c r="A1518" s="2" t="s">
        <v>1880</v>
      </c>
      <c r="B1518" s="3">
        <v>45955.8202662037</v>
      </c>
      <c r="C1518" s="2" t="s">
        <v>351</v>
      </c>
      <c r="D1518" s="2" t="s">
        <v>64</v>
      </c>
      <c r="E1518" s="2" t="s">
        <v>143</v>
      </c>
      <c r="F1518" s="4">
        <v>10000</v>
      </c>
      <c r="G1518" s="5">
        <v>0.3</v>
      </c>
      <c r="H1518" s="6">
        <v>5</v>
      </c>
      <c r="I1518" s="7">
        <f t="shared" si="230"/>
        <v>3000</v>
      </c>
      <c r="J1518" s="7">
        <f t="shared" si="231"/>
        <v>150</v>
      </c>
      <c r="K1518" s="7">
        <f t="shared" si="232"/>
        <v>2850</v>
      </c>
      <c r="L1518" s="4">
        <v>89000</v>
      </c>
      <c r="M1518" s="7">
        <f t="shared" si="233"/>
        <v>91850</v>
      </c>
      <c r="N1518" s="2" t="s">
        <v>58</v>
      </c>
      <c r="O1518" t="s">
        <v>22</v>
      </c>
      <c r="P1518" s="2" t="s">
        <v>2365</v>
      </c>
      <c r="Q1518" s="2">
        <v>1</v>
      </c>
      <c r="R1518" s="2" t="s">
        <v>34</v>
      </c>
      <c r="S1518" s="2" t="str">
        <f t="shared" si="234"/>
        <v>Rendah</v>
      </c>
      <c r="T1518" s="2" t="str">
        <f t="shared" si="235"/>
        <v>FALSE</v>
      </c>
      <c r="U1518" s="2" t="str">
        <f t="shared" si="236"/>
        <v>TRUE</v>
      </c>
      <c r="V1518" s="2" t="b">
        <f t="shared" si="237"/>
        <v>0</v>
      </c>
      <c r="W1518" s="2" t="b">
        <f t="shared" si="238"/>
        <v>0</v>
      </c>
      <c r="X1518" s="2" t="b">
        <f t="shared" si="239"/>
        <v>0</v>
      </c>
    </row>
    <row r="1519" spans="1:24" ht="10.5" customHeight="1">
      <c r="A1519" s="2" t="s">
        <v>1881</v>
      </c>
      <c r="B1519" s="3">
        <v>45956.452164351853</v>
      </c>
      <c r="C1519" s="2" t="s">
        <v>237</v>
      </c>
      <c r="D1519" s="2" t="s">
        <v>229</v>
      </c>
      <c r="E1519" s="2" t="s">
        <v>161</v>
      </c>
      <c r="F1519" s="4">
        <v>115000</v>
      </c>
      <c r="G1519" s="5">
        <v>0.3</v>
      </c>
      <c r="H1519" s="6">
        <v>0</v>
      </c>
      <c r="I1519" s="7">
        <f t="shared" si="230"/>
        <v>34500</v>
      </c>
      <c r="J1519" s="7">
        <f t="shared" si="231"/>
        <v>0</v>
      </c>
      <c r="K1519" s="7">
        <f t="shared" si="232"/>
        <v>34500</v>
      </c>
      <c r="L1519" s="4">
        <v>28000</v>
      </c>
      <c r="M1519" s="7">
        <f t="shared" si="233"/>
        <v>62500</v>
      </c>
      <c r="N1519" s="2" t="s">
        <v>21</v>
      </c>
      <c r="O1519" t="s">
        <v>22</v>
      </c>
      <c r="P1519" s="2" t="s">
        <v>2368</v>
      </c>
      <c r="Q1519" s="2">
        <v>2</v>
      </c>
      <c r="R1519" s="2" t="s">
        <v>23</v>
      </c>
      <c r="S1519" s="2" t="str">
        <f t="shared" si="234"/>
        <v>Rendah</v>
      </c>
      <c r="T1519" s="2" t="str">
        <f t="shared" si="235"/>
        <v>FALSE</v>
      </c>
      <c r="U1519" s="2" t="str">
        <f t="shared" si="236"/>
        <v>FALSE</v>
      </c>
      <c r="V1519" s="2" t="b">
        <f t="shared" si="237"/>
        <v>0</v>
      </c>
      <c r="W1519" s="2" t="b">
        <f t="shared" si="238"/>
        <v>0</v>
      </c>
      <c r="X1519" s="2" t="b">
        <f t="shared" si="239"/>
        <v>0</v>
      </c>
    </row>
    <row r="1520" spans="1:24" ht="10.5" customHeight="1">
      <c r="A1520" s="2" t="s">
        <v>1882</v>
      </c>
      <c r="B1520" s="3">
        <v>45956.492743055547</v>
      </c>
      <c r="C1520" s="2" t="s">
        <v>1123</v>
      </c>
      <c r="D1520" s="2" t="s">
        <v>74</v>
      </c>
      <c r="E1520" s="2" t="s">
        <v>80</v>
      </c>
      <c r="F1520" s="4">
        <v>15000</v>
      </c>
      <c r="G1520" s="5">
        <v>2.1</v>
      </c>
      <c r="H1520" s="6">
        <v>0</v>
      </c>
      <c r="I1520" s="7">
        <f t="shared" si="230"/>
        <v>31500</v>
      </c>
      <c r="J1520" s="7">
        <f t="shared" si="231"/>
        <v>0</v>
      </c>
      <c r="K1520" s="7">
        <f t="shared" si="232"/>
        <v>31500</v>
      </c>
      <c r="L1520" s="4">
        <v>74000</v>
      </c>
      <c r="M1520" s="7">
        <f t="shared" si="233"/>
        <v>105500</v>
      </c>
      <c r="N1520" s="2" t="s">
        <v>21</v>
      </c>
      <c r="O1520" t="s">
        <v>69</v>
      </c>
      <c r="P1520" s="2" t="s">
        <v>2370</v>
      </c>
      <c r="Q1520" s="2">
        <v>2</v>
      </c>
      <c r="R1520" s="2" t="s">
        <v>23</v>
      </c>
      <c r="S1520" s="2" t="str">
        <f t="shared" si="234"/>
        <v>Standar</v>
      </c>
      <c r="T1520" s="2" t="str">
        <f t="shared" si="235"/>
        <v>FALSE</v>
      </c>
      <c r="U1520" s="2" t="str">
        <f t="shared" si="236"/>
        <v>FALSE</v>
      </c>
      <c r="V1520" s="2" t="b">
        <f t="shared" si="237"/>
        <v>0</v>
      </c>
      <c r="W1520" s="2" t="b">
        <f t="shared" si="238"/>
        <v>0</v>
      </c>
      <c r="X1520" s="2" t="b">
        <f t="shared" si="239"/>
        <v>0</v>
      </c>
    </row>
    <row r="1521" spans="1:24" ht="10.5" customHeight="1">
      <c r="A1521" s="2" t="s">
        <v>1883</v>
      </c>
      <c r="B1521" s="3">
        <v>45956.521331018521</v>
      </c>
      <c r="C1521" s="2" t="s">
        <v>1372</v>
      </c>
      <c r="D1521" s="2" t="s">
        <v>68</v>
      </c>
      <c r="E1521" s="2" t="s">
        <v>45</v>
      </c>
      <c r="F1521" s="4">
        <v>10500</v>
      </c>
      <c r="G1521" s="5">
        <v>2.2999999999999998</v>
      </c>
      <c r="H1521" s="6">
        <v>0</v>
      </c>
      <c r="I1521" s="7">
        <f t="shared" si="230"/>
        <v>24149.999999999996</v>
      </c>
      <c r="J1521" s="7">
        <f t="shared" si="231"/>
        <v>0</v>
      </c>
      <c r="K1521" s="7">
        <f t="shared" si="232"/>
        <v>24149.999999999996</v>
      </c>
      <c r="L1521" s="4">
        <v>87000</v>
      </c>
      <c r="M1521" s="7">
        <f t="shared" si="233"/>
        <v>111150</v>
      </c>
      <c r="N1521" s="2" t="s">
        <v>58</v>
      </c>
      <c r="O1521" t="s">
        <v>22</v>
      </c>
      <c r="P1521" s="2" t="s">
        <v>2370</v>
      </c>
      <c r="Q1521" s="2">
        <v>3</v>
      </c>
      <c r="R1521" s="2" t="s">
        <v>23</v>
      </c>
      <c r="S1521" s="2" t="str">
        <f t="shared" si="234"/>
        <v>Standar</v>
      </c>
      <c r="T1521" s="2" t="str">
        <f t="shared" si="235"/>
        <v>FALSE</v>
      </c>
      <c r="U1521" s="2" t="str">
        <f t="shared" si="236"/>
        <v>FALSE</v>
      </c>
      <c r="V1521" s="2" t="b">
        <f t="shared" si="237"/>
        <v>0</v>
      </c>
      <c r="W1521" s="2" t="b">
        <f t="shared" si="238"/>
        <v>0</v>
      </c>
      <c r="X1521" s="2" t="b">
        <f t="shared" si="239"/>
        <v>0</v>
      </c>
    </row>
    <row r="1522" spans="1:24" ht="10.5" customHeight="1">
      <c r="A1522" s="2" t="s">
        <v>1884</v>
      </c>
      <c r="B1522" s="3">
        <v>45956.540011574078</v>
      </c>
      <c r="C1522" s="2" t="s">
        <v>263</v>
      </c>
      <c r="D1522" s="2" t="s">
        <v>185</v>
      </c>
      <c r="E1522" s="2" t="s">
        <v>99</v>
      </c>
      <c r="F1522" s="4">
        <v>10000</v>
      </c>
      <c r="G1522" s="5">
        <v>0.4</v>
      </c>
      <c r="H1522" s="6">
        <v>0</v>
      </c>
      <c r="I1522" s="7">
        <f t="shared" si="230"/>
        <v>4000</v>
      </c>
      <c r="J1522" s="7">
        <f t="shared" si="231"/>
        <v>0</v>
      </c>
      <c r="K1522" s="7">
        <f t="shared" si="232"/>
        <v>4000</v>
      </c>
      <c r="L1522" s="4">
        <v>87000</v>
      </c>
      <c r="M1522" s="7">
        <f t="shared" si="233"/>
        <v>91000</v>
      </c>
      <c r="N1522" s="2" t="s">
        <v>21</v>
      </c>
      <c r="O1522" t="s">
        <v>22</v>
      </c>
      <c r="P1522" s="2" t="s">
        <v>2366</v>
      </c>
      <c r="Q1522" s="2">
        <v>5</v>
      </c>
      <c r="R1522" s="2" t="s">
        <v>23</v>
      </c>
      <c r="S1522" s="2" t="str">
        <f t="shared" si="234"/>
        <v>Rendah</v>
      </c>
      <c r="T1522" s="2" t="str">
        <f t="shared" si="235"/>
        <v>FALSE</v>
      </c>
      <c r="U1522" s="2" t="str">
        <f t="shared" si="236"/>
        <v>FALSE</v>
      </c>
      <c r="V1522" s="2" t="b">
        <f t="shared" si="237"/>
        <v>0</v>
      </c>
      <c r="W1522" s="2" t="b">
        <f t="shared" si="238"/>
        <v>0</v>
      </c>
      <c r="X1522" s="2" t="b">
        <f t="shared" si="239"/>
        <v>0</v>
      </c>
    </row>
    <row r="1523" spans="1:24" ht="10.5" customHeight="1">
      <c r="A1523" s="2" t="s">
        <v>1885</v>
      </c>
      <c r="B1523" s="3">
        <v>45956.541377314818</v>
      </c>
      <c r="C1523" s="2" t="s">
        <v>343</v>
      </c>
      <c r="D1523" s="2" t="s">
        <v>61</v>
      </c>
      <c r="E1523" s="2" t="s">
        <v>80</v>
      </c>
      <c r="F1523" s="4">
        <v>15000</v>
      </c>
      <c r="G1523" s="5">
        <v>1.2</v>
      </c>
      <c r="H1523" s="6">
        <v>0</v>
      </c>
      <c r="I1523" s="7">
        <f t="shared" si="230"/>
        <v>18000</v>
      </c>
      <c r="J1523" s="7">
        <f t="shared" si="231"/>
        <v>0</v>
      </c>
      <c r="K1523" s="7">
        <f t="shared" si="232"/>
        <v>18000</v>
      </c>
      <c r="L1523" s="4">
        <v>59000</v>
      </c>
      <c r="M1523" s="7">
        <f t="shared" si="233"/>
        <v>77000</v>
      </c>
      <c r="N1523" s="2" t="s">
        <v>33</v>
      </c>
      <c r="O1523" t="s">
        <v>22</v>
      </c>
      <c r="P1523" s="2" t="s">
        <v>2370</v>
      </c>
      <c r="Q1523" s="2">
        <v>5</v>
      </c>
      <c r="R1523" s="2" t="s">
        <v>23</v>
      </c>
      <c r="S1523" s="2" t="str">
        <f t="shared" si="234"/>
        <v>Rendah</v>
      </c>
      <c r="T1523" s="2" t="str">
        <f t="shared" si="235"/>
        <v>FALSE</v>
      </c>
      <c r="U1523" s="2" t="str">
        <f t="shared" si="236"/>
        <v>FALSE</v>
      </c>
      <c r="V1523" s="2" t="b">
        <f t="shared" si="237"/>
        <v>0</v>
      </c>
      <c r="W1523" s="2" t="b">
        <f t="shared" si="238"/>
        <v>0</v>
      </c>
      <c r="X1523" s="2" t="b">
        <f t="shared" si="239"/>
        <v>0</v>
      </c>
    </row>
    <row r="1524" spans="1:24" ht="10.5" customHeight="1">
      <c r="A1524" s="2" t="s">
        <v>1886</v>
      </c>
      <c r="B1524" s="3">
        <v>45956.57304398148</v>
      </c>
      <c r="C1524" s="2" t="s">
        <v>678</v>
      </c>
      <c r="D1524" s="2" t="s">
        <v>84</v>
      </c>
      <c r="E1524" s="2" t="s">
        <v>143</v>
      </c>
      <c r="F1524" s="4">
        <v>10000</v>
      </c>
      <c r="G1524" s="5">
        <v>0.6</v>
      </c>
      <c r="H1524" s="6">
        <v>0</v>
      </c>
      <c r="I1524" s="7">
        <f t="shared" si="230"/>
        <v>6000</v>
      </c>
      <c r="J1524" s="7">
        <f t="shared" si="231"/>
        <v>0</v>
      </c>
      <c r="K1524" s="7">
        <f t="shared" si="232"/>
        <v>6000</v>
      </c>
      <c r="L1524" s="4">
        <v>30000</v>
      </c>
      <c r="M1524" s="7">
        <f t="shared" si="233"/>
        <v>36000</v>
      </c>
      <c r="N1524" s="2" t="s">
        <v>33</v>
      </c>
      <c r="O1524" t="s">
        <v>22</v>
      </c>
      <c r="P1524" s="2" t="s">
        <v>2365</v>
      </c>
      <c r="Q1524" s="2">
        <v>4</v>
      </c>
      <c r="R1524" s="2" t="s">
        <v>23</v>
      </c>
      <c r="S1524" s="2" t="str">
        <f t="shared" si="234"/>
        <v>Sangat Rendah</v>
      </c>
      <c r="T1524" s="2" t="str">
        <f t="shared" si="235"/>
        <v>FALSE</v>
      </c>
      <c r="U1524" s="2" t="str">
        <f t="shared" si="236"/>
        <v>TRUE</v>
      </c>
      <c r="V1524" s="2" t="b">
        <f t="shared" si="237"/>
        <v>0</v>
      </c>
      <c r="W1524" s="2" t="b">
        <f t="shared" si="238"/>
        <v>0</v>
      </c>
      <c r="X1524" s="2" t="b">
        <f t="shared" si="239"/>
        <v>1</v>
      </c>
    </row>
    <row r="1525" spans="1:24" ht="10.5" customHeight="1">
      <c r="A1525" s="2" t="s">
        <v>1887</v>
      </c>
      <c r="B1525" s="3">
        <v>45956.573923611111</v>
      </c>
      <c r="C1525" s="2" t="s">
        <v>304</v>
      </c>
      <c r="D1525" s="2" t="s">
        <v>105</v>
      </c>
      <c r="E1525" s="2" t="s">
        <v>75</v>
      </c>
      <c r="F1525" s="4">
        <v>45000</v>
      </c>
      <c r="G1525" s="5">
        <v>1.1000000000000001</v>
      </c>
      <c r="H1525" s="6">
        <v>0</v>
      </c>
      <c r="I1525" s="7">
        <f t="shared" si="230"/>
        <v>49500.000000000007</v>
      </c>
      <c r="J1525" s="7">
        <f t="shared" si="231"/>
        <v>0</v>
      </c>
      <c r="K1525" s="7">
        <f t="shared" si="232"/>
        <v>49500.000000000007</v>
      </c>
      <c r="L1525" s="4">
        <v>18000</v>
      </c>
      <c r="M1525" s="7">
        <f t="shared" si="233"/>
        <v>67500</v>
      </c>
      <c r="N1525" s="2" t="s">
        <v>58</v>
      </c>
      <c r="O1525" t="s">
        <v>22</v>
      </c>
      <c r="P1525" s="2" t="s">
        <v>2365</v>
      </c>
      <c r="Q1525" s="2">
        <v>2</v>
      </c>
      <c r="R1525" s="2" t="s">
        <v>23</v>
      </c>
      <c r="S1525" s="2" t="str">
        <f t="shared" si="234"/>
        <v>Rendah</v>
      </c>
      <c r="T1525" s="2" t="str">
        <f t="shared" si="235"/>
        <v>FALSE</v>
      </c>
      <c r="U1525" s="2" t="str">
        <f t="shared" si="236"/>
        <v>FALSE</v>
      </c>
      <c r="V1525" s="2" t="b">
        <f t="shared" si="237"/>
        <v>0</v>
      </c>
      <c r="W1525" s="2" t="b">
        <f t="shared" si="238"/>
        <v>0</v>
      </c>
      <c r="X1525" s="2" t="b">
        <f t="shared" si="239"/>
        <v>0</v>
      </c>
    </row>
    <row r="1526" spans="1:24" ht="10.5" customHeight="1">
      <c r="A1526" s="2" t="s">
        <v>1888</v>
      </c>
      <c r="B1526" s="3">
        <v>45956.597581018519</v>
      </c>
      <c r="C1526" s="2" t="s">
        <v>316</v>
      </c>
      <c r="D1526" s="2" t="s">
        <v>252</v>
      </c>
      <c r="E1526" s="2" t="s">
        <v>57</v>
      </c>
      <c r="F1526" s="4">
        <v>17500</v>
      </c>
      <c r="G1526" s="5">
        <v>2.1</v>
      </c>
      <c r="H1526" s="6">
        <v>0</v>
      </c>
      <c r="I1526" s="7">
        <f t="shared" si="230"/>
        <v>36750</v>
      </c>
      <c r="J1526" s="7">
        <f t="shared" si="231"/>
        <v>0</v>
      </c>
      <c r="K1526" s="7">
        <f t="shared" si="232"/>
        <v>36750</v>
      </c>
      <c r="L1526" s="4">
        <v>18000</v>
      </c>
      <c r="M1526" s="7">
        <f t="shared" si="233"/>
        <v>54750</v>
      </c>
      <c r="N1526" s="2" t="s">
        <v>33</v>
      </c>
      <c r="O1526" t="s">
        <v>22</v>
      </c>
      <c r="P1526" s="2" t="s">
        <v>2368</v>
      </c>
      <c r="Q1526" s="2">
        <v>4</v>
      </c>
      <c r="R1526" s="2" t="s">
        <v>34</v>
      </c>
      <c r="S1526" s="2" t="str">
        <f t="shared" si="234"/>
        <v>Rendah</v>
      </c>
      <c r="T1526" s="2" t="str">
        <f t="shared" si="235"/>
        <v>FALSE</v>
      </c>
      <c r="U1526" s="2" t="str">
        <f t="shared" si="236"/>
        <v>FALSE</v>
      </c>
      <c r="V1526" s="2" t="b">
        <f t="shared" si="237"/>
        <v>0</v>
      </c>
      <c r="W1526" s="2" t="b">
        <f t="shared" si="238"/>
        <v>0</v>
      </c>
      <c r="X1526" s="2" t="b">
        <f t="shared" si="239"/>
        <v>0</v>
      </c>
    </row>
    <row r="1527" spans="1:24" ht="10.5" customHeight="1">
      <c r="A1527" s="2" t="s">
        <v>1889</v>
      </c>
      <c r="B1527" s="3">
        <v>45956.706759259258</v>
      </c>
      <c r="C1527" s="2" t="s">
        <v>261</v>
      </c>
      <c r="D1527" s="2" t="s">
        <v>44</v>
      </c>
      <c r="E1527" s="2" t="s">
        <v>32</v>
      </c>
      <c r="F1527" s="4">
        <v>20000</v>
      </c>
      <c r="G1527" s="5">
        <v>1.8</v>
      </c>
      <c r="H1527" s="6">
        <v>0</v>
      </c>
      <c r="I1527" s="7">
        <f t="shared" si="230"/>
        <v>36000</v>
      </c>
      <c r="J1527" s="7">
        <f t="shared" si="231"/>
        <v>0</v>
      </c>
      <c r="K1527" s="7">
        <f t="shared" si="232"/>
        <v>36000</v>
      </c>
      <c r="L1527" s="4">
        <v>43000</v>
      </c>
      <c r="M1527" s="7">
        <f t="shared" si="233"/>
        <v>79000</v>
      </c>
      <c r="N1527" s="2" t="s">
        <v>21</v>
      </c>
      <c r="O1527" t="s">
        <v>22</v>
      </c>
      <c r="P1527" s="2" t="s">
        <v>2365</v>
      </c>
      <c r="Q1527" s="2">
        <v>1</v>
      </c>
      <c r="R1527" s="2" t="s">
        <v>23</v>
      </c>
      <c r="S1527" s="2" t="str">
        <f t="shared" si="234"/>
        <v>Rendah</v>
      </c>
      <c r="T1527" s="2" t="str">
        <f t="shared" si="235"/>
        <v>FALSE</v>
      </c>
      <c r="U1527" s="2" t="str">
        <f t="shared" si="236"/>
        <v>FALSE</v>
      </c>
      <c r="V1527" s="2" t="b">
        <f t="shared" si="237"/>
        <v>0</v>
      </c>
      <c r="W1527" s="2" t="b">
        <f t="shared" si="238"/>
        <v>0</v>
      </c>
      <c r="X1527" s="2" t="b">
        <f t="shared" si="239"/>
        <v>0</v>
      </c>
    </row>
    <row r="1528" spans="1:24" ht="10.5" customHeight="1">
      <c r="A1528" s="2" t="s">
        <v>1890</v>
      </c>
      <c r="B1528" s="3">
        <v>45956.710729166669</v>
      </c>
      <c r="C1528" s="2" t="s">
        <v>628</v>
      </c>
      <c r="D1528" s="2" t="s">
        <v>185</v>
      </c>
      <c r="E1528" s="2" t="s">
        <v>80</v>
      </c>
      <c r="F1528" s="4">
        <v>15000</v>
      </c>
      <c r="G1528" s="5">
        <v>2.1</v>
      </c>
      <c r="H1528" s="6">
        <v>0</v>
      </c>
      <c r="I1528" s="7">
        <f t="shared" si="230"/>
        <v>31500</v>
      </c>
      <c r="J1528" s="7">
        <f t="shared" si="231"/>
        <v>0</v>
      </c>
      <c r="K1528" s="7">
        <f t="shared" si="232"/>
        <v>31500</v>
      </c>
      <c r="L1528" s="4">
        <v>87000</v>
      </c>
      <c r="M1528" s="7">
        <f t="shared" si="233"/>
        <v>118500</v>
      </c>
      <c r="N1528" s="2" t="s">
        <v>21</v>
      </c>
      <c r="O1528" t="s">
        <v>22</v>
      </c>
      <c r="P1528" s="2" t="s">
        <v>2366</v>
      </c>
      <c r="Q1528" s="2">
        <v>5</v>
      </c>
      <c r="R1528" s="2" t="s">
        <v>34</v>
      </c>
      <c r="S1528" s="2" t="str">
        <f t="shared" si="234"/>
        <v>Standar</v>
      </c>
      <c r="T1528" s="2" t="str">
        <f t="shared" si="235"/>
        <v>FALSE</v>
      </c>
      <c r="U1528" s="2" t="str">
        <f t="shared" si="236"/>
        <v>FALSE</v>
      </c>
      <c r="V1528" s="2" t="b">
        <f t="shared" si="237"/>
        <v>0</v>
      </c>
      <c r="W1528" s="2" t="b">
        <f t="shared" si="238"/>
        <v>0</v>
      </c>
      <c r="X1528" s="2" t="b">
        <f t="shared" si="239"/>
        <v>0</v>
      </c>
    </row>
    <row r="1529" spans="1:24" ht="10.5" customHeight="1">
      <c r="A1529" s="2" t="s">
        <v>1891</v>
      </c>
      <c r="B1529" s="3">
        <v>45956.90357638889</v>
      </c>
      <c r="C1529" s="2" t="s">
        <v>1189</v>
      </c>
      <c r="D1529" s="2" t="s">
        <v>365</v>
      </c>
      <c r="E1529" s="2" t="s">
        <v>57</v>
      </c>
      <c r="F1529" s="4">
        <v>17500</v>
      </c>
      <c r="G1529" s="5">
        <v>1.8</v>
      </c>
      <c r="H1529" s="6">
        <v>0</v>
      </c>
      <c r="I1529" s="7">
        <f t="shared" si="230"/>
        <v>31500</v>
      </c>
      <c r="J1529" s="7">
        <f t="shared" si="231"/>
        <v>0</v>
      </c>
      <c r="K1529" s="7">
        <f t="shared" si="232"/>
        <v>31500</v>
      </c>
      <c r="L1529" s="4">
        <v>21000</v>
      </c>
      <c r="M1529" s="7">
        <f t="shared" si="233"/>
        <v>52500</v>
      </c>
      <c r="N1529" s="2" t="s">
        <v>33</v>
      </c>
      <c r="O1529" t="s">
        <v>22</v>
      </c>
      <c r="P1529" s="2" t="s">
        <v>2367</v>
      </c>
      <c r="Q1529" s="2">
        <v>1</v>
      </c>
      <c r="R1529" s="2" t="s">
        <v>23</v>
      </c>
      <c r="S1529" s="2" t="str">
        <f t="shared" si="234"/>
        <v>Rendah</v>
      </c>
      <c r="T1529" s="2" t="str">
        <f t="shared" si="235"/>
        <v>FALSE</v>
      </c>
      <c r="U1529" s="2" t="str">
        <f t="shared" si="236"/>
        <v>FALSE</v>
      </c>
      <c r="V1529" s="2" t="b">
        <f t="shared" si="237"/>
        <v>0</v>
      </c>
      <c r="W1529" s="2" t="b">
        <f t="shared" si="238"/>
        <v>1</v>
      </c>
      <c r="X1529" s="2" t="b">
        <f t="shared" si="239"/>
        <v>0</v>
      </c>
    </row>
    <row r="1530" spans="1:24" ht="10.5" customHeight="1">
      <c r="A1530" s="2" t="s">
        <v>1892</v>
      </c>
      <c r="B1530" s="3">
        <v>45957.266504629632</v>
      </c>
      <c r="C1530" s="2" t="s">
        <v>1037</v>
      </c>
      <c r="D1530" s="2" t="s">
        <v>150</v>
      </c>
      <c r="E1530" s="2" t="s">
        <v>41</v>
      </c>
      <c r="F1530" s="4">
        <v>40000</v>
      </c>
      <c r="G1530" s="5">
        <v>0.8</v>
      </c>
      <c r="H1530" s="6">
        <v>0</v>
      </c>
      <c r="I1530" s="7">
        <f t="shared" si="230"/>
        <v>32000</v>
      </c>
      <c r="J1530" s="7">
        <f t="shared" si="231"/>
        <v>0</v>
      </c>
      <c r="K1530" s="7">
        <f t="shared" si="232"/>
        <v>32000</v>
      </c>
      <c r="L1530" s="4">
        <v>68000</v>
      </c>
      <c r="M1530" s="7">
        <f t="shared" si="233"/>
        <v>100000</v>
      </c>
      <c r="N1530" s="2" t="s">
        <v>21</v>
      </c>
      <c r="O1530" t="s">
        <v>22</v>
      </c>
      <c r="P1530" s="2" t="s">
        <v>2368</v>
      </c>
      <c r="Q1530" s="2">
        <v>3</v>
      </c>
      <c r="R1530" s="2" t="s">
        <v>23</v>
      </c>
      <c r="S1530" s="2" t="str">
        <f t="shared" si="234"/>
        <v>Rendah</v>
      </c>
      <c r="T1530" s="2" t="str">
        <f t="shared" si="235"/>
        <v>FALSE</v>
      </c>
      <c r="U1530" s="2" t="str">
        <f t="shared" si="236"/>
        <v>FALSE</v>
      </c>
      <c r="V1530" s="2" t="b">
        <f t="shared" si="237"/>
        <v>0</v>
      </c>
      <c r="W1530" s="2" t="b">
        <f t="shared" si="238"/>
        <v>0</v>
      </c>
      <c r="X1530" s="2" t="b">
        <f t="shared" si="239"/>
        <v>0</v>
      </c>
    </row>
    <row r="1531" spans="1:24" ht="10.5" customHeight="1">
      <c r="A1531" s="2" t="s">
        <v>1893</v>
      </c>
      <c r="B1531" s="3">
        <v>45957.323958333327</v>
      </c>
      <c r="C1531" s="2" t="s">
        <v>327</v>
      </c>
      <c r="D1531" s="2" t="s">
        <v>123</v>
      </c>
      <c r="E1531" s="2" t="s">
        <v>80</v>
      </c>
      <c r="F1531" s="4">
        <v>15000</v>
      </c>
      <c r="G1531" s="5">
        <v>1.4</v>
      </c>
      <c r="H1531" s="6">
        <v>0</v>
      </c>
      <c r="I1531" s="7">
        <f t="shared" si="230"/>
        <v>21000</v>
      </c>
      <c r="J1531" s="7">
        <f t="shared" si="231"/>
        <v>0</v>
      </c>
      <c r="K1531" s="7">
        <f t="shared" si="232"/>
        <v>21000</v>
      </c>
      <c r="L1531" s="4">
        <v>59000</v>
      </c>
      <c r="M1531" s="7">
        <f t="shared" si="233"/>
        <v>80000</v>
      </c>
      <c r="N1531" s="2" t="s">
        <v>28</v>
      </c>
      <c r="O1531" t="s">
        <v>22</v>
      </c>
      <c r="P1531" s="2" t="s">
        <v>2365</v>
      </c>
      <c r="Q1531" s="2">
        <v>5</v>
      </c>
      <c r="R1531" s="2" t="s">
        <v>23</v>
      </c>
      <c r="S1531" s="2" t="str">
        <f t="shared" si="234"/>
        <v>Rendah</v>
      </c>
      <c r="T1531" s="2" t="str">
        <f t="shared" si="235"/>
        <v>FALSE</v>
      </c>
      <c r="U1531" s="2" t="str">
        <f t="shared" si="236"/>
        <v>FALSE</v>
      </c>
      <c r="V1531" s="2" t="b">
        <f t="shared" si="237"/>
        <v>0</v>
      </c>
      <c r="W1531" s="2" t="b">
        <f t="shared" si="238"/>
        <v>0</v>
      </c>
      <c r="X1531" s="2" t="b">
        <f t="shared" si="239"/>
        <v>0</v>
      </c>
    </row>
    <row r="1532" spans="1:24" ht="10.5" customHeight="1">
      <c r="A1532" s="2" t="s">
        <v>1894</v>
      </c>
      <c r="B1532" s="3">
        <v>45957.387164351851</v>
      </c>
      <c r="C1532" s="2" t="s">
        <v>257</v>
      </c>
      <c r="D1532" s="2" t="s">
        <v>123</v>
      </c>
      <c r="E1532" s="2" t="s">
        <v>57</v>
      </c>
      <c r="F1532" s="4">
        <v>17500</v>
      </c>
      <c r="G1532" s="5">
        <v>2.2000000000000002</v>
      </c>
      <c r="H1532" s="6">
        <v>0</v>
      </c>
      <c r="I1532" s="7">
        <f t="shared" si="230"/>
        <v>38500</v>
      </c>
      <c r="J1532" s="7">
        <f t="shared" si="231"/>
        <v>0</v>
      </c>
      <c r="K1532" s="7">
        <f t="shared" si="232"/>
        <v>38500</v>
      </c>
      <c r="L1532" s="4">
        <v>59000</v>
      </c>
      <c r="M1532" s="7">
        <f t="shared" si="233"/>
        <v>97500</v>
      </c>
      <c r="N1532" s="2" t="s">
        <v>58</v>
      </c>
      <c r="O1532" t="s">
        <v>22</v>
      </c>
      <c r="P1532" s="2" t="s">
        <v>2365</v>
      </c>
      <c r="Q1532" s="2">
        <v>4</v>
      </c>
      <c r="R1532" s="2" t="s">
        <v>23</v>
      </c>
      <c r="S1532" s="2" t="str">
        <f t="shared" si="234"/>
        <v>Rendah</v>
      </c>
      <c r="T1532" s="2" t="str">
        <f t="shared" si="235"/>
        <v>FALSE</v>
      </c>
      <c r="U1532" s="2" t="str">
        <f t="shared" si="236"/>
        <v>FALSE</v>
      </c>
      <c r="V1532" s="2" t="b">
        <f t="shared" si="237"/>
        <v>0</v>
      </c>
      <c r="W1532" s="2" t="b">
        <f t="shared" si="238"/>
        <v>0</v>
      </c>
      <c r="X1532" s="2" t="b">
        <f t="shared" si="239"/>
        <v>0</v>
      </c>
    </row>
    <row r="1533" spans="1:24" ht="10.5" customHeight="1">
      <c r="A1533" s="2" t="s">
        <v>1895</v>
      </c>
      <c r="B1533" s="3">
        <v>45957.429826388892</v>
      </c>
      <c r="C1533" s="2" t="s">
        <v>975</v>
      </c>
      <c r="D1533" s="2" t="s">
        <v>48</v>
      </c>
      <c r="E1533" s="2" t="s">
        <v>99</v>
      </c>
      <c r="F1533" s="4">
        <v>10000</v>
      </c>
      <c r="G1533" s="5">
        <v>0.7</v>
      </c>
      <c r="H1533" s="6">
        <v>0</v>
      </c>
      <c r="I1533" s="7">
        <f t="shared" si="230"/>
        <v>7000</v>
      </c>
      <c r="J1533" s="7">
        <f t="shared" si="231"/>
        <v>0</v>
      </c>
      <c r="K1533" s="7">
        <f t="shared" si="232"/>
        <v>7000</v>
      </c>
      <c r="L1533" s="4">
        <v>18000</v>
      </c>
      <c r="M1533" s="7">
        <f t="shared" si="233"/>
        <v>25000</v>
      </c>
      <c r="N1533" s="2" t="s">
        <v>58</v>
      </c>
      <c r="O1533" t="s">
        <v>69</v>
      </c>
      <c r="P1533" s="2" t="s">
        <v>2365</v>
      </c>
      <c r="Q1533" s="2">
        <v>5</v>
      </c>
      <c r="R1533" s="2" t="s">
        <v>23</v>
      </c>
      <c r="S1533" s="2" t="str">
        <f t="shared" si="234"/>
        <v>Sangat Rendah</v>
      </c>
      <c r="T1533" s="2" t="str">
        <f t="shared" si="235"/>
        <v>FALSE</v>
      </c>
      <c r="U1533" s="2" t="str">
        <f t="shared" si="236"/>
        <v>FALSE</v>
      </c>
      <c r="V1533" s="2" t="b">
        <f t="shared" si="237"/>
        <v>0</v>
      </c>
      <c r="W1533" s="2" t="b">
        <f t="shared" si="238"/>
        <v>0</v>
      </c>
      <c r="X1533" s="2" t="b">
        <f t="shared" si="239"/>
        <v>1</v>
      </c>
    </row>
    <row r="1534" spans="1:24" ht="10.5" customHeight="1">
      <c r="A1534" s="2" t="s">
        <v>1896</v>
      </c>
      <c r="B1534" s="3">
        <v>45957.471203703702</v>
      </c>
      <c r="C1534" s="2" t="s">
        <v>1644</v>
      </c>
      <c r="D1534" s="2" t="s">
        <v>68</v>
      </c>
      <c r="E1534" s="2" t="s">
        <v>41</v>
      </c>
      <c r="F1534" s="4">
        <v>40000</v>
      </c>
      <c r="G1534" s="5">
        <v>1.4</v>
      </c>
      <c r="H1534" s="6">
        <v>0</v>
      </c>
      <c r="I1534" s="7">
        <f t="shared" si="230"/>
        <v>56000</v>
      </c>
      <c r="J1534" s="7">
        <f t="shared" si="231"/>
        <v>0</v>
      </c>
      <c r="K1534" s="7">
        <f t="shared" si="232"/>
        <v>56000</v>
      </c>
      <c r="L1534" s="4">
        <v>87000</v>
      </c>
      <c r="M1534" s="7">
        <f t="shared" si="233"/>
        <v>143000</v>
      </c>
      <c r="N1534" s="2" t="s">
        <v>33</v>
      </c>
      <c r="O1534" t="s">
        <v>22</v>
      </c>
      <c r="P1534" s="2" t="s">
        <v>2367</v>
      </c>
      <c r="Q1534" s="2">
        <v>2</v>
      </c>
      <c r="R1534" s="2" t="s">
        <v>34</v>
      </c>
      <c r="S1534" s="2" t="str">
        <f t="shared" si="234"/>
        <v>Standar</v>
      </c>
      <c r="T1534" s="2" t="str">
        <f t="shared" si="235"/>
        <v>FALSE</v>
      </c>
      <c r="U1534" s="2" t="str">
        <f t="shared" si="236"/>
        <v>FALSE</v>
      </c>
      <c r="V1534" s="2" t="b">
        <f t="shared" si="237"/>
        <v>0</v>
      </c>
      <c r="W1534" s="2" t="b">
        <f t="shared" si="238"/>
        <v>1</v>
      </c>
      <c r="X1534" s="2" t="b">
        <f t="shared" si="239"/>
        <v>0</v>
      </c>
    </row>
    <row r="1535" spans="1:24" ht="10.5" customHeight="1">
      <c r="A1535" s="2" t="s">
        <v>1897</v>
      </c>
      <c r="B1535" s="3">
        <v>45957.480358796303</v>
      </c>
      <c r="C1535" s="2" t="s">
        <v>213</v>
      </c>
      <c r="D1535" s="2" t="s">
        <v>44</v>
      </c>
      <c r="E1535" s="2" t="s">
        <v>27</v>
      </c>
      <c r="F1535" s="4">
        <v>15000</v>
      </c>
      <c r="G1535" s="5">
        <v>0.6</v>
      </c>
      <c r="H1535" s="6">
        <v>0</v>
      </c>
      <c r="I1535" s="7">
        <f t="shared" si="230"/>
        <v>9000</v>
      </c>
      <c r="J1535" s="7">
        <f t="shared" si="231"/>
        <v>0</v>
      </c>
      <c r="K1535" s="7">
        <f t="shared" si="232"/>
        <v>9000</v>
      </c>
      <c r="L1535" s="4">
        <v>43000</v>
      </c>
      <c r="M1535" s="7">
        <f t="shared" si="233"/>
        <v>52000</v>
      </c>
      <c r="N1535" s="2" t="s">
        <v>28</v>
      </c>
      <c r="O1535" t="s">
        <v>22</v>
      </c>
      <c r="P1535" s="2" t="s">
        <v>2370</v>
      </c>
      <c r="Q1535" s="2">
        <v>3</v>
      </c>
      <c r="R1535" s="2" t="s">
        <v>23</v>
      </c>
      <c r="S1535" s="2" t="str">
        <f t="shared" si="234"/>
        <v>Rendah</v>
      </c>
      <c r="T1535" s="2" t="str">
        <f t="shared" si="235"/>
        <v>FALSE</v>
      </c>
      <c r="U1535" s="2" t="str">
        <f t="shared" si="236"/>
        <v>FALSE</v>
      </c>
      <c r="V1535" s="2" t="b">
        <f t="shared" si="237"/>
        <v>0</v>
      </c>
      <c r="W1535" s="2" t="b">
        <f t="shared" si="238"/>
        <v>0</v>
      </c>
      <c r="X1535" s="2" t="b">
        <f t="shared" si="239"/>
        <v>0</v>
      </c>
    </row>
    <row r="1536" spans="1:24" ht="10.5" customHeight="1">
      <c r="A1536" s="2" t="s">
        <v>1898</v>
      </c>
      <c r="B1536" s="3">
        <v>45957.48064814815</v>
      </c>
      <c r="C1536" s="2" t="s">
        <v>881</v>
      </c>
      <c r="D1536" s="2" t="s">
        <v>118</v>
      </c>
      <c r="E1536" s="2" t="s">
        <v>65</v>
      </c>
      <c r="F1536" s="4">
        <v>46000</v>
      </c>
      <c r="G1536" s="5">
        <v>0.5</v>
      </c>
      <c r="H1536" s="6">
        <v>0</v>
      </c>
      <c r="I1536" s="7">
        <f t="shared" si="230"/>
        <v>23000</v>
      </c>
      <c r="J1536" s="7">
        <f t="shared" si="231"/>
        <v>0</v>
      </c>
      <c r="K1536" s="7">
        <f t="shared" si="232"/>
        <v>23000</v>
      </c>
      <c r="L1536" s="4">
        <v>84000</v>
      </c>
      <c r="M1536" s="7">
        <f t="shared" si="233"/>
        <v>107000</v>
      </c>
      <c r="N1536" s="2" t="s">
        <v>21</v>
      </c>
      <c r="O1536" t="s">
        <v>22</v>
      </c>
      <c r="P1536" s="2" t="s">
        <v>2368</v>
      </c>
      <c r="Q1536" s="2">
        <v>3</v>
      </c>
      <c r="R1536" s="2" t="s">
        <v>34</v>
      </c>
      <c r="S1536" s="2" t="str">
        <f t="shared" si="234"/>
        <v>Standar</v>
      </c>
      <c r="T1536" s="2" t="str">
        <f t="shared" si="235"/>
        <v>FALSE</v>
      </c>
      <c r="U1536" s="2" t="str">
        <f t="shared" si="236"/>
        <v>FALSE</v>
      </c>
      <c r="V1536" s="2" t="b">
        <f t="shared" si="237"/>
        <v>0</v>
      </c>
      <c r="W1536" s="2" t="b">
        <f t="shared" si="238"/>
        <v>0</v>
      </c>
      <c r="X1536" s="2" t="b">
        <f t="shared" si="239"/>
        <v>0</v>
      </c>
    </row>
    <row r="1537" spans="1:24" ht="10.5" customHeight="1">
      <c r="A1537" s="2" t="s">
        <v>1899</v>
      </c>
      <c r="B1537" s="3">
        <v>45957.541608796288</v>
      </c>
      <c r="C1537" s="2" t="s">
        <v>1030</v>
      </c>
      <c r="D1537" s="2" t="s">
        <v>56</v>
      </c>
      <c r="E1537" s="2" t="s">
        <v>27</v>
      </c>
      <c r="F1537" s="4">
        <v>15000</v>
      </c>
      <c r="G1537" s="5">
        <v>1</v>
      </c>
      <c r="H1537" s="6">
        <v>0</v>
      </c>
      <c r="I1537" s="7">
        <f t="shared" si="230"/>
        <v>15000</v>
      </c>
      <c r="J1537" s="7">
        <f t="shared" si="231"/>
        <v>0</v>
      </c>
      <c r="K1537" s="7">
        <f t="shared" si="232"/>
        <v>15000</v>
      </c>
      <c r="L1537" s="4">
        <v>26000</v>
      </c>
      <c r="M1537" s="7">
        <f t="shared" si="233"/>
        <v>41000</v>
      </c>
      <c r="N1537" s="2" t="s">
        <v>58</v>
      </c>
      <c r="O1537" t="s">
        <v>22</v>
      </c>
      <c r="P1537" s="2" t="s">
        <v>2370</v>
      </c>
      <c r="Q1537" s="2">
        <v>2</v>
      </c>
      <c r="R1537" s="2" t="s">
        <v>23</v>
      </c>
      <c r="S1537" s="2" t="str">
        <f t="shared" si="234"/>
        <v>Sangat Rendah</v>
      </c>
      <c r="T1537" s="2" t="str">
        <f t="shared" si="235"/>
        <v>FALSE</v>
      </c>
      <c r="U1537" s="2" t="str">
        <f t="shared" si="236"/>
        <v>FALSE</v>
      </c>
      <c r="V1537" s="2" t="b">
        <f t="shared" si="237"/>
        <v>0</v>
      </c>
      <c r="W1537" s="2" t="b">
        <f t="shared" si="238"/>
        <v>0</v>
      </c>
      <c r="X1537" s="2" t="b">
        <f t="shared" si="239"/>
        <v>1</v>
      </c>
    </row>
    <row r="1538" spans="1:24" ht="10.5" customHeight="1">
      <c r="A1538" s="2" t="s">
        <v>1900</v>
      </c>
      <c r="B1538" s="3">
        <v>45957.556631944448</v>
      </c>
      <c r="C1538" s="2" t="s">
        <v>110</v>
      </c>
      <c r="D1538" s="2" t="s">
        <v>111</v>
      </c>
      <c r="E1538" s="2" t="s">
        <v>20</v>
      </c>
      <c r="F1538" s="4">
        <v>10000</v>
      </c>
      <c r="G1538" s="5">
        <v>1.4</v>
      </c>
      <c r="H1538" s="6">
        <v>0</v>
      </c>
      <c r="I1538" s="7">
        <f t="shared" si="230"/>
        <v>14000</v>
      </c>
      <c r="J1538" s="7">
        <f t="shared" si="231"/>
        <v>0</v>
      </c>
      <c r="K1538" s="7">
        <f t="shared" si="232"/>
        <v>14000</v>
      </c>
      <c r="L1538" s="4">
        <v>0</v>
      </c>
      <c r="M1538" s="7">
        <f t="shared" si="233"/>
        <v>14000</v>
      </c>
      <c r="N1538" s="2" t="s">
        <v>21</v>
      </c>
      <c r="O1538" t="s">
        <v>115</v>
      </c>
      <c r="P1538" s="2" t="s">
        <v>2365</v>
      </c>
      <c r="Q1538" s="2">
        <v>1</v>
      </c>
      <c r="R1538" s="2" t="s">
        <v>23</v>
      </c>
      <c r="S1538" s="2" t="str">
        <f t="shared" si="234"/>
        <v>Sangat Rendah</v>
      </c>
      <c r="T1538" s="2" t="str">
        <f t="shared" si="235"/>
        <v>FALSE</v>
      </c>
      <c r="U1538" s="2" t="str">
        <f t="shared" si="236"/>
        <v>FALSE</v>
      </c>
      <c r="V1538" s="2" t="b">
        <f t="shared" si="237"/>
        <v>0</v>
      </c>
      <c r="W1538" s="2" t="b">
        <f t="shared" si="238"/>
        <v>0</v>
      </c>
      <c r="X1538" s="2" t="b">
        <f t="shared" si="239"/>
        <v>1</v>
      </c>
    </row>
    <row r="1539" spans="1:24" ht="10.5" customHeight="1">
      <c r="A1539" s="2" t="s">
        <v>1901</v>
      </c>
      <c r="B1539" s="3">
        <v>45957.559803240743</v>
      </c>
      <c r="C1539" s="2" t="s">
        <v>97</v>
      </c>
      <c r="D1539" s="2" t="s">
        <v>98</v>
      </c>
      <c r="E1539" s="2" t="s">
        <v>102</v>
      </c>
      <c r="F1539" s="4">
        <v>55000</v>
      </c>
      <c r="G1539" s="5">
        <v>0.5</v>
      </c>
      <c r="H1539" s="6">
        <v>0</v>
      </c>
      <c r="I1539" s="7">
        <f t="shared" si="230"/>
        <v>27500</v>
      </c>
      <c r="J1539" s="7">
        <f t="shared" si="231"/>
        <v>0</v>
      </c>
      <c r="K1539" s="7">
        <f t="shared" si="232"/>
        <v>27500</v>
      </c>
      <c r="L1539" s="4">
        <v>97000</v>
      </c>
      <c r="M1539" s="7">
        <f t="shared" si="233"/>
        <v>124500</v>
      </c>
      <c r="N1539" s="2" t="s">
        <v>58</v>
      </c>
      <c r="O1539" t="s">
        <v>22</v>
      </c>
      <c r="P1539" s="2" t="s">
        <v>2368</v>
      </c>
      <c r="Q1539" s="2">
        <v>2</v>
      </c>
      <c r="R1539" s="2" t="s">
        <v>23</v>
      </c>
      <c r="S1539" s="2" t="str">
        <f t="shared" si="234"/>
        <v>Standar</v>
      </c>
      <c r="T1539" s="2" t="str">
        <f t="shared" si="235"/>
        <v>FALSE</v>
      </c>
      <c r="U1539" s="2" t="str">
        <f t="shared" si="236"/>
        <v>FALSE</v>
      </c>
      <c r="V1539" s="2" t="b">
        <f t="shared" si="237"/>
        <v>0</v>
      </c>
      <c r="W1539" s="2" t="b">
        <f t="shared" si="238"/>
        <v>0</v>
      </c>
      <c r="X1539" s="2" t="b">
        <f t="shared" si="239"/>
        <v>0</v>
      </c>
    </row>
    <row r="1540" spans="1:24" ht="10.5" customHeight="1">
      <c r="A1540" s="2" t="s">
        <v>1902</v>
      </c>
      <c r="B1540" s="3">
        <v>45957.58971064815</v>
      </c>
      <c r="C1540" s="2" t="s">
        <v>234</v>
      </c>
      <c r="D1540" s="2" t="s">
        <v>235</v>
      </c>
      <c r="E1540" s="2" t="s">
        <v>35</v>
      </c>
      <c r="F1540" s="4">
        <v>13500</v>
      </c>
      <c r="G1540" s="5">
        <v>1.4</v>
      </c>
      <c r="H1540" s="6">
        <v>0</v>
      </c>
      <c r="I1540" s="7">
        <f t="shared" ref="I1540:I1603" si="240">F1540*G1540</f>
        <v>18900</v>
      </c>
      <c r="J1540" s="7">
        <f t="shared" ref="J1540:J1603" si="241">I1540*(H1540/100)</f>
        <v>0</v>
      </c>
      <c r="K1540" s="7">
        <f t="shared" ref="K1540:K1603" si="242">I1540-J1540</f>
        <v>18900</v>
      </c>
      <c r="L1540" s="4">
        <v>80000</v>
      </c>
      <c r="M1540" s="7">
        <f t="shared" ref="M1540:M1603" si="243">K1540+L1540</f>
        <v>98900</v>
      </c>
      <c r="N1540" s="2" t="s">
        <v>21</v>
      </c>
      <c r="O1540" t="s">
        <v>69</v>
      </c>
      <c r="P1540" s="2" t="s">
        <v>2368</v>
      </c>
      <c r="Q1540" s="2">
        <v>4</v>
      </c>
      <c r="R1540" s="2" t="s">
        <v>34</v>
      </c>
      <c r="S1540" s="2" t="str">
        <f t="shared" ref="S1540:S1603" si="244">IF(M1540&lt;=50000,"Sangat Rendah",IF(M1540&lt;=100000,"Rendah",IF(M1540&lt;=150000,"Standar",IF(M1540&lt;=200000,"Tinggi","Sangat Tinggi"))))</f>
        <v>Rendah</v>
      </c>
      <c r="T1540" s="2" t="str">
        <f t="shared" ref="T1540:T1603" si="245">IF(AND(S1540="Rendah",D1540="Yogyakarta"),"TRUE","FALSE")</f>
        <v>FALSE</v>
      </c>
      <c r="U1540" s="2" t="str">
        <f t="shared" ref="U1540:U1603" si="246">IF(OR(S1540="Tinggi",E1540="Bayam"),"TRUE","FALSE")</f>
        <v>FALSE</v>
      </c>
      <c r="V1540" s="2" t="b">
        <f t="shared" ref="V1540:V1603" si="247">IF(AND(S1540="Standar",N1540="Transef Bank"),TRUE,FALSE)</f>
        <v>0</v>
      </c>
      <c r="W1540" s="2" t="b">
        <f t="shared" ref="W1540:W1603" si="248">IF(OR(S1540="Sangat Tinggi",P1540="FoodMart"),TRUE,FALSE)</f>
        <v>0</v>
      </c>
      <c r="X1540" s="2" t="b">
        <f t="shared" ref="X1540:X1603" si="249">IF(AND(S1540="Sangat Rendah",R1540="Perempuan"),TRUE,FALSE)</f>
        <v>0</v>
      </c>
    </row>
    <row r="1541" spans="1:24" ht="10.5" customHeight="1">
      <c r="A1541" s="2" t="s">
        <v>1903</v>
      </c>
      <c r="B1541" s="3">
        <v>45957.650590277779</v>
      </c>
      <c r="C1541" s="2" t="s">
        <v>505</v>
      </c>
      <c r="D1541" s="2" t="s">
        <v>173</v>
      </c>
      <c r="E1541" s="2" t="s">
        <v>27</v>
      </c>
      <c r="F1541" s="4">
        <v>15000</v>
      </c>
      <c r="G1541" s="5">
        <v>1.3</v>
      </c>
      <c r="H1541" s="6">
        <v>0</v>
      </c>
      <c r="I1541" s="7">
        <f t="shared" si="240"/>
        <v>19500</v>
      </c>
      <c r="J1541" s="7">
        <f t="shared" si="241"/>
        <v>0</v>
      </c>
      <c r="K1541" s="7">
        <f t="shared" si="242"/>
        <v>19500</v>
      </c>
      <c r="L1541" s="4">
        <v>48000</v>
      </c>
      <c r="M1541" s="7">
        <f t="shared" si="243"/>
        <v>67500</v>
      </c>
      <c r="N1541" s="2" t="s">
        <v>58</v>
      </c>
      <c r="O1541" t="s">
        <v>22</v>
      </c>
      <c r="P1541" s="2" t="s">
        <v>2370</v>
      </c>
      <c r="Q1541" s="2">
        <v>1</v>
      </c>
      <c r="R1541" s="2" t="s">
        <v>23</v>
      </c>
      <c r="S1541" s="2" t="str">
        <f t="shared" si="244"/>
        <v>Rendah</v>
      </c>
      <c r="T1541" s="2" t="str">
        <f t="shared" si="245"/>
        <v>FALSE</v>
      </c>
      <c r="U1541" s="2" t="str">
        <f t="shared" si="246"/>
        <v>FALSE</v>
      </c>
      <c r="V1541" s="2" t="b">
        <f t="shared" si="247"/>
        <v>0</v>
      </c>
      <c r="W1541" s="2" t="b">
        <f t="shared" si="248"/>
        <v>0</v>
      </c>
      <c r="X1541" s="2" t="b">
        <f t="shared" si="249"/>
        <v>0</v>
      </c>
    </row>
    <row r="1542" spans="1:24" ht="10.5" customHeight="1">
      <c r="A1542" s="2" t="s">
        <v>1904</v>
      </c>
      <c r="B1542" s="3">
        <v>45957.676805555559</v>
      </c>
      <c r="C1542" s="2" t="s">
        <v>764</v>
      </c>
      <c r="D1542" s="2" t="s">
        <v>252</v>
      </c>
      <c r="E1542" s="2" t="s">
        <v>41</v>
      </c>
      <c r="F1542" s="4">
        <v>40000</v>
      </c>
      <c r="G1542" s="5">
        <v>0.9</v>
      </c>
      <c r="H1542" s="6">
        <v>0</v>
      </c>
      <c r="I1542" s="7">
        <f t="shared" si="240"/>
        <v>36000</v>
      </c>
      <c r="J1542" s="7">
        <f t="shared" si="241"/>
        <v>0</v>
      </c>
      <c r="K1542" s="7">
        <f t="shared" si="242"/>
        <v>36000</v>
      </c>
      <c r="L1542" s="4">
        <v>18000</v>
      </c>
      <c r="M1542" s="7">
        <f t="shared" si="243"/>
        <v>54000</v>
      </c>
      <c r="N1542" s="2" t="s">
        <v>28</v>
      </c>
      <c r="O1542" t="s">
        <v>22</v>
      </c>
      <c r="P1542" s="2" t="s">
        <v>2367</v>
      </c>
      <c r="Q1542" s="2">
        <v>2</v>
      </c>
      <c r="R1542" s="2" t="s">
        <v>23</v>
      </c>
      <c r="S1542" s="2" t="str">
        <f t="shared" si="244"/>
        <v>Rendah</v>
      </c>
      <c r="T1542" s="2" t="str">
        <f t="shared" si="245"/>
        <v>FALSE</v>
      </c>
      <c r="U1542" s="2" t="str">
        <f t="shared" si="246"/>
        <v>FALSE</v>
      </c>
      <c r="V1542" s="2" t="b">
        <f t="shared" si="247"/>
        <v>0</v>
      </c>
      <c r="W1542" s="2" t="b">
        <f t="shared" si="248"/>
        <v>1</v>
      </c>
      <c r="X1542" s="2" t="b">
        <f t="shared" si="249"/>
        <v>0</v>
      </c>
    </row>
    <row r="1543" spans="1:24" ht="10.5" customHeight="1">
      <c r="A1543" s="2" t="s">
        <v>1905</v>
      </c>
      <c r="B1543" s="3">
        <v>45957.703622685192</v>
      </c>
      <c r="C1543" s="2" t="s">
        <v>463</v>
      </c>
      <c r="D1543" s="2" t="s">
        <v>114</v>
      </c>
      <c r="E1543" s="2" t="s">
        <v>49</v>
      </c>
      <c r="F1543" s="4">
        <v>26000</v>
      </c>
      <c r="G1543" s="5">
        <v>1.6</v>
      </c>
      <c r="H1543" s="6">
        <v>0</v>
      </c>
      <c r="I1543" s="7">
        <f t="shared" si="240"/>
        <v>41600</v>
      </c>
      <c r="J1543" s="7">
        <f t="shared" si="241"/>
        <v>0</v>
      </c>
      <c r="K1543" s="7">
        <f t="shared" si="242"/>
        <v>41600</v>
      </c>
      <c r="L1543" s="4">
        <v>78000</v>
      </c>
      <c r="M1543" s="7">
        <f t="shared" si="243"/>
        <v>119600</v>
      </c>
      <c r="N1543" s="2" t="s">
        <v>28</v>
      </c>
      <c r="O1543" t="s">
        <v>22</v>
      </c>
      <c r="P1543" s="2" t="s">
        <v>2367</v>
      </c>
      <c r="Q1543" s="2">
        <v>4</v>
      </c>
      <c r="R1543" s="2" t="s">
        <v>23</v>
      </c>
      <c r="S1543" s="2" t="str">
        <f t="shared" si="244"/>
        <v>Standar</v>
      </c>
      <c r="T1543" s="2" t="str">
        <f t="shared" si="245"/>
        <v>FALSE</v>
      </c>
      <c r="U1543" s="2" t="str">
        <f t="shared" si="246"/>
        <v>FALSE</v>
      </c>
      <c r="V1543" s="2" t="b">
        <f t="shared" si="247"/>
        <v>0</v>
      </c>
      <c r="W1543" s="2" t="b">
        <f t="shared" si="248"/>
        <v>1</v>
      </c>
      <c r="X1543" s="2" t="b">
        <f t="shared" si="249"/>
        <v>0</v>
      </c>
    </row>
    <row r="1544" spans="1:24" ht="10.5" customHeight="1">
      <c r="A1544" s="2" t="s">
        <v>1906</v>
      </c>
      <c r="B1544" s="3">
        <v>45957.818287037036</v>
      </c>
      <c r="C1544" s="2" t="s">
        <v>104</v>
      </c>
      <c r="D1544" s="2" t="s">
        <v>105</v>
      </c>
      <c r="E1544" s="2" t="s">
        <v>75</v>
      </c>
      <c r="F1544" s="4">
        <v>45000</v>
      </c>
      <c r="G1544" s="5">
        <v>0.5</v>
      </c>
      <c r="H1544" s="6">
        <v>0</v>
      </c>
      <c r="I1544" s="7">
        <f t="shared" si="240"/>
        <v>22500</v>
      </c>
      <c r="J1544" s="7">
        <f t="shared" si="241"/>
        <v>0</v>
      </c>
      <c r="K1544" s="7">
        <f t="shared" si="242"/>
        <v>22500</v>
      </c>
      <c r="L1544" s="4">
        <v>18000</v>
      </c>
      <c r="M1544" s="7">
        <f t="shared" si="243"/>
        <v>40500</v>
      </c>
      <c r="N1544" s="2" t="s">
        <v>58</v>
      </c>
      <c r="O1544" t="s">
        <v>22</v>
      </c>
      <c r="P1544" s="2" t="s">
        <v>2367</v>
      </c>
      <c r="Q1544" s="2">
        <v>5</v>
      </c>
      <c r="R1544" s="2" t="s">
        <v>23</v>
      </c>
      <c r="S1544" s="2" t="str">
        <f t="shared" si="244"/>
        <v>Sangat Rendah</v>
      </c>
      <c r="T1544" s="2" t="str">
        <f t="shared" si="245"/>
        <v>FALSE</v>
      </c>
      <c r="U1544" s="2" t="str">
        <f t="shared" si="246"/>
        <v>FALSE</v>
      </c>
      <c r="V1544" s="2" t="b">
        <f t="shared" si="247"/>
        <v>0</v>
      </c>
      <c r="W1544" s="2" t="b">
        <f t="shared" si="248"/>
        <v>1</v>
      </c>
      <c r="X1544" s="2" t="b">
        <f t="shared" si="249"/>
        <v>1</v>
      </c>
    </row>
    <row r="1545" spans="1:24" ht="10.5" customHeight="1">
      <c r="A1545" s="2" t="s">
        <v>1907</v>
      </c>
      <c r="B1545" s="3">
        <v>45957.876203703701</v>
      </c>
      <c r="C1545" s="2" t="s">
        <v>175</v>
      </c>
      <c r="D1545" s="2" t="s">
        <v>94</v>
      </c>
      <c r="E1545" s="2" t="s">
        <v>32</v>
      </c>
      <c r="F1545" s="4">
        <v>20000</v>
      </c>
      <c r="G1545" s="5">
        <v>3.3</v>
      </c>
      <c r="H1545" s="6">
        <v>0</v>
      </c>
      <c r="I1545" s="7">
        <f t="shared" si="240"/>
        <v>66000</v>
      </c>
      <c r="J1545" s="7">
        <f t="shared" si="241"/>
        <v>0</v>
      </c>
      <c r="K1545" s="7">
        <f t="shared" si="242"/>
        <v>66000</v>
      </c>
      <c r="L1545" s="4">
        <v>85000</v>
      </c>
      <c r="M1545" s="7">
        <f t="shared" si="243"/>
        <v>151000</v>
      </c>
      <c r="N1545" s="2" t="s">
        <v>21</v>
      </c>
      <c r="O1545" t="s">
        <v>69</v>
      </c>
      <c r="P1545" s="2" t="s">
        <v>2370</v>
      </c>
      <c r="Q1545" s="2">
        <v>2</v>
      </c>
      <c r="R1545" s="2" t="s">
        <v>23</v>
      </c>
      <c r="S1545" s="2" t="str">
        <f t="shared" si="244"/>
        <v>Tinggi</v>
      </c>
      <c r="T1545" s="2" t="str">
        <f t="shared" si="245"/>
        <v>FALSE</v>
      </c>
      <c r="U1545" s="2" t="str">
        <f t="shared" si="246"/>
        <v>TRUE</v>
      </c>
      <c r="V1545" s="2" t="b">
        <f t="shared" si="247"/>
        <v>0</v>
      </c>
      <c r="W1545" s="2" t="b">
        <f t="shared" si="248"/>
        <v>0</v>
      </c>
      <c r="X1545" s="2" t="b">
        <f t="shared" si="249"/>
        <v>0</v>
      </c>
    </row>
    <row r="1546" spans="1:24" ht="10.5" customHeight="1">
      <c r="A1546" s="2" t="s">
        <v>1908</v>
      </c>
      <c r="B1546" s="3">
        <v>45958.022650462961</v>
      </c>
      <c r="C1546" s="2" t="s">
        <v>37</v>
      </c>
      <c r="D1546" s="2" t="s">
        <v>26</v>
      </c>
      <c r="E1546" s="2" t="s">
        <v>99</v>
      </c>
      <c r="F1546" s="4">
        <v>10000</v>
      </c>
      <c r="G1546" s="5">
        <v>1</v>
      </c>
      <c r="H1546" s="6">
        <v>0</v>
      </c>
      <c r="I1546" s="7">
        <f t="shared" si="240"/>
        <v>10000</v>
      </c>
      <c r="J1546" s="7">
        <f t="shared" si="241"/>
        <v>0</v>
      </c>
      <c r="K1546" s="7">
        <f t="shared" si="242"/>
        <v>10000</v>
      </c>
      <c r="L1546" s="4">
        <v>17000</v>
      </c>
      <c r="M1546" s="7">
        <f t="shared" si="243"/>
        <v>27000</v>
      </c>
      <c r="N1546" s="2" t="s">
        <v>58</v>
      </c>
      <c r="O1546" t="s">
        <v>22</v>
      </c>
      <c r="P1546" s="2" t="s">
        <v>2366</v>
      </c>
      <c r="Q1546" s="2">
        <v>1</v>
      </c>
      <c r="R1546" s="2" t="s">
        <v>23</v>
      </c>
      <c r="S1546" s="2" t="str">
        <f t="shared" si="244"/>
        <v>Sangat Rendah</v>
      </c>
      <c r="T1546" s="2" t="str">
        <f t="shared" si="245"/>
        <v>FALSE</v>
      </c>
      <c r="U1546" s="2" t="str">
        <f t="shared" si="246"/>
        <v>FALSE</v>
      </c>
      <c r="V1546" s="2" t="b">
        <f t="shared" si="247"/>
        <v>0</v>
      </c>
      <c r="W1546" s="2" t="b">
        <f t="shared" si="248"/>
        <v>0</v>
      </c>
      <c r="X1546" s="2" t="b">
        <f t="shared" si="249"/>
        <v>1</v>
      </c>
    </row>
    <row r="1547" spans="1:24" ht="10.5" customHeight="1">
      <c r="A1547" s="2" t="s">
        <v>1909</v>
      </c>
      <c r="B1547" s="3">
        <v>45958.078009259261</v>
      </c>
      <c r="C1547" s="2" t="s">
        <v>1307</v>
      </c>
      <c r="D1547" s="2" t="s">
        <v>105</v>
      </c>
      <c r="E1547" s="2" t="s">
        <v>75</v>
      </c>
      <c r="F1547" s="4">
        <v>45000</v>
      </c>
      <c r="G1547" s="5">
        <v>1.7</v>
      </c>
      <c r="H1547" s="6">
        <v>0</v>
      </c>
      <c r="I1547" s="7">
        <f t="shared" si="240"/>
        <v>76500</v>
      </c>
      <c r="J1547" s="7">
        <f t="shared" si="241"/>
        <v>0</v>
      </c>
      <c r="K1547" s="7">
        <f t="shared" si="242"/>
        <v>76500</v>
      </c>
      <c r="L1547" s="4">
        <v>18000</v>
      </c>
      <c r="M1547" s="7">
        <f t="shared" si="243"/>
        <v>94500</v>
      </c>
      <c r="N1547" s="2" t="s">
        <v>33</v>
      </c>
      <c r="O1547" t="s">
        <v>22</v>
      </c>
      <c r="P1547" s="2" t="s">
        <v>2370</v>
      </c>
      <c r="Q1547" s="2">
        <v>2</v>
      </c>
      <c r="R1547" s="2" t="s">
        <v>34</v>
      </c>
      <c r="S1547" s="2" t="str">
        <f t="shared" si="244"/>
        <v>Rendah</v>
      </c>
      <c r="T1547" s="2" t="str">
        <f t="shared" si="245"/>
        <v>FALSE</v>
      </c>
      <c r="U1547" s="2" t="str">
        <f t="shared" si="246"/>
        <v>FALSE</v>
      </c>
      <c r="V1547" s="2" t="b">
        <f t="shared" si="247"/>
        <v>0</v>
      </c>
      <c r="W1547" s="2" t="b">
        <f t="shared" si="248"/>
        <v>0</v>
      </c>
      <c r="X1547" s="2" t="b">
        <f t="shared" si="249"/>
        <v>0</v>
      </c>
    </row>
    <row r="1548" spans="1:24" ht="10.5" customHeight="1">
      <c r="A1548" s="2" t="s">
        <v>1910</v>
      </c>
      <c r="B1548" s="3">
        <v>45958.358935185177</v>
      </c>
      <c r="C1548" s="2" t="s">
        <v>135</v>
      </c>
      <c r="D1548" s="2" t="s">
        <v>84</v>
      </c>
      <c r="E1548" s="2" t="s">
        <v>53</v>
      </c>
      <c r="F1548" s="4">
        <v>14000</v>
      </c>
      <c r="G1548" s="5">
        <v>1.6</v>
      </c>
      <c r="H1548" s="6">
        <v>0</v>
      </c>
      <c r="I1548" s="7">
        <f t="shared" si="240"/>
        <v>22400</v>
      </c>
      <c r="J1548" s="7">
        <f t="shared" si="241"/>
        <v>0</v>
      </c>
      <c r="K1548" s="7">
        <f t="shared" si="242"/>
        <v>22400</v>
      </c>
      <c r="L1548" s="4">
        <v>30000</v>
      </c>
      <c r="M1548" s="7">
        <f t="shared" si="243"/>
        <v>52400</v>
      </c>
      <c r="N1548" s="2" t="s">
        <v>33</v>
      </c>
      <c r="O1548" t="s">
        <v>22</v>
      </c>
      <c r="P1548" s="2" t="s">
        <v>2368</v>
      </c>
      <c r="Q1548" s="2">
        <v>1</v>
      </c>
      <c r="R1548" s="2" t="s">
        <v>34</v>
      </c>
      <c r="S1548" s="2" t="str">
        <f t="shared" si="244"/>
        <v>Rendah</v>
      </c>
      <c r="T1548" s="2" t="str">
        <f t="shared" si="245"/>
        <v>FALSE</v>
      </c>
      <c r="U1548" s="2" t="str">
        <f t="shared" si="246"/>
        <v>FALSE</v>
      </c>
      <c r="V1548" s="2" t="b">
        <f t="shared" si="247"/>
        <v>0</v>
      </c>
      <c r="W1548" s="2" t="b">
        <f t="shared" si="248"/>
        <v>0</v>
      </c>
      <c r="X1548" s="2" t="b">
        <f t="shared" si="249"/>
        <v>0</v>
      </c>
    </row>
    <row r="1549" spans="1:24" ht="10.5" customHeight="1">
      <c r="A1549" s="2" t="s">
        <v>1911</v>
      </c>
      <c r="B1549" s="3">
        <v>45958.397962962961</v>
      </c>
      <c r="C1549" s="2" t="s">
        <v>593</v>
      </c>
      <c r="D1549" s="2" t="s">
        <v>48</v>
      </c>
      <c r="E1549" s="2" t="s">
        <v>143</v>
      </c>
      <c r="F1549" s="4">
        <v>10000</v>
      </c>
      <c r="G1549" s="5">
        <v>0.6</v>
      </c>
      <c r="H1549" s="6">
        <v>0</v>
      </c>
      <c r="I1549" s="7">
        <f t="shared" si="240"/>
        <v>6000</v>
      </c>
      <c r="J1549" s="7">
        <f t="shared" si="241"/>
        <v>0</v>
      </c>
      <c r="K1549" s="7">
        <f t="shared" si="242"/>
        <v>6000</v>
      </c>
      <c r="L1549" s="4">
        <v>18000</v>
      </c>
      <c r="M1549" s="7">
        <f t="shared" si="243"/>
        <v>24000</v>
      </c>
      <c r="N1549" s="2" t="s">
        <v>33</v>
      </c>
      <c r="O1549" t="s">
        <v>22</v>
      </c>
      <c r="P1549" s="2" t="s">
        <v>2370</v>
      </c>
      <c r="Q1549" s="2">
        <v>2</v>
      </c>
      <c r="R1549" s="2" t="s">
        <v>23</v>
      </c>
      <c r="S1549" s="2" t="str">
        <f t="shared" si="244"/>
        <v>Sangat Rendah</v>
      </c>
      <c r="T1549" s="2" t="str">
        <f t="shared" si="245"/>
        <v>FALSE</v>
      </c>
      <c r="U1549" s="2" t="str">
        <f t="shared" si="246"/>
        <v>TRUE</v>
      </c>
      <c r="V1549" s="2" t="b">
        <f t="shared" si="247"/>
        <v>0</v>
      </c>
      <c r="W1549" s="2" t="b">
        <f t="shared" si="248"/>
        <v>0</v>
      </c>
      <c r="X1549" s="2" t="b">
        <f t="shared" si="249"/>
        <v>1</v>
      </c>
    </row>
    <row r="1550" spans="1:24" ht="10.5" customHeight="1">
      <c r="A1550" s="2" t="s">
        <v>1912</v>
      </c>
      <c r="B1550" s="3">
        <v>45958.39875</v>
      </c>
      <c r="C1550" s="2" t="s">
        <v>30</v>
      </c>
      <c r="D1550" s="2" t="s">
        <v>31</v>
      </c>
      <c r="E1550" s="2" t="s">
        <v>99</v>
      </c>
      <c r="F1550" s="4">
        <v>10000</v>
      </c>
      <c r="G1550" s="5">
        <v>0.9</v>
      </c>
      <c r="H1550" s="6">
        <v>0</v>
      </c>
      <c r="I1550" s="7">
        <f t="shared" si="240"/>
        <v>9000</v>
      </c>
      <c r="J1550" s="7">
        <f t="shared" si="241"/>
        <v>0</v>
      </c>
      <c r="K1550" s="7">
        <f t="shared" si="242"/>
        <v>9000</v>
      </c>
      <c r="L1550" s="4">
        <v>76000</v>
      </c>
      <c r="M1550" s="7">
        <f t="shared" si="243"/>
        <v>85000</v>
      </c>
      <c r="N1550" s="2" t="s">
        <v>33</v>
      </c>
      <c r="O1550" t="s">
        <v>115</v>
      </c>
      <c r="P1550" s="2" t="s">
        <v>2365</v>
      </c>
      <c r="Q1550" s="2">
        <v>4</v>
      </c>
      <c r="R1550" s="2" t="s">
        <v>34</v>
      </c>
      <c r="S1550" s="2" t="str">
        <f t="shared" si="244"/>
        <v>Rendah</v>
      </c>
      <c r="T1550" s="2" t="str">
        <f t="shared" si="245"/>
        <v>FALSE</v>
      </c>
      <c r="U1550" s="2" t="str">
        <f t="shared" si="246"/>
        <v>FALSE</v>
      </c>
      <c r="V1550" s="2" t="b">
        <f t="shared" si="247"/>
        <v>0</v>
      </c>
      <c r="W1550" s="2" t="b">
        <f t="shared" si="248"/>
        <v>0</v>
      </c>
      <c r="X1550" s="2" t="b">
        <f t="shared" si="249"/>
        <v>0</v>
      </c>
    </row>
    <row r="1551" spans="1:24" ht="10.5" customHeight="1">
      <c r="A1551" s="2" t="s">
        <v>1913</v>
      </c>
      <c r="B1551" s="3">
        <v>45958.413240740738</v>
      </c>
      <c r="C1551" s="2" t="s">
        <v>63</v>
      </c>
      <c r="D1551" s="2" t="s">
        <v>64</v>
      </c>
      <c r="E1551" s="2" t="s">
        <v>75</v>
      </c>
      <c r="F1551" s="4">
        <v>45000</v>
      </c>
      <c r="G1551" s="5">
        <v>1</v>
      </c>
      <c r="H1551" s="6">
        <v>0</v>
      </c>
      <c r="I1551" s="7">
        <f t="shared" si="240"/>
        <v>45000</v>
      </c>
      <c r="J1551" s="7">
        <f t="shared" si="241"/>
        <v>0</v>
      </c>
      <c r="K1551" s="7">
        <f t="shared" si="242"/>
        <v>45000</v>
      </c>
      <c r="L1551" s="4">
        <v>89000</v>
      </c>
      <c r="M1551" s="7">
        <f t="shared" si="243"/>
        <v>134000</v>
      </c>
      <c r="N1551" s="2" t="s">
        <v>58</v>
      </c>
      <c r="O1551" t="s">
        <v>22</v>
      </c>
      <c r="P1551" s="2" t="s">
        <v>2368</v>
      </c>
      <c r="Q1551" s="2">
        <v>4</v>
      </c>
      <c r="R1551" s="2" t="s">
        <v>34</v>
      </c>
      <c r="S1551" s="2" t="str">
        <f t="shared" si="244"/>
        <v>Standar</v>
      </c>
      <c r="T1551" s="2" t="str">
        <f t="shared" si="245"/>
        <v>FALSE</v>
      </c>
      <c r="U1551" s="2" t="str">
        <f t="shared" si="246"/>
        <v>FALSE</v>
      </c>
      <c r="V1551" s="2" t="b">
        <f t="shared" si="247"/>
        <v>0</v>
      </c>
      <c r="W1551" s="2" t="b">
        <f t="shared" si="248"/>
        <v>0</v>
      </c>
      <c r="X1551" s="2" t="b">
        <f t="shared" si="249"/>
        <v>0</v>
      </c>
    </row>
    <row r="1552" spans="1:24" ht="10.5" customHeight="1">
      <c r="A1552" s="2" t="s">
        <v>1914</v>
      </c>
      <c r="B1552" s="3">
        <v>45958.444872685177</v>
      </c>
      <c r="C1552" s="2" t="s">
        <v>228</v>
      </c>
      <c r="D1552" s="2" t="s">
        <v>229</v>
      </c>
      <c r="E1552" s="2" t="s">
        <v>20</v>
      </c>
      <c r="F1552" s="4">
        <v>10000</v>
      </c>
      <c r="G1552" s="5">
        <v>2.2000000000000002</v>
      </c>
      <c r="H1552" s="6">
        <v>0</v>
      </c>
      <c r="I1552" s="7">
        <f t="shared" si="240"/>
        <v>22000</v>
      </c>
      <c r="J1552" s="7">
        <f t="shared" si="241"/>
        <v>0</v>
      </c>
      <c r="K1552" s="7">
        <f t="shared" si="242"/>
        <v>22000</v>
      </c>
      <c r="L1552" s="4">
        <v>28000</v>
      </c>
      <c r="M1552" s="7">
        <f t="shared" si="243"/>
        <v>50000</v>
      </c>
      <c r="N1552" s="2" t="s">
        <v>33</v>
      </c>
      <c r="O1552" t="s">
        <v>22</v>
      </c>
      <c r="P1552" s="2" t="s">
        <v>2370</v>
      </c>
      <c r="Q1552" s="2">
        <v>3</v>
      </c>
      <c r="R1552" s="2" t="s">
        <v>23</v>
      </c>
      <c r="S1552" s="2" t="str">
        <f t="shared" si="244"/>
        <v>Sangat Rendah</v>
      </c>
      <c r="T1552" s="2" t="str">
        <f t="shared" si="245"/>
        <v>FALSE</v>
      </c>
      <c r="U1552" s="2" t="str">
        <f t="shared" si="246"/>
        <v>FALSE</v>
      </c>
      <c r="V1552" s="2" t="b">
        <f t="shared" si="247"/>
        <v>0</v>
      </c>
      <c r="W1552" s="2" t="b">
        <f t="shared" si="248"/>
        <v>0</v>
      </c>
      <c r="X1552" s="2" t="b">
        <f t="shared" si="249"/>
        <v>1</v>
      </c>
    </row>
    <row r="1553" spans="1:24" ht="10.5" customHeight="1">
      <c r="A1553" s="2" t="s">
        <v>1915</v>
      </c>
      <c r="B1553" s="3">
        <v>45958.474999999999</v>
      </c>
      <c r="C1553" s="2" t="s">
        <v>304</v>
      </c>
      <c r="D1553" s="2" t="s">
        <v>105</v>
      </c>
      <c r="E1553" s="2" t="s">
        <v>75</v>
      </c>
      <c r="F1553" s="4">
        <v>45000</v>
      </c>
      <c r="G1553" s="5">
        <v>1.6</v>
      </c>
      <c r="H1553" s="6">
        <v>0</v>
      </c>
      <c r="I1553" s="7">
        <f t="shared" si="240"/>
        <v>72000</v>
      </c>
      <c r="J1553" s="7">
        <f t="shared" si="241"/>
        <v>0</v>
      </c>
      <c r="K1553" s="7">
        <f t="shared" si="242"/>
        <v>72000</v>
      </c>
      <c r="L1553" s="4">
        <v>18000</v>
      </c>
      <c r="M1553" s="7">
        <f t="shared" si="243"/>
        <v>90000</v>
      </c>
      <c r="N1553" s="2" t="s">
        <v>33</v>
      </c>
      <c r="O1553" t="s">
        <v>69</v>
      </c>
      <c r="P1553" s="2" t="s">
        <v>2370</v>
      </c>
      <c r="Q1553" s="2">
        <v>3</v>
      </c>
      <c r="R1553" s="2" t="s">
        <v>23</v>
      </c>
      <c r="S1553" s="2" t="str">
        <f t="shared" si="244"/>
        <v>Rendah</v>
      </c>
      <c r="T1553" s="2" t="str">
        <f t="shared" si="245"/>
        <v>FALSE</v>
      </c>
      <c r="U1553" s="2" t="str">
        <f t="shared" si="246"/>
        <v>FALSE</v>
      </c>
      <c r="V1553" s="2" t="b">
        <f t="shared" si="247"/>
        <v>0</v>
      </c>
      <c r="W1553" s="2" t="b">
        <f t="shared" si="248"/>
        <v>0</v>
      </c>
      <c r="X1553" s="2" t="b">
        <f t="shared" si="249"/>
        <v>0</v>
      </c>
    </row>
    <row r="1554" spans="1:24" ht="10.5" customHeight="1">
      <c r="A1554" s="2" t="s">
        <v>1915</v>
      </c>
      <c r="B1554" s="3">
        <v>45958.474999999999</v>
      </c>
      <c r="C1554" s="2" t="s">
        <v>304</v>
      </c>
      <c r="D1554" s="2" t="s">
        <v>105</v>
      </c>
      <c r="E1554" s="2" t="s">
        <v>182</v>
      </c>
      <c r="F1554" s="4">
        <v>11000</v>
      </c>
      <c r="G1554" s="5">
        <v>1.5</v>
      </c>
      <c r="H1554" s="6">
        <v>0</v>
      </c>
      <c r="I1554" s="7">
        <f t="shared" si="240"/>
        <v>16500</v>
      </c>
      <c r="J1554" s="7">
        <f t="shared" si="241"/>
        <v>0</v>
      </c>
      <c r="K1554" s="7">
        <f t="shared" si="242"/>
        <v>16500</v>
      </c>
      <c r="L1554" s="4">
        <v>0</v>
      </c>
      <c r="M1554" s="7">
        <f t="shared" si="243"/>
        <v>16500</v>
      </c>
      <c r="N1554" s="2" t="s">
        <v>33</v>
      </c>
      <c r="O1554" t="s">
        <v>69</v>
      </c>
      <c r="P1554" s="2" t="s">
        <v>2370</v>
      </c>
      <c r="Q1554" s="2">
        <v>3</v>
      </c>
      <c r="R1554" s="2" t="s">
        <v>23</v>
      </c>
      <c r="S1554" s="2" t="str">
        <f t="shared" si="244"/>
        <v>Sangat Rendah</v>
      </c>
      <c r="T1554" s="2" t="str">
        <f t="shared" si="245"/>
        <v>FALSE</v>
      </c>
      <c r="U1554" s="2" t="str">
        <f t="shared" si="246"/>
        <v>FALSE</v>
      </c>
      <c r="V1554" s="2" t="b">
        <f t="shared" si="247"/>
        <v>0</v>
      </c>
      <c r="W1554" s="2" t="b">
        <f t="shared" si="248"/>
        <v>0</v>
      </c>
      <c r="X1554" s="2" t="b">
        <f t="shared" si="249"/>
        <v>1</v>
      </c>
    </row>
    <row r="1555" spans="1:24" ht="10.5" customHeight="1">
      <c r="A1555" s="2" t="s">
        <v>1916</v>
      </c>
      <c r="B1555" s="3">
        <v>45958.480844907397</v>
      </c>
      <c r="C1555" s="2" t="s">
        <v>532</v>
      </c>
      <c r="D1555" s="2" t="s">
        <v>114</v>
      </c>
      <c r="E1555" s="2" t="s">
        <v>170</v>
      </c>
      <c r="F1555" s="4">
        <v>12000</v>
      </c>
      <c r="G1555" s="5">
        <v>0.4</v>
      </c>
      <c r="H1555" s="6">
        <v>0</v>
      </c>
      <c r="I1555" s="7">
        <f t="shared" si="240"/>
        <v>4800</v>
      </c>
      <c r="J1555" s="7">
        <f t="shared" si="241"/>
        <v>0</v>
      </c>
      <c r="K1555" s="7">
        <f t="shared" si="242"/>
        <v>4800</v>
      </c>
      <c r="L1555" s="4">
        <v>78000</v>
      </c>
      <c r="M1555" s="7">
        <f t="shared" si="243"/>
        <v>82800</v>
      </c>
      <c r="N1555" s="2" t="s">
        <v>21</v>
      </c>
      <c r="O1555" t="s">
        <v>22</v>
      </c>
      <c r="P1555" s="2" t="s">
        <v>2368</v>
      </c>
      <c r="Q1555" s="2">
        <v>1</v>
      </c>
      <c r="R1555" s="2" t="s">
        <v>23</v>
      </c>
      <c r="S1555" s="2" t="str">
        <f t="shared" si="244"/>
        <v>Rendah</v>
      </c>
      <c r="T1555" s="2" t="str">
        <f t="shared" si="245"/>
        <v>TRUE</v>
      </c>
      <c r="U1555" s="2" t="str">
        <f t="shared" si="246"/>
        <v>FALSE</v>
      </c>
      <c r="V1555" s="2" t="b">
        <f t="shared" si="247"/>
        <v>0</v>
      </c>
      <c r="W1555" s="2" t="b">
        <f t="shared" si="248"/>
        <v>0</v>
      </c>
      <c r="X1555" s="2" t="b">
        <f t="shared" si="249"/>
        <v>0</v>
      </c>
    </row>
    <row r="1556" spans="1:24" ht="10.5" customHeight="1">
      <c r="A1556" s="2" t="s">
        <v>1917</v>
      </c>
      <c r="B1556" s="3">
        <v>45958.492430555547</v>
      </c>
      <c r="C1556" s="2" t="s">
        <v>340</v>
      </c>
      <c r="D1556" s="2" t="s">
        <v>185</v>
      </c>
      <c r="E1556" s="2" t="s">
        <v>182</v>
      </c>
      <c r="F1556" s="4">
        <v>11000</v>
      </c>
      <c r="G1556" s="5">
        <v>1</v>
      </c>
      <c r="H1556" s="6">
        <v>0</v>
      </c>
      <c r="I1556" s="7">
        <f t="shared" si="240"/>
        <v>11000</v>
      </c>
      <c r="J1556" s="7">
        <f t="shared" si="241"/>
        <v>0</v>
      </c>
      <c r="K1556" s="7">
        <f t="shared" si="242"/>
        <v>11000</v>
      </c>
      <c r="L1556" s="4">
        <v>87000</v>
      </c>
      <c r="M1556" s="7">
        <f t="shared" si="243"/>
        <v>98000</v>
      </c>
      <c r="N1556" s="2" t="s">
        <v>28</v>
      </c>
      <c r="O1556" t="s">
        <v>22</v>
      </c>
      <c r="P1556" s="2" t="s">
        <v>2367</v>
      </c>
      <c r="Q1556" s="2">
        <v>2</v>
      </c>
      <c r="R1556" s="2" t="s">
        <v>34</v>
      </c>
      <c r="S1556" s="2" t="str">
        <f t="shared" si="244"/>
        <v>Rendah</v>
      </c>
      <c r="T1556" s="2" t="str">
        <f t="shared" si="245"/>
        <v>FALSE</v>
      </c>
      <c r="U1556" s="2" t="str">
        <f t="shared" si="246"/>
        <v>FALSE</v>
      </c>
      <c r="V1556" s="2" t="b">
        <f t="shared" si="247"/>
        <v>0</v>
      </c>
      <c r="W1556" s="2" t="b">
        <f t="shared" si="248"/>
        <v>1</v>
      </c>
      <c r="X1556" s="2" t="b">
        <f t="shared" si="249"/>
        <v>0</v>
      </c>
    </row>
    <row r="1557" spans="1:24" ht="10.5" customHeight="1">
      <c r="A1557" s="2" t="s">
        <v>1918</v>
      </c>
      <c r="B1557" s="3">
        <v>45958.55228009259</v>
      </c>
      <c r="C1557" s="2" t="s">
        <v>91</v>
      </c>
      <c r="D1557" s="2" t="s">
        <v>61</v>
      </c>
      <c r="E1557" s="2" t="s">
        <v>75</v>
      </c>
      <c r="F1557" s="4">
        <v>45000</v>
      </c>
      <c r="G1557" s="5">
        <v>0.9</v>
      </c>
      <c r="H1557" s="6">
        <v>0</v>
      </c>
      <c r="I1557" s="7">
        <f t="shared" si="240"/>
        <v>40500</v>
      </c>
      <c r="J1557" s="7">
        <f t="shared" si="241"/>
        <v>0</v>
      </c>
      <c r="K1557" s="7">
        <f t="shared" si="242"/>
        <v>40500</v>
      </c>
      <c r="L1557" s="4">
        <v>59000</v>
      </c>
      <c r="M1557" s="7">
        <f t="shared" si="243"/>
        <v>99500</v>
      </c>
      <c r="N1557" s="2" t="s">
        <v>33</v>
      </c>
      <c r="O1557" t="s">
        <v>22</v>
      </c>
      <c r="P1557" s="2" t="s">
        <v>2370</v>
      </c>
      <c r="Q1557" s="2">
        <v>3</v>
      </c>
      <c r="R1557" s="2" t="s">
        <v>23</v>
      </c>
      <c r="S1557" s="2" t="str">
        <f t="shared" si="244"/>
        <v>Rendah</v>
      </c>
      <c r="T1557" s="2" t="str">
        <f t="shared" si="245"/>
        <v>FALSE</v>
      </c>
      <c r="U1557" s="2" t="str">
        <f t="shared" si="246"/>
        <v>FALSE</v>
      </c>
      <c r="V1557" s="2" t="b">
        <f t="shared" si="247"/>
        <v>0</v>
      </c>
      <c r="W1557" s="2" t="b">
        <f t="shared" si="248"/>
        <v>0</v>
      </c>
      <c r="X1557" s="2" t="b">
        <f t="shared" si="249"/>
        <v>0</v>
      </c>
    </row>
    <row r="1558" spans="1:24" ht="10.5" customHeight="1">
      <c r="A1558" s="2" t="s">
        <v>1919</v>
      </c>
      <c r="B1558" s="3">
        <v>45958.658541666657</v>
      </c>
      <c r="C1558" s="2" t="s">
        <v>683</v>
      </c>
      <c r="D1558" s="2" t="s">
        <v>111</v>
      </c>
      <c r="E1558" s="2" t="s">
        <v>99</v>
      </c>
      <c r="F1558" s="4">
        <v>10000</v>
      </c>
      <c r="G1558" s="5">
        <v>0.9</v>
      </c>
      <c r="H1558" s="6">
        <v>0</v>
      </c>
      <c r="I1558" s="7">
        <f t="shared" si="240"/>
        <v>9000</v>
      </c>
      <c r="J1558" s="7">
        <f t="shared" si="241"/>
        <v>0</v>
      </c>
      <c r="K1558" s="7">
        <f t="shared" si="242"/>
        <v>9000</v>
      </c>
      <c r="L1558" s="4">
        <v>0</v>
      </c>
      <c r="M1558" s="7">
        <f t="shared" si="243"/>
        <v>9000</v>
      </c>
      <c r="N1558" s="2" t="s">
        <v>28</v>
      </c>
      <c r="O1558" t="s">
        <v>22</v>
      </c>
      <c r="P1558" s="2" t="s">
        <v>2368</v>
      </c>
      <c r="Q1558" s="2">
        <v>2</v>
      </c>
      <c r="R1558" s="2" t="s">
        <v>23</v>
      </c>
      <c r="S1558" s="2" t="str">
        <f t="shared" si="244"/>
        <v>Sangat Rendah</v>
      </c>
      <c r="T1558" s="2" t="str">
        <f t="shared" si="245"/>
        <v>FALSE</v>
      </c>
      <c r="U1558" s="2" t="str">
        <f t="shared" si="246"/>
        <v>FALSE</v>
      </c>
      <c r="V1558" s="2" t="b">
        <f t="shared" si="247"/>
        <v>0</v>
      </c>
      <c r="W1558" s="2" t="b">
        <f t="shared" si="248"/>
        <v>0</v>
      </c>
      <c r="X1558" s="2" t="b">
        <f t="shared" si="249"/>
        <v>1</v>
      </c>
    </row>
    <row r="1559" spans="1:24" ht="10.5" customHeight="1">
      <c r="A1559" s="2" t="s">
        <v>1919</v>
      </c>
      <c r="B1559" s="3">
        <v>45958.658541666657</v>
      </c>
      <c r="C1559" s="2" t="s">
        <v>683</v>
      </c>
      <c r="D1559" s="2" t="s">
        <v>111</v>
      </c>
      <c r="E1559" s="2" t="s">
        <v>75</v>
      </c>
      <c r="F1559" s="4">
        <v>45000</v>
      </c>
      <c r="G1559" s="5">
        <v>1.6</v>
      </c>
      <c r="H1559" s="6">
        <v>0</v>
      </c>
      <c r="I1559" s="7">
        <f t="shared" si="240"/>
        <v>72000</v>
      </c>
      <c r="J1559" s="7">
        <f t="shared" si="241"/>
        <v>0</v>
      </c>
      <c r="K1559" s="7">
        <f t="shared" si="242"/>
        <v>72000</v>
      </c>
      <c r="L1559" s="4">
        <v>0</v>
      </c>
      <c r="M1559" s="7">
        <f t="shared" si="243"/>
        <v>72000</v>
      </c>
      <c r="N1559" s="2" t="s">
        <v>28</v>
      </c>
      <c r="O1559" t="s">
        <v>22</v>
      </c>
      <c r="P1559" s="2" t="s">
        <v>2368</v>
      </c>
      <c r="Q1559" s="2">
        <v>2</v>
      </c>
      <c r="R1559" s="2" t="s">
        <v>23</v>
      </c>
      <c r="S1559" s="2" t="str">
        <f t="shared" si="244"/>
        <v>Rendah</v>
      </c>
      <c r="T1559" s="2" t="str">
        <f t="shared" si="245"/>
        <v>FALSE</v>
      </c>
      <c r="U1559" s="2" t="str">
        <f t="shared" si="246"/>
        <v>FALSE</v>
      </c>
      <c r="V1559" s="2" t="b">
        <f t="shared" si="247"/>
        <v>0</v>
      </c>
      <c r="W1559" s="2" t="b">
        <f t="shared" si="248"/>
        <v>0</v>
      </c>
      <c r="X1559" s="2" t="b">
        <f t="shared" si="249"/>
        <v>0</v>
      </c>
    </row>
    <row r="1560" spans="1:24" ht="10.5" customHeight="1">
      <c r="A1560" s="2" t="s">
        <v>1920</v>
      </c>
      <c r="B1560" s="3">
        <v>45958.68681712963</v>
      </c>
      <c r="C1560" s="2" t="s">
        <v>73</v>
      </c>
      <c r="D1560" s="2" t="s">
        <v>74</v>
      </c>
      <c r="E1560" s="2" t="s">
        <v>41</v>
      </c>
      <c r="F1560" s="4">
        <v>40000</v>
      </c>
      <c r="G1560" s="5">
        <v>0.4</v>
      </c>
      <c r="H1560" s="6">
        <v>0</v>
      </c>
      <c r="I1560" s="7">
        <f t="shared" si="240"/>
        <v>16000</v>
      </c>
      <c r="J1560" s="7">
        <f t="shared" si="241"/>
        <v>0</v>
      </c>
      <c r="K1560" s="7">
        <f t="shared" si="242"/>
        <v>16000</v>
      </c>
      <c r="L1560" s="4">
        <v>74000</v>
      </c>
      <c r="M1560" s="7">
        <f t="shared" si="243"/>
        <v>90000</v>
      </c>
      <c r="N1560" s="2" t="s">
        <v>33</v>
      </c>
      <c r="O1560" t="s">
        <v>69</v>
      </c>
      <c r="P1560" s="2" t="s">
        <v>2368</v>
      </c>
      <c r="Q1560" s="2">
        <v>4</v>
      </c>
      <c r="R1560" s="2" t="s">
        <v>23</v>
      </c>
      <c r="S1560" s="2" t="str">
        <f t="shared" si="244"/>
        <v>Rendah</v>
      </c>
      <c r="T1560" s="2" t="str">
        <f t="shared" si="245"/>
        <v>FALSE</v>
      </c>
      <c r="U1560" s="2" t="str">
        <f t="shared" si="246"/>
        <v>FALSE</v>
      </c>
      <c r="V1560" s="2" t="b">
        <f t="shared" si="247"/>
        <v>0</v>
      </c>
      <c r="W1560" s="2" t="b">
        <f t="shared" si="248"/>
        <v>0</v>
      </c>
      <c r="X1560" s="2" t="b">
        <f t="shared" si="249"/>
        <v>0</v>
      </c>
    </row>
    <row r="1561" spans="1:24" ht="10.5" customHeight="1">
      <c r="A1561" s="2" t="s">
        <v>1921</v>
      </c>
      <c r="B1561" s="3">
        <v>45958.687476851846</v>
      </c>
      <c r="C1561" s="2" t="s">
        <v>586</v>
      </c>
      <c r="D1561" s="2" t="s">
        <v>64</v>
      </c>
      <c r="E1561" s="2" t="s">
        <v>170</v>
      </c>
      <c r="F1561" s="4">
        <v>12000</v>
      </c>
      <c r="G1561" s="5">
        <v>0.6</v>
      </c>
      <c r="H1561" s="6">
        <v>0</v>
      </c>
      <c r="I1561" s="7">
        <f t="shared" si="240"/>
        <v>7200</v>
      </c>
      <c r="J1561" s="7">
        <f t="shared" si="241"/>
        <v>0</v>
      </c>
      <c r="K1561" s="7">
        <f t="shared" si="242"/>
        <v>7200</v>
      </c>
      <c r="L1561" s="4">
        <v>89000</v>
      </c>
      <c r="M1561" s="7">
        <f t="shared" si="243"/>
        <v>96200</v>
      </c>
      <c r="N1561" s="2" t="s">
        <v>21</v>
      </c>
      <c r="O1561" t="s">
        <v>115</v>
      </c>
      <c r="P1561" s="2" t="s">
        <v>2370</v>
      </c>
      <c r="Q1561" s="2">
        <v>1</v>
      </c>
      <c r="R1561" s="2" t="s">
        <v>23</v>
      </c>
      <c r="S1561" s="2" t="str">
        <f t="shared" si="244"/>
        <v>Rendah</v>
      </c>
      <c r="T1561" s="2" t="str">
        <f t="shared" si="245"/>
        <v>FALSE</v>
      </c>
      <c r="U1561" s="2" t="str">
        <f t="shared" si="246"/>
        <v>FALSE</v>
      </c>
      <c r="V1561" s="2" t="b">
        <f t="shared" si="247"/>
        <v>0</v>
      </c>
      <c r="W1561" s="2" t="b">
        <f t="shared" si="248"/>
        <v>0</v>
      </c>
      <c r="X1561" s="2" t="b">
        <f t="shared" si="249"/>
        <v>0</v>
      </c>
    </row>
    <row r="1562" spans="1:24" ht="10.5" customHeight="1">
      <c r="A1562" s="2" t="s">
        <v>1922</v>
      </c>
      <c r="B1562" s="3">
        <v>45958.750694444447</v>
      </c>
      <c r="C1562" s="2" t="s">
        <v>297</v>
      </c>
      <c r="D1562" s="2" t="s">
        <v>64</v>
      </c>
      <c r="E1562" s="2" t="s">
        <v>41</v>
      </c>
      <c r="F1562" s="4">
        <v>40000</v>
      </c>
      <c r="G1562" s="5">
        <v>1.1000000000000001</v>
      </c>
      <c r="H1562" s="6">
        <v>0</v>
      </c>
      <c r="I1562" s="7">
        <f t="shared" si="240"/>
        <v>44000</v>
      </c>
      <c r="J1562" s="7">
        <f t="shared" si="241"/>
        <v>0</v>
      </c>
      <c r="K1562" s="7">
        <f t="shared" si="242"/>
        <v>44000</v>
      </c>
      <c r="L1562" s="4">
        <v>89000</v>
      </c>
      <c r="M1562" s="7">
        <f t="shared" si="243"/>
        <v>133000</v>
      </c>
      <c r="N1562" s="2" t="s">
        <v>28</v>
      </c>
      <c r="O1562" t="s">
        <v>22</v>
      </c>
      <c r="P1562" s="2" t="s">
        <v>2367</v>
      </c>
      <c r="Q1562" s="2">
        <v>4</v>
      </c>
      <c r="R1562" s="2" t="s">
        <v>23</v>
      </c>
      <c r="S1562" s="2" t="str">
        <f t="shared" si="244"/>
        <v>Standar</v>
      </c>
      <c r="T1562" s="2" t="str">
        <f t="shared" si="245"/>
        <v>FALSE</v>
      </c>
      <c r="U1562" s="2" t="str">
        <f t="shared" si="246"/>
        <v>FALSE</v>
      </c>
      <c r="V1562" s="2" t="b">
        <f t="shared" si="247"/>
        <v>0</v>
      </c>
      <c r="W1562" s="2" t="b">
        <f t="shared" si="248"/>
        <v>1</v>
      </c>
      <c r="X1562" s="2" t="b">
        <f t="shared" si="249"/>
        <v>0</v>
      </c>
    </row>
    <row r="1563" spans="1:24" ht="10.5" customHeight="1">
      <c r="A1563" s="2" t="s">
        <v>1923</v>
      </c>
      <c r="B1563" s="3">
        <v>45958.788055555553</v>
      </c>
      <c r="C1563" s="2" t="s">
        <v>1311</v>
      </c>
      <c r="D1563" s="2" t="s">
        <v>105</v>
      </c>
      <c r="E1563" s="2" t="s">
        <v>190</v>
      </c>
      <c r="F1563" s="4">
        <v>15500</v>
      </c>
      <c r="G1563" s="5">
        <v>0.3</v>
      </c>
      <c r="H1563" s="6">
        <v>0</v>
      </c>
      <c r="I1563" s="7">
        <f t="shared" si="240"/>
        <v>4650</v>
      </c>
      <c r="J1563" s="7">
        <f t="shared" si="241"/>
        <v>0</v>
      </c>
      <c r="K1563" s="7">
        <f t="shared" si="242"/>
        <v>4650</v>
      </c>
      <c r="L1563" s="4">
        <v>18000</v>
      </c>
      <c r="M1563" s="7">
        <f t="shared" si="243"/>
        <v>22650</v>
      </c>
      <c r="N1563" s="2" t="s">
        <v>28</v>
      </c>
      <c r="O1563" t="s">
        <v>22</v>
      </c>
      <c r="P1563" s="2" t="s">
        <v>2370</v>
      </c>
      <c r="Q1563" s="2">
        <v>5</v>
      </c>
      <c r="R1563" s="2" t="s">
        <v>23</v>
      </c>
      <c r="S1563" s="2" t="str">
        <f t="shared" si="244"/>
        <v>Sangat Rendah</v>
      </c>
      <c r="T1563" s="2" t="str">
        <f t="shared" si="245"/>
        <v>FALSE</v>
      </c>
      <c r="U1563" s="2" t="str">
        <f t="shared" si="246"/>
        <v>FALSE</v>
      </c>
      <c r="V1563" s="2" t="b">
        <f t="shared" si="247"/>
        <v>0</v>
      </c>
      <c r="W1563" s="2" t="b">
        <f t="shared" si="248"/>
        <v>0</v>
      </c>
      <c r="X1563" s="2" t="b">
        <f t="shared" si="249"/>
        <v>1</v>
      </c>
    </row>
    <row r="1564" spans="1:24" ht="10.5" customHeight="1">
      <c r="A1564" s="2" t="s">
        <v>1924</v>
      </c>
      <c r="B1564" s="3">
        <v>45958.876250000001</v>
      </c>
      <c r="C1564" s="2" t="s">
        <v>101</v>
      </c>
      <c r="D1564" s="2" t="s">
        <v>44</v>
      </c>
      <c r="E1564" s="2" t="s">
        <v>53</v>
      </c>
      <c r="F1564" s="4">
        <v>14000</v>
      </c>
      <c r="G1564" s="5">
        <v>0.7</v>
      </c>
      <c r="H1564" s="6">
        <v>0</v>
      </c>
      <c r="I1564" s="7">
        <f t="shared" si="240"/>
        <v>9800</v>
      </c>
      <c r="J1564" s="7">
        <f t="shared" si="241"/>
        <v>0</v>
      </c>
      <c r="K1564" s="7">
        <f t="shared" si="242"/>
        <v>9800</v>
      </c>
      <c r="L1564" s="4">
        <v>43000</v>
      </c>
      <c r="M1564" s="7">
        <f t="shared" si="243"/>
        <v>52800</v>
      </c>
      <c r="N1564" s="2" t="s">
        <v>28</v>
      </c>
      <c r="O1564" t="s">
        <v>22</v>
      </c>
      <c r="P1564" s="2" t="s">
        <v>2368</v>
      </c>
      <c r="Q1564" s="2">
        <v>4</v>
      </c>
      <c r="R1564" s="2" t="s">
        <v>23</v>
      </c>
      <c r="S1564" s="2" t="str">
        <f t="shared" si="244"/>
        <v>Rendah</v>
      </c>
      <c r="T1564" s="2" t="str">
        <f t="shared" si="245"/>
        <v>FALSE</v>
      </c>
      <c r="U1564" s="2" t="str">
        <f t="shared" si="246"/>
        <v>FALSE</v>
      </c>
      <c r="V1564" s="2" t="b">
        <f t="shared" si="247"/>
        <v>0</v>
      </c>
      <c r="W1564" s="2" t="b">
        <f t="shared" si="248"/>
        <v>0</v>
      </c>
      <c r="X1564" s="2" t="b">
        <f t="shared" si="249"/>
        <v>0</v>
      </c>
    </row>
    <row r="1565" spans="1:24" ht="10.5" customHeight="1">
      <c r="A1565" s="2" t="s">
        <v>1924</v>
      </c>
      <c r="B1565" s="3">
        <v>45958.876250000001</v>
      </c>
      <c r="C1565" s="2" t="s">
        <v>101</v>
      </c>
      <c r="D1565" s="2" t="s">
        <v>44</v>
      </c>
      <c r="E1565" s="2" t="s">
        <v>27</v>
      </c>
      <c r="F1565" s="4">
        <v>15000</v>
      </c>
      <c r="G1565" s="5">
        <v>0.5</v>
      </c>
      <c r="H1565" s="6">
        <v>0</v>
      </c>
      <c r="I1565" s="7">
        <f t="shared" si="240"/>
        <v>7500</v>
      </c>
      <c r="J1565" s="7">
        <f t="shared" si="241"/>
        <v>0</v>
      </c>
      <c r="K1565" s="7">
        <f t="shared" si="242"/>
        <v>7500</v>
      </c>
      <c r="L1565" s="4">
        <v>0</v>
      </c>
      <c r="M1565" s="7">
        <f t="shared" si="243"/>
        <v>7500</v>
      </c>
      <c r="N1565" s="2" t="s">
        <v>28</v>
      </c>
      <c r="O1565" t="s">
        <v>22</v>
      </c>
      <c r="P1565" s="2" t="s">
        <v>2368</v>
      </c>
      <c r="Q1565" s="2">
        <v>4</v>
      </c>
      <c r="R1565" s="2" t="s">
        <v>23</v>
      </c>
      <c r="S1565" s="2" t="str">
        <f t="shared" si="244"/>
        <v>Sangat Rendah</v>
      </c>
      <c r="T1565" s="2" t="str">
        <f t="shared" si="245"/>
        <v>FALSE</v>
      </c>
      <c r="U1565" s="2" t="str">
        <f t="shared" si="246"/>
        <v>FALSE</v>
      </c>
      <c r="V1565" s="2" t="b">
        <f t="shared" si="247"/>
        <v>0</v>
      </c>
      <c r="W1565" s="2" t="b">
        <f t="shared" si="248"/>
        <v>0</v>
      </c>
      <c r="X1565" s="2" t="b">
        <f t="shared" si="249"/>
        <v>1</v>
      </c>
    </row>
    <row r="1566" spans="1:24" ht="10.5" customHeight="1">
      <c r="A1566" s="2" t="s">
        <v>1925</v>
      </c>
      <c r="B1566" s="3">
        <v>45959.439710648148</v>
      </c>
      <c r="C1566" s="2" t="s">
        <v>560</v>
      </c>
      <c r="D1566" s="2" t="s">
        <v>74</v>
      </c>
      <c r="E1566" s="2" t="s">
        <v>161</v>
      </c>
      <c r="F1566" s="4">
        <v>115000</v>
      </c>
      <c r="G1566" s="5">
        <v>1</v>
      </c>
      <c r="H1566" s="6">
        <v>0</v>
      </c>
      <c r="I1566" s="7">
        <f t="shared" si="240"/>
        <v>115000</v>
      </c>
      <c r="J1566" s="7">
        <f t="shared" si="241"/>
        <v>0</v>
      </c>
      <c r="K1566" s="7">
        <f t="shared" si="242"/>
        <v>115000</v>
      </c>
      <c r="L1566" s="4">
        <v>74000</v>
      </c>
      <c r="M1566" s="7">
        <f t="shared" si="243"/>
        <v>189000</v>
      </c>
      <c r="N1566" s="2" t="s">
        <v>28</v>
      </c>
      <c r="O1566" t="s">
        <v>69</v>
      </c>
      <c r="P1566" s="2" t="s">
        <v>2365</v>
      </c>
      <c r="Q1566" s="2">
        <v>4</v>
      </c>
      <c r="R1566" s="2" t="s">
        <v>23</v>
      </c>
      <c r="S1566" s="2" t="str">
        <f t="shared" si="244"/>
        <v>Tinggi</v>
      </c>
      <c r="T1566" s="2" t="str">
        <f t="shared" si="245"/>
        <v>FALSE</v>
      </c>
      <c r="U1566" s="2" t="str">
        <f t="shared" si="246"/>
        <v>TRUE</v>
      </c>
      <c r="V1566" s="2" t="b">
        <f t="shared" si="247"/>
        <v>0</v>
      </c>
      <c r="W1566" s="2" t="b">
        <f t="shared" si="248"/>
        <v>0</v>
      </c>
      <c r="X1566" s="2" t="b">
        <f t="shared" si="249"/>
        <v>0</v>
      </c>
    </row>
    <row r="1567" spans="1:24" ht="10.5" customHeight="1">
      <c r="A1567" s="2" t="s">
        <v>1926</v>
      </c>
      <c r="B1567" s="3">
        <v>45959.457488425927</v>
      </c>
      <c r="C1567" s="2" t="s">
        <v>1747</v>
      </c>
      <c r="D1567" s="2" t="s">
        <v>68</v>
      </c>
      <c r="E1567" s="2" t="s">
        <v>75</v>
      </c>
      <c r="F1567" s="4">
        <v>45000</v>
      </c>
      <c r="G1567" s="5">
        <v>1.6</v>
      </c>
      <c r="H1567" s="6">
        <v>0</v>
      </c>
      <c r="I1567" s="7">
        <f t="shared" si="240"/>
        <v>72000</v>
      </c>
      <c r="J1567" s="7">
        <f t="shared" si="241"/>
        <v>0</v>
      </c>
      <c r="K1567" s="7">
        <f t="shared" si="242"/>
        <v>72000</v>
      </c>
      <c r="L1567" s="4">
        <v>87000</v>
      </c>
      <c r="M1567" s="7">
        <f t="shared" si="243"/>
        <v>159000</v>
      </c>
      <c r="N1567" s="2" t="s">
        <v>33</v>
      </c>
      <c r="O1567" t="s">
        <v>22</v>
      </c>
      <c r="P1567" s="2" t="s">
        <v>2368</v>
      </c>
      <c r="Q1567" s="2">
        <v>2</v>
      </c>
      <c r="R1567" s="2" t="s">
        <v>34</v>
      </c>
      <c r="S1567" s="2" t="str">
        <f t="shared" si="244"/>
        <v>Tinggi</v>
      </c>
      <c r="T1567" s="2" t="str">
        <f t="shared" si="245"/>
        <v>FALSE</v>
      </c>
      <c r="U1567" s="2" t="str">
        <f t="shared" si="246"/>
        <v>TRUE</v>
      </c>
      <c r="V1567" s="2" t="b">
        <f t="shared" si="247"/>
        <v>0</v>
      </c>
      <c r="W1567" s="2" t="b">
        <f t="shared" si="248"/>
        <v>0</v>
      </c>
      <c r="X1567" s="2" t="b">
        <f t="shared" si="249"/>
        <v>0</v>
      </c>
    </row>
    <row r="1568" spans="1:24" ht="10.5" customHeight="1">
      <c r="A1568" s="2" t="s">
        <v>1927</v>
      </c>
      <c r="B1568" s="3">
        <v>45959.473402777781</v>
      </c>
      <c r="C1568" s="2" t="s">
        <v>77</v>
      </c>
      <c r="D1568" s="2" t="s">
        <v>52</v>
      </c>
      <c r="E1568" s="2" t="s">
        <v>75</v>
      </c>
      <c r="F1568" s="4">
        <v>45000</v>
      </c>
      <c r="G1568" s="5">
        <v>1</v>
      </c>
      <c r="H1568" s="6">
        <v>0</v>
      </c>
      <c r="I1568" s="7">
        <f t="shared" si="240"/>
        <v>45000</v>
      </c>
      <c r="J1568" s="7">
        <f t="shared" si="241"/>
        <v>0</v>
      </c>
      <c r="K1568" s="7">
        <f t="shared" si="242"/>
        <v>45000</v>
      </c>
      <c r="L1568" s="4">
        <v>80000</v>
      </c>
      <c r="M1568" s="7">
        <f t="shared" si="243"/>
        <v>125000</v>
      </c>
      <c r="N1568" s="2" t="s">
        <v>33</v>
      </c>
      <c r="O1568" t="s">
        <v>69</v>
      </c>
      <c r="P1568" s="2" t="s">
        <v>2370</v>
      </c>
      <c r="Q1568" s="2">
        <v>5</v>
      </c>
      <c r="R1568" s="2" t="s">
        <v>34</v>
      </c>
      <c r="S1568" s="2" t="str">
        <f t="shared" si="244"/>
        <v>Standar</v>
      </c>
      <c r="T1568" s="2" t="str">
        <f t="shared" si="245"/>
        <v>FALSE</v>
      </c>
      <c r="U1568" s="2" t="str">
        <f t="shared" si="246"/>
        <v>FALSE</v>
      </c>
      <c r="V1568" s="2" t="b">
        <f t="shared" si="247"/>
        <v>0</v>
      </c>
      <c r="W1568" s="2" t="b">
        <f t="shared" si="248"/>
        <v>0</v>
      </c>
      <c r="X1568" s="2" t="b">
        <f t="shared" si="249"/>
        <v>0</v>
      </c>
    </row>
    <row r="1569" spans="1:24" ht="10.5" customHeight="1">
      <c r="A1569" s="2" t="s">
        <v>1928</v>
      </c>
      <c r="B1569" s="3">
        <v>45959.519571759258</v>
      </c>
      <c r="C1569" s="2" t="s">
        <v>113</v>
      </c>
      <c r="D1569" s="2" t="s">
        <v>114</v>
      </c>
      <c r="E1569" s="2" t="s">
        <v>80</v>
      </c>
      <c r="F1569" s="4">
        <v>15000</v>
      </c>
      <c r="G1569" s="5">
        <v>1.6</v>
      </c>
      <c r="H1569" s="6">
        <v>0</v>
      </c>
      <c r="I1569" s="7">
        <f t="shared" si="240"/>
        <v>24000</v>
      </c>
      <c r="J1569" s="7">
        <f t="shared" si="241"/>
        <v>0</v>
      </c>
      <c r="K1569" s="7">
        <f t="shared" si="242"/>
        <v>24000</v>
      </c>
      <c r="L1569" s="4">
        <v>78000</v>
      </c>
      <c r="M1569" s="7">
        <f t="shared" si="243"/>
        <v>102000</v>
      </c>
      <c r="N1569" s="2" t="s">
        <v>33</v>
      </c>
      <c r="O1569" t="s">
        <v>22</v>
      </c>
      <c r="P1569" s="2" t="s">
        <v>2367</v>
      </c>
      <c r="Q1569" s="2">
        <v>1</v>
      </c>
      <c r="R1569" s="2" t="s">
        <v>23</v>
      </c>
      <c r="S1569" s="2" t="str">
        <f t="shared" si="244"/>
        <v>Standar</v>
      </c>
      <c r="T1569" s="2" t="str">
        <f t="shared" si="245"/>
        <v>FALSE</v>
      </c>
      <c r="U1569" s="2" t="str">
        <f t="shared" si="246"/>
        <v>FALSE</v>
      </c>
      <c r="V1569" s="2" t="b">
        <f t="shared" si="247"/>
        <v>0</v>
      </c>
      <c r="W1569" s="2" t="b">
        <f t="shared" si="248"/>
        <v>1</v>
      </c>
      <c r="X1569" s="2" t="b">
        <f t="shared" si="249"/>
        <v>0</v>
      </c>
    </row>
    <row r="1570" spans="1:24" ht="10.5" customHeight="1">
      <c r="A1570" s="2" t="s">
        <v>1929</v>
      </c>
      <c r="B1570" s="3">
        <v>45959.520856481482</v>
      </c>
      <c r="C1570" s="2" t="s">
        <v>113</v>
      </c>
      <c r="D1570" s="2" t="s">
        <v>114</v>
      </c>
      <c r="E1570" s="2" t="s">
        <v>75</v>
      </c>
      <c r="F1570" s="4">
        <v>45000</v>
      </c>
      <c r="G1570" s="5">
        <v>1.7</v>
      </c>
      <c r="H1570" s="6">
        <v>0</v>
      </c>
      <c r="I1570" s="7">
        <f t="shared" si="240"/>
        <v>76500</v>
      </c>
      <c r="J1570" s="7">
        <f t="shared" si="241"/>
        <v>0</v>
      </c>
      <c r="K1570" s="7">
        <f t="shared" si="242"/>
        <v>76500</v>
      </c>
      <c r="L1570" s="4">
        <v>78000</v>
      </c>
      <c r="M1570" s="7">
        <f t="shared" si="243"/>
        <v>154500</v>
      </c>
      <c r="N1570" s="2" t="s">
        <v>33</v>
      </c>
      <c r="O1570" t="s">
        <v>22</v>
      </c>
      <c r="P1570" s="2" t="s">
        <v>2370</v>
      </c>
      <c r="Q1570" s="2">
        <v>2</v>
      </c>
      <c r="R1570" s="2" t="s">
        <v>23</v>
      </c>
      <c r="S1570" s="2" t="str">
        <f t="shared" si="244"/>
        <v>Tinggi</v>
      </c>
      <c r="T1570" s="2" t="str">
        <f t="shared" si="245"/>
        <v>FALSE</v>
      </c>
      <c r="U1570" s="2" t="str">
        <f t="shared" si="246"/>
        <v>TRUE</v>
      </c>
      <c r="V1570" s="2" t="b">
        <f t="shared" si="247"/>
        <v>0</v>
      </c>
      <c r="W1570" s="2" t="b">
        <f t="shared" si="248"/>
        <v>0</v>
      </c>
      <c r="X1570" s="2" t="b">
        <f t="shared" si="249"/>
        <v>0</v>
      </c>
    </row>
    <row r="1571" spans="1:24" ht="10.5" customHeight="1">
      <c r="A1571" s="2" t="s">
        <v>1930</v>
      </c>
      <c r="B1571" s="3">
        <v>45959.571446759262</v>
      </c>
      <c r="C1571" s="2" t="s">
        <v>731</v>
      </c>
      <c r="D1571" s="2" t="s">
        <v>179</v>
      </c>
      <c r="E1571" s="2" t="s">
        <v>182</v>
      </c>
      <c r="F1571" s="4">
        <v>11000</v>
      </c>
      <c r="G1571" s="5">
        <v>2.2000000000000002</v>
      </c>
      <c r="H1571" s="6">
        <v>0</v>
      </c>
      <c r="I1571" s="7">
        <f t="shared" si="240"/>
        <v>24200.000000000004</v>
      </c>
      <c r="J1571" s="7">
        <f t="shared" si="241"/>
        <v>0</v>
      </c>
      <c r="K1571" s="7">
        <f t="shared" si="242"/>
        <v>24200.000000000004</v>
      </c>
      <c r="L1571" s="4">
        <v>57000</v>
      </c>
      <c r="M1571" s="7">
        <f t="shared" si="243"/>
        <v>81200</v>
      </c>
      <c r="N1571" s="2" t="s">
        <v>21</v>
      </c>
      <c r="O1571" t="s">
        <v>22</v>
      </c>
      <c r="P1571" s="2" t="s">
        <v>2368</v>
      </c>
      <c r="Q1571" s="2">
        <v>2</v>
      </c>
      <c r="R1571" s="2" t="s">
        <v>23</v>
      </c>
      <c r="S1571" s="2" t="str">
        <f t="shared" si="244"/>
        <v>Rendah</v>
      </c>
      <c r="T1571" s="2" t="str">
        <f t="shared" si="245"/>
        <v>FALSE</v>
      </c>
      <c r="U1571" s="2" t="str">
        <f t="shared" si="246"/>
        <v>FALSE</v>
      </c>
      <c r="V1571" s="2" t="b">
        <f t="shared" si="247"/>
        <v>0</v>
      </c>
      <c r="W1571" s="2" t="b">
        <f t="shared" si="248"/>
        <v>0</v>
      </c>
      <c r="X1571" s="2" t="b">
        <f t="shared" si="249"/>
        <v>0</v>
      </c>
    </row>
    <row r="1572" spans="1:24" ht="10.5" customHeight="1">
      <c r="A1572" s="2" t="s">
        <v>1931</v>
      </c>
      <c r="B1572" s="3">
        <v>45959.581064814818</v>
      </c>
      <c r="C1572" s="2" t="s">
        <v>634</v>
      </c>
      <c r="D1572" s="2" t="s">
        <v>235</v>
      </c>
      <c r="E1572" s="2" t="s">
        <v>65</v>
      </c>
      <c r="F1572" s="4">
        <v>46000</v>
      </c>
      <c r="G1572" s="5">
        <v>1</v>
      </c>
      <c r="H1572" s="6">
        <v>0</v>
      </c>
      <c r="I1572" s="7">
        <f t="shared" si="240"/>
        <v>46000</v>
      </c>
      <c r="J1572" s="7">
        <f t="shared" si="241"/>
        <v>0</v>
      </c>
      <c r="K1572" s="7">
        <f t="shared" si="242"/>
        <v>46000</v>
      </c>
      <c r="L1572" s="4">
        <v>80000</v>
      </c>
      <c r="M1572" s="7">
        <f t="shared" si="243"/>
        <v>126000</v>
      </c>
      <c r="N1572" s="2" t="s">
        <v>58</v>
      </c>
      <c r="O1572" t="s">
        <v>22</v>
      </c>
      <c r="P1572" s="2" t="s">
        <v>2366</v>
      </c>
      <c r="Q1572" s="2">
        <v>5</v>
      </c>
      <c r="R1572" s="2" t="s">
        <v>23</v>
      </c>
      <c r="S1572" s="2" t="str">
        <f t="shared" si="244"/>
        <v>Standar</v>
      </c>
      <c r="T1572" s="2" t="str">
        <f t="shared" si="245"/>
        <v>FALSE</v>
      </c>
      <c r="U1572" s="2" t="str">
        <f t="shared" si="246"/>
        <v>FALSE</v>
      </c>
      <c r="V1572" s="2" t="b">
        <f t="shared" si="247"/>
        <v>0</v>
      </c>
      <c r="W1572" s="2" t="b">
        <f t="shared" si="248"/>
        <v>0</v>
      </c>
      <c r="X1572" s="2" t="b">
        <f t="shared" si="249"/>
        <v>0</v>
      </c>
    </row>
    <row r="1573" spans="1:24" ht="10.5" customHeight="1">
      <c r="A1573" s="2" t="s">
        <v>1932</v>
      </c>
      <c r="B1573" s="3">
        <v>45959.615763888891</v>
      </c>
      <c r="C1573" s="2" t="s">
        <v>776</v>
      </c>
      <c r="D1573" s="2" t="s">
        <v>98</v>
      </c>
      <c r="E1573" s="2" t="s">
        <v>75</v>
      </c>
      <c r="F1573" s="4">
        <v>45000</v>
      </c>
      <c r="G1573" s="5">
        <v>1.4</v>
      </c>
      <c r="H1573" s="6">
        <v>0</v>
      </c>
      <c r="I1573" s="7">
        <f t="shared" si="240"/>
        <v>62999.999999999993</v>
      </c>
      <c r="J1573" s="7">
        <f t="shared" si="241"/>
        <v>0</v>
      </c>
      <c r="K1573" s="7">
        <f t="shared" si="242"/>
        <v>62999.999999999993</v>
      </c>
      <c r="L1573" s="4">
        <v>97000</v>
      </c>
      <c r="M1573" s="7">
        <f t="shared" si="243"/>
        <v>160000</v>
      </c>
      <c r="N1573" s="2" t="s">
        <v>33</v>
      </c>
      <c r="O1573" t="s">
        <v>69</v>
      </c>
      <c r="P1573" s="2" t="s">
        <v>2367</v>
      </c>
      <c r="Q1573" s="2">
        <v>4</v>
      </c>
      <c r="R1573" s="2" t="s">
        <v>23</v>
      </c>
      <c r="S1573" s="2" t="str">
        <f t="shared" si="244"/>
        <v>Tinggi</v>
      </c>
      <c r="T1573" s="2" t="str">
        <f t="shared" si="245"/>
        <v>FALSE</v>
      </c>
      <c r="U1573" s="2" t="str">
        <f t="shared" si="246"/>
        <v>TRUE</v>
      </c>
      <c r="V1573" s="2" t="b">
        <f t="shared" si="247"/>
        <v>0</v>
      </c>
      <c r="W1573" s="2" t="b">
        <f t="shared" si="248"/>
        <v>1</v>
      </c>
      <c r="X1573" s="2" t="b">
        <f t="shared" si="249"/>
        <v>0</v>
      </c>
    </row>
    <row r="1574" spans="1:24" ht="10.5" customHeight="1">
      <c r="A1574" s="2" t="s">
        <v>1933</v>
      </c>
      <c r="B1574" s="3">
        <v>45959.644490740742</v>
      </c>
      <c r="C1574" s="2" t="s">
        <v>1037</v>
      </c>
      <c r="D1574" s="2" t="s">
        <v>150</v>
      </c>
      <c r="E1574" s="2" t="s">
        <v>99</v>
      </c>
      <c r="F1574" s="4">
        <v>10000</v>
      </c>
      <c r="G1574" s="5">
        <v>0.6</v>
      </c>
      <c r="H1574" s="6">
        <v>0</v>
      </c>
      <c r="I1574" s="7">
        <f t="shared" si="240"/>
        <v>6000</v>
      </c>
      <c r="J1574" s="7">
        <f t="shared" si="241"/>
        <v>0</v>
      </c>
      <c r="K1574" s="7">
        <f t="shared" si="242"/>
        <v>6000</v>
      </c>
      <c r="L1574" s="4">
        <v>68000</v>
      </c>
      <c r="M1574" s="7">
        <f t="shared" si="243"/>
        <v>74000</v>
      </c>
      <c r="N1574" s="2" t="s">
        <v>28</v>
      </c>
      <c r="O1574" t="s">
        <v>22</v>
      </c>
      <c r="P1574" s="2" t="s">
        <v>2368</v>
      </c>
      <c r="Q1574" s="2">
        <v>1</v>
      </c>
      <c r="R1574" s="2" t="s">
        <v>23</v>
      </c>
      <c r="S1574" s="2" t="str">
        <f t="shared" si="244"/>
        <v>Rendah</v>
      </c>
      <c r="T1574" s="2" t="str">
        <f t="shared" si="245"/>
        <v>FALSE</v>
      </c>
      <c r="U1574" s="2" t="str">
        <f t="shared" si="246"/>
        <v>FALSE</v>
      </c>
      <c r="V1574" s="2" t="b">
        <f t="shared" si="247"/>
        <v>0</v>
      </c>
      <c r="W1574" s="2" t="b">
        <f t="shared" si="248"/>
        <v>0</v>
      </c>
      <c r="X1574" s="2" t="b">
        <f t="shared" si="249"/>
        <v>0</v>
      </c>
    </row>
    <row r="1575" spans="1:24" ht="10.5" customHeight="1">
      <c r="A1575" s="2" t="s">
        <v>1934</v>
      </c>
      <c r="B1575" s="3">
        <v>45959.679884259262</v>
      </c>
      <c r="C1575" s="2" t="s">
        <v>579</v>
      </c>
      <c r="D1575" s="2" t="s">
        <v>252</v>
      </c>
      <c r="E1575" s="2" t="s">
        <v>143</v>
      </c>
      <c r="F1575" s="4">
        <v>10000</v>
      </c>
      <c r="G1575" s="5">
        <v>0.8</v>
      </c>
      <c r="H1575" s="6">
        <v>0</v>
      </c>
      <c r="I1575" s="7">
        <f t="shared" si="240"/>
        <v>8000</v>
      </c>
      <c r="J1575" s="7">
        <f t="shared" si="241"/>
        <v>0</v>
      </c>
      <c r="K1575" s="7">
        <f t="shared" si="242"/>
        <v>8000</v>
      </c>
      <c r="L1575" s="4">
        <v>18000</v>
      </c>
      <c r="M1575" s="7">
        <f t="shared" si="243"/>
        <v>26000</v>
      </c>
      <c r="N1575" s="2" t="s">
        <v>33</v>
      </c>
      <c r="O1575" t="s">
        <v>22</v>
      </c>
      <c r="P1575" s="2" t="s">
        <v>2367</v>
      </c>
      <c r="Q1575" s="2">
        <v>4</v>
      </c>
      <c r="R1575" s="2" t="s">
        <v>34</v>
      </c>
      <c r="S1575" s="2" t="str">
        <f t="shared" si="244"/>
        <v>Sangat Rendah</v>
      </c>
      <c r="T1575" s="2" t="str">
        <f t="shared" si="245"/>
        <v>FALSE</v>
      </c>
      <c r="U1575" s="2" t="str">
        <f t="shared" si="246"/>
        <v>TRUE</v>
      </c>
      <c r="V1575" s="2" t="b">
        <f t="shared" si="247"/>
        <v>0</v>
      </c>
      <c r="W1575" s="2" t="b">
        <f t="shared" si="248"/>
        <v>1</v>
      </c>
      <c r="X1575" s="2" t="b">
        <f t="shared" si="249"/>
        <v>0</v>
      </c>
    </row>
    <row r="1576" spans="1:24" ht="10.5" customHeight="1">
      <c r="A1576" s="2" t="s">
        <v>1934</v>
      </c>
      <c r="B1576" s="3">
        <v>45959.679884259262</v>
      </c>
      <c r="C1576" s="2" t="s">
        <v>579</v>
      </c>
      <c r="D1576" s="2" t="s">
        <v>252</v>
      </c>
      <c r="E1576" s="2" t="s">
        <v>45</v>
      </c>
      <c r="F1576" s="4">
        <v>10500</v>
      </c>
      <c r="G1576" s="5">
        <v>3.5</v>
      </c>
      <c r="H1576" s="6">
        <v>0</v>
      </c>
      <c r="I1576" s="7">
        <f t="shared" si="240"/>
        <v>36750</v>
      </c>
      <c r="J1576" s="7">
        <f t="shared" si="241"/>
        <v>0</v>
      </c>
      <c r="K1576" s="7">
        <f t="shared" si="242"/>
        <v>36750</v>
      </c>
      <c r="L1576" s="4">
        <v>0</v>
      </c>
      <c r="M1576" s="7">
        <f t="shared" si="243"/>
        <v>36750</v>
      </c>
      <c r="N1576" s="2" t="s">
        <v>33</v>
      </c>
      <c r="O1576" t="s">
        <v>22</v>
      </c>
      <c r="P1576" s="2" t="s">
        <v>2367</v>
      </c>
      <c r="Q1576" s="2">
        <v>4</v>
      </c>
      <c r="R1576" s="2" t="s">
        <v>34</v>
      </c>
      <c r="S1576" s="2" t="str">
        <f t="shared" si="244"/>
        <v>Sangat Rendah</v>
      </c>
      <c r="T1576" s="2" t="str">
        <f t="shared" si="245"/>
        <v>FALSE</v>
      </c>
      <c r="U1576" s="2" t="str">
        <f t="shared" si="246"/>
        <v>FALSE</v>
      </c>
      <c r="V1576" s="2" t="b">
        <f t="shared" si="247"/>
        <v>0</v>
      </c>
      <c r="W1576" s="2" t="b">
        <f t="shared" si="248"/>
        <v>1</v>
      </c>
      <c r="X1576" s="2" t="b">
        <f t="shared" si="249"/>
        <v>0</v>
      </c>
    </row>
    <row r="1577" spans="1:24" ht="10.5" customHeight="1">
      <c r="A1577" s="2" t="s">
        <v>1935</v>
      </c>
      <c r="B1577" s="3">
        <v>45959.719768518517</v>
      </c>
      <c r="C1577" s="2" t="s">
        <v>634</v>
      </c>
      <c r="D1577" s="2" t="s">
        <v>235</v>
      </c>
      <c r="E1577" s="2" t="s">
        <v>102</v>
      </c>
      <c r="F1577" s="4">
        <v>55000</v>
      </c>
      <c r="G1577" s="5">
        <v>0.8</v>
      </c>
      <c r="H1577" s="6">
        <v>0</v>
      </c>
      <c r="I1577" s="7">
        <f t="shared" si="240"/>
        <v>44000</v>
      </c>
      <c r="J1577" s="7">
        <f t="shared" si="241"/>
        <v>0</v>
      </c>
      <c r="K1577" s="7">
        <f t="shared" si="242"/>
        <v>44000</v>
      </c>
      <c r="L1577" s="4">
        <v>80000</v>
      </c>
      <c r="M1577" s="7">
        <f t="shared" si="243"/>
        <v>124000</v>
      </c>
      <c r="N1577" s="2" t="s">
        <v>58</v>
      </c>
      <c r="O1577" t="s">
        <v>22</v>
      </c>
      <c r="P1577" s="2" t="s">
        <v>2366</v>
      </c>
      <c r="Q1577" s="2">
        <v>1</v>
      </c>
      <c r="R1577" s="2" t="s">
        <v>23</v>
      </c>
      <c r="S1577" s="2" t="str">
        <f t="shared" si="244"/>
        <v>Standar</v>
      </c>
      <c r="T1577" s="2" t="str">
        <f t="shared" si="245"/>
        <v>FALSE</v>
      </c>
      <c r="U1577" s="2" t="str">
        <f t="shared" si="246"/>
        <v>FALSE</v>
      </c>
      <c r="V1577" s="2" t="b">
        <f t="shared" si="247"/>
        <v>0</v>
      </c>
      <c r="W1577" s="2" t="b">
        <f t="shared" si="248"/>
        <v>0</v>
      </c>
      <c r="X1577" s="2" t="b">
        <f t="shared" si="249"/>
        <v>0</v>
      </c>
    </row>
    <row r="1578" spans="1:24" ht="10.5" customHeight="1">
      <c r="A1578" s="2" t="s">
        <v>1936</v>
      </c>
      <c r="B1578" s="3">
        <v>45959.745625000003</v>
      </c>
      <c r="C1578" s="2" t="s">
        <v>367</v>
      </c>
      <c r="D1578" s="2" t="s">
        <v>173</v>
      </c>
      <c r="E1578" s="2" t="s">
        <v>53</v>
      </c>
      <c r="F1578" s="4">
        <v>14000</v>
      </c>
      <c r="G1578" s="5">
        <v>0.7</v>
      </c>
      <c r="H1578" s="6">
        <v>0</v>
      </c>
      <c r="I1578" s="7">
        <f t="shared" si="240"/>
        <v>9800</v>
      </c>
      <c r="J1578" s="7">
        <f t="shared" si="241"/>
        <v>0</v>
      </c>
      <c r="K1578" s="7">
        <f t="shared" si="242"/>
        <v>9800</v>
      </c>
      <c r="L1578" s="4">
        <v>48000</v>
      </c>
      <c r="M1578" s="7">
        <f t="shared" si="243"/>
        <v>57800</v>
      </c>
      <c r="N1578" s="2" t="s">
        <v>21</v>
      </c>
      <c r="O1578" t="s">
        <v>22</v>
      </c>
      <c r="P1578" s="2" t="s">
        <v>2367</v>
      </c>
      <c r="Q1578" s="2">
        <v>1</v>
      </c>
      <c r="R1578" s="2" t="s">
        <v>23</v>
      </c>
      <c r="S1578" s="2" t="str">
        <f t="shared" si="244"/>
        <v>Rendah</v>
      </c>
      <c r="T1578" s="2" t="str">
        <f t="shared" si="245"/>
        <v>FALSE</v>
      </c>
      <c r="U1578" s="2" t="str">
        <f t="shared" si="246"/>
        <v>FALSE</v>
      </c>
      <c r="V1578" s="2" t="b">
        <f t="shared" si="247"/>
        <v>0</v>
      </c>
      <c r="W1578" s="2" t="b">
        <f t="shared" si="248"/>
        <v>1</v>
      </c>
      <c r="X1578" s="2" t="b">
        <f t="shared" si="249"/>
        <v>0</v>
      </c>
    </row>
    <row r="1579" spans="1:24" ht="10.5" customHeight="1">
      <c r="A1579" s="2" t="s">
        <v>1937</v>
      </c>
      <c r="B1579" s="3">
        <v>45959.769548611112</v>
      </c>
      <c r="C1579" s="2" t="s">
        <v>237</v>
      </c>
      <c r="D1579" s="2" t="s">
        <v>229</v>
      </c>
      <c r="E1579" s="2" t="s">
        <v>57</v>
      </c>
      <c r="F1579" s="4">
        <v>17500</v>
      </c>
      <c r="G1579" s="5">
        <v>1.6</v>
      </c>
      <c r="H1579" s="6">
        <v>0</v>
      </c>
      <c r="I1579" s="7">
        <f t="shared" si="240"/>
        <v>28000</v>
      </c>
      <c r="J1579" s="7">
        <f t="shared" si="241"/>
        <v>0</v>
      </c>
      <c r="K1579" s="7">
        <f t="shared" si="242"/>
        <v>28000</v>
      </c>
      <c r="L1579" s="4">
        <v>28000</v>
      </c>
      <c r="M1579" s="7">
        <f t="shared" si="243"/>
        <v>56000</v>
      </c>
      <c r="N1579" s="2" t="s">
        <v>21</v>
      </c>
      <c r="O1579" t="s">
        <v>22</v>
      </c>
      <c r="P1579" s="2" t="s">
        <v>2367</v>
      </c>
      <c r="Q1579" s="2">
        <v>5</v>
      </c>
      <c r="R1579" s="2" t="s">
        <v>23</v>
      </c>
      <c r="S1579" s="2" t="str">
        <f t="shared" si="244"/>
        <v>Rendah</v>
      </c>
      <c r="T1579" s="2" t="str">
        <f t="shared" si="245"/>
        <v>FALSE</v>
      </c>
      <c r="U1579" s="2" t="str">
        <f t="shared" si="246"/>
        <v>FALSE</v>
      </c>
      <c r="V1579" s="2" t="b">
        <f t="shared" si="247"/>
        <v>0</v>
      </c>
      <c r="W1579" s="2" t="b">
        <f t="shared" si="248"/>
        <v>1</v>
      </c>
      <c r="X1579" s="2" t="b">
        <f t="shared" si="249"/>
        <v>0</v>
      </c>
    </row>
    <row r="1580" spans="1:24" ht="10.5" customHeight="1">
      <c r="A1580" s="2" t="s">
        <v>1938</v>
      </c>
      <c r="B1580" s="3">
        <v>45959.918645833342</v>
      </c>
      <c r="C1580" s="2" t="s">
        <v>415</v>
      </c>
      <c r="D1580" s="2" t="s">
        <v>40</v>
      </c>
      <c r="E1580" s="2" t="s">
        <v>53</v>
      </c>
      <c r="F1580" s="4">
        <v>14000</v>
      </c>
      <c r="G1580" s="5">
        <v>1.5</v>
      </c>
      <c r="H1580" s="6">
        <v>0</v>
      </c>
      <c r="I1580" s="7">
        <f t="shared" si="240"/>
        <v>21000</v>
      </c>
      <c r="J1580" s="7">
        <f t="shared" si="241"/>
        <v>0</v>
      </c>
      <c r="K1580" s="7">
        <f t="shared" si="242"/>
        <v>21000</v>
      </c>
      <c r="L1580" s="4">
        <v>93000</v>
      </c>
      <c r="M1580" s="7">
        <f t="shared" si="243"/>
        <v>114000</v>
      </c>
      <c r="N1580" s="2" t="s">
        <v>21</v>
      </c>
      <c r="O1580" t="s">
        <v>22</v>
      </c>
      <c r="P1580" s="2" t="s">
        <v>2366</v>
      </c>
      <c r="Q1580" s="2">
        <v>2</v>
      </c>
      <c r="R1580" s="2" t="s">
        <v>34</v>
      </c>
      <c r="S1580" s="2" t="str">
        <f t="shared" si="244"/>
        <v>Standar</v>
      </c>
      <c r="T1580" s="2" t="str">
        <f t="shared" si="245"/>
        <v>FALSE</v>
      </c>
      <c r="U1580" s="2" t="str">
        <f t="shared" si="246"/>
        <v>FALSE</v>
      </c>
      <c r="V1580" s="2" t="b">
        <f t="shared" si="247"/>
        <v>0</v>
      </c>
      <c r="W1580" s="2" t="b">
        <f t="shared" si="248"/>
        <v>0</v>
      </c>
      <c r="X1580" s="2" t="b">
        <f t="shared" si="249"/>
        <v>0</v>
      </c>
    </row>
    <row r="1581" spans="1:24" ht="10.5" customHeight="1">
      <c r="A1581" s="2" t="s">
        <v>1939</v>
      </c>
      <c r="B1581" s="3">
        <v>45960.064699074072</v>
      </c>
      <c r="C1581" s="2" t="s">
        <v>43</v>
      </c>
      <c r="D1581" s="2" t="s">
        <v>44</v>
      </c>
      <c r="E1581" s="2" t="s">
        <v>41</v>
      </c>
      <c r="F1581" s="4">
        <v>40000</v>
      </c>
      <c r="G1581" s="5">
        <v>0.4</v>
      </c>
      <c r="H1581" s="6">
        <v>0</v>
      </c>
      <c r="I1581" s="7">
        <f t="shared" si="240"/>
        <v>16000</v>
      </c>
      <c r="J1581" s="7">
        <f t="shared" si="241"/>
        <v>0</v>
      </c>
      <c r="K1581" s="7">
        <f t="shared" si="242"/>
        <v>16000</v>
      </c>
      <c r="L1581" s="4">
        <v>43000</v>
      </c>
      <c r="M1581" s="7">
        <f t="shared" si="243"/>
        <v>59000</v>
      </c>
      <c r="N1581" s="2" t="s">
        <v>58</v>
      </c>
      <c r="O1581" t="s">
        <v>69</v>
      </c>
      <c r="P1581" s="2" t="s">
        <v>2366</v>
      </c>
      <c r="Q1581" s="2">
        <v>1</v>
      </c>
      <c r="R1581" s="2" t="s">
        <v>23</v>
      </c>
      <c r="S1581" s="2" t="str">
        <f t="shared" si="244"/>
        <v>Rendah</v>
      </c>
      <c r="T1581" s="2" t="str">
        <f t="shared" si="245"/>
        <v>FALSE</v>
      </c>
      <c r="U1581" s="2" t="str">
        <f t="shared" si="246"/>
        <v>FALSE</v>
      </c>
      <c r="V1581" s="2" t="b">
        <f t="shared" si="247"/>
        <v>0</v>
      </c>
      <c r="W1581" s="2" t="b">
        <f t="shared" si="248"/>
        <v>0</v>
      </c>
      <c r="X1581" s="2" t="b">
        <f t="shared" si="249"/>
        <v>0</v>
      </c>
    </row>
    <row r="1582" spans="1:24" ht="10.5" customHeight="1">
      <c r="A1582" s="2" t="s">
        <v>1940</v>
      </c>
      <c r="B1582" s="3">
        <v>45960.286111111112</v>
      </c>
      <c r="C1582" s="2" t="s">
        <v>1614</v>
      </c>
      <c r="D1582" s="2" t="s">
        <v>31</v>
      </c>
      <c r="E1582" s="2" t="s">
        <v>143</v>
      </c>
      <c r="F1582" s="4">
        <v>10000</v>
      </c>
      <c r="G1582" s="5">
        <v>1</v>
      </c>
      <c r="H1582" s="6">
        <v>0</v>
      </c>
      <c r="I1582" s="7">
        <f t="shared" si="240"/>
        <v>10000</v>
      </c>
      <c r="J1582" s="7">
        <f t="shared" si="241"/>
        <v>0</v>
      </c>
      <c r="K1582" s="7">
        <f t="shared" si="242"/>
        <v>10000</v>
      </c>
      <c r="L1582" s="4">
        <v>76000</v>
      </c>
      <c r="M1582" s="7">
        <f t="shared" si="243"/>
        <v>86000</v>
      </c>
      <c r="N1582" s="2" t="s">
        <v>33</v>
      </c>
      <c r="O1582" t="s">
        <v>69</v>
      </c>
      <c r="P1582" s="2" t="s">
        <v>2367</v>
      </c>
      <c r="Q1582" s="2">
        <v>2</v>
      </c>
      <c r="R1582" s="2" t="s">
        <v>23</v>
      </c>
      <c r="S1582" s="2" t="str">
        <f t="shared" si="244"/>
        <v>Rendah</v>
      </c>
      <c r="T1582" s="2" t="str">
        <f t="shared" si="245"/>
        <v>FALSE</v>
      </c>
      <c r="U1582" s="2" t="str">
        <f t="shared" si="246"/>
        <v>TRUE</v>
      </c>
      <c r="V1582" s="2" t="b">
        <f t="shared" si="247"/>
        <v>0</v>
      </c>
      <c r="W1582" s="2" t="b">
        <f t="shared" si="248"/>
        <v>1</v>
      </c>
      <c r="X1582" s="2" t="b">
        <f t="shared" si="249"/>
        <v>0</v>
      </c>
    </row>
    <row r="1583" spans="1:24" ht="10.5" customHeight="1">
      <c r="A1583" s="2" t="s">
        <v>1941</v>
      </c>
      <c r="B1583" s="3">
        <v>45960.373541666668</v>
      </c>
      <c r="C1583" s="2" t="s">
        <v>689</v>
      </c>
      <c r="D1583" s="2" t="s">
        <v>229</v>
      </c>
      <c r="E1583" s="2" t="s">
        <v>182</v>
      </c>
      <c r="F1583" s="4">
        <v>11000</v>
      </c>
      <c r="G1583" s="5">
        <v>1.8</v>
      </c>
      <c r="H1583" s="6">
        <v>0</v>
      </c>
      <c r="I1583" s="7">
        <f t="shared" si="240"/>
        <v>19800</v>
      </c>
      <c r="J1583" s="7">
        <f t="shared" si="241"/>
        <v>0</v>
      </c>
      <c r="K1583" s="7">
        <f t="shared" si="242"/>
        <v>19800</v>
      </c>
      <c r="L1583" s="4">
        <v>28000</v>
      </c>
      <c r="M1583" s="7">
        <f t="shared" si="243"/>
        <v>47800</v>
      </c>
      <c r="N1583" s="2" t="s">
        <v>21</v>
      </c>
      <c r="O1583" t="s">
        <v>22</v>
      </c>
      <c r="P1583" s="2" t="s">
        <v>2368</v>
      </c>
      <c r="Q1583" s="2">
        <v>5</v>
      </c>
      <c r="R1583" s="2" t="s">
        <v>34</v>
      </c>
      <c r="S1583" s="2" t="str">
        <f t="shared" si="244"/>
        <v>Sangat Rendah</v>
      </c>
      <c r="T1583" s="2" t="str">
        <f t="shared" si="245"/>
        <v>FALSE</v>
      </c>
      <c r="U1583" s="2" t="str">
        <f t="shared" si="246"/>
        <v>FALSE</v>
      </c>
      <c r="V1583" s="2" t="b">
        <f t="shared" si="247"/>
        <v>0</v>
      </c>
      <c r="W1583" s="2" t="b">
        <f t="shared" si="248"/>
        <v>0</v>
      </c>
      <c r="X1583" s="2" t="b">
        <f t="shared" si="249"/>
        <v>0</v>
      </c>
    </row>
    <row r="1584" spans="1:24" ht="10.5" customHeight="1">
      <c r="A1584" s="2" t="s">
        <v>1942</v>
      </c>
      <c r="B1584" s="3">
        <v>45960.404814814807</v>
      </c>
      <c r="C1584" s="2" t="s">
        <v>811</v>
      </c>
      <c r="D1584" s="2" t="s">
        <v>123</v>
      </c>
      <c r="E1584" s="2" t="s">
        <v>65</v>
      </c>
      <c r="F1584" s="4">
        <v>46000</v>
      </c>
      <c r="G1584" s="5">
        <v>0.5</v>
      </c>
      <c r="H1584" s="6">
        <v>0</v>
      </c>
      <c r="I1584" s="7">
        <f t="shared" si="240"/>
        <v>23000</v>
      </c>
      <c r="J1584" s="7">
        <f t="shared" si="241"/>
        <v>0</v>
      </c>
      <c r="K1584" s="7">
        <f t="shared" si="242"/>
        <v>23000</v>
      </c>
      <c r="L1584" s="4">
        <v>59000</v>
      </c>
      <c r="M1584" s="7">
        <f t="shared" si="243"/>
        <v>82000</v>
      </c>
      <c r="N1584" s="2" t="s">
        <v>58</v>
      </c>
      <c r="O1584" t="s">
        <v>22</v>
      </c>
      <c r="P1584" s="2" t="s">
        <v>2365</v>
      </c>
      <c r="Q1584" s="2">
        <v>4</v>
      </c>
      <c r="R1584" s="2" t="s">
        <v>23</v>
      </c>
      <c r="S1584" s="2" t="str">
        <f t="shared" si="244"/>
        <v>Rendah</v>
      </c>
      <c r="T1584" s="2" t="str">
        <f t="shared" si="245"/>
        <v>FALSE</v>
      </c>
      <c r="U1584" s="2" t="str">
        <f t="shared" si="246"/>
        <v>FALSE</v>
      </c>
      <c r="V1584" s="2" t="b">
        <f t="shared" si="247"/>
        <v>0</v>
      </c>
      <c r="W1584" s="2" t="b">
        <f t="shared" si="248"/>
        <v>0</v>
      </c>
      <c r="X1584" s="2" t="b">
        <f t="shared" si="249"/>
        <v>0</v>
      </c>
    </row>
    <row r="1585" spans="1:24" ht="10.5" customHeight="1">
      <c r="A1585" s="2" t="s">
        <v>1943</v>
      </c>
      <c r="B1585" s="3">
        <v>45960.413854166669</v>
      </c>
      <c r="C1585" s="2" t="s">
        <v>237</v>
      </c>
      <c r="D1585" s="2" t="s">
        <v>229</v>
      </c>
      <c r="E1585" s="2" t="s">
        <v>41</v>
      </c>
      <c r="F1585" s="4">
        <v>40000</v>
      </c>
      <c r="G1585" s="5">
        <v>1.1000000000000001</v>
      </c>
      <c r="H1585" s="6">
        <v>0</v>
      </c>
      <c r="I1585" s="7">
        <f t="shared" si="240"/>
        <v>44000</v>
      </c>
      <c r="J1585" s="7">
        <f t="shared" si="241"/>
        <v>0</v>
      </c>
      <c r="K1585" s="7">
        <f t="shared" si="242"/>
        <v>44000</v>
      </c>
      <c r="L1585" s="4">
        <v>28000</v>
      </c>
      <c r="M1585" s="7">
        <f t="shared" si="243"/>
        <v>72000</v>
      </c>
      <c r="N1585" s="2" t="s">
        <v>21</v>
      </c>
      <c r="O1585" t="s">
        <v>22</v>
      </c>
      <c r="P1585" s="2" t="s">
        <v>2366</v>
      </c>
      <c r="Q1585" s="2">
        <v>5</v>
      </c>
      <c r="R1585" s="2" t="s">
        <v>23</v>
      </c>
      <c r="S1585" s="2" t="str">
        <f t="shared" si="244"/>
        <v>Rendah</v>
      </c>
      <c r="T1585" s="2" t="str">
        <f t="shared" si="245"/>
        <v>FALSE</v>
      </c>
      <c r="U1585" s="2" t="str">
        <f t="shared" si="246"/>
        <v>FALSE</v>
      </c>
      <c r="V1585" s="2" t="b">
        <f t="shared" si="247"/>
        <v>0</v>
      </c>
      <c r="W1585" s="2" t="b">
        <f t="shared" si="248"/>
        <v>0</v>
      </c>
      <c r="X1585" s="2" t="b">
        <f t="shared" si="249"/>
        <v>0</v>
      </c>
    </row>
    <row r="1586" spans="1:24" ht="10.5" customHeight="1">
      <c r="A1586" s="2" t="s">
        <v>1944</v>
      </c>
      <c r="B1586" s="3">
        <v>45960.54791666667</v>
      </c>
      <c r="C1586" s="2" t="s">
        <v>207</v>
      </c>
      <c r="D1586" s="2" t="s">
        <v>133</v>
      </c>
      <c r="E1586" s="2" t="s">
        <v>170</v>
      </c>
      <c r="F1586" s="4">
        <v>12000</v>
      </c>
      <c r="G1586" s="5">
        <v>1.2</v>
      </c>
      <c r="H1586" s="6">
        <v>0</v>
      </c>
      <c r="I1586" s="7">
        <f t="shared" si="240"/>
        <v>14400</v>
      </c>
      <c r="J1586" s="7">
        <f t="shared" si="241"/>
        <v>0</v>
      </c>
      <c r="K1586" s="7">
        <f t="shared" si="242"/>
        <v>14400</v>
      </c>
      <c r="L1586" s="4">
        <v>50000</v>
      </c>
      <c r="M1586" s="7">
        <f t="shared" si="243"/>
        <v>64400</v>
      </c>
      <c r="N1586" s="2" t="s">
        <v>33</v>
      </c>
      <c r="O1586" t="s">
        <v>22</v>
      </c>
      <c r="P1586" s="2" t="s">
        <v>2368</v>
      </c>
      <c r="Q1586" s="2">
        <v>5</v>
      </c>
      <c r="R1586" s="2" t="s">
        <v>23</v>
      </c>
      <c r="S1586" s="2" t="str">
        <f t="shared" si="244"/>
        <v>Rendah</v>
      </c>
      <c r="T1586" s="2" t="str">
        <f t="shared" si="245"/>
        <v>FALSE</v>
      </c>
      <c r="U1586" s="2" t="str">
        <f t="shared" si="246"/>
        <v>FALSE</v>
      </c>
      <c r="V1586" s="2" t="b">
        <f t="shared" si="247"/>
        <v>0</v>
      </c>
      <c r="W1586" s="2" t="b">
        <f t="shared" si="248"/>
        <v>0</v>
      </c>
      <c r="X1586" s="2" t="b">
        <f t="shared" si="249"/>
        <v>0</v>
      </c>
    </row>
    <row r="1587" spans="1:24" ht="10.5" customHeight="1">
      <c r="A1587" s="2" t="s">
        <v>1945</v>
      </c>
      <c r="B1587" s="3">
        <v>45960.58079861111</v>
      </c>
      <c r="C1587" s="2" t="s">
        <v>1414</v>
      </c>
      <c r="D1587" s="2" t="s">
        <v>286</v>
      </c>
      <c r="E1587" s="2" t="s">
        <v>99</v>
      </c>
      <c r="F1587" s="4">
        <v>10000</v>
      </c>
      <c r="G1587" s="5">
        <v>0.6</v>
      </c>
      <c r="H1587" s="6">
        <v>0</v>
      </c>
      <c r="I1587" s="7">
        <f t="shared" si="240"/>
        <v>6000</v>
      </c>
      <c r="J1587" s="7">
        <f t="shared" si="241"/>
        <v>0</v>
      </c>
      <c r="K1587" s="7">
        <f t="shared" si="242"/>
        <v>6000</v>
      </c>
      <c r="L1587" s="4">
        <v>79000</v>
      </c>
      <c r="M1587" s="7">
        <f t="shared" si="243"/>
        <v>85000</v>
      </c>
      <c r="N1587" s="2" t="s">
        <v>21</v>
      </c>
      <c r="O1587" t="s">
        <v>22</v>
      </c>
      <c r="P1587" s="2" t="s">
        <v>2366</v>
      </c>
      <c r="Q1587" s="2">
        <v>1</v>
      </c>
      <c r="R1587" s="2" t="s">
        <v>23</v>
      </c>
      <c r="S1587" s="2" t="str">
        <f t="shared" si="244"/>
        <v>Rendah</v>
      </c>
      <c r="T1587" s="2" t="str">
        <f t="shared" si="245"/>
        <v>FALSE</v>
      </c>
      <c r="U1587" s="2" t="str">
        <f t="shared" si="246"/>
        <v>FALSE</v>
      </c>
      <c r="V1587" s="2" t="b">
        <f t="shared" si="247"/>
        <v>0</v>
      </c>
      <c r="W1587" s="2" t="b">
        <f t="shared" si="248"/>
        <v>0</v>
      </c>
      <c r="X1587" s="2" t="b">
        <f t="shared" si="249"/>
        <v>0</v>
      </c>
    </row>
    <row r="1588" spans="1:24" ht="10.5" customHeight="1">
      <c r="A1588" s="2" t="s">
        <v>1946</v>
      </c>
      <c r="B1588" s="3">
        <v>45960.611793981479</v>
      </c>
      <c r="C1588" s="2" t="s">
        <v>113</v>
      </c>
      <c r="D1588" s="2" t="s">
        <v>114</v>
      </c>
      <c r="E1588" s="2" t="s">
        <v>27</v>
      </c>
      <c r="F1588" s="4">
        <v>15000</v>
      </c>
      <c r="G1588" s="5">
        <v>1.2</v>
      </c>
      <c r="H1588" s="6">
        <v>0</v>
      </c>
      <c r="I1588" s="7">
        <f t="shared" si="240"/>
        <v>18000</v>
      </c>
      <c r="J1588" s="7">
        <f t="shared" si="241"/>
        <v>0</v>
      </c>
      <c r="K1588" s="7">
        <f t="shared" si="242"/>
        <v>18000</v>
      </c>
      <c r="L1588" s="4">
        <v>78000</v>
      </c>
      <c r="M1588" s="7">
        <f t="shared" si="243"/>
        <v>96000</v>
      </c>
      <c r="N1588" s="2" t="s">
        <v>28</v>
      </c>
      <c r="O1588" t="s">
        <v>22</v>
      </c>
      <c r="P1588" s="2" t="s">
        <v>2368</v>
      </c>
      <c r="Q1588" s="2">
        <v>1</v>
      </c>
      <c r="R1588" s="2" t="s">
        <v>23</v>
      </c>
      <c r="S1588" s="2" t="str">
        <f t="shared" si="244"/>
        <v>Rendah</v>
      </c>
      <c r="T1588" s="2" t="str">
        <f t="shared" si="245"/>
        <v>TRUE</v>
      </c>
      <c r="U1588" s="2" t="str">
        <f t="shared" si="246"/>
        <v>FALSE</v>
      </c>
      <c r="V1588" s="2" t="b">
        <f t="shared" si="247"/>
        <v>0</v>
      </c>
      <c r="W1588" s="2" t="b">
        <f t="shared" si="248"/>
        <v>0</v>
      </c>
      <c r="X1588" s="2" t="b">
        <f t="shared" si="249"/>
        <v>0</v>
      </c>
    </row>
    <row r="1589" spans="1:24" ht="10.5" customHeight="1">
      <c r="A1589" s="2" t="s">
        <v>1947</v>
      </c>
      <c r="B1589" s="3">
        <v>45960.624780092592</v>
      </c>
      <c r="C1589" s="2" t="s">
        <v>349</v>
      </c>
      <c r="D1589" s="2" t="s">
        <v>64</v>
      </c>
      <c r="E1589" s="2" t="s">
        <v>35</v>
      </c>
      <c r="F1589" s="4">
        <v>13500</v>
      </c>
      <c r="G1589" s="5">
        <v>1.1000000000000001</v>
      </c>
      <c r="H1589" s="6">
        <v>0</v>
      </c>
      <c r="I1589" s="7">
        <f t="shared" si="240"/>
        <v>14850.000000000002</v>
      </c>
      <c r="J1589" s="7">
        <f t="shared" si="241"/>
        <v>0</v>
      </c>
      <c r="K1589" s="7">
        <f t="shared" si="242"/>
        <v>14850.000000000002</v>
      </c>
      <c r="L1589" s="4">
        <v>89000</v>
      </c>
      <c r="M1589" s="7">
        <f t="shared" si="243"/>
        <v>103850</v>
      </c>
      <c r="N1589" s="2" t="s">
        <v>33</v>
      </c>
      <c r="O1589" t="s">
        <v>69</v>
      </c>
      <c r="P1589" s="2" t="s">
        <v>2368</v>
      </c>
      <c r="Q1589" s="2">
        <v>2</v>
      </c>
      <c r="R1589" s="2" t="s">
        <v>23</v>
      </c>
      <c r="S1589" s="2" t="str">
        <f t="shared" si="244"/>
        <v>Standar</v>
      </c>
      <c r="T1589" s="2" t="str">
        <f t="shared" si="245"/>
        <v>FALSE</v>
      </c>
      <c r="U1589" s="2" t="str">
        <f t="shared" si="246"/>
        <v>FALSE</v>
      </c>
      <c r="V1589" s="2" t="b">
        <f t="shared" si="247"/>
        <v>0</v>
      </c>
      <c r="W1589" s="2" t="b">
        <f t="shared" si="248"/>
        <v>0</v>
      </c>
      <c r="X1589" s="2" t="b">
        <f t="shared" si="249"/>
        <v>0</v>
      </c>
    </row>
    <row r="1590" spans="1:24" ht="10.5" customHeight="1">
      <c r="A1590" s="2" t="s">
        <v>1948</v>
      </c>
      <c r="B1590" s="3">
        <v>45960.681516203702</v>
      </c>
      <c r="C1590" s="2" t="s">
        <v>1644</v>
      </c>
      <c r="D1590" s="2" t="s">
        <v>68</v>
      </c>
      <c r="E1590" s="2" t="s">
        <v>80</v>
      </c>
      <c r="F1590" s="4">
        <v>15000</v>
      </c>
      <c r="G1590" s="5">
        <v>2.6</v>
      </c>
      <c r="H1590" s="6">
        <v>0</v>
      </c>
      <c r="I1590" s="7">
        <f t="shared" si="240"/>
        <v>39000</v>
      </c>
      <c r="J1590" s="7">
        <f t="shared" si="241"/>
        <v>0</v>
      </c>
      <c r="K1590" s="7">
        <f t="shared" si="242"/>
        <v>39000</v>
      </c>
      <c r="L1590" s="4">
        <v>87000</v>
      </c>
      <c r="M1590" s="7">
        <f t="shared" si="243"/>
        <v>126000</v>
      </c>
      <c r="N1590" s="2" t="s">
        <v>33</v>
      </c>
      <c r="O1590" t="s">
        <v>69</v>
      </c>
      <c r="P1590" s="2" t="s">
        <v>2367</v>
      </c>
      <c r="Q1590" s="2">
        <v>4</v>
      </c>
      <c r="R1590" s="2" t="s">
        <v>34</v>
      </c>
      <c r="S1590" s="2" t="str">
        <f t="shared" si="244"/>
        <v>Standar</v>
      </c>
      <c r="T1590" s="2" t="str">
        <f t="shared" si="245"/>
        <v>FALSE</v>
      </c>
      <c r="U1590" s="2" t="str">
        <f t="shared" si="246"/>
        <v>FALSE</v>
      </c>
      <c r="V1590" s="2" t="b">
        <f t="shared" si="247"/>
        <v>0</v>
      </c>
      <c r="W1590" s="2" t="b">
        <f t="shared" si="248"/>
        <v>1</v>
      </c>
      <c r="X1590" s="2" t="b">
        <f t="shared" si="249"/>
        <v>0</v>
      </c>
    </row>
    <row r="1591" spans="1:24" ht="10.5" customHeight="1">
      <c r="A1591" s="2" t="s">
        <v>1949</v>
      </c>
      <c r="B1591" s="3">
        <v>45960.705740740741</v>
      </c>
      <c r="C1591" s="2" t="s">
        <v>1268</v>
      </c>
      <c r="D1591" s="2" t="s">
        <v>68</v>
      </c>
      <c r="E1591" s="2" t="s">
        <v>161</v>
      </c>
      <c r="F1591" s="4">
        <v>115000</v>
      </c>
      <c r="G1591" s="5">
        <v>1</v>
      </c>
      <c r="H1591" s="6">
        <v>0</v>
      </c>
      <c r="I1591" s="7">
        <f t="shared" si="240"/>
        <v>115000</v>
      </c>
      <c r="J1591" s="7">
        <f t="shared" si="241"/>
        <v>0</v>
      </c>
      <c r="K1591" s="7">
        <f t="shared" si="242"/>
        <v>115000</v>
      </c>
      <c r="L1591" s="4">
        <v>87000</v>
      </c>
      <c r="M1591" s="7">
        <f t="shared" si="243"/>
        <v>202000</v>
      </c>
      <c r="N1591" s="2" t="s">
        <v>33</v>
      </c>
      <c r="O1591" t="s">
        <v>69</v>
      </c>
      <c r="P1591" s="2" t="s">
        <v>2367</v>
      </c>
      <c r="Q1591" s="2">
        <v>4</v>
      </c>
      <c r="R1591" s="2" t="s">
        <v>23</v>
      </c>
      <c r="S1591" s="2" t="str">
        <f t="shared" si="244"/>
        <v>Sangat Tinggi</v>
      </c>
      <c r="T1591" s="2" t="str">
        <f t="shared" si="245"/>
        <v>FALSE</v>
      </c>
      <c r="U1591" s="2" t="str">
        <f t="shared" si="246"/>
        <v>FALSE</v>
      </c>
      <c r="V1591" s="2" t="b">
        <f t="shared" si="247"/>
        <v>0</v>
      </c>
      <c r="W1591" s="2" t="b">
        <f t="shared" si="248"/>
        <v>1</v>
      </c>
      <c r="X1591" s="2" t="b">
        <f t="shared" si="249"/>
        <v>0</v>
      </c>
    </row>
    <row r="1592" spans="1:24" ht="10.5" customHeight="1">
      <c r="A1592" s="2" t="s">
        <v>1950</v>
      </c>
      <c r="B1592" s="3">
        <v>45960.748865740738</v>
      </c>
      <c r="C1592" s="2" t="s">
        <v>1073</v>
      </c>
      <c r="D1592" s="2" t="s">
        <v>160</v>
      </c>
      <c r="E1592" s="2" t="s">
        <v>80</v>
      </c>
      <c r="F1592" s="4">
        <v>15000</v>
      </c>
      <c r="G1592" s="5">
        <v>1.4</v>
      </c>
      <c r="H1592" s="6">
        <v>0</v>
      </c>
      <c r="I1592" s="7">
        <f t="shared" si="240"/>
        <v>21000</v>
      </c>
      <c r="J1592" s="7">
        <f t="shared" si="241"/>
        <v>0</v>
      </c>
      <c r="K1592" s="7">
        <f t="shared" si="242"/>
        <v>21000</v>
      </c>
      <c r="L1592" s="4">
        <v>46000</v>
      </c>
      <c r="M1592" s="7">
        <f t="shared" si="243"/>
        <v>67000</v>
      </c>
      <c r="N1592" s="2" t="s">
        <v>33</v>
      </c>
      <c r="O1592" t="s">
        <v>22</v>
      </c>
      <c r="P1592" s="2" t="s">
        <v>2368</v>
      </c>
      <c r="Q1592" s="2">
        <v>5</v>
      </c>
      <c r="R1592" s="2" t="s">
        <v>23</v>
      </c>
      <c r="S1592" s="2" t="str">
        <f t="shared" si="244"/>
        <v>Rendah</v>
      </c>
      <c r="T1592" s="2" t="str">
        <f t="shared" si="245"/>
        <v>FALSE</v>
      </c>
      <c r="U1592" s="2" t="str">
        <f t="shared" si="246"/>
        <v>FALSE</v>
      </c>
      <c r="V1592" s="2" t="b">
        <f t="shared" si="247"/>
        <v>0</v>
      </c>
      <c r="W1592" s="2" t="b">
        <f t="shared" si="248"/>
        <v>0</v>
      </c>
      <c r="X1592" s="2" t="b">
        <f t="shared" si="249"/>
        <v>0</v>
      </c>
    </row>
    <row r="1593" spans="1:24" ht="10.5" customHeight="1">
      <c r="A1593" s="2" t="s">
        <v>1951</v>
      </c>
      <c r="B1593" s="3">
        <v>45960.793865740743</v>
      </c>
      <c r="C1593" s="2" t="s">
        <v>279</v>
      </c>
      <c r="D1593" s="2" t="s">
        <v>19</v>
      </c>
      <c r="E1593" s="2" t="s">
        <v>35</v>
      </c>
      <c r="F1593" s="4">
        <v>13500</v>
      </c>
      <c r="G1593" s="5">
        <v>1.4</v>
      </c>
      <c r="H1593" s="6">
        <v>0</v>
      </c>
      <c r="I1593" s="7">
        <f t="shared" si="240"/>
        <v>18900</v>
      </c>
      <c r="J1593" s="7">
        <f t="shared" si="241"/>
        <v>0</v>
      </c>
      <c r="K1593" s="7">
        <f t="shared" si="242"/>
        <v>18900</v>
      </c>
      <c r="L1593" s="4">
        <v>15000</v>
      </c>
      <c r="M1593" s="7">
        <f t="shared" si="243"/>
        <v>33900</v>
      </c>
      <c r="N1593" s="2" t="s">
        <v>58</v>
      </c>
      <c r="O1593" t="s">
        <v>22</v>
      </c>
      <c r="P1593" s="2" t="s">
        <v>2367</v>
      </c>
      <c r="Q1593" s="2">
        <v>1</v>
      </c>
      <c r="R1593" s="2" t="s">
        <v>23</v>
      </c>
      <c r="S1593" s="2" t="str">
        <f t="shared" si="244"/>
        <v>Sangat Rendah</v>
      </c>
      <c r="T1593" s="2" t="str">
        <f t="shared" si="245"/>
        <v>FALSE</v>
      </c>
      <c r="U1593" s="2" t="str">
        <f t="shared" si="246"/>
        <v>FALSE</v>
      </c>
      <c r="V1593" s="2" t="b">
        <f t="shared" si="247"/>
        <v>0</v>
      </c>
      <c r="W1593" s="2" t="b">
        <f t="shared" si="248"/>
        <v>1</v>
      </c>
      <c r="X1593" s="2" t="b">
        <f t="shared" si="249"/>
        <v>1</v>
      </c>
    </row>
    <row r="1594" spans="1:24" ht="10.5" customHeight="1">
      <c r="A1594" s="2" t="s">
        <v>1952</v>
      </c>
      <c r="B1594" s="3">
        <v>45960.801782407398</v>
      </c>
      <c r="C1594" s="2" t="s">
        <v>192</v>
      </c>
      <c r="D1594" s="2" t="s">
        <v>98</v>
      </c>
      <c r="E1594" s="2" t="s">
        <v>182</v>
      </c>
      <c r="F1594" s="4">
        <v>11000</v>
      </c>
      <c r="G1594" s="5">
        <v>2.8</v>
      </c>
      <c r="H1594" s="6">
        <v>0</v>
      </c>
      <c r="I1594" s="7">
        <f t="shared" si="240"/>
        <v>30799.999999999996</v>
      </c>
      <c r="J1594" s="7">
        <f t="shared" si="241"/>
        <v>0</v>
      </c>
      <c r="K1594" s="7">
        <f t="shared" si="242"/>
        <v>30799.999999999996</v>
      </c>
      <c r="L1594" s="4">
        <v>97000</v>
      </c>
      <c r="M1594" s="7">
        <f t="shared" si="243"/>
        <v>127800</v>
      </c>
      <c r="N1594" s="2" t="s">
        <v>28</v>
      </c>
      <c r="O1594" t="s">
        <v>22</v>
      </c>
      <c r="P1594" s="2" t="s">
        <v>2368</v>
      </c>
      <c r="Q1594" s="2">
        <v>2</v>
      </c>
      <c r="R1594" s="2" t="s">
        <v>23</v>
      </c>
      <c r="S1594" s="2" t="str">
        <f t="shared" si="244"/>
        <v>Standar</v>
      </c>
      <c r="T1594" s="2" t="str">
        <f t="shared" si="245"/>
        <v>FALSE</v>
      </c>
      <c r="U1594" s="2" t="str">
        <f t="shared" si="246"/>
        <v>FALSE</v>
      </c>
      <c r="V1594" s="2" t="b">
        <f t="shared" si="247"/>
        <v>0</v>
      </c>
      <c r="W1594" s="2" t="b">
        <f t="shared" si="248"/>
        <v>0</v>
      </c>
      <c r="X1594" s="2" t="b">
        <f t="shared" si="249"/>
        <v>0</v>
      </c>
    </row>
    <row r="1595" spans="1:24" ht="10.5" customHeight="1">
      <c r="A1595" s="2" t="s">
        <v>1953</v>
      </c>
      <c r="B1595" s="3">
        <v>45960.93105324074</v>
      </c>
      <c r="C1595" s="2" t="s">
        <v>83</v>
      </c>
      <c r="D1595" s="2" t="s">
        <v>84</v>
      </c>
      <c r="E1595" s="2" t="s">
        <v>95</v>
      </c>
      <c r="F1595" s="4">
        <v>9500</v>
      </c>
      <c r="G1595" s="5">
        <v>1.9</v>
      </c>
      <c r="H1595" s="6">
        <v>0</v>
      </c>
      <c r="I1595" s="7">
        <f t="shared" si="240"/>
        <v>18050</v>
      </c>
      <c r="J1595" s="7">
        <f t="shared" si="241"/>
        <v>0</v>
      </c>
      <c r="K1595" s="7">
        <f t="shared" si="242"/>
        <v>18050</v>
      </c>
      <c r="L1595" s="4">
        <v>30000</v>
      </c>
      <c r="M1595" s="7">
        <f t="shared" si="243"/>
        <v>48050</v>
      </c>
      <c r="N1595" s="2" t="s">
        <v>21</v>
      </c>
      <c r="O1595" t="s">
        <v>22</v>
      </c>
      <c r="P1595" s="2" t="s">
        <v>2365</v>
      </c>
      <c r="Q1595" s="2">
        <v>3</v>
      </c>
      <c r="R1595" s="2" t="s">
        <v>23</v>
      </c>
      <c r="S1595" s="2" t="str">
        <f t="shared" si="244"/>
        <v>Sangat Rendah</v>
      </c>
      <c r="T1595" s="2" t="str">
        <f t="shared" si="245"/>
        <v>FALSE</v>
      </c>
      <c r="U1595" s="2" t="str">
        <f t="shared" si="246"/>
        <v>FALSE</v>
      </c>
      <c r="V1595" s="2" t="b">
        <f t="shared" si="247"/>
        <v>0</v>
      </c>
      <c r="W1595" s="2" t="b">
        <f t="shared" si="248"/>
        <v>0</v>
      </c>
      <c r="X1595" s="2" t="b">
        <f t="shared" si="249"/>
        <v>1</v>
      </c>
    </row>
    <row r="1596" spans="1:24" ht="10.5" customHeight="1">
      <c r="A1596" s="2" t="s">
        <v>1954</v>
      </c>
      <c r="B1596" s="3">
        <v>45961.259340277778</v>
      </c>
      <c r="C1596" s="2" t="s">
        <v>762</v>
      </c>
      <c r="D1596" s="2" t="s">
        <v>105</v>
      </c>
      <c r="E1596" s="2" t="s">
        <v>143</v>
      </c>
      <c r="F1596" s="4">
        <v>10000</v>
      </c>
      <c r="G1596" s="5">
        <v>0.8</v>
      </c>
      <c r="H1596" s="6">
        <v>0</v>
      </c>
      <c r="I1596" s="7">
        <f t="shared" si="240"/>
        <v>8000</v>
      </c>
      <c r="J1596" s="7">
        <f t="shared" si="241"/>
        <v>0</v>
      </c>
      <c r="K1596" s="7">
        <f t="shared" si="242"/>
        <v>8000</v>
      </c>
      <c r="L1596" s="4">
        <v>18000</v>
      </c>
      <c r="M1596" s="7">
        <f t="shared" si="243"/>
        <v>26000</v>
      </c>
      <c r="N1596" s="2" t="s">
        <v>33</v>
      </c>
      <c r="O1596" t="s">
        <v>22</v>
      </c>
      <c r="P1596" s="2" t="s">
        <v>2365</v>
      </c>
      <c r="Q1596" s="2">
        <v>5</v>
      </c>
      <c r="R1596" s="2" t="s">
        <v>23</v>
      </c>
      <c r="S1596" s="2" t="str">
        <f t="shared" si="244"/>
        <v>Sangat Rendah</v>
      </c>
      <c r="T1596" s="2" t="str">
        <f t="shared" si="245"/>
        <v>FALSE</v>
      </c>
      <c r="U1596" s="2" t="str">
        <f t="shared" si="246"/>
        <v>TRUE</v>
      </c>
      <c r="V1596" s="2" t="b">
        <f t="shared" si="247"/>
        <v>0</v>
      </c>
      <c r="W1596" s="2" t="b">
        <f t="shared" si="248"/>
        <v>0</v>
      </c>
      <c r="X1596" s="2" t="b">
        <f t="shared" si="249"/>
        <v>1</v>
      </c>
    </row>
    <row r="1597" spans="1:24" ht="10.5" customHeight="1">
      <c r="A1597" s="2" t="s">
        <v>1954</v>
      </c>
      <c r="B1597" s="3">
        <v>45961.259340277778</v>
      </c>
      <c r="C1597" s="2" t="s">
        <v>762</v>
      </c>
      <c r="D1597" s="2" t="s">
        <v>105</v>
      </c>
      <c r="E1597" s="2" t="s">
        <v>57</v>
      </c>
      <c r="F1597" s="4">
        <v>17500</v>
      </c>
      <c r="G1597" s="5">
        <v>3.8</v>
      </c>
      <c r="H1597" s="6">
        <v>0</v>
      </c>
      <c r="I1597" s="7">
        <f t="shared" si="240"/>
        <v>66500</v>
      </c>
      <c r="J1597" s="7">
        <f t="shared" si="241"/>
        <v>0</v>
      </c>
      <c r="K1597" s="7">
        <f t="shared" si="242"/>
        <v>66500</v>
      </c>
      <c r="L1597" s="4">
        <v>0</v>
      </c>
      <c r="M1597" s="7">
        <f t="shared" si="243"/>
        <v>66500</v>
      </c>
      <c r="N1597" s="2" t="s">
        <v>33</v>
      </c>
      <c r="O1597" t="s">
        <v>22</v>
      </c>
      <c r="P1597" s="2" t="s">
        <v>2365</v>
      </c>
      <c r="Q1597" s="2">
        <v>5</v>
      </c>
      <c r="R1597" s="2" t="s">
        <v>23</v>
      </c>
      <c r="S1597" s="2" t="str">
        <f t="shared" si="244"/>
        <v>Rendah</v>
      </c>
      <c r="T1597" s="2" t="str">
        <f t="shared" si="245"/>
        <v>FALSE</v>
      </c>
      <c r="U1597" s="2" t="str">
        <f t="shared" si="246"/>
        <v>FALSE</v>
      </c>
      <c r="V1597" s="2" t="b">
        <f t="shared" si="247"/>
        <v>0</v>
      </c>
      <c r="W1597" s="2" t="b">
        <f t="shared" si="248"/>
        <v>0</v>
      </c>
      <c r="X1597" s="2" t="b">
        <f t="shared" si="249"/>
        <v>0</v>
      </c>
    </row>
    <row r="1598" spans="1:24" ht="10.5" customHeight="1">
      <c r="A1598" s="2" t="s">
        <v>1955</v>
      </c>
      <c r="B1598" s="3">
        <v>45961.362847222219</v>
      </c>
      <c r="C1598" s="2" t="s">
        <v>798</v>
      </c>
      <c r="D1598" s="2" t="s">
        <v>56</v>
      </c>
      <c r="E1598" s="2" t="s">
        <v>32</v>
      </c>
      <c r="F1598" s="4">
        <v>20000</v>
      </c>
      <c r="G1598" s="5">
        <v>2.1</v>
      </c>
      <c r="H1598" s="6">
        <v>0</v>
      </c>
      <c r="I1598" s="7">
        <f t="shared" si="240"/>
        <v>42000</v>
      </c>
      <c r="J1598" s="7">
        <f t="shared" si="241"/>
        <v>0</v>
      </c>
      <c r="K1598" s="7">
        <f t="shared" si="242"/>
        <v>42000</v>
      </c>
      <c r="L1598" s="4">
        <v>26000</v>
      </c>
      <c r="M1598" s="7">
        <f t="shared" si="243"/>
        <v>68000</v>
      </c>
      <c r="N1598" s="2" t="s">
        <v>21</v>
      </c>
      <c r="O1598" t="s">
        <v>22</v>
      </c>
      <c r="P1598" s="2" t="s">
        <v>2368</v>
      </c>
      <c r="Q1598" s="2">
        <v>4</v>
      </c>
      <c r="R1598" s="2" t="s">
        <v>23</v>
      </c>
      <c r="S1598" s="2" t="str">
        <f t="shared" si="244"/>
        <v>Rendah</v>
      </c>
      <c r="T1598" s="2" t="str">
        <f t="shared" si="245"/>
        <v>FALSE</v>
      </c>
      <c r="U1598" s="2" t="str">
        <f t="shared" si="246"/>
        <v>FALSE</v>
      </c>
      <c r="V1598" s="2" t="b">
        <f t="shared" si="247"/>
        <v>0</v>
      </c>
      <c r="W1598" s="2" t="b">
        <f t="shared" si="248"/>
        <v>0</v>
      </c>
      <c r="X1598" s="2" t="b">
        <f t="shared" si="249"/>
        <v>0</v>
      </c>
    </row>
    <row r="1599" spans="1:24" ht="10.5" customHeight="1">
      <c r="A1599" s="2" t="s">
        <v>1956</v>
      </c>
      <c r="B1599" s="3">
        <v>45961.373900462961</v>
      </c>
      <c r="C1599" s="2" t="s">
        <v>251</v>
      </c>
      <c r="D1599" s="2" t="s">
        <v>252</v>
      </c>
      <c r="E1599" s="2" t="s">
        <v>32</v>
      </c>
      <c r="F1599" s="4">
        <v>20000</v>
      </c>
      <c r="G1599" s="5">
        <v>2.4</v>
      </c>
      <c r="H1599" s="6">
        <v>0</v>
      </c>
      <c r="I1599" s="7">
        <f t="shared" si="240"/>
        <v>48000</v>
      </c>
      <c r="J1599" s="7">
        <f t="shared" si="241"/>
        <v>0</v>
      </c>
      <c r="K1599" s="7">
        <f t="shared" si="242"/>
        <v>48000</v>
      </c>
      <c r="L1599" s="4">
        <v>18000</v>
      </c>
      <c r="M1599" s="7">
        <f t="shared" si="243"/>
        <v>66000</v>
      </c>
      <c r="N1599" s="2" t="s">
        <v>28</v>
      </c>
      <c r="O1599" t="s">
        <v>69</v>
      </c>
      <c r="P1599" s="2" t="s">
        <v>2370</v>
      </c>
      <c r="Q1599" s="2">
        <v>1</v>
      </c>
      <c r="R1599" s="2" t="s">
        <v>23</v>
      </c>
      <c r="S1599" s="2" t="str">
        <f t="shared" si="244"/>
        <v>Rendah</v>
      </c>
      <c r="T1599" s="2" t="str">
        <f t="shared" si="245"/>
        <v>FALSE</v>
      </c>
      <c r="U1599" s="2" t="str">
        <f t="shared" si="246"/>
        <v>FALSE</v>
      </c>
      <c r="V1599" s="2" t="b">
        <f t="shared" si="247"/>
        <v>0</v>
      </c>
      <c r="W1599" s="2" t="b">
        <f t="shared" si="248"/>
        <v>0</v>
      </c>
      <c r="X1599" s="2" t="b">
        <f t="shared" si="249"/>
        <v>0</v>
      </c>
    </row>
    <row r="1600" spans="1:24" ht="10.5" customHeight="1">
      <c r="A1600" s="2" t="s">
        <v>1957</v>
      </c>
      <c r="B1600" s="3">
        <v>45961.412141203713</v>
      </c>
      <c r="C1600" s="2" t="s">
        <v>914</v>
      </c>
      <c r="D1600" s="2" t="s">
        <v>19</v>
      </c>
      <c r="E1600" s="2" t="s">
        <v>143</v>
      </c>
      <c r="F1600" s="4">
        <v>10000</v>
      </c>
      <c r="G1600" s="5">
        <v>0.9</v>
      </c>
      <c r="H1600" s="6">
        <v>0</v>
      </c>
      <c r="I1600" s="7">
        <f t="shared" si="240"/>
        <v>9000</v>
      </c>
      <c r="J1600" s="7">
        <f t="shared" si="241"/>
        <v>0</v>
      </c>
      <c r="K1600" s="7">
        <f t="shared" si="242"/>
        <v>9000</v>
      </c>
      <c r="L1600" s="4">
        <v>15000</v>
      </c>
      <c r="M1600" s="7">
        <f t="shared" si="243"/>
        <v>24000</v>
      </c>
      <c r="N1600" s="2" t="s">
        <v>33</v>
      </c>
      <c r="O1600" t="s">
        <v>22</v>
      </c>
      <c r="P1600" s="2" t="s">
        <v>2370</v>
      </c>
      <c r="Q1600" s="2">
        <v>5</v>
      </c>
      <c r="R1600" s="2" t="s">
        <v>34</v>
      </c>
      <c r="S1600" s="2" t="str">
        <f t="shared" si="244"/>
        <v>Sangat Rendah</v>
      </c>
      <c r="T1600" s="2" t="str">
        <f t="shared" si="245"/>
        <v>FALSE</v>
      </c>
      <c r="U1600" s="2" t="str">
        <f t="shared" si="246"/>
        <v>TRUE</v>
      </c>
      <c r="V1600" s="2" t="b">
        <f t="shared" si="247"/>
        <v>0</v>
      </c>
      <c r="W1600" s="2" t="b">
        <f t="shared" si="248"/>
        <v>0</v>
      </c>
      <c r="X1600" s="2" t="b">
        <f t="shared" si="249"/>
        <v>0</v>
      </c>
    </row>
    <row r="1601" spans="1:24" ht="10.5" customHeight="1">
      <c r="A1601" s="2" t="s">
        <v>1958</v>
      </c>
      <c r="B1601" s="3">
        <v>45961.502743055556</v>
      </c>
      <c r="C1601" s="2" t="s">
        <v>101</v>
      </c>
      <c r="D1601" s="2" t="s">
        <v>44</v>
      </c>
      <c r="E1601" s="2" t="s">
        <v>190</v>
      </c>
      <c r="F1601" s="4">
        <v>15500</v>
      </c>
      <c r="G1601" s="5">
        <v>0.3</v>
      </c>
      <c r="H1601" s="6">
        <v>0</v>
      </c>
      <c r="I1601" s="7">
        <f t="shared" si="240"/>
        <v>4650</v>
      </c>
      <c r="J1601" s="7">
        <f t="shared" si="241"/>
        <v>0</v>
      </c>
      <c r="K1601" s="7">
        <f t="shared" si="242"/>
        <v>4650</v>
      </c>
      <c r="L1601" s="4">
        <v>43000</v>
      </c>
      <c r="M1601" s="7">
        <f t="shared" si="243"/>
        <v>47650</v>
      </c>
      <c r="N1601" s="2" t="s">
        <v>21</v>
      </c>
      <c r="O1601" t="s">
        <v>69</v>
      </c>
      <c r="P1601" s="2" t="s">
        <v>2367</v>
      </c>
      <c r="Q1601" s="2">
        <v>1</v>
      </c>
      <c r="R1601" s="2" t="s">
        <v>23</v>
      </c>
      <c r="S1601" s="2" t="str">
        <f t="shared" si="244"/>
        <v>Sangat Rendah</v>
      </c>
      <c r="T1601" s="2" t="str">
        <f t="shared" si="245"/>
        <v>FALSE</v>
      </c>
      <c r="U1601" s="2" t="str">
        <f t="shared" si="246"/>
        <v>FALSE</v>
      </c>
      <c r="V1601" s="2" t="b">
        <f t="shared" si="247"/>
        <v>0</v>
      </c>
      <c r="W1601" s="2" t="b">
        <f t="shared" si="248"/>
        <v>1</v>
      </c>
      <c r="X1601" s="2" t="b">
        <f t="shared" si="249"/>
        <v>1</v>
      </c>
    </row>
    <row r="1602" spans="1:24" ht="10.5" customHeight="1">
      <c r="A1602" s="2" t="s">
        <v>1959</v>
      </c>
      <c r="B1602" s="3">
        <v>45961.527199074073</v>
      </c>
      <c r="C1602" s="2" t="s">
        <v>1960</v>
      </c>
      <c r="D1602" s="2" t="s">
        <v>64</v>
      </c>
      <c r="E1602" s="2" t="s">
        <v>190</v>
      </c>
      <c r="F1602" s="4">
        <v>15500</v>
      </c>
      <c r="G1602" s="5">
        <v>0.5</v>
      </c>
      <c r="H1602" s="6">
        <v>0</v>
      </c>
      <c r="I1602" s="7">
        <f t="shared" si="240"/>
        <v>7750</v>
      </c>
      <c r="J1602" s="7">
        <f t="shared" si="241"/>
        <v>0</v>
      </c>
      <c r="K1602" s="7">
        <f t="shared" si="242"/>
        <v>7750</v>
      </c>
      <c r="L1602" s="4">
        <v>89000</v>
      </c>
      <c r="M1602" s="7">
        <f t="shared" si="243"/>
        <v>96750</v>
      </c>
      <c r="N1602" s="2" t="s">
        <v>28</v>
      </c>
      <c r="O1602" t="s">
        <v>69</v>
      </c>
      <c r="P1602" s="2" t="s">
        <v>2370</v>
      </c>
      <c r="Q1602" s="2">
        <v>4</v>
      </c>
      <c r="R1602" s="2" t="s">
        <v>23</v>
      </c>
      <c r="S1602" s="2" t="str">
        <f t="shared" si="244"/>
        <v>Rendah</v>
      </c>
      <c r="T1602" s="2" t="str">
        <f t="shared" si="245"/>
        <v>FALSE</v>
      </c>
      <c r="U1602" s="2" t="str">
        <f t="shared" si="246"/>
        <v>FALSE</v>
      </c>
      <c r="V1602" s="2" t="b">
        <f t="shared" si="247"/>
        <v>0</v>
      </c>
      <c r="W1602" s="2" t="b">
        <f t="shared" si="248"/>
        <v>0</v>
      </c>
      <c r="X1602" s="2" t="b">
        <f t="shared" si="249"/>
        <v>0</v>
      </c>
    </row>
    <row r="1603" spans="1:24" ht="10.5" customHeight="1">
      <c r="A1603" s="2" t="s">
        <v>1959</v>
      </c>
      <c r="B1603" s="3">
        <v>45961.527199074073</v>
      </c>
      <c r="C1603" s="2" t="s">
        <v>1960</v>
      </c>
      <c r="D1603" s="2" t="s">
        <v>64</v>
      </c>
      <c r="E1603" s="2" t="s">
        <v>41</v>
      </c>
      <c r="F1603" s="4">
        <v>40000</v>
      </c>
      <c r="G1603" s="5">
        <v>0.6</v>
      </c>
      <c r="H1603" s="6">
        <v>0</v>
      </c>
      <c r="I1603" s="7">
        <f t="shared" si="240"/>
        <v>24000</v>
      </c>
      <c r="J1603" s="7">
        <f t="shared" si="241"/>
        <v>0</v>
      </c>
      <c r="K1603" s="7">
        <f t="shared" si="242"/>
        <v>24000</v>
      </c>
      <c r="L1603" s="4">
        <v>0</v>
      </c>
      <c r="M1603" s="7">
        <f t="shared" si="243"/>
        <v>24000</v>
      </c>
      <c r="N1603" s="2" t="s">
        <v>28</v>
      </c>
      <c r="O1603" t="s">
        <v>69</v>
      </c>
      <c r="P1603" s="2" t="s">
        <v>2370</v>
      </c>
      <c r="Q1603" s="2">
        <v>4</v>
      </c>
      <c r="R1603" s="2" t="s">
        <v>23</v>
      </c>
      <c r="S1603" s="2" t="str">
        <f t="shared" si="244"/>
        <v>Sangat Rendah</v>
      </c>
      <c r="T1603" s="2" t="str">
        <f t="shared" si="245"/>
        <v>FALSE</v>
      </c>
      <c r="U1603" s="2" t="str">
        <f t="shared" si="246"/>
        <v>FALSE</v>
      </c>
      <c r="V1603" s="2" t="b">
        <f t="shared" si="247"/>
        <v>0</v>
      </c>
      <c r="W1603" s="2" t="b">
        <f t="shared" si="248"/>
        <v>0</v>
      </c>
      <c r="X1603" s="2" t="b">
        <f t="shared" si="249"/>
        <v>1</v>
      </c>
    </row>
    <row r="1604" spans="1:24" ht="10.5" customHeight="1">
      <c r="A1604" s="2" t="s">
        <v>1961</v>
      </c>
      <c r="B1604" s="3">
        <v>45961.59337962963</v>
      </c>
      <c r="C1604" s="2" t="s">
        <v>400</v>
      </c>
      <c r="D1604" s="2" t="s">
        <v>140</v>
      </c>
      <c r="E1604" s="2" t="s">
        <v>20</v>
      </c>
      <c r="F1604" s="4">
        <v>10000</v>
      </c>
      <c r="G1604" s="5">
        <v>1.6</v>
      </c>
      <c r="H1604" s="6">
        <v>0</v>
      </c>
      <c r="I1604" s="7">
        <f t="shared" ref="I1604:I1667" si="250">F1604*G1604</f>
        <v>16000</v>
      </c>
      <c r="J1604" s="7">
        <f t="shared" ref="J1604:J1667" si="251">I1604*(H1604/100)</f>
        <v>0</v>
      </c>
      <c r="K1604" s="7">
        <f t="shared" ref="K1604:K1667" si="252">I1604-J1604</f>
        <v>16000</v>
      </c>
      <c r="L1604" s="4">
        <v>55000</v>
      </c>
      <c r="M1604" s="7">
        <f t="shared" ref="M1604:M1667" si="253">K1604+L1604</f>
        <v>71000</v>
      </c>
      <c r="N1604" s="2" t="s">
        <v>28</v>
      </c>
      <c r="O1604" t="s">
        <v>22</v>
      </c>
      <c r="P1604" s="2" t="s">
        <v>2365</v>
      </c>
      <c r="Q1604" s="2">
        <v>1</v>
      </c>
      <c r="R1604" s="2" t="s">
        <v>23</v>
      </c>
      <c r="S1604" s="2" t="str">
        <f t="shared" ref="S1604:S1667" si="254">IF(M1604&lt;=50000,"Sangat Rendah",IF(M1604&lt;=100000,"Rendah",IF(M1604&lt;=150000,"Standar",IF(M1604&lt;=200000,"Tinggi","Sangat Tinggi"))))</f>
        <v>Rendah</v>
      </c>
      <c r="T1604" s="2" t="str">
        <f t="shared" ref="T1604:T1667" si="255">IF(AND(S1604="Rendah",D1604="Yogyakarta"),"TRUE","FALSE")</f>
        <v>FALSE</v>
      </c>
      <c r="U1604" s="2" t="str">
        <f t="shared" ref="U1604:U1667" si="256">IF(OR(S1604="Tinggi",E1604="Bayam"),"TRUE","FALSE")</f>
        <v>FALSE</v>
      </c>
      <c r="V1604" s="2" t="b">
        <f t="shared" ref="V1604:V1667" si="257">IF(AND(S1604="Standar",N1604="Transef Bank"),TRUE,FALSE)</f>
        <v>0</v>
      </c>
      <c r="W1604" s="2" t="b">
        <f t="shared" ref="W1604:W1667" si="258">IF(OR(S1604="Sangat Tinggi",P1604="FoodMart"),TRUE,FALSE)</f>
        <v>0</v>
      </c>
      <c r="X1604" s="2" t="b">
        <f t="shared" ref="X1604:X1667" si="259">IF(AND(S1604="Sangat Rendah",R1604="Perempuan"),TRUE,FALSE)</f>
        <v>0</v>
      </c>
    </row>
    <row r="1605" spans="1:24" ht="10.5" customHeight="1">
      <c r="A1605" s="2" t="s">
        <v>1962</v>
      </c>
      <c r="B1605" s="3">
        <v>45961.593715277777</v>
      </c>
      <c r="C1605" s="2" t="s">
        <v>240</v>
      </c>
      <c r="D1605" s="2" t="s">
        <v>44</v>
      </c>
      <c r="E1605" s="2" t="s">
        <v>190</v>
      </c>
      <c r="F1605" s="4">
        <v>15500</v>
      </c>
      <c r="G1605" s="5">
        <v>0.3</v>
      </c>
      <c r="H1605" s="6">
        <v>0</v>
      </c>
      <c r="I1605" s="7">
        <f t="shared" si="250"/>
        <v>4650</v>
      </c>
      <c r="J1605" s="7">
        <f t="shared" si="251"/>
        <v>0</v>
      </c>
      <c r="K1605" s="7">
        <f t="shared" si="252"/>
        <v>4650</v>
      </c>
      <c r="L1605" s="4">
        <v>43000</v>
      </c>
      <c r="M1605" s="7">
        <f t="shared" si="253"/>
        <v>47650</v>
      </c>
      <c r="N1605" s="2" t="s">
        <v>21</v>
      </c>
      <c r="O1605" t="s">
        <v>22</v>
      </c>
      <c r="P1605" s="2" t="s">
        <v>2367</v>
      </c>
      <c r="Q1605" s="2">
        <v>3</v>
      </c>
      <c r="R1605" s="2" t="s">
        <v>23</v>
      </c>
      <c r="S1605" s="2" t="str">
        <f t="shared" si="254"/>
        <v>Sangat Rendah</v>
      </c>
      <c r="T1605" s="2" t="str">
        <f t="shared" si="255"/>
        <v>FALSE</v>
      </c>
      <c r="U1605" s="2" t="str">
        <f t="shared" si="256"/>
        <v>FALSE</v>
      </c>
      <c r="V1605" s="2" t="b">
        <f t="shared" si="257"/>
        <v>0</v>
      </c>
      <c r="W1605" s="2" t="b">
        <f t="shared" si="258"/>
        <v>1</v>
      </c>
      <c r="X1605" s="2" t="b">
        <f t="shared" si="259"/>
        <v>1</v>
      </c>
    </row>
    <row r="1606" spans="1:24" ht="10.5" customHeight="1">
      <c r="A1606" s="2" t="s">
        <v>1963</v>
      </c>
      <c r="B1606" s="3">
        <v>45961.59615740741</v>
      </c>
      <c r="C1606" s="2" t="s">
        <v>595</v>
      </c>
      <c r="D1606" s="2" t="s">
        <v>140</v>
      </c>
      <c r="E1606" s="2" t="s">
        <v>49</v>
      </c>
      <c r="F1606" s="4">
        <v>26000</v>
      </c>
      <c r="G1606" s="5">
        <v>0.6</v>
      </c>
      <c r="H1606" s="6">
        <v>0</v>
      </c>
      <c r="I1606" s="7">
        <f t="shared" si="250"/>
        <v>15600</v>
      </c>
      <c r="J1606" s="7">
        <f t="shared" si="251"/>
        <v>0</v>
      </c>
      <c r="K1606" s="7">
        <f t="shared" si="252"/>
        <v>15600</v>
      </c>
      <c r="L1606" s="4">
        <v>55000</v>
      </c>
      <c r="M1606" s="7">
        <f t="shared" si="253"/>
        <v>70600</v>
      </c>
      <c r="N1606" s="2" t="s">
        <v>33</v>
      </c>
      <c r="O1606" t="s">
        <v>69</v>
      </c>
      <c r="P1606" s="2" t="s">
        <v>2366</v>
      </c>
      <c r="Q1606" s="2">
        <v>3</v>
      </c>
      <c r="R1606" s="2" t="s">
        <v>23</v>
      </c>
      <c r="S1606" s="2" t="str">
        <f t="shared" si="254"/>
        <v>Rendah</v>
      </c>
      <c r="T1606" s="2" t="str">
        <f t="shared" si="255"/>
        <v>FALSE</v>
      </c>
      <c r="U1606" s="2" t="str">
        <f t="shared" si="256"/>
        <v>FALSE</v>
      </c>
      <c r="V1606" s="2" t="b">
        <f t="shared" si="257"/>
        <v>0</v>
      </c>
      <c r="W1606" s="2" t="b">
        <f t="shared" si="258"/>
        <v>0</v>
      </c>
      <c r="X1606" s="2" t="b">
        <f t="shared" si="259"/>
        <v>0</v>
      </c>
    </row>
    <row r="1607" spans="1:24" ht="10.5" customHeight="1">
      <c r="A1607" s="2" t="s">
        <v>1964</v>
      </c>
      <c r="B1607" s="3">
        <v>45961.637187499997</v>
      </c>
      <c r="C1607" s="2" t="s">
        <v>209</v>
      </c>
      <c r="D1607" s="2" t="s">
        <v>160</v>
      </c>
      <c r="E1607" s="2" t="s">
        <v>53</v>
      </c>
      <c r="F1607" s="4">
        <v>14000</v>
      </c>
      <c r="G1607" s="5">
        <v>1.6</v>
      </c>
      <c r="H1607" s="6">
        <v>0</v>
      </c>
      <c r="I1607" s="7">
        <f t="shared" si="250"/>
        <v>22400</v>
      </c>
      <c r="J1607" s="7">
        <f t="shared" si="251"/>
        <v>0</v>
      </c>
      <c r="K1607" s="7">
        <f t="shared" si="252"/>
        <v>22400</v>
      </c>
      <c r="L1607" s="4">
        <v>46000</v>
      </c>
      <c r="M1607" s="7">
        <f t="shared" si="253"/>
        <v>68400</v>
      </c>
      <c r="N1607" s="2" t="s">
        <v>28</v>
      </c>
      <c r="O1607" t="s">
        <v>22</v>
      </c>
      <c r="P1607" s="2" t="s">
        <v>2370</v>
      </c>
      <c r="Q1607" s="2">
        <v>5</v>
      </c>
      <c r="R1607" s="2" t="s">
        <v>23</v>
      </c>
      <c r="S1607" s="2" t="str">
        <f t="shared" si="254"/>
        <v>Rendah</v>
      </c>
      <c r="T1607" s="2" t="str">
        <f t="shared" si="255"/>
        <v>FALSE</v>
      </c>
      <c r="U1607" s="2" t="str">
        <f t="shared" si="256"/>
        <v>FALSE</v>
      </c>
      <c r="V1607" s="2" t="b">
        <f t="shared" si="257"/>
        <v>0</v>
      </c>
      <c r="W1607" s="2" t="b">
        <f t="shared" si="258"/>
        <v>0</v>
      </c>
      <c r="X1607" s="2" t="b">
        <f t="shared" si="259"/>
        <v>0</v>
      </c>
    </row>
    <row r="1608" spans="1:24" ht="10.5" customHeight="1">
      <c r="A1608" s="2" t="s">
        <v>1965</v>
      </c>
      <c r="B1608" s="3">
        <v>45961.639085648138</v>
      </c>
      <c r="C1608" s="2" t="s">
        <v>159</v>
      </c>
      <c r="D1608" s="2" t="s">
        <v>160</v>
      </c>
      <c r="E1608" s="2" t="s">
        <v>45</v>
      </c>
      <c r="F1608" s="4">
        <v>10500</v>
      </c>
      <c r="G1608" s="5">
        <v>3.3</v>
      </c>
      <c r="H1608" s="6">
        <v>0</v>
      </c>
      <c r="I1608" s="7">
        <f t="shared" si="250"/>
        <v>34650</v>
      </c>
      <c r="J1608" s="7">
        <f t="shared" si="251"/>
        <v>0</v>
      </c>
      <c r="K1608" s="7">
        <f t="shared" si="252"/>
        <v>34650</v>
      </c>
      <c r="L1608" s="4">
        <v>46000</v>
      </c>
      <c r="M1608" s="7">
        <f t="shared" si="253"/>
        <v>80650</v>
      </c>
      <c r="N1608" s="2" t="s">
        <v>58</v>
      </c>
      <c r="O1608" t="s">
        <v>22</v>
      </c>
      <c r="P1608" s="2" t="s">
        <v>2365</v>
      </c>
      <c r="Q1608" s="2">
        <v>4</v>
      </c>
      <c r="R1608" s="2" t="s">
        <v>23</v>
      </c>
      <c r="S1608" s="2" t="str">
        <f t="shared" si="254"/>
        <v>Rendah</v>
      </c>
      <c r="T1608" s="2" t="str">
        <f t="shared" si="255"/>
        <v>FALSE</v>
      </c>
      <c r="U1608" s="2" t="str">
        <f t="shared" si="256"/>
        <v>FALSE</v>
      </c>
      <c r="V1608" s="2" t="b">
        <f t="shared" si="257"/>
        <v>0</v>
      </c>
      <c r="W1608" s="2" t="b">
        <f t="shared" si="258"/>
        <v>0</v>
      </c>
      <c r="X1608" s="2" t="b">
        <f t="shared" si="259"/>
        <v>0</v>
      </c>
    </row>
    <row r="1609" spans="1:24" ht="10.5" customHeight="1">
      <c r="A1609" s="2" t="s">
        <v>1966</v>
      </c>
      <c r="B1609" s="3">
        <v>45961.645196759258</v>
      </c>
      <c r="C1609" s="2" t="s">
        <v>505</v>
      </c>
      <c r="D1609" s="2" t="s">
        <v>173</v>
      </c>
      <c r="E1609" s="2" t="s">
        <v>53</v>
      </c>
      <c r="F1609" s="4">
        <v>14000</v>
      </c>
      <c r="G1609" s="5">
        <v>1.4</v>
      </c>
      <c r="H1609" s="6">
        <v>0</v>
      </c>
      <c r="I1609" s="7">
        <f t="shared" si="250"/>
        <v>19600</v>
      </c>
      <c r="J1609" s="7">
        <f t="shared" si="251"/>
        <v>0</v>
      </c>
      <c r="K1609" s="7">
        <f t="shared" si="252"/>
        <v>19600</v>
      </c>
      <c r="L1609" s="4">
        <v>48000</v>
      </c>
      <c r="M1609" s="7">
        <f t="shared" si="253"/>
        <v>67600</v>
      </c>
      <c r="N1609" s="2" t="s">
        <v>33</v>
      </c>
      <c r="O1609" t="s">
        <v>22</v>
      </c>
      <c r="P1609" s="2" t="s">
        <v>2370</v>
      </c>
      <c r="Q1609" s="2">
        <v>3</v>
      </c>
      <c r="R1609" s="2" t="s">
        <v>23</v>
      </c>
      <c r="S1609" s="2" t="str">
        <f t="shared" si="254"/>
        <v>Rendah</v>
      </c>
      <c r="T1609" s="2" t="str">
        <f t="shared" si="255"/>
        <v>FALSE</v>
      </c>
      <c r="U1609" s="2" t="str">
        <f t="shared" si="256"/>
        <v>FALSE</v>
      </c>
      <c r="V1609" s="2" t="b">
        <f t="shared" si="257"/>
        <v>0</v>
      </c>
      <c r="W1609" s="2" t="b">
        <f t="shared" si="258"/>
        <v>0</v>
      </c>
      <c r="X1609" s="2" t="b">
        <f t="shared" si="259"/>
        <v>0</v>
      </c>
    </row>
    <row r="1610" spans="1:24" ht="10.5" customHeight="1">
      <c r="A1610" s="2" t="s">
        <v>1967</v>
      </c>
      <c r="B1610" s="3">
        <v>45961.712534722217</v>
      </c>
      <c r="C1610" s="2" t="s">
        <v>436</v>
      </c>
      <c r="D1610" s="2" t="s">
        <v>286</v>
      </c>
      <c r="E1610" s="2" t="s">
        <v>20</v>
      </c>
      <c r="F1610" s="4">
        <v>10000</v>
      </c>
      <c r="G1610" s="5">
        <v>1.3</v>
      </c>
      <c r="H1610" s="6">
        <v>0</v>
      </c>
      <c r="I1610" s="7">
        <f t="shared" si="250"/>
        <v>13000</v>
      </c>
      <c r="J1610" s="7">
        <f t="shared" si="251"/>
        <v>0</v>
      </c>
      <c r="K1610" s="7">
        <f t="shared" si="252"/>
        <v>13000</v>
      </c>
      <c r="L1610" s="4">
        <v>79000</v>
      </c>
      <c r="M1610" s="7">
        <f t="shared" si="253"/>
        <v>92000</v>
      </c>
      <c r="N1610" s="2" t="s">
        <v>58</v>
      </c>
      <c r="O1610" t="s">
        <v>69</v>
      </c>
      <c r="P1610" s="2" t="s">
        <v>2367</v>
      </c>
      <c r="Q1610" s="2">
        <v>4</v>
      </c>
      <c r="R1610" s="2" t="s">
        <v>34</v>
      </c>
      <c r="S1610" s="2" t="str">
        <f t="shared" si="254"/>
        <v>Rendah</v>
      </c>
      <c r="T1610" s="2" t="str">
        <f t="shared" si="255"/>
        <v>FALSE</v>
      </c>
      <c r="U1610" s="2" t="str">
        <f t="shared" si="256"/>
        <v>FALSE</v>
      </c>
      <c r="V1610" s="2" t="b">
        <f t="shared" si="257"/>
        <v>0</v>
      </c>
      <c r="W1610" s="2" t="b">
        <f t="shared" si="258"/>
        <v>1</v>
      </c>
      <c r="X1610" s="2" t="b">
        <f t="shared" si="259"/>
        <v>0</v>
      </c>
    </row>
    <row r="1611" spans="1:24" ht="10.5" customHeight="1">
      <c r="A1611" s="2" t="s">
        <v>1968</v>
      </c>
      <c r="B1611" s="3">
        <v>45961.734560185178</v>
      </c>
      <c r="C1611" s="2" t="s">
        <v>1969</v>
      </c>
      <c r="D1611" s="2" t="s">
        <v>94</v>
      </c>
      <c r="E1611" s="2" t="s">
        <v>80</v>
      </c>
      <c r="F1611" s="4">
        <v>15000</v>
      </c>
      <c r="G1611" s="5">
        <v>1.5</v>
      </c>
      <c r="H1611" s="6">
        <v>0</v>
      </c>
      <c r="I1611" s="7">
        <f t="shared" si="250"/>
        <v>22500</v>
      </c>
      <c r="J1611" s="7">
        <f t="shared" si="251"/>
        <v>0</v>
      </c>
      <c r="K1611" s="7">
        <f t="shared" si="252"/>
        <v>22500</v>
      </c>
      <c r="L1611" s="4">
        <v>85000</v>
      </c>
      <c r="M1611" s="7">
        <f t="shared" si="253"/>
        <v>107500</v>
      </c>
      <c r="N1611" s="2" t="s">
        <v>58</v>
      </c>
      <c r="O1611" t="s">
        <v>69</v>
      </c>
      <c r="P1611" s="2" t="s">
        <v>2367</v>
      </c>
      <c r="Q1611" s="2">
        <v>5</v>
      </c>
      <c r="R1611" s="2" t="s">
        <v>23</v>
      </c>
      <c r="S1611" s="2" t="str">
        <f t="shared" si="254"/>
        <v>Standar</v>
      </c>
      <c r="T1611" s="2" t="str">
        <f t="shared" si="255"/>
        <v>FALSE</v>
      </c>
      <c r="U1611" s="2" t="str">
        <f t="shared" si="256"/>
        <v>FALSE</v>
      </c>
      <c r="V1611" s="2" t="b">
        <f t="shared" si="257"/>
        <v>0</v>
      </c>
      <c r="W1611" s="2" t="b">
        <f t="shared" si="258"/>
        <v>1</v>
      </c>
      <c r="X1611" s="2" t="b">
        <f t="shared" si="259"/>
        <v>0</v>
      </c>
    </row>
    <row r="1612" spans="1:24" ht="10.5" customHeight="1">
      <c r="A1612" s="2" t="s">
        <v>1970</v>
      </c>
      <c r="B1612" s="3">
        <v>45961.876932870371</v>
      </c>
      <c r="C1612" s="2" t="s">
        <v>1971</v>
      </c>
      <c r="D1612" s="2" t="s">
        <v>48</v>
      </c>
      <c r="E1612" s="2" t="s">
        <v>161</v>
      </c>
      <c r="F1612" s="4">
        <v>115000</v>
      </c>
      <c r="G1612" s="5">
        <v>1.4</v>
      </c>
      <c r="H1612" s="6">
        <v>0</v>
      </c>
      <c r="I1612" s="7">
        <f t="shared" si="250"/>
        <v>161000</v>
      </c>
      <c r="J1612" s="7">
        <f t="shared" si="251"/>
        <v>0</v>
      </c>
      <c r="K1612" s="7">
        <f t="shared" si="252"/>
        <v>161000</v>
      </c>
      <c r="L1612" s="4">
        <v>18000</v>
      </c>
      <c r="M1612" s="7">
        <f t="shared" si="253"/>
        <v>179000</v>
      </c>
      <c r="N1612" s="2" t="s">
        <v>58</v>
      </c>
      <c r="O1612" t="s">
        <v>22</v>
      </c>
      <c r="P1612" s="2" t="s">
        <v>2366</v>
      </c>
      <c r="Q1612" s="2">
        <v>3</v>
      </c>
      <c r="R1612" s="2" t="s">
        <v>23</v>
      </c>
      <c r="S1612" s="2" t="str">
        <f t="shared" si="254"/>
        <v>Tinggi</v>
      </c>
      <c r="T1612" s="2" t="str">
        <f t="shared" si="255"/>
        <v>FALSE</v>
      </c>
      <c r="U1612" s="2" t="str">
        <f t="shared" si="256"/>
        <v>TRUE</v>
      </c>
      <c r="V1612" s="2" t="b">
        <f t="shared" si="257"/>
        <v>0</v>
      </c>
      <c r="W1612" s="2" t="b">
        <f t="shared" si="258"/>
        <v>0</v>
      </c>
      <c r="X1612" s="2" t="b">
        <f t="shared" si="259"/>
        <v>0</v>
      </c>
    </row>
    <row r="1613" spans="1:24" ht="10.5" customHeight="1">
      <c r="A1613" s="2" t="s">
        <v>1972</v>
      </c>
      <c r="B1613" s="3">
        <v>45961.914687500001</v>
      </c>
      <c r="C1613" s="2" t="s">
        <v>616</v>
      </c>
      <c r="D1613" s="2" t="s">
        <v>286</v>
      </c>
      <c r="E1613" s="2" t="s">
        <v>190</v>
      </c>
      <c r="F1613" s="4">
        <v>15500</v>
      </c>
      <c r="G1613" s="5">
        <v>0.4</v>
      </c>
      <c r="H1613" s="6">
        <v>0</v>
      </c>
      <c r="I1613" s="7">
        <f t="shared" si="250"/>
        <v>6200</v>
      </c>
      <c r="J1613" s="7">
        <f t="shared" si="251"/>
        <v>0</v>
      </c>
      <c r="K1613" s="7">
        <f t="shared" si="252"/>
        <v>6200</v>
      </c>
      <c r="L1613" s="4">
        <v>79000</v>
      </c>
      <c r="M1613" s="7">
        <f t="shared" si="253"/>
        <v>85200</v>
      </c>
      <c r="N1613" s="2" t="s">
        <v>58</v>
      </c>
      <c r="O1613" t="s">
        <v>22</v>
      </c>
      <c r="P1613" s="2" t="s">
        <v>2370</v>
      </c>
      <c r="Q1613" s="2">
        <v>2</v>
      </c>
      <c r="R1613" s="2" t="s">
        <v>23</v>
      </c>
      <c r="S1613" s="2" t="str">
        <f t="shared" si="254"/>
        <v>Rendah</v>
      </c>
      <c r="T1613" s="2" t="str">
        <f t="shared" si="255"/>
        <v>FALSE</v>
      </c>
      <c r="U1613" s="2" t="str">
        <f t="shared" si="256"/>
        <v>FALSE</v>
      </c>
      <c r="V1613" s="2" t="b">
        <f t="shared" si="257"/>
        <v>0</v>
      </c>
      <c r="W1613" s="2" t="b">
        <f t="shared" si="258"/>
        <v>0</v>
      </c>
      <c r="X1613" s="2" t="b">
        <f t="shared" si="259"/>
        <v>0</v>
      </c>
    </row>
    <row r="1614" spans="1:24" ht="10.5" customHeight="1">
      <c r="A1614" s="2" t="s">
        <v>1973</v>
      </c>
      <c r="B1614" s="3">
        <v>45961.962627314817</v>
      </c>
      <c r="C1614" s="2" t="s">
        <v>43</v>
      </c>
      <c r="D1614" s="2" t="s">
        <v>44</v>
      </c>
      <c r="E1614" s="2" t="s">
        <v>182</v>
      </c>
      <c r="F1614" s="4">
        <v>11000</v>
      </c>
      <c r="G1614" s="5">
        <v>2.5</v>
      </c>
      <c r="H1614" s="6">
        <v>0</v>
      </c>
      <c r="I1614" s="7">
        <f t="shared" si="250"/>
        <v>27500</v>
      </c>
      <c r="J1614" s="7">
        <f t="shared" si="251"/>
        <v>0</v>
      </c>
      <c r="K1614" s="7">
        <f t="shared" si="252"/>
        <v>27500</v>
      </c>
      <c r="L1614" s="4">
        <v>43000</v>
      </c>
      <c r="M1614" s="7">
        <f t="shared" si="253"/>
        <v>70500</v>
      </c>
      <c r="N1614" s="2" t="s">
        <v>33</v>
      </c>
      <c r="O1614" t="s">
        <v>22</v>
      </c>
      <c r="P1614" s="2" t="s">
        <v>2367</v>
      </c>
      <c r="Q1614" s="2">
        <v>4</v>
      </c>
      <c r="R1614" s="2" t="s">
        <v>23</v>
      </c>
      <c r="S1614" s="2" t="str">
        <f t="shared" si="254"/>
        <v>Rendah</v>
      </c>
      <c r="T1614" s="2" t="str">
        <f t="shared" si="255"/>
        <v>FALSE</v>
      </c>
      <c r="U1614" s="2" t="str">
        <f t="shared" si="256"/>
        <v>FALSE</v>
      </c>
      <c r="V1614" s="2" t="b">
        <f t="shared" si="257"/>
        <v>0</v>
      </c>
      <c r="W1614" s="2" t="b">
        <f t="shared" si="258"/>
        <v>1</v>
      </c>
      <c r="X1614" s="2" t="b">
        <f t="shared" si="259"/>
        <v>0</v>
      </c>
    </row>
    <row r="1615" spans="1:24" ht="10.5" customHeight="1">
      <c r="A1615" s="2" t="s">
        <v>1974</v>
      </c>
      <c r="B1615" s="3">
        <v>45962.455983796302</v>
      </c>
      <c r="C1615" s="2" t="s">
        <v>1975</v>
      </c>
      <c r="D1615" s="2" t="s">
        <v>19</v>
      </c>
      <c r="E1615" s="2" t="s">
        <v>53</v>
      </c>
      <c r="F1615" s="4">
        <v>14000</v>
      </c>
      <c r="G1615" s="5">
        <v>0.6</v>
      </c>
      <c r="H1615" s="6">
        <v>0</v>
      </c>
      <c r="I1615" s="7">
        <f t="shared" si="250"/>
        <v>8400</v>
      </c>
      <c r="J1615" s="7">
        <f t="shared" si="251"/>
        <v>0</v>
      </c>
      <c r="K1615" s="7">
        <f t="shared" si="252"/>
        <v>8400</v>
      </c>
      <c r="L1615" s="4">
        <v>15000</v>
      </c>
      <c r="M1615" s="7">
        <f t="shared" si="253"/>
        <v>23400</v>
      </c>
      <c r="N1615" s="2" t="s">
        <v>33</v>
      </c>
      <c r="O1615" t="s">
        <v>22</v>
      </c>
      <c r="P1615" s="2" t="s">
        <v>2368</v>
      </c>
      <c r="Q1615" s="2">
        <v>4</v>
      </c>
      <c r="R1615" s="2" t="s">
        <v>23</v>
      </c>
      <c r="S1615" s="2" t="str">
        <f t="shared" si="254"/>
        <v>Sangat Rendah</v>
      </c>
      <c r="T1615" s="2" t="str">
        <f t="shared" si="255"/>
        <v>FALSE</v>
      </c>
      <c r="U1615" s="2" t="str">
        <f t="shared" si="256"/>
        <v>FALSE</v>
      </c>
      <c r="V1615" s="2" t="b">
        <f t="shared" si="257"/>
        <v>0</v>
      </c>
      <c r="W1615" s="2" t="b">
        <f t="shared" si="258"/>
        <v>0</v>
      </c>
      <c r="X1615" s="2" t="b">
        <f t="shared" si="259"/>
        <v>1</v>
      </c>
    </row>
    <row r="1616" spans="1:24" ht="10.5" customHeight="1">
      <c r="A1616" s="2" t="s">
        <v>1976</v>
      </c>
      <c r="B1616" s="3">
        <v>45962.710405092592</v>
      </c>
      <c r="C1616" s="2" t="s">
        <v>297</v>
      </c>
      <c r="D1616" s="2" t="s">
        <v>64</v>
      </c>
      <c r="E1616" s="2" t="s">
        <v>35</v>
      </c>
      <c r="F1616" s="4">
        <v>13500</v>
      </c>
      <c r="G1616" s="5">
        <v>1.9</v>
      </c>
      <c r="H1616" s="6">
        <v>0</v>
      </c>
      <c r="I1616" s="7">
        <f t="shared" si="250"/>
        <v>25650</v>
      </c>
      <c r="J1616" s="7">
        <f t="shared" si="251"/>
        <v>0</v>
      </c>
      <c r="K1616" s="7">
        <f t="shared" si="252"/>
        <v>25650</v>
      </c>
      <c r="L1616" s="4">
        <v>89000</v>
      </c>
      <c r="M1616" s="7">
        <f t="shared" si="253"/>
        <v>114650</v>
      </c>
      <c r="N1616" s="2" t="s">
        <v>21</v>
      </c>
      <c r="O1616" t="s">
        <v>22</v>
      </c>
      <c r="P1616" s="2" t="s">
        <v>2368</v>
      </c>
      <c r="Q1616" s="2">
        <v>3</v>
      </c>
      <c r="R1616" s="2" t="s">
        <v>23</v>
      </c>
      <c r="S1616" s="2" t="str">
        <f t="shared" si="254"/>
        <v>Standar</v>
      </c>
      <c r="T1616" s="2" t="str">
        <f t="shared" si="255"/>
        <v>FALSE</v>
      </c>
      <c r="U1616" s="2" t="str">
        <f t="shared" si="256"/>
        <v>FALSE</v>
      </c>
      <c r="V1616" s="2" t="b">
        <f t="shared" si="257"/>
        <v>0</v>
      </c>
      <c r="W1616" s="2" t="b">
        <f t="shared" si="258"/>
        <v>0</v>
      </c>
      <c r="X1616" s="2" t="b">
        <f t="shared" si="259"/>
        <v>0</v>
      </c>
    </row>
    <row r="1617" spans="1:24" ht="10.5" customHeight="1">
      <c r="A1617" s="2" t="s">
        <v>1977</v>
      </c>
      <c r="B1617" s="3">
        <v>45962.773599537039</v>
      </c>
      <c r="C1617" s="2" t="s">
        <v>1081</v>
      </c>
      <c r="D1617" s="2" t="s">
        <v>150</v>
      </c>
      <c r="E1617" s="2" t="s">
        <v>182</v>
      </c>
      <c r="F1617" s="4">
        <v>11000</v>
      </c>
      <c r="G1617" s="5">
        <v>0.6</v>
      </c>
      <c r="H1617" s="6">
        <v>0</v>
      </c>
      <c r="I1617" s="7">
        <f t="shared" si="250"/>
        <v>6600</v>
      </c>
      <c r="J1617" s="7">
        <f t="shared" si="251"/>
        <v>0</v>
      </c>
      <c r="K1617" s="7">
        <f t="shared" si="252"/>
        <v>6600</v>
      </c>
      <c r="L1617" s="4">
        <v>68000</v>
      </c>
      <c r="M1617" s="7">
        <f t="shared" si="253"/>
        <v>74600</v>
      </c>
      <c r="N1617" s="2" t="s">
        <v>28</v>
      </c>
      <c r="O1617" t="s">
        <v>22</v>
      </c>
      <c r="P1617" s="2" t="s">
        <v>2370</v>
      </c>
      <c r="Q1617" s="2">
        <v>2</v>
      </c>
      <c r="R1617" s="2" t="s">
        <v>34</v>
      </c>
      <c r="S1617" s="2" t="str">
        <f t="shared" si="254"/>
        <v>Rendah</v>
      </c>
      <c r="T1617" s="2" t="str">
        <f t="shared" si="255"/>
        <v>FALSE</v>
      </c>
      <c r="U1617" s="2" t="str">
        <f t="shared" si="256"/>
        <v>FALSE</v>
      </c>
      <c r="V1617" s="2" t="b">
        <f t="shared" si="257"/>
        <v>0</v>
      </c>
      <c r="W1617" s="2" t="b">
        <f t="shared" si="258"/>
        <v>0</v>
      </c>
      <c r="X1617" s="2" t="b">
        <f t="shared" si="259"/>
        <v>0</v>
      </c>
    </row>
    <row r="1618" spans="1:24" ht="10.5" customHeight="1">
      <c r="A1618" s="2" t="s">
        <v>1978</v>
      </c>
      <c r="B1618" s="3">
        <v>45963.257291666669</v>
      </c>
      <c r="C1618" s="2" t="s">
        <v>1023</v>
      </c>
      <c r="D1618" s="2" t="s">
        <v>114</v>
      </c>
      <c r="E1618" s="2" t="s">
        <v>41</v>
      </c>
      <c r="F1618" s="4">
        <v>40000</v>
      </c>
      <c r="G1618" s="5">
        <v>0.6</v>
      </c>
      <c r="H1618" s="6">
        <v>0</v>
      </c>
      <c r="I1618" s="7">
        <f t="shared" si="250"/>
        <v>24000</v>
      </c>
      <c r="J1618" s="7">
        <f t="shared" si="251"/>
        <v>0</v>
      </c>
      <c r="K1618" s="7">
        <f t="shared" si="252"/>
        <v>24000</v>
      </c>
      <c r="L1618" s="4">
        <v>78000</v>
      </c>
      <c r="M1618" s="7">
        <f t="shared" si="253"/>
        <v>102000</v>
      </c>
      <c r="N1618" s="2" t="s">
        <v>21</v>
      </c>
      <c r="O1618" t="s">
        <v>22</v>
      </c>
      <c r="P1618" s="2" t="s">
        <v>2365</v>
      </c>
      <c r="Q1618" s="2">
        <v>3</v>
      </c>
      <c r="R1618" s="2" t="s">
        <v>23</v>
      </c>
      <c r="S1618" s="2" t="str">
        <f t="shared" si="254"/>
        <v>Standar</v>
      </c>
      <c r="T1618" s="2" t="str">
        <f t="shared" si="255"/>
        <v>FALSE</v>
      </c>
      <c r="U1618" s="2" t="str">
        <f t="shared" si="256"/>
        <v>FALSE</v>
      </c>
      <c r="V1618" s="2" t="b">
        <f t="shared" si="257"/>
        <v>0</v>
      </c>
      <c r="W1618" s="2" t="b">
        <f t="shared" si="258"/>
        <v>0</v>
      </c>
      <c r="X1618" s="2" t="b">
        <f t="shared" si="259"/>
        <v>0</v>
      </c>
    </row>
    <row r="1619" spans="1:24" ht="10.5" customHeight="1">
      <c r="A1619" s="2" t="s">
        <v>1979</v>
      </c>
      <c r="B1619" s="3">
        <v>45963.579444444447</v>
      </c>
      <c r="C1619" s="2" t="s">
        <v>572</v>
      </c>
      <c r="D1619" s="2" t="s">
        <v>425</v>
      </c>
      <c r="E1619" s="2" t="s">
        <v>190</v>
      </c>
      <c r="F1619" s="4">
        <v>15500</v>
      </c>
      <c r="G1619" s="5">
        <v>0.5</v>
      </c>
      <c r="H1619" s="6">
        <v>0</v>
      </c>
      <c r="I1619" s="7">
        <f t="shared" si="250"/>
        <v>7750</v>
      </c>
      <c r="J1619" s="7">
        <f t="shared" si="251"/>
        <v>0</v>
      </c>
      <c r="K1619" s="7">
        <f t="shared" si="252"/>
        <v>7750</v>
      </c>
      <c r="L1619" s="4">
        <v>67000</v>
      </c>
      <c r="M1619" s="7">
        <f t="shared" si="253"/>
        <v>74750</v>
      </c>
      <c r="N1619" s="2" t="s">
        <v>21</v>
      </c>
      <c r="O1619" t="s">
        <v>22</v>
      </c>
      <c r="P1619" s="2" t="s">
        <v>2365</v>
      </c>
      <c r="Q1619" s="2">
        <v>3</v>
      </c>
      <c r="R1619" s="2" t="s">
        <v>23</v>
      </c>
      <c r="S1619" s="2" t="str">
        <f t="shared" si="254"/>
        <v>Rendah</v>
      </c>
      <c r="T1619" s="2" t="str">
        <f t="shared" si="255"/>
        <v>FALSE</v>
      </c>
      <c r="U1619" s="2" t="str">
        <f t="shared" si="256"/>
        <v>FALSE</v>
      </c>
      <c r="V1619" s="2" t="b">
        <f t="shared" si="257"/>
        <v>0</v>
      </c>
      <c r="W1619" s="2" t="b">
        <f t="shared" si="258"/>
        <v>0</v>
      </c>
      <c r="X1619" s="2" t="b">
        <f t="shared" si="259"/>
        <v>0</v>
      </c>
    </row>
    <row r="1620" spans="1:24" ht="10.5" customHeight="1">
      <c r="A1620" s="2" t="s">
        <v>1980</v>
      </c>
      <c r="B1620" s="3">
        <v>45963.609444444453</v>
      </c>
      <c r="C1620" s="2" t="s">
        <v>1572</v>
      </c>
      <c r="D1620" s="2" t="s">
        <v>74</v>
      </c>
      <c r="E1620" s="2" t="s">
        <v>99</v>
      </c>
      <c r="F1620" s="4">
        <v>10000</v>
      </c>
      <c r="G1620" s="5">
        <v>0.8</v>
      </c>
      <c r="H1620" s="6">
        <v>0</v>
      </c>
      <c r="I1620" s="7">
        <f t="shared" si="250"/>
        <v>8000</v>
      </c>
      <c r="J1620" s="7">
        <f t="shared" si="251"/>
        <v>0</v>
      </c>
      <c r="K1620" s="7">
        <f t="shared" si="252"/>
        <v>8000</v>
      </c>
      <c r="L1620" s="4">
        <v>74000</v>
      </c>
      <c r="M1620" s="7">
        <f t="shared" si="253"/>
        <v>82000</v>
      </c>
      <c r="N1620" s="2" t="s">
        <v>28</v>
      </c>
      <c r="O1620" t="s">
        <v>69</v>
      </c>
      <c r="P1620" s="2" t="s">
        <v>2365</v>
      </c>
      <c r="Q1620" s="2">
        <v>4</v>
      </c>
      <c r="R1620" s="2" t="s">
        <v>23</v>
      </c>
      <c r="S1620" s="2" t="str">
        <f t="shared" si="254"/>
        <v>Rendah</v>
      </c>
      <c r="T1620" s="2" t="str">
        <f t="shared" si="255"/>
        <v>FALSE</v>
      </c>
      <c r="U1620" s="2" t="str">
        <f t="shared" si="256"/>
        <v>FALSE</v>
      </c>
      <c r="V1620" s="2" t="b">
        <f t="shared" si="257"/>
        <v>0</v>
      </c>
      <c r="W1620" s="2" t="b">
        <f t="shared" si="258"/>
        <v>0</v>
      </c>
      <c r="X1620" s="2" t="b">
        <f t="shared" si="259"/>
        <v>0</v>
      </c>
    </row>
    <row r="1621" spans="1:24" ht="10.5" customHeight="1">
      <c r="A1621" s="2" t="s">
        <v>1981</v>
      </c>
      <c r="B1621" s="3">
        <v>45963.630752314813</v>
      </c>
      <c r="C1621" s="2" t="s">
        <v>275</v>
      </c>
      <c r="D1621" s="2" t="s">
        <v>19</v>
      </c>
      <c r="E1621" s="2" t="s">
        <v>32</v>
      </c>
      <c r="F1621" s="4">
        <v>20000</v>
      </c>
      <c r="G1621" s="5">
        <v>2.7</v>
      </c>
      <c r="H1621" s="6">
        <v>0</v>
      </c>
      <c r="I1621" s="7">
        <f t="shared" si="250"/>
        <v>54000</v>
      </c>
      <c r="J1621" s="7">
        <f t="shared" si="251"/>
        <v>0</v>
      </c>
      <c r="K1621" s="7">
        <f t="shared" si="252"/>
        <v>54000</v>
      </c>
      <c r="L1621" s="4">
        <v>15000</v>
      </c>
      <c r="M1621" s="7">
        <f t="shared" si="253"/>
        <v>69000</v>
      </c>
      <c r="N1621" s="2" t="s">
        <v>33</v>
      </c>
      <c r="O1621" t="s">
        <v>22</v>
      </c>
      <c r="P1621" s="2" t="s">
        <v>2367</v>
      </c>
      <c r="Q1621" s="2">
        <v>2</v>
      </c>
      <c r="R1621" s="2" t="s">
        <v>34</v>
      </c>
      <c r="S1621" s="2" t="str">
        <f t="shared" si="254"/>
        <v>Rendah</v>
      </c>
      <c r="T1621" s="2" t="str">
        <f t="shared" si="255"/>
        <v>FALSE</v>
      </c>
      <c r="U1621" s="2" t="str">
        <f t="shared" si="256"/>
        <v>FALSE</v>
      </c>
      <c r="V1621" s="2" t="b">
        <f t="shared" si="257"/>
        <v>0</v>
      </c>
      <c r="W1621" s="2" t="b">
        <f t="shared" si="258"/>
        <v>1</v>
      </c>
      <c r="X1621" s="2" t="b">
        <f t="shared" si="259"/>
        <v>0</v>
      </c>
    </row>
    <row r="1622" spans="1:24" ht="10.5" customHeight="1">
      <c r="A1622" s="2" t="s">
        <v>1982</v>
      </c>
      <c r="B1622" s="3">
        <v>45964.427025462966</v>
      </c>
      <c r="C1622" s="2" t="s">
        <v>1971</v>
      </c>
      <c r="D1622" s="2" t="s">
        <v>48</v>
      </c>
      <c r="E1622" s="2" t="s">
        <v>65</v>
      </c>
      <c r="F1622" s="4">
        <v>46000</v>
      </c>
      <c r="G1622" s="5">
        <v>0.9</v>
      </c>
      <c r="H1622" s="6">
        <v>0</v>
      </c>
      <c r="I1622" s="7">
        <f t="shared" si="250"/>
        <v>41400</v>
      </c>
      <c r="J1622" s="7">
        <f t="shared" si="251"/>
        <v>0</v>
      </c>
      <c r="K1622" s="7">
        <f t="shared" si="252"/>
        <v>41400</v>
      </c>
      <c r="L1622" s="4">
        <v>18000</v>
      </c>
      <c r="M1622" s="7">
        <f t="shared" si="253"/>
        <v>59400</v>
      </c>
      <c r="N1622" s="2" t="s">
        <v>28</v>
      </c>
      <c r="O1622" t="s">
        <v>22</v>
      </c>
      <c r="P1622" s="2" t="s">
        <v>2366</v>
      </c>
      <c r="Q1622" s="2">
        <v>1</v>
      </c>
      <c r="R1622" s="2" t="s">
        <v>23</v>
      </c>
      <c r="S1622" s="2" t="str">
        <f t="shared" si="254"/>
        <v>Rendah</v>
      </c>
      <c r="T1622" s="2" t="str">
        <f t="shared" si="255"/>
        <v>FALSE</v>
      </c>
      <c r="U1622" s="2" t="str">
        <f t="shared" si="256"/>
        <v>FALSE</v>
      </c>
      <c r="V1622" s="2" t="b">
        <f t="shared" si="257"/>
        <v>0</v>
      </c>
      <c r="W1622" s="2" t="b">
        <f t="shared" si="258"/>
        <v>0</v>
      </c>
      <c r="X1622" s="2" t="b">
        <f t="shared" si="259"/>
        <v>0</v>
      </c>
    </row>
    <row r="1623" spans="1:24" ht="10.5" customHeight="1">
      <c r="A1623" s="2" t="s">
        <v>1983</v>
      </c>
      <c r="B1623" s="3">
        <v>45964.464328703703</v>
      </c>
      <c r="C1623" s="2" t="s">
        <v>731</v>
      </c>
      <c r="D1623" s="2" t="s">
        <v>179</v>
      </c>
      <c r="E1623" s="2" t="s">
        <v>57</v>
      </c>
      <c r="F1623" s="4">
        <v>17500</v>
      </c>
      <c r="G1623" s="5">
        <v>1.4</v>
      </c>
      <c r="H1623" s="6">
        <v>0</v>
      </c>
      <c r="I1623" s="7">
        <f t="shared" si="250"/>
        <v>24500</v>
      </c>
      <c r="J1623" s="7">
        <f t="shared" si="251"/>
        <v>0</v>
      </c>
      <c r="K1623" s="7">
        <f t="shared" si="252"/>
        <v>24500</v>
      </c>
      <c r="L1623" s="4">
        <v>57000</v>
      </c>
      <c r="M1623" s="7">
        <f t="shared" si="253"/>
        <v>81500</v>
      </c>
      <c r="N1623" s="2" t="s">
        <v>58</v>
      </c>
      <c r="O1623" t="s">
        <v>22</v>
      </c>
      <c r="P1623" s="2" t="s">
        <v>2367</v>
      </c>
      <c r="Q1623" s="2">
        <v>4</v>
      </c>
      <c r="R1623" s="2" t="s">
        <v>23</v>
      </c>
      <c r="S1623" s="2" t="str">
        <f t="shared" si="254"/>
        <v>Rendah</v>
      </c>
      <c r="T1623" s="2" t="str">
        <f t="shared" si="255"/>
        <v>FALSE</v>
      </c>
      <c r="U1623" s="2" t="str">
        <f t="shared" si="256"/>
        <v>FALSE</v>
      </c>
      <c r="V1623" s="2" t="b">
        <f t="shared" si="257"/>
        <v>0</v>
      </c>
      <c r="W1623" s="2" t="b">
        <f t="shared" si="258"/>
        <v>1</v>
      </c>
      <c r="X1623" s="2" t="b">
        <f t="shared" si="259"/>
        <v>0</v>
      </c>
    </row>
    <row r="1624" spans="1:24" ht="10.5" customHeight="1">
      <c r="A1624" s="2" t="s">
        <v>1984</v>
      </c>
      <c r="B1624" s="3">
        <v>45964.547349537039</v>
      </c>
      <c r="C1624" s="2" t="s">
        <v>433</v>
      </c>
      <c r="D1624" s="2" t="s">
        <v>48</v>
      </c>
      <c r="E1624" s="2" t="s">
        <v>190</v>
      </c>
      <c r="F1624" s="4">
        <v>15500</v>
      </c>
      <c r="G1624" s="5">
        <v>0.8</v>
      </c>
      <c r="H1624" s="6">
        <v>0</v>
      </c>
      <c r="I1624" s="7">
        <f t="shared" si="250"/>
        <v>12400</v>
      </c>
      <c r="J1624" s="7">
        <f t="shared" si="251"/>
        <v>0</v>
      </c>
      <c r="K1624" s="7">
        <f t="shared" si="252"/>
        <v>12400</v>
      </c>
      <c r="L1624" s="4">
        <v>18000</v>
      </c>
      <c r="M1624" s="7">
        <f t="shared" si="253"/>
        <v>30400</v>
      </c>
      <c r="N1624" s="2" t="s">
        <v>21</v>
      </c>
      <c r="O1624" t="s">
        <v>22</v>
      </c>
      <c r="P1624" s="2" t="s">
        <v>2367</v>
      </c>
      <c r="Q1624" s="2">
        <v>2</v>
      </c>
      <c r="R1624" s="2" t="s">
        <v>23</v>
      </c>
      <c r="S1624" s="2" t="str">
        <f t="shared" si="254"/>
        <v>Sangat Rendah</v>
      </c>
      <c r="T1624" s="2" t="str">
        <f t="shared" si="255"/>
        <v>FALSE</v>
      </c>
      <c r="U1624" s="2" t="str">
        <f t="shared" si="256"/>
        <v>FALSE</v>
      </c>
      <c r="V1624" s="2" t="b">
        <f t="shared" si="257"/>
        <v>0</v>
      </c>
      <c r="W1624" s="2" t="b">
        <f t="shared" si="258"/>
        <v>1</v>
      </c>
      <c r="X1624" s="2" t="b">
        <f t="shared" si="259"/>
        <v>1</v>
      </c>
    </row>
    <row r="1625" spans="1:24" ht="10.5" customHeight="1">
      <c r="A1625" s="2" t="s">
        <v>1985</v>
      </c>
      <c r="B1625" s="3">
        <v>45964.698599537027</v>
      </c>
      <c r="C1625" s="2" t="s">
        <v>1564</v>
      </c>
      <c r="D1625" s="2" t="s">
        <v>31</v>
      </c>
      <c r="E1625" s="2" t="s">
        <v>65</v>
      </c>
      <c r="F1625" s="4">
        <v>46000</v>
      </c>
      <c r="G1625" s="5">
        <v>0.5</v>
      </c>
      <c r="H1625" s="6">
        <v>0</v>
      </c>
      <c r="I1625" s="7">
        <f t="shared" si="250"/>
        <v>23000</v>
      </c>
      <c r="J1625" s="7">
        <f t="shared" si="251"/>
        <v>0</v>
      </c>
      <c r="K1625" s="7">
        <f t="shared" si="252"/>
        <v>23000</v>
      </c>
      <c r="L1625" s="4">
        <v>76000</v>
      </c>
      <c r="M1625" s="7">
        <f t="shared" si="253"/>
        <v>99000</v>
      </c>
      <c r="N1625" s="2" t="s">
        <v>58</v>
      </c>
      <c r="O1625" t="s">
        <v>69</v>
      </c>
      <c r="P1625" s="2" t="s">
        <v>2367</v>
      </c>
      <c r="Q1625" s="2">
        <v>4</v>
      </c>
      <c r="R1625" s="2" t="s">
        <v>23</v>
      </c>
      <c r="S1625" s="2" t="str">
        <f t="shared" si="254"/>
        <v>Rendah</v>
      </c>
      <c r="T1625" s="2" t="str">
        <f t="shared" si="255"/>
        <v>FALSE</v>
      </c>
      <c r="U1625" s="2" t="str">
        <f t="shared" si="256"/>
        <v>FALSE</v>
      </c>
      <c r="V1625" s="2" t="b">
        <f t="shared" si="257"/>
        <v>0</v>
      </c>
      <c r="W1625" s="2" t="b">
        <f t="shared" si="258"/>
        <v>1</v>
      </c>
      <c r="X1625" s="2" t="b">
        <f t="shared" si="259"/>
        <v>0</v>
      </c>
    </row>
    <row r="1626" spans="1:24" ht="10.5" customHeight="1">
      <c r="A1626" s="2" t="s">
        <v>1986</v>
      </c>
      <c r="B1626" s="3">
        <v>45965.426006944443</v>
      </c>
      <c r="C1626" s="2" t="s">
        <v>181</v>
      </c>
      <c r="D1626" s="2" t="s">
        <v>98</v>
      </c>
      <c r="E1626" s="2" t="s">
        <v>65</v>
      </c>
      <c r="F1626" s="4">
        <v>46000</v>
      </c>
      <c r="G1626" s="5">
        <v>0.6</v>
      </c>
      <c r="H1626" s="6">
        <v>0</v>
      </c>
      <c r="I1626" s="7">
        <f t="shared" si="250"/>
        <v>27600</v>
      </c>
      <c r="J1626" s="7">
        <f t="shared" si="251"/>
        <v>0</v>
      </c>
      <c r="K1626" s="7">
        <f t="shared" si="252"/>
        <v>27600</v>
      </c>
      <c r="L1626" s="4">
        <v>97000</v>
      </c>
      <c r="M1626" s="7">
        <f t="shared" si="253"/>
        <v>124600</v>
      </c>
      <c r="N1626" s="2" t="s">
        <v>28</v>
      </c>
      <c r="O1626" t="s">
        <v>22</v>
      </c>
      <c r="P1626" s="2" t="s">
        <v>2368</v>
      </c>
      <c r="Q1626" s="2">
        <v>1</v>
      </c>
      <c r="R1626" s="2" t="s">
        <v>23</v>
      </c>
      <c r="S1626" s="2" t="str">
        <f t="shared" si="254"/>
        <v>Standar</v>
      </c>
      <c r="T1626" s="2" t="str">
        <f t="shared" si="255"/>
        <v>FALSE</v>
      </c>
      <c r="U1626" s="2" t="str">
        <f t="shared" si="256"/>
        <v>FALSE</v>
      </c>
      <c r="V1626" s="2" t="b">
        <f t="shared" si="257"/>
        <v>0</v>
      </c>
      <c r="W1626" s="2" t="b">
        <f t="shared" si="258"/>
        <v>0</v>
      </c>
      <c r="X1626" s="2" t="b">
        <f t="shared" si="259"/>
        <v>0</v>
      </c>
    </row>
    <row r="1627" spans="1:24" ht="10.5" customHeight="1">
      <c r="A1627" s="2" t="s">
        <v>1987</v>
      </c>
      <c r="B1627" s="3">
        <v>45965.431504629632</v>
      </c>
      <c r="C1627" s="2" t="s">
        <v>265</v>
      </c>
      <c r="D1627" s="2" t="s">
        <v>87</v>
      </c>
      <c r="E1627" s="2" t="s">
        <v>57</v>
      </c>
      <c r="F1627" s="4">
        <v>17500</v>
      </c>
      <c r="G1627" s="5">
        <v>2.8</v>
      </c>
      <c r="H1627" s="6">
        <v>0</v>
      </c>
      <c r="I1627" s="7">
        <f t="shared" si="250"/>
        <v>49000</v>
      </c>
      <c r="J1627" s="7">
        <f t="shared" si="251"/>
        <v>0</v>
      </c>
      <c r="K1627" s="7">
        <f t="shared" si="252"/>
        <v>49000</v>
      </c>
      <c r="L1627" s="4">
        <v>49000</v>
      </c>
      <c r="M1627" s="7">
        <f t="shared" si="253"/>
        <v>98000</v>
      </c>
      <c r="N1627" s="2" t="s">
        <v>33</v>
      </c>
      <c r="O1627" t="s">
        <v>22</v>
      </c>
      <c r="P1627" s="2" t="s">
        <v>2365</v>
      </c>
      <c r="Q1627" s="2">
        <v>2</v>
      </c>
      <c r="R1627" s="2" t="s">
        <v>23</v>
      </c>
      <c r="S1627" s="2" t="str">
        <f t="shared" si="254"/>
        <v>Rendah</v>
      </c>
      <c r="T1627" s="2" t="str">
        <f t="shared" si="255"/>
        <v>FALSE</v>
      </c>
      <c r="U1627" s="2" t="str">
        <f t="shared" si="256"/>
        <v>FALSE</v>
      </c>
      <c r="V1627" s="2" t="b">
        <f t="shared" si="257"/>
        <v>0</v>
      </c>
      <c r="W1627" s="2" t="b">
        <f t="shared" si="258"/>
        <v>0</v>
      </c>
      <c r="X1627" s="2" t="b">
        <f t="shared" si="259"/>
        <v>0</v>
      </c>
    </row>
    <row r="1628" spans="1:24" ht="10.5" customHeight="1">
      <c r="A1628" s="2" t="s">
        <v>1987</v>
      </c>
      <c r="B1628" s="3">
        <v>45965.431504629632</v>
      </c>
      <c r="C1628" s="2" t="s">
        <v>265</v>
      </c>
      <c r="D1628" s="2" t="s">
        <v>87</v>
      </c>
      <c r="E1628" s="2" t="s">
        <v>190</v>
      </c>
      <c r="F1628" s="4">
        <v>15500</v>
      </c>
      <c r="G1628" s="5">
        <v>0.5</v>
      </c>
      <c r="H1628" s="6">
        <v>0</v>
      </c>
      <c r="I1628" s="7">
        <f t="shared" si="250"/>
        <v>7750</v>
      </c>
      <c r="J1628" s="7">
        <f t="shared" si="251"/>
        <v>0</v>
      </c>
      <c r="K1628" s="7">
        <f t="shared" si="252"/>
        <v>7750</v>
      </c>
      <c r="L1628" s="4">
        <v>0</v>
      </c>
      <c r="M1628" s="7">
        <f t="shared" si="253"/>
        <v>7750</v>
      </c>
      <c r="N1628" s="2" t="s">
        <v>33</v>
      </c>
      <c r="O1628" t="s">
        <v>22</v>
      </c>
      <c r="P1628" s="2" t="s">
        <v>2365</v>
      </c>
      <c r="Q1628" s="2">
        <v>2</v>
      </c>
      <c r="R1628" s="2" t="s">
        <v>23</v>
      </c>
      <c r="S1628" s="2" t="str">
        <f t="shared" si="254"/>
        <v>Sangat Rendah</v>
      </c>
      <c r="T1628" s="2" t="str">
        <f t="shared" si="255"/>
        <v>FALSE</v>
      </c>
      <c r="U1628" s="2" t="str">
        <f t="shared" si="256"/>
        <v>FALSE</v>
      </c>
      <c r="V1628" s="2" t="b">
        <f t="shared" si="257"/>
        <v>0</v>
      </c>
      <c r="W1628" s="2" t="b">
        <f t="shared" si="258"/>
        <v>0</v>
      </c>
      <c r="X1628" s="2" t="b">
        <f t="shared" si="259"/>
        <v>1</v>
      </c>
    </row>
    <row r="1629" spans="1:24" ht="10.5" customHeight="1">
      <c r="A1629" s="2" t="s">
        <v>1988</v>
      </c>
      <c r="B1629" s="3">
        <v>45965.518784722219</v>
      </c>
      <c r="C1629" s="2" t="s">
        <v>1249</v>
      </c>
      <c r="D1629" s="2" t="s">
        <v>98</v>
      </c>
      <c r="E1629" s="2" t="s">
        <v>80</v>
      </c>
      <c r="F1629" s="4">
        <v>15000</v>
      </c>
      <c r="G1629" s="5">
        <v>1.1000000000000001</v>
      </c>
      <c r="H1629" s="6">
        <v>0</v>
      </c>
      <c r="I1629" s="7">
        <f t="shared" si="250"/>
        <v>16500</v>
      </c>
      <c r="J1629" s="7">
        <f t="shared" si="251"/>
        <v>0</v>
      </c>
      <c r="K1629" s="7">
        <f t="shared" si="252"/>
        <v>16500</v>
      </c>
      <c r="L1629" s="4">
        <v>97000</v>
      </c>
      <c r="M1629" s="7">
        <f t="shared" si="253"/>
        <v>113500</v>
      </c>
      <c r="N1629" s="2" t="s">
        <v>28</v>
      </c>
      <c r="O1629" t="s">
        <v>69</v>
      </c>
      <c r="P1629" s="2" t="s">
        <v>2366</v>
      </c>
      <c r="Q1629" s="2">
        <v>2</v>
      </c>
      <c r="R1629" s="2" t="s">
        <v>34</v>
      </c>
      <c r="S1629" s="2" t="str">
        <f t="shared" si="254"/>
        <v>Standar</v>
      </c>
      <c r="T1629" s="2" t="str">
        <f t="shared" si="255"/>
        <v>FALSE</v>
      </c>
      <c r="U1629" s="2" t="str">
        <f t="shared" si="256"/>
        <v>FALSE</v>
      </c>
      <c r="V1629" s="2" t="b">
        <f t="shared" si="257"/>
        <v>0</v>
      </c>
      <c r="W1629" s="2" t="b">
        <f t="shared" si="258"/>
        <v>0</v>
      </c>
      <c r="X1629" s="2" t="b">
        <f t="shared" si="259"/>
        <v>0</v>
      </c>
    </row>
    <row r="1630" spans="1:24" ht="10.5" customHeight="1">
      <c r="A1630" s="2" t="s">
        <v>1989</v>
      </c>
      <c r="B1630" s="3">
        <v>45965.650150462963</v>
      </c>
      <c r="C1630" s="2" t="s">
        <v>494</v>
      </c>
      <c r="D1630" s="2" t="s">
        <v>185</v>
      </c>
      <c r="E1630" s="2" t="s">
        <v>182</v>
      </c>
      <c r="F1630" s="4">
        <v>11000</v>
      </c>
      <c r="G1630" s="5">
        <v>3</v>
      </c>
      <c r="H1630" s="6">
        <v>0</v>
      </c>
      <c r="I1630" s="7">
        <f t="shared" si="250"/>
        <v>33000</v>
      </c>
      <c r="J1630" s="7">
        <f t="shared" si="251"/>
        <v>0</v>
      </c>
      <c r="K1630" s="7">
        <f t="shared" si="252"/>
        <v>33000</v>
      </c>
      <c r="L1630" s="4">
        <v>87000</v>
      </c>
      <c r="M1630" s="7">
        <f t="shared" si="253"/>
        <v>120000</v>
      </c>
      <c r="N1630" s="2" t="s">
        <v>21</v>
      </c>
      <c r="O1630" t="s">
        <v>22</v>
      </c>
      <c r="P1630" s="2" t="s">
        <v>2366</v>
      </c>
      <c r="Q1630" s="2">
        <v>1</v>
      </c>
      <c r="R1630" s="2" t="s">
        <v>23</v>
      </c>
      <c r="S1630" s="2" t="str">
        <f t="shared" si="254"/>
        <v>Standar</v>
      </c>
      <c r="T1630" s="2" t="str">
        <f t="shared" si="255"/>
        <v>FALSE</v>
      </c>
      <c r="U1630" s="2" t="str">
        <f t="shared" si="256"/>
        <v>FALSE</v>
      </c>
      <c r="V1630" s="2" t="b">
        <f t="shared" si="257"/>
        <v>0</v>
      </c>
      <c r="W1630" s="2" t="b">
        <f t="shared" si="258"/>
        <v>0</v>
      </c>
      <c r="X1630" s="2" t="b">
        <f t="shared" si="259"/>
        <v>0</v>
      </c>
    </row>
    <row r="1631" spans="1:24" ht="10.5" customHeight="1">
      <c r="A1631" s="2" t="s">
        <v>1990</v>
      </c>
      <c r="B1631" s="3">
        <v>45965.69604166667</v>
      </c>
      <c r="C1631" s="2" t="s">
        <v>605</v>
      </c>
      <c r="D1631" s="2" t="s">
        <v>84</v>
      </c>
      <c r="E1631" s="2" t="s">
        <v>161</v>
      </c>
      <c r="F1631" s="4">
        <v>115000</v>
      </c>
      <c r="G1631" s="5">
        <v>0.4</v>
      </c>
      <c r="H1631" s="6">
        <v>0</v>
      </c>
      <c r="I1631" s="7">
        <f t="shared" si="250"/>
        <v>46000</v>
      </c>
      <c r="J1631" s="7">
        <f t="shared" si="251"/>
        <v>0</v>
      </c>
      <c r="K1631" s="7">
        <f t="shared" si="252"/>
        <v>46000</v>
      </c>
      <c r="L1631" s="4">
        <v>30000</v>
      </c>
      <c r="M1631" s="7">
        <f t="shared" si="253"/>
        <v>76000</v>
      </c>
      <c r="N1631" s="2" t="s">
        <v>33</v>
      </c>
      <c r="O1631" t="s">
        <v>22</v>
      </c>
      <c r="P1631" s="2" t="s">
        <v>2368</v>
      </c>
      <c r="Q1631" s="2">
        <v>4</v>
      </c>
      <c r="R1631" s="2" t="s">
        <v>23</v>
      </c>
      <c r="S1631" s="2" t="str">
        <f t="shared" si="254"/>
        <v>Rendah</v>
      </c>
      <c r="T1631" s="2" t="str">
        <f t="shared" si="255"/>
        <v>FALSE</v>
      </c>
      <c r="U1631" s="2" t="str">
        <f t="shared" si="256"/>
        <v>FALSE</v>
      </c>
      <c r="V1631" s="2" t="b">
        <f t="shared" si="257"/>
        <v>0</v>
      </c>
      <c r="W1631" s="2" t="b">
        <f t="shared" si="258"/>
        <v>0</v>
      </c>
      <c r="X1631" s="2" t="b">
        <f t="shared" si="259"/>
        <v>0</v>
      </c>
    </row>
    <row r="1632" spans="1:24" ht="10.5" customHeight="1">
      <c r="A1632" s="2" t="s">
        <v>1991</v>
      </c>
      <c r="B1632" s="3">
        <v>45965.74858796296</v>
      </c>
      <c r="C1632" s="2" t="s">
        <v>51</v>
      </c>
      <c r="D1632" s="2" t="s">
        <v>52</v>
      </c>
      <c r="E1632" s="2" t="s">
        <v>102</v>
      </c>
      <c r="F1632" s="4">
        <v>55000</v>
      </c>
      <c r="G1632" s="5">
        <v>1</v>
      </c>
      <c r="H1632" s="6">
        <v>0</v>
      </c>
      <c r="I1632" s="7">
        <f t="shared" si="250"/>
        <v>55000</v>
      </c>
      <c r="J1632" s="7">
        <f t="shared" si="251"/>
        <v>0</v>
      </c>
      <c r="K1632" s="7">
        <f t="shared" si="252"/>
        <v>55000</v>
      </c>
      <c r="L1632" s="4">
        <v>80000</v>
      </c>
      <c r="M1632" s="7">
        <f t="shared" si="253"/>
        <v>135000</v>
      </c>
      <c r="N1632" s="2" t="s">
        <v>58</v>
      </c>
      <c r="O1632" t="s">
        <v>22</v>
      </c>
      <c r="P1632" s="2" t="s">
        <v>2370</v>
      </c>
      <c r="Q1632" s="2">
        <v>4</v>
      </c>
      <c r="R1632" s="2" t="s">
        <v>23</v>
      </c>
      <c r="S1632" s="2" t="str">
        <f t="shared" si="254"/>
        <v>Standar</v>
      </c>
      <c r="T1632" s="2" t="str">
        <f t="shared" si="255"/>
        <v>FALSE</v>
      </c>
      <c r="U1632" s="2" t="str">
        <f t="shared" si="256"/>
        <v>FALSE</v>
      </c>
      <c r="V1632" s="2" t="b">
        <f t="shared" si="257"/>
        <v>0</v>
      </c>
      <c r="W1632" s="2" t="b">
        <f t="shared" si="258"/>
        <v>0</v>
      </c>
      <c r="X1632" s="2" t="b">
        <f t="shared" si="259"/>
        <v>0</v>
      </c>
    </row>
    <row r="1633" spans="1:24" ht="10.5" customHeight="1">
      <c r="A1633" s="2" t="s">
        <v>1992</v>
      </c>
      <c r="B1633" s="3">
        <v>45965.808263888888</v>
      </c>
      <c r="C1633" s="2" t="s">
        <v>748</v>
      </c>
      <c r="D1633" s="2" t="s">
        <v>229</v>
      </c>
      <c r="E1633" s="2" t="s">
        <v>143</v>
      </c>
      <c r="F1633" s="4">
        <v>10000</v>
      </c>
      <c r="G1633" s="5">
        <v>0.6</v>
      </c>
      <c r="H1633" s="6">
        <v>0</v>
      </c>
      <c r="I1633" s="7">
        <f t="shared" si="250"/>
        <v>6000</v>
      </c>
      <c r="J1633" s="7">
        <f t="shared" si="251"/>
        <v>0</v>
      </c>
      <c r="K1633" s="7">
        <f t="shared" si="252"/>
        <v>6000</v>
      </c>
      <c r="L1633" s="4">
        <v>28000</v>
      </c>
      <c r="M1633" s="7">
        <f t="shared" si="253"/>
        <v>34000</v>
      </c>
      <c r="N1633" s="2" t="s">
        <v>33</v>
      </c>
      <c r="O1633" t="s">
        <v>22</v>
      </c>
      <c r="P1633" s="2" t="s">
        <v>2370</v>
      </c>
      <c r="Q1633" s="2">
        <v>2</v>
      </c>
      <c r="R1633" s="2" t="s">
        <v>23</v>
      </c>
      <c r="S1633" s="2" t="str">
        <f t="shared" si="254"/>
        <v>Sangat Rendah</v>
      </c>
      <c r="T1633" s="2" t="str">
        <f t="shared" si="255"/>
        <v>FALSE</v>
      </c>
      <c r="U1633" s="2" t="str">
        <f t="shared" si="256"/>
        <v>TRUE</v>
      </c>
      <c r="V1633" s="2" t="b">
        <f t="shared" si="257"/>
        <v>0</v>
      </c>
      <c r="W1633" s="2" t="b">
        <f t="shared" si="258"/>
        <v>0</v>
      </c>
      <c r="X1633" s="2" t="b">
        <f t="shared" si="259"/>
        <v>1</v>
      </c>
    </row>
    <row r="1634" spans="1:24" ht="10.5" customHeight="1">
      <c r="A1634" s="2" t="s">
        <v>1993</v>
      </c>
      <c r="B1634" s="3">
        <v>45966.723425925928</v>
      </c>
      <c r="C1634" s="2" t="s">
        <v>246</v>
      </c>
      <c r="D1634" s="2" t="s">
        <v>98</v>
      </c>
      <c r="E1634" s="2" t="s">
        <v>80</v>
      </c>
      <c r="F1634" s="4">
        <v>15000</v>
      </c>
      <c r="G1634" s="5">
        <v>1.7</v>
      </c>
      <c r="H1634" s="6">
        <v>0</v>
      </c>
      <c r="I1634" s="7">
        <f t="shared" si="250"/>
        <v>25500</v>
      </c>
      <c r="J1634" s="7">
        <f t="shared" si="251"/>
        <v>0</v>
      </c>
      <c r="K1634" s="7">
        <f t="shared" si="252"/>
        <v>25500</v>
      </c>
      <c r="L1634" s="4">
        <v>97000</v>
      </c>
      <c r="M1634" s="7">
        <f t="shared" si="253"/>
        <v>122500</v>
      </c>
      <c r="N1634" s="2" t="s">
        <v>58</v>
      </c>
      <c r="O1634" t="s">
        <v>22</v>
      </c>
      <c r="P1634" s="2" t="s">
        <v>2366</v>
      </c>
      <c r="Q1634" s="2">
        <v>5</v>
      </c>
      <c r="R1634" s="2" t="s">
        <v>23</v>
      </c>
      <c r="S1634" s="2" t="str">
        <f t="shared" si="254"/>
        <v>Standar</v>
      </c>
      <c r="T1634" s="2" t="str">
        <f t="shared" si="255"/>
        <v>FALSE</v>
      </c>
      <c r="U1634" s="2" t="str">
        <f t="shared" si="256"/>
        <v>FALSE</v>
      </c>
      <c r="V1634" s="2" t="b">
        <f t="shared" si="257"/>
        <v>0</v>
      </c>
      <c r="W1634" s="2" t="b">
        <f t="shared" si="258"/>
        <v>0</v>
      </c>
      <c r="X1634" s="2" t="b">
        <f t="shared" si="259"/>
        <v>0</v>
      </c>
    </row>
    <row r="1635" spans="1:24" ht="10.5" customHeight="1">
      <c r="A1635" s="2" t="s">
        <v>1994</v>
      </c>
      <c r="B1635" s="3">
        <v>45967.142511574071</v>
      </c>
      <c r="C1635" s="2" t="s">
        <v>680</v>
      </c>
      <c r="D1635" s="2" t="s">
        <v>164</v>
      </c>
      <c r="E1635" s="2" t="s">
        <v>95</v>
      </c>
      <c r="F1635" s="4">
        <v>9500</v>
      </c>
      <c r="G1635" s="5">
        <v>1.3</v>
      </c>
      <c r="H1635" s="6">
        <v>0</v>
      </c>
      <c r="I1635" s="7">
        <f t="shared" si="250"/>
        <v>12350</v>
      </c>
      <c r="J1635" s="7">
        <f t="shared" si="251"/>
        <v>0</v>
      </c>
      <c r="K1635" s="7">
        <f t="shared" si="252"/>
        <v>12350</v>
      </c>
      <c r="L1635" s="4">
        <v>49000</v>
      </c>
      <c r="M1635" s="7">
        <f t="shared" si="253"/>
        <v>61350</v>
      </c>
      <c r="N1635" s="2" t="s">
        <v>28</v>
      </c>
      <c r="O1635" t="s">
        <v>22</v>
      </c>
      <c r="P1635" s="2" t="s">
        <v>2367</v>
      </c>
      <c r="Q1635" s="2">
        <v>1</v>
      </c>
      <c r="R1635" s="2" t="s">
        <v>34</v>
      </c>
      <c r="S1635" s="2" t="str">
        <f t="shared" si="254"/>
        <v>Rendah</v>
      </c>
      <c r="T1635" s="2" t="str">
        <f t="shared" si="255"/>
        <v>FALSE</v>
      </c>
      <c r="U1635" s="2" t="str">
        <f t="shared" si="256"/>
        <v>FALSE</v>
      </c>
      <c r="V1635" s="2" t="b">
        <f t="shared" si="257"/>
        <v>0</v>
      </c>
      <c r="W1635" s="2" t="b">
        <f t="shared" si="258"/>
        <v>1</v>
      </c>
      <c r="X1635" s="2" t="b">
        <f t="shared" si="259"/>
        <v>0</v>
      </c>
    </row>
    <row r="1636" spans="1:24" ht="10.5" customHeight="1">
      <c r="A1636" s="2" t="s">
        <v>1995</v>
      </c>
      <c r="B1636" s="3">
        <v>45967.575416666667</v>
      </c>
      <c r="C1636" s="2" t="s">
        <v>139</v>
      </c>
      <c r="D1636" s="2" t="s">
        <v>140</v>
      </c>
      <c r="E1636" s="2" t="s">
        <v>20</v>
      </c>
      <c r="F1636" s="4">
        <v>10000</v>
      </c>
      <c r="G1636" s="5">
        <v>2.1</v>
      </c>
      <c r="H1636" s="6">
        <v>0</v>
      </c>
      <c r="I1636" s="7">
        <f t="shared" si="250"/>
        <v>21000</v>
      </c>
      <c r="J1636" s="7">
        <f t="shared" si="251"/>
        <v>0</v>
      </c>
      <c r="K1636" s="7">
        <f t="shared" si="252"/>
        <v>21000</v>
      </c>
      <c r="L1636" s="4">
        <v>55000</v>
      </c>
      <c r="M1636" s="7">
        <f t="shared" si="253"/>
        <v>76000</v>
      </c>
      <c r="N1636" s="2" t="s">
        <v>33</v>
      </c>
      <c r="O1636" t="s">
        <v>22</v>
      </c>
      <c r="P1636" s="2" t="s">
        <v>2365</v>
      </c>
      <c r="Q1636" s="2">
        <v>2</v>
      </c>
      <c r="R1636" s="2" t="s">
        <v>34</v>
      </c>
      <c r="S1636" s="2" t="str">
        <f t="shared" si="254"/>
        <v>Rendah</v>
      </c>
      <c r="T1636" s="2" t="str">
        <f t="shared" si="255"/>
        <v>FALSE</v>
      </c>
      <c r="U1636" s="2" t="str">
        <f t="shared" si="256"/>
        <v>FALSE</v>
      </c>
      <c r="V1636" s="2" t="b">
        <f t="shared" si="257"/>
        <v>0</v>
      </c>
      <c r="W1636" s="2" t="b">
        <f t="shared" si="258"/>
        <v>0</v>
      </c>
      <c r="X1636" s="2" t="b">
        <f t="shared" si="259"/>
        <v>0</v>
      </c>
    </row>
    <row r="1637" spans="1:24" ht="10.5" customHeight="1">
      <c r="A1637" s="2" t="s">
        <v>1996</v>
      </c>
      <c r="B1637" s="3">
        <v>45970.486261574071</v>
      </c>
      <c r="C1637" s="2" t="s">
        <v>246</v>
      </c>
      <c r="D1637" s="2" t="s">
        <v>98</v>
      </c>
      <c r="E1637" s="2" t="s">
        <v>161</v>
      </c>
      <c r="F1637" s="4">
        <v>115000</v>
      </c>
      <c r="G1637" s="5">
        <v>1.2</v>
      </c>
      <c r="H1637" s="6">
        <v>0</v>
      </c>
      <c r="I1637" s="7">
        <f t="shared" si="250"/>
        <v>138000</v>
      </c>
      <c r="J1637" s="7">
        <f t="shared" si="251"/>
        <v>0</v>
      </c>
      <c r="K1637" s="7">
        <f t="shared" si="252"/>
        <v>138000</v>
      </c>
      <c r="L1637" s="4">
        <v>97000</v>
      </c>
      <c r="M1637" s="7">
        <f t="shared" si="253"/>
        <v>235000</v>
      </c>
      <c r="N1637" s="2" t="s">
        <v>28</v>
      </c>
      <c r="O1637" t="s">
        <v>22</v>
      </c>
      <c r="P1637" s="2" t="s">
        <v>2370</v>
      </c>
      <c r="Q1637" s="2">
        <v>2</v>
      </c>
      <c r="R1637" s="2" t="s">
        <v>23</v>
      </c>
      <c r="S1637" s="2" t="str">
        <f t="shared" si="254"/>
        <v>Sangat Tinggi</v>
      </c>
      <c r="T1637" s="2" t="str">
        <f t="shared" si="255"/>
        <v>FALSE</v>
      </c>
      <c r="U1637" s="2" t="str">
        <f t="shared" si="256"/>
        <v>FALSE</v>
      </c>
      <c r="V1637" s="2" t="b">
        <f t="shared" si="257"/>
        <v>0</v>
      </c>
      <c r="W1637" s="2" t="b">
        <f t="shared" si="258"/>
        <v>1</v>
      </c>
      <c r="X1637" s="2" t="b">
        <f t="shared" si="259"/>
        <v>0</v>
      </c>
    </row>
    <row r="1638" spans="1:24" ht="10.5" customHeight="1">
      <c r="A1638" s="2" t="s">
        <v>1997</v>
      </c>
      <c r="B1638" s="3">
        <v>45971.52888888889</v>
      </c>
      <c r="C1638" s="2" t="s">
        <v>409</v>
      </c>
      <c r="D1638" s="2" t="s">
        <v>94</v>
      </c>
      <c r="E1638" s="2" t="s">
        <v>32</v>
      </c>
      <c r="F1638" s="4">
        <v>20000</v>
      </c>
      <c r="G1638" s="5">
        <v>1.7</v>
      </c>
      <c r="H1638" s="6">
        <v>0</v>
      </c>
      <c r="I1638" s="7">
        <f t="shared" si="250"/>
        <v>34000</v>
      </c>
      <c r="J1638" s="7">
        <f t="shared" si="251"/>
        <v>0</v>
      </c>
      <c r="K1638" s="7">
        <f t="shared" si="252"/>
        <v>34000</v>
      </c>
      <c r="L1638" s="4">
        <v>85000</v>
      </c>
      <c r="M1638" s="7">
        <f t="shared" si="253"/>
        <v>119000</v>
      </c>
      <c r="N1638" s="2" t="s">
        <v>28</v>
      </c>
      <c r="O1638" t="s">
        <v>22</v>
      </c>
      <c r="P1638" s="2" t="s">
        <v>2367</v>
      </c>
      <c r="Q1638" s="2">
        <v>3</v>
      </c>
      <c r="R1638" s="2" t="s">
        <v>34</v>
      </c>
      <c r="S1638" s="2" t="str">
        <f t="shared" si="254"/>
        <v>Standar</v>
      </c>
      <c r="T1638" s="2" t="str">
        <f t="shared" si="255"/>
        <v>FALSE</v>
      </c>
      <c r="U1638" s="2" t="str">
        <f t="shared" si="256"/>
        <v>FALSE</v>
      </c>
      <c r="V1638" s="2" t="b">
        <f t="shared" si="257"/>
        <v>0</v>
      </c>
      <c r="W1638" s="2" t="b">
        <f t="shared" si="258"/>
        <v>1</v>
      </c>
      <c r="X1638" s="2" t="b">
        <f t="shared" si="259"/>
        <v>0</v>
      </c>
    </row>
    <row r="1639" spans="1:24" ht="10.5" customHeight="1">
      <c r="A1639" s="2" t="s">
        <v>1998</v>
      </c>
      <c r="B1639" s="3">
        <v>45972.280127314807</v>
      </c>
      <c r="C1639" s="2" t="s">
        <v>1999</v>
      </c>
      <c r="D1639" s="2" t="s">
        <v>44</v>
      </c>
      <c r="E1639" s="2" t="s">
        <v>41</v>
      </c>
      <c r="F1639" s="4">
        <v>40000</v>
      </c>
      <c r="G1639" s="5">
        <v>0.7</v>
      </c>
      <c r="H1639" s="6">
        <v>5</v>
      </c>
      <c r="I1639" s="7">
        <f t="shared" si="250"/>
        <v>28000</v>
      </c>
      <c r="J1639" s="7">
        <f t="shared" si="251"/>
        <v>1400</v>
      </c>
      <c r="K1639" s="7">
        <f t="shared" si="252"/>
        <v>26600</v>
      </c>
      <c r="L1639" s="4">
        <v>43000</v>
      </c>
      <c r="M1639" s="7">
        <f t="shared" si="253"/>
        <v>69600</v>
      </c>
      <c r="N1639" s="2" t="s">
        <v>28</v>
      </c>
      <c r="O1639" t="s">
        <v>22</v>
      </c>
      <c r="P1639" s="2" t="s">
        <v>2365</v>
      </c>
      <c r="Q1639" s="2">
        <v>5</v>
      </c>
      <c r="R1639" s="2" t="s">
        <v>23</v>
      </c>
      <c r="S1639" s="2" t="str">
        <f t="shared" si="254"/>
        <v>Rendah</v>
      </c>
      <c r="T1639" s="2" t="str">
        <f t="shared" si="255"/>
        <v>FALSE</v>
      </c>
      <c r="U1639" s="2" t="str">
        <f t="shared" si="256"/>
        <v>FALSE</v>
      </c>
      <c r="V1639" s="2" t="b">
        <f t="shared" si="257"/>
        <v>0</v>
      </c>
      <c r="W1639" s="2" t="b">
        <f t="shared" si="258"/>
        <v>0</v>
      </c>
      <c r="X1639" s="2" t="b">
        <f t="shared" si="259"/>
        <v>0</v>
      </c>
    </row>
    <row r="1640" spans="1:24" ht="10.5" customHeight="1">
      <c r="A1640" s="2" t="s">
        <v>2000</v>
      </c>
      <c r="B1640" s="3">
        <v>45972.584710648152</v>
      </c>
      <c r="C1640" s="2" t="s">
        <v>145</v>
      </c>
      <c r="D1640" s="2" t="s">
        <v>84</v>
      </c>
      <c r="E1640" s="2" t="s">
        <v>80</v>
      </c>
      <c r="F1640" s="4">
        <v>15000</v>
      </c>
      <c r="G1640" s="5">
        <v>0.7</v>
      </c>
      <c r="H1640" s="6">
        <v>5</v>
      </c>
      <c r="I1640" s="7">
        <f t="shared" si="250"/>
        <v>10500</v>
      </c>
      <c r="J1640" s="7">
        <f t="shared" si="251"/>
        <v>525</v>
      </c>
      <c r="K1640" s="7">
        <f t="shared" si="252"/>
        <v>9975</v>
      </c>
      <c r="L1640" s="4">
        <v>30000</v>
      </c>
      <c r="M1640" s="7">
        <f t="shared" si="253"/>
        <v>39975</v>
      </c>
      <c r="N1640" s="2" t="s">
        <v>21</v>
      </c>
      <c r="O1640" t="s">
        <v>22</v>
      </c>
      <c r="P1640" s="2" t="s">
        <v>2370</v>
      </c>
      <c r="Q1640" s="2">
        <v>5</v>
      </c>
      <c r="R1640" s="2" t="s">
        <v>23</v>
      </c>
      <c r="S1640" s="2" t="str">
        <f t="shared" si="254"/>
        <v>Sangat Rendah</v>
      </c>
      <c r="T1640" s="2" t="str">
        <f t="shared" si="255"/>
        <v>FALSE</v>
      </c>
      <c r="U1640" s="2" t="str">
        <f t="shared" si="256"/>
        <v>FALSE</v>
      </c>
      <c r="V1640" s="2" t="b">
        <f t="shared" si="257"/>
        <v>0</v>
      </c>
      <c r="W1640" s="2" t="b">
        <f t="shared" si="258"/>
        <v>0</v>
      </c>
      <c r="X1640" s="2" t="b">
        <f t="shared" si="259"/>
        <v>1</v>
      </c>
    </row>
    <row r="1641" spans="1:24" ht="10.5" customHeight="1">
      <c r="A1641" s="2" t="s">
        <v>2001</v>
      </c>
      <c r="B1641" s="3">
        <v>45972.663148148153</v>
      </c>
      <c r="C1641" s="2" t="s">
        <v>130</v>
      </c>
      <c r="D1641" s="2" t="s">
        <v>84</v>
      </c>
      <c r="E1641" s="2" t="s">
        <v>49</v>
      </c>
      <c r="F1641" s="4">
        <v>26000</v>
      </c>
      <c r="G1641" s="5">
        <v>1.9</v>
      </c>
      <c r="H1641" s="6">
        <v>5</v>
      </c>
      <c r="I1641" s="7">
        <f t="shared" si="250"/>
        <v>49400</v>
      </c>
      <c r="J1641" s="7">
        <f t="shared" si="251"/>
        <v>2470</v>
      </c>
      <c r="K1641" s="7">
        <f t="shared" si="252"/>
        <v>46930</v>
      </c>
      <c r="L1641" s="4">
        <v>30000</v>
      </c>
      <c r="M1641" s="7">
        <f t="shared" si="253"/>
        <v>76930</v>
      </c>
      <c r="N1641" s="2" t="s">
        <v>21</v>
      </c>
      <c r="O1641" t="s">
        <v>69</v>
      </c>
      <c r="P1641" s="2" t="s">
        <v>2366</v>
      </c>
      <c r="Q1641" s="2">
        <v>5</v>
      </c>
      <c r="R1641" s="2" t="s">
        <v>23</v>
      </c>
      <c r="S1641" s="2" t="str">
        <f t="shared" si="254"/>
        <v>Rendah</v>
      </c>
      <c r="T1641" s="2" t="str">
        <f t="shared" si="255"/>
        <v>FALSE</v>
      </c>
      <c r="U1641" s="2" t="str">
        <f t="shared" si="256"/>
        <v>FALSE</v>
      </c>
      <c r="V1641" s="2" t="b">
        <f t="shared" si="257"/>
        <v>0</v>
      </c>
      <c r="W1641" s="2" t="b">
        <f t="shared" si="258"/>
        <v>0</v>
      </c>
      <c r="X1641" s="2" t="b">
        <f t="shared" si="259"/>
        <v>0</v>
      </c>
    </row>
    <row r="1642" spans="1:24" ht="10.5" customHeight="1">
      <c r="A1642" s="2" t="s">
        <v>2002</v>
      </c>
      <c r="B1642" s="3">
        <v>45972.665092592593</v>
      </c>
      <c r="C1642" s="2" t="s">
        <v>132</v>
      </c>
      <c r="D1642" s="2" t="s">
        <v>133</v>
      </c>
      <c r="E1642" s="2" t="s">
        <v>65</v>
      </c>
      <c r="F1642" s="4">
        <v>46000</v>
      </c>
      <c r="G1642" s="5">
        <v>1.4</v>
      </c>
      <c r="H1642" s="6">
        <v>5</v>
      </c>
      <c r="I1642" s="7">
        <f t="shared" si="250"/>
        <v>64399.999999999993</v>
      </c>
      <c r="J1642" s="7">
        <f t="shared" si="251"/>
        <v>3220</v>
      </c>
      <c r="K1642" s="7">
        <f t="shared" si="252"/>
        <v>61179.999999999993</v>
      </c>
      <c r="L1642" s="4">
        <v>50000</v>
      </c>
      <c r="M1642" s="7">
        <f t="shared" si="253"/>
        <v>111180</v>
      </c>
      <c r="N1642" s="2" t="s">
        <v>28</v>
      </c>
      <c r="O1642" t="s">
        <v>22</v>
      </c>
      <c r="P1642" s="2" t="s">
        <v>2370</v>
      </c>
      <c r="Q1642" s="2">
        <v>3</v>
      </c>
      <c r="R1642" s="2" t="s">
        <v>23</v>
      </c>
      <c r="S1642" s="2" t="str">
        <f t="shared" si="254"/>
        <v>Standar</v>
      </c>
      <c r="T1642" s="2" t="str">
        <f t="shared" si="255"/>
        <v>FALSE</v>
      </c>
      <c r="U1642" s="2" t="str">
        <f t="shared" si="256"/>
        <v>FALSE</v>
      </c>
      <c r="V1642" s="2" t="b">
        <f t="shared" si="257"/>
        <v>0</v>
      </c>
      <c r="W1642" s="2" t="b">
        <f t="shared" si="258"/>
        <v>0</v>
      </c>
      <c r="X1642" s="2" t="b">
        <f t="shared" si="259"/>
        <v>0</v>
      </c>
    </row>
    <row r="1643" spans="1:24" ht="10.5" customHeight="1">
      <c r="A1643" s="2" t="s">
        <v>2003</v>
      </c>
      <c r="B1643" s="3">
        <v>45972.785590277781</v>
      </c>
      <c r="C1643" s="2" t="s">
        <v>139</v>
      </c>
      <c r="D1643" s="2" t="s">
        <v>140</v>
      </c>
      <c r="E1643" s="2" t="s">
        <v>57</v>
      </c>
      <c r="F1643" s="4">
        <v>17500</v>
      </c>
      <c r="G1643" s="5">
        <v>3.8</v>
      </c>
      <c r="H1643" s="6">
        <v>5</v>
      </c>
      <c r="I1643" s="7">
        <f t="shared" si="250"/>
        <v>66500</v>
      </c>
      <c r="J1643" s="7">
        <f t="shared" si="251"/>
        <v>3325</v>
      </c>
      <c r="K1643" s="7">
        <f t="shared" si="252"/>
        <v>63175</v>
      </c>
      <c r="L1643" s="4">
        <v>55000</v>
      </c>
      <c r="M1643" s="7">
        <f t="shared" si="253"/>
        <v>118175</v>
      </c>
      <c r="N1643" s="2" t="s">
        <v>33</v>
      </c>
      <c r="O1643" t="s">
        <v>22</v>
      </c>
      <c r="P1643" s="2" t="s">
        <v>2367</v>
      </c>
      <c r="Q1643" s="2">
        <v>1</v>
      </c>
      <c r="R1643" s="2" t="s">
        <v>34</v>
      </c>
      <c r="S1643" s="2" t="str">
        <f t="shared" si="254"/>
        <v>Standar</v>
      </c>
      <c r="T1643" s="2" t="str">
        <f t="shared" si="255"/>
        <v>FALSE</v>
      </c>
      <c r="U1643" s="2" t="str">
        <f t="shared" si="256"/>
        <v>FALSE</v>
      </c>
      <c r="V1643" s="2" t="b">
        <f t="shared" si="257"/>
        <v>0</v>
      </c>
      <c r="W1643" s="2" t="b">
        <f t="shared" si="258"/>
        <v>1</v>
      </c>
      <c r="X1643" s="2" t="b">
        <f t="shared" si="259"/>
        <v>0</v>
      </c>
    </row>
    <row r="1644" spans="1:24" ht="10.5" customHeight="1">
      <c r="A1644" s="2" t="s">
        <v>2004</v>
      </c>
      <c r="B1644" s="3">
        <v>45973.448113425933</v>
      </c>
      <c r="C1644" s="2" t="s">
        <v>646</v>
      </c>
      <c r="D1644" s="2" t="s">
        <v>185</v>
      </c>
      <c r="E1644" s="2" t="s">
        <v>41</v>
      </c>
      <c r="F1644" s="4">
        <v>40000</v>
      </c>
      <c r="G1644" s="5">
        <v>1.4</v>
      </c>
      <c r="H1644" s="6">
        <v>0</v>
      </c>
      <c r="I1644" s="7">
        <f t="shared" si="250"/>
        <v>56000</v>
      </c>
      <c r="J1644" s="7">
        <f t="shared" si="251"/>
        <v>0</v>
      </c>
      <c r="K1644" s="7">
        <f t="shared" si="252"/>
        <v>56000</v>
      </c>
      <c r="L1644" s="4">
        <v>87000</v>
      </c>
      <c r="M1644" s="7">
        <f t="shared" si="253"/>
        <v>143000</v>
      </c>
      <c r="N1644" s="2" t="s">
        <v>58</v>
      </c>
      <c r="O1644" t="s">
        <v>22</v>
      </c>
      <c r="P1644" s="2" t="s">
        <v>2368</v>
      </c>
      <c r="Q1644" s="2">
        <v>5</v>
      </c>
      <c r="R1644" s="2" t="s">
        <v>34</v>
      </c>
      <c r="S1644" s="2" t="str">
        <f t="shared" si="254"/>
        <v>Standar</v>
      </c>
      <c r="T1644" s="2" t="str">
        <f t="shared" si="255"/>
        <v>FALSE</v>
      </c>
      <c r="U1644" s="2" t="str">
        <f t="shared" si="256"/>
        <v>FALSE</v>
      </c>
      <c r="V1644" s="2" t="b">
        <f t="shared" si="257"/>
        <v>0</v>
      </c>
      <c r="W1644" s="2" t="b">
        <f t="shared" si="258"/>
        <v>0</v>
      </c>
      <c r="X1644" s="2" t="b">
        <f t="shared" si="259"/>
        <v>0</v>
      </c>
    </row>
    <row r="1645" spans="1:24" ht="10.5" customHeight="1">
      <c r="A1645" s="2" t="s">
        <v>2005</v>
      </c>
      <c r="B1645" s="3">
        <v>45973.911747685182</v>
      </c>
      <c r="C1645" s="2" t="s">
        <v>908</v>
      </c>
      <c r="D1645" s="2" t="s">
        <v>286</v>
      </c>
      <c r="E1645" s="2" t="s">
        <v>35</v>
      </c>
      <c r="F1645" s="4">
        <v>13500</v>
      </c>
      <c r="G1645" s="5">
        <v>1.6</v>
      </c>
      <c r="H1645" s="6">
        <v>0</v>
      </c>
      <c r="I1645" s="7">
        <f t="shared" si="250"/>
        <v>21600</v>
      </c>
      <c r="J1645" s="7">
        <f t="shared" si="251"/>
        <v>0</v>
      </c>
      <c r="K1645" s="7">
        <f t="shared" si="252"/>
        <v>21600</v>
      </c>
      <c r="L1645" s="4">
        <v>79000</v>
      </c>
      <c r="M1645" s="7">
        <f t="shared" si="253"/>
        <v>100600</v>
      </c>
      <c r="N1645" s="2" t="s">
        <v>21</v>
      </c>
      <c r="O1645" t="s">
        <v>22</v>
      </c>
      <c r="P1645" s="2" t="s">
        <v>2367</v>
      </c>
      <c r="Q1645" s="2">
        <v>5</v>
      </c>
      <c r="R1645" s="2" t="s">
        <v>23</v>
      </c>
      <c r="S1645" s="2" t="str">
        <f t="shared" si="254"/>
        <v>Standar</v>
      </c>
      <c r="T1645" s="2" t="str">
        <f t="shared" si="255"/>
        <v>FALSE</v>
      </c>
      <c r="U1645" s="2" t="str">
        <f t="shared" si="256"/>
        <v>FALSE</v>
      </c>
      <c r="V1645" s="2" t="b">
        <f t="shared" si="257"/>
        <v>0</v>
      </c>
      <c r="W1645" s="2" t="b">
        <f t="shared" si="258"/>
        <v>1</v>
      </c>
      <c r="X1645" s="2" t="b">
        <f t="shared" si="259"/>
        <v>0</v>
      </c>
    </row>
    <row r="1646" spans="1:24" ht="10.5" customHeight="1">
      <c r="A1646" s="2" t="s">
        <v>2006</v>
      </c>
      <c r="B1646" s="3">
        <v>45974.806562500002</v>
      </c>
      <c r="C1646" s="2" t="s">
        <v>547</v>
      </c>
      <c r="D1646" s="2" t="s">
        <v>164</v>
      </c>
      <c r="E1646" s="2" t="s">
        <v>41</v>
      </c>
      <c r="F1646" s="4">
        <v>40000</v>
      </c>
      <c r="G1646" s="5">
        <v>1.2</v>
      </c>
      <c r="H1646" s="6">
        <v>0</v>
      </c>
      <c r="I1646" s="7">
        <f t="shared" si="250"/>
        <v>48000</v>
      </c>
      <c r="J1646" s="7">
        <f t="shared" si="251"/>
        <v>0</v>
      </c>
      <c r="K1646" s="7">
        <f t="shared" si="252"/>
        <v>48000</v>
      </c>
      <c r="L1646" s="4">
        <v>49000</v>
      </c>
      <c r="M1646" s="7">
        <f t="shared" si="253"/>
        <v>97000</v>
      </c>
      <c r="N1646" s="2" t="s">
        <v>33</v>
      </c>
      <c r="O1646" t="s">
        <v>22</v>
      </c>
      <c r="P1646" s="2" t="s">
        <v>2370</v>
      </c>
      <c r="Q1646" s="2">
        <v>5</v>
      </c>
      <c r="R1646" s="2" t="s">
        <v>23</v>
      </c>
      <c r="S1646" s="2" t="str">
        <f t="shared" si="254"/>
        <v>Rendah</v>
      </c>
      <c r="T1646" s="2" t="str">
        <f t="shared" si="255"/>
        <v>FALSE</v>
      </c>
      <c r="U1646" s="2" t="str">
        <f t="shared" si="256"/>
        <v>FALSE</v>
      </c>
      <c r="V1646" s="2" t="b">
        <f t="shared" si="257"/>
        <v>0</v>
      </c>
      <c r="W1646" s="2" t="b">
        <f t="shared" si="258"/>
        <v>0</v>
      </c>
      <c r="X1646" s="2" t="b">
        <f t="shared" si="259"/>
        <v>0</v>
      </c>
    </row>
    <row r="1647" spans="1:24" ht="10.5" customHeight="1">
      <c r="A1647" s="2" t="s">
        <v>2007</v>
      </c>
      <c r="B1647" s="3">
        <v>45974.909247685187</v>
      </c>
      <c r="C1647" s="2" t="s">
        <v>132</v>
      </c>
      <c r="D1647" s="2" t="s">
        <v>133</v>
      </c>
      <c r="E1647" s="2" t="s">
        <v>57</v>
      </c>
      <c r="F1647" s="4">
        <v>17500</v>
      </c>
      <c r="G1647" s="5">
        <v>0.9</v>
      </c>
      <c r="H1647" s="6">
        <v>0</v>
      </c>
      <c r="I1647" s="7">
        <f t="shared" si="250"/>
        <v>15750</v>
      </c>
      <c r="J1647" s="7">
        <f t="shared" si="251"/>
        <v>0</v>
      </c>
      <c r="K1647" s="7">
        <f t="shared" si="252"/>
        <v>15750</v>
      </c>
      <c r="L1647" s="4">
        <v>50000</v>
      </c>
      <c r="M1647" s="7">
        <f t="shared" si="253"/>
        <v>65750</v>
      </c>
      <c r="N1647" s="2" t="s">
        <v>33</v>
      </c>
      <c r="O1647" t="s">
        <v>69</v>
      </c>
      <c r="P1647" s="2" t="s">
        <v>2368</v>
      </c>
      <c r="Q1647" s="2">
        <v>3</v>
      </c>
      <c r="R1647" s="2" t="s">
        <v>23</v>
      </c>
      <c r="S1647" s="2" t="str">
        <f t="shared" si="254"/>
        <v>Rendah</v>
      </c>
      <c r="T1647" s="2" t="str">
        <f t="shared" si="255"/>
        <v>FALSE</v>
      </c>
      <c r="U1647" s="2" t="str">
        <f t="shared" si="256"/>
        <v>FALSE</v>
      </c>
      <c r="V1647" s="2" t="b">
        <f t="shared" si="257"/>
        <v>0</v>
      </c>
      <c r="W1647" s="2" t="b">
        <f t="shared" si="258"/>
        <v>0</v>
      </c>
      <c r="X1647" s="2" t="b">
        <f t="shared" si="259"/>
        <v>0</v>
      </c>
    </row>
    <row r="1648" spans="1:24" ht="10.5" customHeight="1">
      <c r="A1648" s="2" t="s">
        <v>2008</v>
      </c>
      <c r="B1648" s="3">
        <v>45975.234791666669</v>
      </c>
      <c r="C1648" s="2" t="s">
        <v>774</v>
      </c>
      <c r="D1648" s="2" t="s">
        <v>108</v>
      </c>
      <c r="E1648" s="2" t="s">
        <v>27</v>
      </c>
      <c r="F1648" s="4">
        <v>15000</v>
      </c>
      <c r="G1648" s="5">
        <v>1</v>
      </c>
      <c r="H1648" s="6">
        <v>0</v>
      </c>
      <c r="I1648" s="7">
        <f t="shared" si="250"/>
        <v>15000</v>
      </c>
      <c r="J1648" s="7">
        <f t="shared" si="251"/>
        <v>0</v>
      </c>
      <c r="K1648" s="7">
        <f t="shared" si="252"/>
        <v>15000</v>
      </c>
      <c r="L1648" s="4">
        <v>72000</v>
      </c>
      <c r="M1648" s="7">
        <f t="shared" si="253"/>
        <v>87000</v>
      </c>
      <c r="N1648" s="2" t="s">
        <v>33</v>
      </c>
      <c r="O1648" t="s">
        <v>22</v>
      </c>
      <c r="P1648" s="2" t="s">
        <v>2370</v>
      </c>
      <c r="Q1648" s="2">
        <v>3</v>
      </c>
      <c r="R1648" s="2" t="s">
        <v>23</v>
      </c>
      <c r="S1648" s="2" t="str">
        <f t="shared" si="254"/>
        <v>Rendah</v>
      </c>
      <c r="T1648" s="2" t="str">
        <f t="shared" si="255"/>
        <v>FALSE</v>
      </c>
      <c r="U1648" s="2" t="str">
        <f t="shared" si="256"/>
        <v>FALSE</v>
      </c>
      <c r="V1648" s="2" t="b">
        <f t="shared" si="257"/>
        <v>0</v>
      </c>
      <c r="W1648" s="2" t="b">
        <f t="shared" si="258"/>
        <v>0</v>
      </c>
      <c r="X1648" s="2" t="b">
        <f t="shared" si="259"/>
        <v>0</v>
      </c>
    </row>
    <row r="1649" spans="1:24" ht="10.5" customHeight="1">
      <c r="A1649" s="2" t="s">
        <v>2009</v>
      </c>
      <c r="B1649" s="3">
        <v>45975.683564814812</v>
      </c>
      <c r="C1649" s="2" t="s">
        <v>487</v>
      </c>
      <c r="D1649" s="2" t="s">
        <v>164</v>
      </c>
      <c r="E1649" s="2" t="s">
        <v>190</v>
      </c>
      <c r="F1649" s="4">
        <v>15500</v>
      </c>
      <c r="G1649" s="5">
        <v>0.3</v>
      </c>
      <c r="H1649" s="6">
        <v>0</v>
      </c>
      <c r="I1649" s="7">
        <f t="shared" si="250"/>
        <v>4650</v>
      </c>
      <c r="J1649" s="7">
        <f t="shared" si="251"/>
        <v>0</v>
      </c>
      <c r="K1649" s="7">
        <f t="shared" si="252"/>
        <v>4650</v>
      </c>
      <c r="L1649" s="4">
        <v>49000</v>
      </c>
      <c r="M1649" s="7">
        <f t="shared" si="253"/>
        <v>53650</v>
      </c>
      <c r="N1649" s="2" t="s">
        <v>58</v>
      </c>
      <c r="O1649" t="s">
        <v>22</v>
      </c>
      <c r="P1649" s="2" t="s">
        <v>2366</v>
      </c>
      <c r="Q1649" s="2">
        <v>1</v>
      </c>
      <c r="R1649" s="2" t="s">
        <v>34</v>
      </c>
      <c r="S1649" s="2" t="str">
        <f t="shared" si="254"/>
        <v>Rendah</v>
      </c>
      <c r="T1649" s="2" t="str">
        <f t="shared" si="255"/>
        <v>FALSE</v>
      </c>
      <c r="U1649" s="2" t="str">
        <f t="shared" si="256"/>
        <v>FALSE</v>
      </c>
      <c r="V1649" s="2" t="b">
        <f t="shared" si="257"/>
        <v>0</v>
      </c>
      <c r="W1649" s="2" t="b">
        <f t="shared" si="258"/>
        <v>0</v>
      </c>
      <c r="X1649" s="2" t="b">
        <f t="shared" si="259"/>
        <v>0</v>
      </c>
    </row>
    <row r="1650" spans="1:24" ht="10.5" customHeight="1">
      <c r="A1650" s="2" t="s">
        <v>2010</v>
      </c>
      <c r="B1650" s="3">
        <v>45975.758344907408</v>
      </c>
      <c r="C1650" s="2" t="s">
        <v>1063</v>
      </c>
      <c r="D1650" s="2" t="s">
        <v>26</v>
      </c>
      <c r="E1650" s="2" t="s">
        <v>45</v>
      </c>
      <c r="F1650" s="4">
        <v>10500</v>
      </c>
      <c r="G1650" s="5">
        <v>2.2999999999999998</v>
      </c>
      <c r="H1650" s="6">
        <v>0</v>
      </c>
      <c r="I1650" s="7">
        <f t="shared" si="250"/>
        <v>24149.999999999996</v>
      </c>
      <c r="J1650" s="7">
        <f t="shared" si="251"/>
        <v>0</v>
      </c>
      <c r="K1650" s="7">
        <f t="shared" si="252"/>
        <v>24149.999999999996</v>
      </c>
      <c r="L1650" s="4">
        <v>17000</v>
      </c>
      <c r="M1650" s="7">
        <f t="shared" si="253"/>
        <v>41150</v>
      </c>
      <c r="N1650" s="2" t="s">
        <v>58</v>
      </c>
      <c r="O1650" t="s">
        <v>22</v>
      </c>
      <c r="P1650" s="2" t="s">
        <v>2366</v>
      </c>
      <c r="Q1650" s="2">
        <v>5</v>
      </c>
      <c r="R1650" s="2" t="s">
        <v>23</v>
      </c>
      <c r="S1650" s="2" t="str">
        <f t="shared" si="254"/>
        <v>Sangat Rendah</v>
      </c>
      <c r="T1650" s="2" t="str">
        <f t="shared" si="255"/>
        <v>FALSE</v>
      </c>
      <c r="U1650" s="2" t="str">
        <f t="shared" si="256"/>
        <v>FALSE</v>
      </c>
      <c r="V1650" s="2" t="b">
        <f t="shared" si="257"/>
        <v>0</v>
      </c>
      <c r="W1650" s="2" t="b">
        <f t="shared" si="258"/>
        <v>0</v>
      </c>
      <c r="X1650" s="2" t="b">
        <f t="shared" si="259"/>
        <v>1</v>
      </c>
    </row>
    <row r="1651" spans="1:24" ht="10.5" customHeight="1">
      <c r="A1651" s="2" t="s">
        <v>2011</v>
      </c>
      <c r="B1651" s="3">
        <v>45976.350891203707</v>
      </c>
      <c r="C1651" s="2" t="s">
        <v>583</v>
      </c>
      <c r="D1651" s="2" t="s">
        <v>185</v>
      </c>
      <c r="E1651" s="2" t="s">
        <v>102</v>
      </c>
      <c r="F1651" s="4">
        <v>55000</v>
      </c>
      <c r="G1651" s="5">
        <v>0.4</v>
      </c>
      <c r="H1651" s="6">
        <v>0</v>
      </c>
      <c r="I1651" s="7">
        <f t="shared" si="250"/>
        <v>22000</v>
      </c>
      <c r="J1651" s="7">
        <f t="shared" si="251"/>
        <v>0</v>
      </c>
      <c r="K1651" s="7">
        <f t="shared" si="252"/>
        <v>22000</v>
      </c>
      <c r="L1651" s="4">
        <v>87000</v>
      </c>
      <c r="M1651" s="7">
        <f t="shared" si="253"/>
        <v>109000</v>
      </c>
      <c r="N1651" s="2" t="s">
        <v>33</v>
      </c>
      <c r="O1651" t="s">
        <v>115</v>
      </c>
      <c r="P1651" s="2" t="s">
        <v>2368</v>
      </c>
      <c r="Q1651" s="2">
        <v>4</v>
      </c>
      <c r="R1651" s="2" t="s">
        <v>23</v>
      </c>
      <c r="S1651" s="2" t="str">
        <f t="shared" si="254"/>
        <v>Standar</v>
      </c>
      <c r="T1651" s="2" t="str">
        <f t="shared" si="255"/>
        <v>FALSE</v>
      </c>
      <c r="U1651" s="2" t="str">
        <f t="shared" si="256"/>
        <v>FALSE</v>
      </c>
      <c r="V1651" s="2" t="b">
        <f t="shared" si="257"/>
        <v>0</v>
      </c>
      <c r="W1651" s="2" t="b">
        <f t="shared" si="258"/>
        <v>0</v>
      </c>
      <c r="X1651" s="2" t="b">
        <f t="shared" si="259"/>
        <v>0</v>
      </c>
    </row>
    <row r="1652" spans="1:24" ht="10.5" customHeight="1">
      <c r="A1652" s="2" t="s">
        <v>2012</v>
      </c>
      <c r="B1652" s="3">
        <v>45976.677754629629</v>
      </c>
      <c r="C1652" s="2" t="s">
        <v>527</v>
      </c>
      <c r="D1652" s="2" t="s">
        <v>52</v>
      </c>
      <c r="E1652" s="2" t="s">
        <v>41</v>
      </c>
      <c r="F1652" s="4">
        <v>40000</v>
      </c>
      <c r="G1652" s="5">
        <v>0.6</v>
      </c>
      <c r="H1652" s="6">
        <v>0</v>
      </c>
      <c r="I1652" s="7">
        <f t="shared" si="250"/>
        <v>24000</v>
      </c>
      <c r="J1652" s="7">
        <f t="shared" si="251"/>
        <v>0</v>
      </c>
      <c r="K1652" s="7">
        <f t="shared" si="252"/>
        <v>24000</v>
      </c>
      <c r="L1652" s="4">
        <v>80000</v>
      </c>
      <c r="M1652" s="7">
        <f t="shared" si="253"/>
        <v>104000</v>
      </c>
      <c r="N1652" s="2" t="s">
        <v>21</v>
      </c>
      <c r="O1652" t="s">
        <v>22</v>
      </c>
      <c r="P1652" s="2" t="s">
        <v>2366</v>
      </c>
      <c r="Q1652" s="2">
        <v>3</v>
      </c>
      <c r="R1652" s="2" t="s">
        <v>34</v>
      </c>
      <c r="S1652" s="2" t="str">
        <f t="shared" si="254"/>
        <v>Standar</v>
      </c>
      <c r="T1652" s="2" t="str">
        <f t="shared" si="255"/>
        <v>FALSE</v>
      </c>
      <c r="U1652" s="2" t="str">
        <f t="shared" si="256"/>
        <v>FALSE</v>
      </c>
      <c r="V1652" s="2" t="b">
        <f t="shared" si="257"/>
        <v>0</v>
      </c>
      <c r="W1652" s="2" t="b">
        <f t="shared" si="258"/>
        <v>0</v>
      </c>
      <c r="X1652" s="2" t="b">
        <f t="shared" si="259"/>
        <v>0</v>
      </c>
    </row>
    <row r="1653" spans="1:24" ht="10.5" customHeight="1">
      <c r="A1653" s="2" t="s">
        <v>2013</v>
      </c>
      <c r="B1653" s="3">
        <v>45979.045543981483</v>
      </c>
      <c r="C1653" s="2" t="s">
        <v>1260</v>
      </c>
      <c r="D1653" s="2" t="s">
        <v>173</v>
      </c>
      <c r="E1653" s="2" t="s">
        <v>65</v>
      </c>
      <c r="F1653" s="4">
        <v>46000</v>
      </c>
      <c r="G1653" s="5">
        <v>1.4</v>
      </c>
      <c r="H1653" s="6">
        <v>0</v>
      </c>
      <c r="I1653" s="7">
        <f t="shared" si="250"/>
        <v>64399.999999999993</v>
      </c>
      <c r="J1653" s="7">
        <f t="shared" si="251"/>
        <v>0</v>
      </c>
      <c r="K1653" s="7">
        <f t="shared" si="252"/>
        <v>64399.999999999993</v>
      </c>
      <c r="L1653" s="4">
        <v>48000</v>
      </c>
      <c r="M1653" s="7">
        <f t="shared" si="253"/>
        <v>112400</v>
      </c>
      <c r="N1653" s="2" t="s">
        <v>58</v>
      </c>
      <c r="O1653" t="s">
        <v>69</v>
      </c>
      <c r="P1653" s="2" t="s">
        <v>2365</v>
      </c>
      <c r="Q1653" s="2">
        <v>1</v>
      </c>
      <c r="R1653" s="2" t="s">
        <v>23</v>
      </c>
      <c r="S1653" s="2" t="str">
        <f t="shared" si="254"/>
        <v>Standar</v>
      </c>
      <c r="T1653" s="2" t="str">
        <f t="shared" si="255"/>
        <v>FALSE</v>
      </c>
      <c r="U1653" s="2" t="str">
        <f t="shared" si="256"/>
        <v>FALSE</v>
      </c>
      <c r="V1653" s="2" t="b">
        <f t="shared" si="257"/>
        <v>0</v>
      </c>
      <c r="W1653" s="2" t="b">
        <f t="shared" si="258"/>
        <v>0</v>
      </c>
      <c r="X1653" s="2" t="b">
        <f t="shared" si="259"/>
        <v>0</v>
      </c>
    </row>
    <row r="1654" spans="1:24" ht="10.5" customHeight="1">
      <c r="A1654" s="2" t="s">
        <v>2013</v>
      </c>
      <c r="B1654" s="3">
        <v>45979.045543981483</v>
      </c>
      <c r="C1654" s="2" t="s">
        <v>1260</v>
      </c>
      <c r="D1654" s="2" t="s">
        <v>173</v>
      </c>
      <c r="E1654" s="2" t="s">
        <v>95</v>
      </c>
      <c r="F1654" s="4">
        <v>9500</v>
      </c>
      <c r="G1654" s="5">
        <v>0.7</v>
      </c>
      <c r="H1654" s="6">
        <v>0</v>
      </c>
      <c r="I1654" s="7">
        <f t="shared" si="250"/>
        <v>6650</v>
      </c>
      <c r="J1654" s="7">
        <f t="shared" si="251"/>
        <v>0</v>
      </c>
      <c r="K1654" s="7">
        <f t="shared" si="252"/>
        <v>6650</v>
      </c>
      <c r="L1654" s="4">
        <v>0</v>
      </c>
      <c r="M1654" s="7">
        <f t="shared" si="253"/>
        <v>6650</v>
      </c>
      <c r="N1654" s="2" t="s">
        <v>58</v>
      </c>
      <c r="O1654" t="s">
        <v>69</v>
      </c>
      <c r="P1654" s="2" t="s">
        <v>2365</v>
      </c>
      <c r="Q1654" s="2">
        <v>1</v>
      </c>
      <c r="R1654" s="2" t="s">
        <v>23</v>
      </c>
      <c r="S1654" s="2" t="str">
        <f t="shared" si="254"/>
        <v>Sangat Rendah</v>
      </c>
      <c r="T1654" s="2" t="str">
        <f t="shared" si="255"/>
        <v>FALSE</v>
      </c>
      <c r="U1654" s="2" t="str">
        <f t="shared" si="256"/>
        <v>FALSE</v>
      </c>
      <c r="V1654" s="2" t="b">
        <f t="shared" si="257"/>
        <v>0</v>
      </c>
      <c r="W1654" s="2" t="b">
        <f t="shared" si="258"/>
        <v>0</v>
      </c>
      <c r="X1654" s="2" t="b">
        <f t="shared" si="259"/>
        <v>1</v>
      </c>
    </row>
    <row r="1655" spans="1:24" ht="10.5" customHeight="1">
      <c r="A1655" s="2" t="s">
        <v>2014</v>
      </c>
      <c r="B1655" s="3">
        <v>45979.379583333342</v>
      </c>
      <c r="C1655" s="2" t="s">
        <v>616</v>
      </c>
      <c r="D1655" s="2" t="s">
        <v>286</v>
      </c>
      <c r="E1655" s="2" t="s">
        <v>57</v>
      </c>
      <c r="F1655" s="4">
        <v>17500</v>
      </c>
      <c r="G1655" s="5">
        <v>1.7</v>
      </c>
      <c r="H1655" s="6">
        <v>0</v>
      </c>
      <c r="I1655" s="7">
        <f t="shared" si="250"/>
        <v>29750</v>
      </c>
      <c r="J1655" s="7">
        <f t="shared" si="251"/>
        <v>0</v>
      </c>
      <c r="K1655" s="7">
        <f t="shared" si="252"/>
        <v>29750</v>
      </c>
      <c r="L1655" s="4">
        <v>79000</v>
      </c>
      <c r="M1655" s="7">
        <f t="shared" si="253"/>
        <v>108750</v>
      </c>
      <c r="N1655" s="2" t="s">
        <v>21</v>
      </c>
      <c r="O1655" t="s">
        <v>22</v>
      </c>
      <c r="P1655" s="2" t="s">
        <v>2368</v>
      </c>
      <c r="Q1655" s="2">
        <v>1</v>
      </c>
      <c r="R1655" s="2" t="s">
        <v>23</v>
      </c>
      <c r="S1655" s="2" t="str">
        <f t="shared" si="254"/>
        <v>Standar</v>
      </c>
      <c r="T1655" s="2" t="str">
        <f t="shared" si="255"/>
        <v>FALSE</v>
      </c>
      <c r="U1655" s="2" t="str">
        <f t="shared" si="256"/>
        <v>FALSE</v>
      </c>
      <c r="V1655" s="2" t="b">
        <f t="shared" si="257"/>
        <v>0</v>
      </c>
      <c r="W1655" s="2" t="b">
        <f t="shared" si="258"/>
        <v>0</v>
      </c>
      <c r="X1655" s="2" t="b">
        <f t="shared" si="259"/>
        <v>0</v>
      </c>
    </row>
    <row r="1656" spans="1:24" ht="10.5" customHeight="1">
      <c r="A1656" s="2" t="s">
        <v>2015</v>
      </c>
      <c r="B1656" s="3">
        <v>45980.800243055557</v>
      </c>
      <c r="C1656" s="2" t="s">
        <v>520</v>
      </c>
      <c r="D1656" s="2" t="s">
        <v>140</v>
      </c>
      <c r="E1656" s="2" t="s">
        <v>35</v>
      </c>
      <c r="F1656" s="4">
        <v>13500</v>
      </c>
      <c r="G1656" s="5">
        <v>3.6</v>
      </c>
      <c r="H1656" s="6">
        <v>0</v>
      </c>
      <c r="I1656" s="7">
        <f t="shared" si="250"/>
        <v>48600</v>
      </c>
      <c r="J1656" s="7">
        <f t="shared" si="251"/>
        <v>0</v>
      </c>
      <c r="K1656" s="7">
        <f t="shared" si="252"/>
        <v>48600</v>
      </c>
      <c r="L1656" s="4">
        <v>55000</v>
      </c>
      <c r="M1656" s="7">
        <f t="shared" si="253"/>
        <v>103600</v>
      </c>
      <c r="N1656" s="2" t="s">
        <v>28</v>
      </c>
      <c r="O1656" t="s">
        <v>22</v>
      </c>
      <c r="P1656" s="2" t="s">
        <v>2366</v>
      </c>
      <c r="Q1656" s="2">
        <v>3</v>
      </c>
      <c r="R1656" s="2" t="s">
        <v>23</v>
      </c>
      <c r="S1656" s="2" t="str">
        <f t="shared" si="254"/>
        <v>Standar</v>
      </c>
      <c r="T1656" s="2" t="str">
        <f t="shared" si="255"/>
        <v>FALSE</v>
      </c>
      <c r="U1656" s="2" t="str">
        <f t="shared" si="256"/>
        <v>FALSE</v>
      </c>
      <c r="V1656" s="2" t="b">
        <f t="shared" si="257"/>
        <v>0</v>
      </c>
      <c r="W1656" s="2" t="b">
        <f t="shared" si="258"/>
        <v>0</v>
      </c>
      <c r="X1656" s="2" t="b">
        <f t="shared" si="259"/>
        <v>0</v>
      </c>
    </row>
    <row r="1657" spans="1:24" ht="10.5" customHeight="1">
      <c r="A1657" s="2" t="s">
        <v>2016</v>
      </c>
      <c r="B1657" s="3">
        <v>45981.536504629628</v>
      </c>
      <c r="C1657" s="2" t="s">
        <v>1240</v>
      </c>
      <c r="D1657" s="2" t="s">
        <v>185</v>
      </c>
      <c r="E1657" s="2" t="s">
        <v>75</v>
      </c>
      <c r="F1657" s="4">
        <v>45000</v>
      </c>
      <c r="G1657" s="5">
        <v>1.8</v>
      </c>
      <c r="H1657" s="6">
        <v>0</v>
      </c>
      <c r="I1657" s="7">
        <f t="shared" si="250"/>
        <v>81000</v>
      </c>
      <c r="J1657" s="7">
        <f t="shared" si="251"/>
        <v>0</v>
      </c>
      <c r="K1657" s="7">
        <f t="shared" si="252"/>
        <v>81000</v>
      </c>
      <c r="L1657" s="4">
        <v>87000</v>
      </c>
      <c r="M1657" s="7">
        <f t="shared" si="253"/>
        <v>168000</v>
      </c>
      <c r="N1657" s="2" t="s">
        <v>58</v>
      </c>
      <c r="O1657" t="s">
        <v>22</v>
      </c>
      <c r="P1657" s="2" t="s">
        <v>2365</v>
      </c>
      <c r="Q1657" s="2">
        <v>2</v>
      </c>
      <c r="R1657" s="2" t="s">
        <v>23</v>
      </c>
      <c r="S1657" s="2" t="str">
        <f t="shared" si="254"/>
        <v>Tinggi</v>
      </c>
      <c r="T1657" s="2" t="str">
        <f t="shared" si="255"/>
        <v>FALSE</v>
      </c>
      <c r="U1657" s="2" t="str">
        <f t="shared" si="256"/>
        <v>TRUE</v>
      </c>
      <c r="V1657" s="2" t="b">
        <f t="shared" si="257"/>
        <v>0</v>
      </c>
      <c r="W1657" s="2" t="b">
        <f t="shared" si="258"/>
        <v>0</v>
      </c>
      <c r="X1657" s="2" t="b">
        <f t="shared" si="259"/>
        <v>0</v>
      </c>
    </row>
    <row r="1658" spans="1:24" ht="10.5" customHeight="1">
      <c r="A1658" s="2" t="s">
        <v>2017</v>
      </c>
      <c r="B1658" s="3">
        <v>45982.209097222221</v>
      </c>
      <c r="C1658" s="2" t="s">
        <v>2018</v>
      </c>
      <c r="D1658" s="2" t="s">
        <v>114</v>
      </c>
      <c r="E1658" s="2" t="s">
        <v>41</v>
      </c>
      <c r="F1658" s="4">
        <v>40000</v>
      </c>
      <c r="G1658" s="5">
        <v>0.7</v>
      </c>
      <c r="H1658" s="6">
        <v>0</v>
      </c>
      <c r="I1658" s="7">
        <f t="shared" si="250"/>
        <v>28000</v>
      </c>
      <c r="J1658" s="7">
        <f t="shared" si="251"/>
        <v>0</v>
      </c>
      <c r="K1658" s="7">
        <f t="shared" si="252"/>
        <v>28000</v>
      </c>
      <c r="L1658" s="4">
        <v>78000</v>
      </c>
      <c r="M1658" s="7">
        <f t="shared" si="253"/>
        <v>106000</v>
      </c>
      <c r="N1658" s="2" t="s">
        <v>21</v>
      </c>
      <c r="O1658" t="s">
        <v>22</v>
      </c>
      <c r="P1658" s="2" t="s">
        <v>2370</v>
      </c>
      <c r="Q1658" s="2">
        <v>4</v>
      </c>
      <c r="R1658" s="2" t="s">
        <v>34</v>
      </c>
      <c r="S1658" s="2" t="str">
        <f t="shared" si="254"/>
        <v>Standar</v>
      </c>
      <c r="T1658" s="2" t="str">
        <f t="shared" si="255"/>
        <v>FALSE</v>
      </c>
      <c r="U1658" s="2" t="str">
        <f t="shared" si="256"/>
        <v>FALSE</v>
      </c>
      <c r="V1658" s="2" t="b">
        <f t="shared" si="257"/>
        <v>0</v>
      </c>
      <c r="W1658" s="2" t="b">
        <f t="shared" si="258"/>
        <v>0</v>
      </c>
      <c r="X1658" s="2" t="b">
        <f t="shared" si="259"/>
        <v>0</v>
      </c>
    </row>
    <row r="1659" spans="1:24" ht="10.5" customHeight="1">
      <c r="A1659" s="2" t="s">
        <v>2019</v>
      </c>
      <c r="B1659" s="3">
        <v>45982.352523148147</v>
      </c>
      <c r="C1659" s="2" t="s">
        <v>340</v>
      </c>
      <c r="D1659" s="2" t="s">
        <v>185</v>
      </c>
      <c r="E1659" s="2" t="s">
        <v>99</v>
      </c>
      <c r="F1659" s="4">
        <v>10000</v>
      </c>
      <c r="G1659" s="5">
        <v>0.7</v>
      </c>
      <c r="H1659" s="6">
        <v>0</v>
      </c>
      <c r="I1659" s="7">
        <f t="shared" si="250"/>
        <v>7000</v>
      </c>
      <c r="J1659" s="7">
        <f t="shared" si="251"/>
        <v>0</v>
      </c>
      <c r="K1659" s="7">
        <f t="shared" si="252"/>
        <v>7000</v>
      </c>
      <c r="L1659" s="4">
        <v>87000</v>
      </c>
      <c r="M1659" s="7">
        <f t="shared" si="253"/>
        <v>94000</v>
      </c>
      <c r="N1659" s="2" t="s">
        <v>28</v>
      </c>
      <c r="O1659" t="s">
        <v>22</v>
      </c>
      <c r="P1659" s="2" t="s">
        <v>2365</v>
      </c>
      <c r="Q1659" s="2">
        <v>4</v>
      </c>
      <c r="R1659" s="2" t="s">
        <v>34</v>
      </c>
      <c r="S1659" s="2" t="str">
        <f t="shared" si="254"/>
        <v>Rendah</v>
      </c>
      <c r="T1659" s="2" t="str">
        <f t="shared" si="255"/>
        <v>FALSE</v>
      </c>
      <c r="U1659" s="2" t="str">
        <f t="shared" si="256"/>
        <v>FALSE</v>
      </c>
      <c r="V1659" s="2" t="b">
        <f t="shared" si="257"/>
        <v>0</v>
      </c>
      <c r="W1659" s="2" t="b">
        <f t="shared" si="258"/>
        <v>0</v>
      </c>
      <c r="X1659" s="2" t="b">
        <f t="shared" si="259"/>
        <v>0</v>
      </c>
    </row>
    <row r="1660" spans="1:24" ht="10.5" customHeight="1">
      <c r="A1660" s="2" t="s">
        <v>2020</v>
      </c>
      <c r="B1660" s="3">
        <v>45984.366388888891</v>
      </c>
      <c r="C1660" s="2" t="s">
        <v>706</v>
      </c>
      <c r="D1660" s="2" t="s">
        <v>61</v>
      </c>
      <c r="E1660" s="2" t="s">
        <v>182</v>
      </c>
      <c r="F1660" s="4">
        <v>11000</v>
      </c>
      <c r="G1660" s="5">
        <v>1.6</v>
      </c>
      <c r="H1660" s="6">
        <v>0</v>
      </c>
      <c r="I1660" s="7">
        <f t="shared" si="250"/>
        <v>17600</v>
      </c>
      <c r="J1660" s="7">
        <f t="shared" si="251"/>
        <v>0</v>
      </c>
      <c r="K1660" s="7">
        <f t="shared" si="252"/>
        <v>17600</v>
      </c>
      <c r="L1660" s="4">
        <v>59000</v>
      </c>
      <c r="M1660" s="7">
        <f t="shared" si="253"/>
        <v>76600</v>
      </c>
      <c r="N1660" s="2" t="s">
        <v>33</v>
      </c>
      <c r="O1660" t="s">
        <v>22</v>
      </c>
      <c r="P1660" s="2" t="s">
        <v>2370</v>
      </c>
      <c r="Q1660" s="2">
        <v>2</v>
      </c>
      <c r="R1660" s="2" t="s">
        <v>23</v>
      </c>
      <c r="S1660" s="2" t="str">
        <f t="shared" si="254"/>
        <v>Rendah</v>
      </c>
      <c r="T1660" s="2" t="str">
        <f t="shared" si="255"/>
        <v>FALSE</v>
      </c>
      <c r="U1660" s="2" t="str">
        <f t="shared" si="256"/>
        <v>FALSE</v>
      </c>
      <c r="V1660" s="2" t="b">
        <f t="shared" si="257"/>
        <v>0</v>
      </c>
      <c r="W1660" s="2" t="b">
        <f t="shared" si="258"/>
        <v>0</v>
      </c>
      <c r="X1660" s="2" t="b">
        <f t="shared" si="259"/>
        <v>0</v>
      </c>
    </row>
    <row r="1661" spans="1:24" ht="10.5" customHeight="1">
      <c r="A1661" s="2" t="s">
        <v>2021</v>
      </c>
      <c r="B1661" s="3">
        <v>45984.442372685182</v>
      </c>
      <c r="C1661" s="2" t="s">
        <v>1126</v>
      </c>
      <c r="D1661" s="2" t="s">
        <v>185</v>
      </c>
      <c r="E1661" s="2" t="s">
        <v>45</v>
      </c>
      <c r="F1661" s="4">
        <v>10500</v>
      </c>
      <c r="G1661" s="5">
        <v>2.4</v>
      </c>
      <c r="H1661" s="6">
        <v>0</v>
      </c>
      <c r="I1661" s="7">
        <f t="shared" si="250"/>
        <v>25200</v>
      </c>
      <c r="J1661" s="7">
        <f t="shared" si="251"/>
        <v>0</v>
      </c>
      <c r="K1661" s="7">
        <f t="shared" si="252"/>
        <v>25200</v>
      </c>
      <c r="L1661" s="4">
        <v>87000</v>
      </c>
      <c r="M1661" s="7">
        <f t="shared" si="253"/>
        <v>112200</v>
      </c>
      <c r="N1661" s="2" t="s">
        <v>28</v>
      </c>
      <c r="O1661" t="s">
        <v>115</v>
      </c>
      <c r="P1661" s="2" t="s">
        <v>2367</v>
      </c>
      <c r="Q1661" s="2">
        <v>2</v>
      </c>
      <c r="R1661" s="2" t="s">
        <v>23</v>
      </c>
      <c r="S1661" s="2" t="str">
        <f t="shared" si="254"/>
        <v>Standar</v>
      </c>
      <c r="T1661" s="2" t="str">
        <f t="shared" si="255"/>
        <v>FALSE</v>
      </c>
      <c r="U1661" s="2" t="str">
        <f t="shared" si="256"/>
        <v>FALSE</v>
      </c>
      <c r="V1661" s="2" t="b">
        <f t="shared" si="257"/>
        <v>0</v>
      </c>
      <c r="W1661" s="2" t="b">
        <f t="shared" si="258"/>
        <v>1</v>
      </c>
      <c r="X1661" s="2" t="b">
        <f t="shared" si="259"/>
        <v>0</v>
      </c>
    </row>
    <row r="1662" spans="1:24" ht="10.5" customHeight="1">
      <c r="A1662" s="2" t="s">
        <v>2022</v>
      </c>
      <c r="B1662" s="3">
        <v>45984.822083333333</v>
      </c>
      <c r="C1662" s="2" t="s">
        <v>719</v>
      </c>
      <c r="D1662" s="2" t="s">
        <v>68</v>
      </c>
      <c r="E1662" s="2" t="s">
        <v>65</v>
      </c>
      <c r="F1662" s="4">
        <v>46000</v>
      </c>
      <c r="G1662" s="5">
        <v>0.8</v>
      </c>
      <c r="H1662" s="6">
        <v>0</v>
      </c>
      <c r="I1662" s="7">
        <f t="shared" si="250"/>
        <v>36800</v>
      </c>
      <c r="J1662" s="7">
        <f t="shared" si="251"/>
        <v>0</v>
      </c>
      <c r="K1662" s="7">
        <f t="shared" si="252"/>
        <v>36800</v>
      </c>
      <c r="L1662" s="4">
        <v>87000</v>
      </c>
      <c r="M1662" s="7">
        <f t="shared" si="253"/>
        <v>123800</v>
      </c>
      <c r="N1662" s="2" t="s">
        <v>28</v>
      </c>
      <c r="O1662" t="s">
        <v>22</v>
      </c>
      <c r="P1662" s="2" t="s">
        <v>2365</v>
      </c>
      <c r="Q1662" s="2">
        <v>3</v>
      </c>
      <c r="R1662" s="2" t="s">
        <v>23</v>
      </c>
      <c r="S1662" s="2" t="str">
        <f t="shared" si="254"/>
        <v>Standar</v>
      </c>
      <c r="T1662" s="2" t="str">
        <f t="shared" si="255"/>
        <v>FALSE</v>
      </c>
      <c r="U1662" s="2" t="str">
        <f t="shared" si="256"/>
        <v>FALSE</v>
      </c>
      <c r="V1662" s="2" t="b">
        <f t="shared" si="257"/>
        <v>0</v>
      </c>
      <c r="W1662" s="2" t="b">
        <f t="shared" si="258"/>
        <v>0</v>
      </c>
      <c r="X1662" s="2" t="b">
        <f t="shared" si="259"/>
        <v>0</v>
      </c>
    </row>
    <row r="1663" spans="1:24" ht="10.5" customHeight="1">
      <c r="A1663" s="2" t="s">
        <v>2023</v>
      </c>
      <c r="B1663" s="3">
        <v>45984.899641203701</v>
      </c>
      <c r="C1663" s="2" t="s">
        <v>555</v>
      </c>
      <c r="D1663" s="2" t="s">
        <v>153</v>
      </c>
      <c r="E1663" s="2" t="s">
        <v>41</v>
      </c>
      <c r="F1663" s="4">
        <v>40000</v>
      </c>
      <c r="G1663" s="5">
        <v>1.3</v>
      </c>
      <c r="H1663" s="6">
        <v>0</v>
      </c>
      <c r="I1663" s="7">
        <f t="shared" si="250"/>
        <v>52000</v>
      </c>
      <c r="J1663" s="7">
        <f t="shared" si="251"/>
        <v>0</v>
      </c>
      <c r="K1663" s="7">
        <f t="shared" si="252"/>
        <v>52000</v>
      </c>
      <c r="L1663" s="4">
        <v>50000</v>
      </c>
      <c r="M1663" s="7">
        <f t="shared" si="253"/>
        <v>102000</v>
      </c>
      <c r="N1663" s="2" t="s">
        <v>21</v>
      </c>
      <c r="O1663" t="s">
        <v>22</v>
      </c>
      <c r="P1663" s="2" t="s">
        <v>2368</v>
      </c>
      <c r="Q1663" s="2">
        <v>2</v>
      </c>
      <c r="R1663" s="2" t="s">
        <v>23</v>
      </c>
      <c r="S1663" s="2" t="str">
        <f t="shared" si="254"/>
        <v>Standar</v>
      </c>
      <c r="T1663" s="2" t="str">
        <f t="shared" si="255"/>
        <v>FALSE</v>
      </c>
      <c r="U1663" s="2" t="str">
        <f t="shared" si="256"/>
        <v>FALSE</v>
      </c>
      <c r="V1663" s="2" t="b">
        <f t="shared" si="257"/>
        <v>0</v>
      </c>
      <c r="W1663" s="2" t="b">
        <f t="shared" si="258"/>
        <v>0</v>
      </c>
      <c r="X1663" s="2" t="b">
        <f t="shared" si="259"/>
        <v>0</v>
      </c>
    </row>
    <row r="1664" spans="1:24" ht="10.5" customHeight="1">
      <c r="A1664" s="2" t="s">
        <v>2023</v>
      </c>
      <c r="B1664" s="3">
        <v>45984.899641203701</v>
      </c>
      <c r="C1664" s="2" t="s">
        <v>555</v>
      </c>
      <c r="D1664" s="2" t="s">
        <v>153</v>
      </c>
      <c r="E1664" s="2" t="s">
        <v>32</v>
      </c>
      <c r="F1664" s="4">
        <v>20000</v>
      </c>
      <c r="G1664" s="5">
        <v>1.5</v>
      </c>
      <c r="H1664" s="6">
        <v>0</v>
      </c>
      <c r="I1664" s="7">
        <f t="shared" si="250"/>
        <v>30000</v>
      </c>
      <c r="J1664" s="7">
        <f t="shared" si="251"/>
        <v>0</v>
      </c>
      <c r="K1664" s="7">
        <f t="shared" si="252"/>
        <v>30000</v>
      </c>
      <c r="L1664" s="4">
        <v>0</v>
      </c>
      <c r="M1664" s="7">
        <f t="shared" si="253"/>
        <v>30000</v>
      </c>
      <c r="N1664" s="2" t="s">
        <v>21</v>
      </c>
      <c r="O1664" t="s">
        <v>22</v>
      </c>
      <c r="P1664" s="2" t="s">
        <v>2368</v>
      </c>
      <c r="Q1664" s="2">
        <v>2</v>
      </c>
      <c r="R1664" s="2" t="s">
        <v>23</v>
      </c>
      <c r="S1664" s="2" t="str">
        <f t="shared" si="254"/>
        <v>Sangat Rendah</v>
      </c>
      <c r="T1664" s="2" t="str">
        <f t="shared" si="255"/>
        <v>FALSE</v>
      </c>
      <c r="U1664" s="2" t="str">
        <f t="shared" si="256"/>
        <v>FALSE</v>
      </c>
      <c r="V1664" s="2" t="b">
        <f t="shared" si="257"/>
        <v>0</v>
      </c>
      <c r="W1664" s="2" t="b">
        <f t="shared" si="258"/>
        <v>0</v>
      </c>
      <c r="X1664" s="2" t="b">
        <f t="shared" si="259"/>
        <v>1</v>
      </c>
    </row>
    <row r="1665" spans="1:24" ht="10.5" customHeight="1">
      <c r="A1665" s="2" t="s">
        <v>2024</v>
      </c>
      <c r="B1665" s="3">
        <v>45985.374212962961</v>
      </c>
      <c r="C1665" s="2" t="s">
        <v>364</v>
      </c>
      <c r="D1665" s="2" t="s">
        <v>365</v>
      </c>
      <c r="E1665" s="2" t="s">
        <v>170</v>
      </c>
      <c r="F1665" s="4">
        <v>12000</v>
      </c>
      <c r="G1665" s="5">
        <v>0.7</v>
      </c>
      <c r="H1665" s="6">
        <v>0</v>
      </c>
      <c r="I1665" s="7">
        <f t="shared" si="250"/>
        <v>8400</v>
      </c>
      <c r="J1665" s="7">
        <f t="shared" si="251"/>
        <v>0</v>
      </c>
      <c r="K1665" s="7">
        <f t="shared" si="252"/>
        <v>8400</v>
      </c>
      <c r="L1665" s="4">
        <v>21000</v>
      </c>
      <c r="M1665" s="7">
        <f t="shared" si="253"/>
        <v>29400</v>
      </c>
      <c r="N1665" s="2" t="s">
        <v>58</v>
      </c>
      <c r="O1665" t="s">
        <v>22</v>
      </c>
      <c r="P1665" s="2" t="s">
        <v>2366</v>
      </c>
      <c r="Q1665" s="2">
        <v>3</v>
      </c>
      <c r="R1665" s="2" t="s">
        <v>34</v>
      </c>
      <c r="S1665" s="2" t="str">
        <f t="shared" si="254"/>
        <v>Sangat Rendah</v>
      </c>
      <c r="T1665" s="2" t="str">
        <f t="shared" si="255"/>
        <v>FALSE</v>
      </c>
      <c r="U1665" s="2" t="str">
        <f t="shared" si="256"/>
        <v>FALSE</v>
      </c>
      <c r="V1665" s="2" t="b">
        <f t="shared" si="257"/>
        <v>0</v>
      </c>
      <c r="W1665" s="2" t="b">
        <f t="shared" si="258"/>
        <v>0</v>
      </c>
      <c r="X1665" s="2" t="b">
        <f t="shared" si="259"/>
        <v>0</v>
      </c>
    </row>
    <row r="1666" spans="1:24" ht="10.5" customHeight="1">
      <c r="A1666" s="2" t="s">
        <v>2025</v>
      </c>
      <c r="B1666" s="3">
        <v>45985.38795138889</v>
      </c>
      <c r="C1666" s="2" t="s">
        <v>824</v>
      </c>
      <c r="D1666" s="2" t="s">
        <v>167</v>
      </c>
      <c r="E1666" s="2" t="s">
        <v>80</v>
      </c>
      <c r="F1666" s="4">
        <v>15000</v>
      </c>
      <c r="G1666" s="5">
        <v>1.2</v>
      </c>
      <c r="H1666" s="6">
        <v>0</v>
      </c>
      <c r="I1666" s="7">
        <f t="shared" si="250"/>
        <v>18000</v>
      </c>
      <c r="J1666" s="7">
        <f t="shared" si="251"/>
        <v>0</v>
      </c>
      <c r="K1666" s="7">
        <f t="shared" si="252"/>
        <v>18000</v>
      </c>
      <c r="L1666" s="4">
        <v>56000</v>
      </c>
      <c r="M1666" s="7">
        <f t="shared" si="253"/>
        <v>74000</v>
      </c>
      <c r="N1666" s="2" t="s">
        <v>58</v>
      </c>
      <c r="O1666" t="s">
        <v>22</v>
      </c>
      <c r="P1666" s="2" t="s">
        <v>2366</v>
      </c>
      <c r="Q1666" s="2">
        <v>3</v>
      </c>
      <c r="R1666" s="2" t="s">
        <v>34</v>
      </c>
      <c r="S1666" s="2" t="str">
        <f t="shared" si="254"/>
        <v>Rendah</v>
      </c>
      <c r="T1666" s="2" t="str">
        <f t="shared" si="255"/>
        <v>FALSE</v>
      </c>
      <c r="U1666" s="2" t="str">
        <f t="shared" si="256"/>
        <v>FALSE</v>
      </c>
      <c r="V1666" s="2" t="b">
        <f t="shared" si="257"/>
        <v>0</v>
      </c>
      <c r="W1666" s="2" t="b">
        <f t="shared" si="258"/>
        <v>0</v>
      </c>
      <c r="X1666" s="2" t="b">
        <f t="shared" si="259"/>
        <v>0</v>
      </c>
    </row>
    <row r="1667" spans="1:24" ht="10.5" customHeight="1">
      <c r="A1667" s="2" t="s">
        <v>2026</v>
      </c>
      <c r="B1667" s="3">
        <v>45985.410682870373</v>
      </c>
      <c r="C1667" s="2" t="s">
        <v>1971</v>
      </c>
      <c r="D1667" s="2" t="s">
        <v>48</v>
      </c>
      <c r="E1667" s="2" t="s">
        <v>170</v>
      </c>
      <c r="F1667" s="4">
        <v>12000</v>
      </c>
      <c r="G1667" s="5">
        <v>0.9</v>
      </c>
      <c r="H1667" s="6">
        <v>0</v>
      </c>
      <c r="I1667" s="7">
        <f t="shared" si="250"/>
        <v>10800</v>
      </c>
      <c r="J1667" s="7">
        <f t="shared" si="251"/>
        <v>0</v>
      </c>
      <c r="K1667" s="7">
        <f t="shared" si="252"/>
        <v>10800</v>
      </c>
      <c r="L1667" s="4">
        <v>18000</v>
      </c>
      <c r="M1667" s="7">
        <f t="shared" si="253"/>
        <v>28800</v>
      </c>
      <c r="N1667" s="2" t="s">
        <v>28</v>
      </c>
      <c r="O1667" t="s">
        <v>22</v>
      </c>
      <c r="P1667" s="2" t="s">
        <v>2365</v>
      </c>
      <c r="Q1667" s="2">
        <v>3</v>
      </c>
      <c r="R1667" s="2" t="s">
        <v>23</v>
      </c>
      <c r="S1667" s="2" t="str">
        <f t="shared" si="254"/>
        <v>Sangat Rendah</v>
      </c>
      <c r="T1667" s="2" t="str">
        <f t="shared" si="255"/>
        <v>FALSE</v>
      </c>
      <c r="U1667" s="2" t="str">
        <f t="shared" si="256"/>
        <v>FALSE</v>
      </c>
      <c r="V1667" s="2" t="b">
        <f t="shared" si="257"/>
        <v>0</v>
      </c>
      <c r="W1667" s="2" t="b">
        <f t="shared" si="258"/>
        <v>0</v>
      </c>
      <c r="X1667" s="2" t="b">
        <f t="shared" si="259"/>
        <v>1</v>
      </c>
    </row>
    <row r="1668" spans="1:24" ht="10.5" customHeight="1">
      <c r="A1668" s="2" t="s">
        <v>2026</v>
      </c>
      <c r="B1668" s="3">
        <v>45985.410682870373</v>
      </c>
      <c r="C1668" s="2" t="s">
        <v>1971</v>
      </c>
      <c r="D1668" s="2" t="s">
        <v>48</v>
      </c>
      <c r="E1668" s="2" t="s">
        <v>102</v>
      </c>
      <c r="F1668" s="4">
        <v>55000</v>
      </c>
      <c r="G1668" s="5">
        <v>0.1</v>
      </c>
      <c r="H1668" s="6">
        <v>0</v>
      </c>
      <c r="I1668" s="7">
        <f t="shared" ref="I1668:I1731" si="260">F1668*G1668</f>
        <v>5500</v>
      </c>
      <c r="J1668" s="7">
        <f t="shared" ref="J1668:J1731" si="261">I1668*(H1668/100)</f>
        <v>0</v>
      </c>
      <c r="K1668" s="7">
        <f t="shared" ref="K1668:K1731" si="262">I1668-J1668</f>
        <v>5500</v>
      </c>
      <c r="L1668" s="4">
        <v>0</v>
      </c>
      <c r="M1668" s="7">
        <f t="shared" ref="M1668:M1731" si="263">K1668+L1668</f>
        <v>5500</v>
      </c>
      <c r="N1668" s="2" t="s">
        <v>28</v>
      </c>
      <c r="O1668" t="s">
        <v>22</v>
      </c>
      <c r="P1668" s="2" t="s">
        <v>2365</v>
      </c>
      <c r="Q1668" s="2">
        <v>3</v>
      </c>
      <c r="R1668" s="2" t="s">
        <v>23</v>
      </c>
      <c r="S1668" s="2" t="str">
        <f t="shared" ref="S1668:S1731" si="264">IF(M1668&lt;=50000,"Sangat Rendah",IF(M1668&lt;=100000,"Rendah",IF(M1668&lt;=150000,"Standar",IF(M1668&lt;=200000,"Tinggi","Sangat Tinggi"))))</f>
        <v>Sangat Rendah</v>
      </c>
      <c r="T1668" s="2" t="str">
        <f t="shared" ref="T1668:T1731" si="265">IF(AND(S1668="Rendah",D1668="Yogyakarta"),"TRUE","FALSE")</f>
        <v>FALSE</v>
      </c>
      <c r="U1668" s="2" t="str">
        <f t="shared" ref="U1668:U1731" si="266">IF(OR(S1668="Tinggi",E1668="Bayam"),"TRUE","FALSE")</f>
        <v>FALSE</v>
      </c>
      <c r="V1668" s="2" t="b">
        <f t="shared" ref="V1668:V1731" si="267">IF(AND(S1668="Standar",N1668="Transef Bank"),TRUE,FALSE)</f>
        <v>0</v>
      </c>
      <c r="W1668" s="2" t="b">
        <f t="shared" ref="W1668:W1731" si="268">IF(OR(S1668="Sangat Tinggi",P1668="FoodMart"),TRUE,FALSE)</f>
        <v>0</v>
      </c>
      <c r="X1668" s="2" t="b">
        <f t="shared" ref="X1668:X1731" si="269">IF(AND(S1668="Sangat Rendah",R1668="Perempuan"),TRUE,FALSE)</f>
        <v>1</v>
      </c>
    </row>
    <row r="1669" spans="1:24" ht="10.5" customHeight="1">
      <c r="A1669" s="2" t="s">
        <v>2027</v>
      </c>
      <c r="B1669" s="3">
        <v>45985.418263888889</v>
      </c>
      <c r="C1669" s="2" t="s">
        <v>520</v>
      </c>
      <c r="D1669" s="2" t="s">
        <v>140</v>
      </c>
      <c r="E1669" s="2" t="s">
        <v>57</v>
      </c>
      <c r="F1669" s="4">
        <v>17500</v>
      </c>
      <c r="G1669" s="5">
        <v>2.4</v>
      </c>
      <c r="H1669" s="6">
        <v>0</v>
      </c>
      <c r="I1669" s="7">
        <f t="shared" si="260"/>
        <v>42000</v>
      </c>
      <c r="J1669" s="7">
        <f t="shared" si="261"/>
        <v>0</v>
      </c>
      <c r="K1669" s="7">
        <f t="shared" si="262"/>
        <v>42000</v>
      </c>
      <c r="L1669" s="4">
        <v>55000</v>
      </c>
      <c r="M1669" s="7">
        <f t="shared" si="263"/>
        <v>97000</v>
      </c>
      <c r="N1669" s="2" t="s">
        <v>21</v>
      </c>
      <c r="O1669" t="s">
        <v>22</v>
      </c>
      <c r="P1669" s="2" t="s">
        <v>2370</v>
      </c>
      <c r="Q1669" s="2">
        <v>2</v>
      </c>
      <c r="R1669" s="2" t="s">
        <v>23</v>
      </c>
      <c r="S1669" s="2" t="str">
        <f t="shared" si="264"/>
        <v>Rendah</v>
      </c>
      <c r="T1669" s="2" t="str">
        <f t="shared" si="265"/>
        <v>FALSE</v>
      </c>
      <c r="U1669" s="2" t="str">
        <f t="shared" si="266"/>
        <v>FALSE</v>
      </c>
      <c r="V1669" s="2" t="b">
        <f t="shared" si="267"/>
        <v>0</v>
      </c>
      <c r="W1669" s="2" t="b">
        <f t="shared" si="268"/>
        <v>0</v>
      </c>
      <c r="X1669" s="2" t="b">
        <f t="shared" si="269"/>
        <v>0</v>
      </c>
    </row>
    <row r="1670" spans="1:24" ht="10.5" customHeight="1">
      <c r="A1670" s="2" t="s">
        <v>2028</v>
      </c>
      <c r="B1670" s="3">
        <v>45985.831238425933</v>
      </c>
      <c r="C1670" s="2" t="s">
        <v>222</v>
      </c>
      <c r="D1670" s="2" t="s">
        <v>61</v>
      </c>
      <c r="E1670" s="2" t="s">
        <v>80</v>
      </c>
      <c r="F1670" s="4">
        <v>15000</v>
      </c>
      <c r="G1670" s="5">
        <v>0.7</v>
      </c>
      <c r="H1670" s="6">
        <v>0</v>
      </c>
      <c r="I1670" s="7">
        <f t="shared" si="260"/>
        <v>10500</v>
      </c>
      <c r="J1670" s="7">
        <f t="shared" si="261"/>
        <v>0</v>
      </c>
      <c r="K1670" s="7">
        <f t="shared" si="262"/>
        <v>10500</v>
      </c>
      <c r="L1670" s="4">
        <v>59000</v>
      </c>
      <c r="M1670" s="7">
        <f t="shared" si="263"/>
        <v>69500</v>
      </c>
      <c r="N1670" s="2" t="s">
        <v>33</v>
      </c>
      <c r="O1670" t="s">
        <v>22</v>
      </c>
      <c r="P1670" s="2" t="s">
        <v>2370</v>
      </c>
      <c r="Q1670" s="2">
        <v>4</v>
      </c>
      <c r="R1670" s="2" t="s">
        <v>23</v>
      </c>
      <c r="S1670" s="2" t="str">
        <f t="shared" si="264"/>
        <v>Rendah</v>
      </c>
      <c r="T1670" s="2" t="str">
        <f t="shared" si="265"/>
        <v>FALSE</v>
      </c>
      <c r="U1670" s="2" t="str">
        <f t="shared" si="266"/>
        <v>FALSE</v>
      </c>
      <c r="V1670" s="2" t="b">
        <f t="shared" si="267"/>
        <v>0</v>
      </c>
      <c r="W1670" s="2" t="b">
        <f t="shared" si="268"/>
        <v>0</v>
      </c>
      <c r="X1670" s="2" t="b">
        <f t="shared" si="269"/>
        <v>0</v>
      </c>
    </row>
    <row r="1671" spans="1:24" ht="10.5" customHeight="1">
      <c r="A1671" s="2" t="s">
        <v>2029</v>
      </c>
      <c r="B1671" s="3">
        <v>45986.059687499997</v>
      </c>
      <c r="C1671" s="2" t="s">
        <v>196</v>
      </c>
      <c r="D1671" s="2" t="s">
        <v>87</v>
      </c>
      <c r="E1671" s="2" t="s">
        <v>80</v>
      </c>
      <c r="F1671" s="4">
        <v>15000</v>
      </c>
      <c r="G1671" s="5">
        <v>0.9</v>
      </c>
      <c r="H1671" s="6">
        <v>5</v>
      </c>
      <c r="I1671" s="7">
        <f t="shared" si="260"/>
        <v>13500</v>
      </c>
      <c r="J1671" s="7">
        <f t="shared" si="261"/>
        <v>675</v>
      </c>
      <c r="K1671" s="7">
        <f t="shared" si="262"/>
        <v>12825</v>
      </c>
      <c r="L1671" s="4">
        <v>49000</v>
      </c>
      <c r="M1671" s="7">
        <f t="shared" si="263"/>
        <v>61825</v>
      </c>
      <c r="N1671" s="2" t="s">
        <v>33</v>
      </c>
      <c r="O1671" t="s">
        <v>69</v>
      </c>
      <c r="P1671" s="2" t="s">
        <v>2367</v>
      </c>
      <c r="Q1671" s="2">
        <v>4</v>
      </c>
      <c r="R1671" s="2" t="s">
        <v>23</v>
      </c>
      <c r="S1671" s="2" t="str">
        <f t="shared" si="264"/>
        <v>Rendah</v>
      </c>
      <c r="T1671" s="2" t="str">
        <f t="shared" si="265"/>
        <v>FALSE</v>
      </c>
      <c r="U1671" s="2" t="str">
        <f t="shared" si="266"/>
        <v>FALSE</v>
      </c>
      <c r="V1671" s="2" t="b">
        <f t="shared" si="267"/>
        <v>0</v>
      </c>
      <c r="W1671" s="2" t="b">
        <f t="shared" si="268"/>
        <v>1</v>
      </c>
      <c r="X1671" s="2" t="b">
        <f t="shared" si="269"/>
        <v>0</v>
      </c>
    </row>
    <row r="1672" spans="1:24" ht="10.5" customHeight="1">
      <c r="A1672" s="2" t="s">
        <v>2030</v>
      </c>
      <c r="B1672" s="3">
        <v>45986.310150462959</v>
      </c>
      <c r="C1672" s="2" t="s">
        <v>224</v>
      </c>
      <c r="D1672" s="2" t="s">
        <v>105</v>
      </c>
      <c r="E1672" s="2" t="s">
        <v>35</v>
      </c>
      <c r="F1672" s="4">
        <v>13500</v>
      </c>
      <c r="G1672" s="5">
        <v>1.3</v>
      </c>
      <c r="H1672" s="6">
        <v>5</v>
      </c>
      <c r="I1672" s="7">
        <f t="shared" si="260"/>
        <v>17550</v>
      </c>
      <c r="J1672" s="7">
        <f t="shared" si="261"/>
        <v>877.5</v>
      </c>
      <c r="K1672" s="7">
        <f t="shared" si="262"/>
        <v>16672.5</v>
      </c>
      <c r="L1672" s="4">
        <v>18000</v>
      </c>
      <c r="M1672" s="7">
        <f t="shared" si="263"/>
        <v>34672.5</v>
      </c>
      <c r="N1672" s="2" t="s">
        <v>21</v>
      </c>
      <c r="O1672" t="s">
        <v>22</v>
      </c>
      <c r="P1672" s="2" t="s">
        <v>2365</v>
      </c>
      <c r="Q1672" s="2">
        <v>1</v>
      </c>
      <c r="R1672" s="2" t="s">
        <v>34</v>
      </c>
      <c r="S1672" s="2" t="str">
        <f t="shared" si="264"/>
        <v>Sangat Rendah</v>
      </c>
      <c r="T1672" s="2" t="str">
        <f t="shared" si="265"/>
        <v>FALSE</v>
      </c>
      <c r="U1672" s="2" t="str">
        <f t="shared" si="266"/>
        <v>FALSE</v>
      </c>
      <c r="V1672" s="2" t="b">
        <f t="shared" si="267"/>
        <v>0</v>
      </c>
      <c r="W1672" s="2" t="b">
        <f t="shared" si="268"/>
        <v>0</v>
      </c>
      <c r="X1672" s="2" t="b">
        <f t="shared" si="269"/>
        <v>0</v>
      </c>
    </row>
    <row r="1673" spans="1:24" ht="10.5" customHeight="1">
      <c r="A1673" s="2" t="s">
        <v>2031</v>
      </c>
      <c r="B1673" s="3">
        <v>45986.385208333333</v>
      </c>
      <c r="C1673" s="2" t="s">
        <v>583</v>
      </c>
      <c r="D1673" s="2" t="s">
        <v>185</v>
      </c>
      <c r="E1673" s="2" t="s">
        <v>57</v>
      </c>
      <c r="F1673" s="4">
        <v>17500</v>
      </c>
      <c r="G1673" s="5">
        <v>1.5</v>
      </c>
      <c r="H1673" s="6">
        <v>5</v>
      </c>
      <c r="I1673" s="7">
        <f t="shared" si="260"/>
        <v>26250</v>
      </c>
      <c r="J1673" s="7">
        <f t="shared" si="261"/>
        <v>1312.5</v>
      </c>
      <c r="K1673" s="7">
        <f t="shared" si="262"/>
        <v>24937.5</v>
      </c>
      <c r="L1673" s="4">
        <v>87000</v>
      </c>
      <c r="M1673" s="7">
        <f t="shared" si="263"/>
        <v>111937.5</v>
      </c>
      <c r="N1673" s="2" t="s">
        <v>21</v>
      </c>
      <c r="O1673" t="s">
        <v>22</v>
      </c>
      <c r="P1673" s="2" t="s">
        <v>2367</v>
      </c>
      <c r="Q1673" s="2">
        <v>3</v>
      </c>
      <c r="R1673" s="2" t="s">
        <v>23</v>
      </c>
      <c r="S1673" s="2" t="str">
        <f t="shared" si="264"/>
        <v>Standar</v>
      </c>
      <c r="T1673" s="2" t="str">
        <f t="shared" si="265"/>
        <v>FALSE</v>
      </c>
      <c r="U1673" s="2" t="str">
        <f t="shared" si="266"/>
        <v>FALSE</v>
      </c>
      <c r="V1673" s="2" t="b">
        <f t="shared" si="267"/>
        <v>0</v>
      </c>
      <c r="W1673" s="2" t="b">
        <f t="shared" si="268"/>
        <v>1</v>
      </c>
      <c r="X1673" s="2" t="b">
        <f t="shared" si="269"/>
        <v>0</v>
      </c>
    </row>
    <row r="1674" spans="1:24" ht="10.5" customHeight="1">
      <c r="A1674" s="2" t="s">
        <v>2032</v>
      </c>
      <c r="B1674" s="3">
        <v>45986.398252314822</v>
      </c>
      <c r="C1674" s="2" t="s">
        <v>579</v>
      </c>
      <c r="D1674" s="2" t="s">
        <v>252</v>
      </c>
      <c r="E1674" s="2" t="s">
        <v>190</v>
      </c>
      <c r="F1674" s="4">
        <v>15500</v>
      </c>
      <c r="G1674" s="5">
        <v>0.2</v>
      </c>
      <c r="H1674" s="6">
        <v>5</v>
      </c>
      <c r="I1674" s="7">
        <f t="shared" si="260"/>
        <v>3100</v>
      </c>
      <c r="J1674" s="7">
        <f t="shared" si="261"/>
        <v>155</v>
      </c>
      <c r="K1674" s="7">
        <f t="shared" si="262"/>
        <v>2945</v>
      </c>
      <c r="L1674" s="4">
        <v>18000</v>
      </c>
      <c r="M1674" s="7">
        <f t="shared" si="263"/>
        <v>20945</v>
      </c>
      <c r="N1674" s="2" t="s">
        <v>28</v>
      </c>
      <c r="O1674" t="s">
        <v>22</v>
      </c>
      <c r="P1674" s="2" t="s">
        <v>2367</v>
      </c>
      <c r="Q1674" s="2">
        <v>2</v>
      </c>
      <c r="R1674" s="2" t="s">
        <v>34</v>
      </c>
      <c r="S1674" s="2" t="str">
        <f t="shared" si="264"/>
        <v>Sangat Rendah</v>
      </c>
      <c r="T1674" s="2" t="str">
        <f t="shared" si="265"/>
        <v>FALSE</v>
      </c>
      <c r="U1674" s="2" t="str">
        <f t="shared" si="266"/>
        <v>FALSE</v>
      </c>
      <c r="V1674" s="2" t="b">
        <f t="shared" si="267"/>
        <v>0</v>
      </c>
      <c r="W1674" s="2" t="b">
        <f t="shared" si="268"/>
        <v>1</v>
      </c>
      <c r="X1674" s="2" t="b">
        <f t="shared" si="269"/>
        <v>0</v>
      </c>
    </row>
    <row r="1675" spans="1:24" ht="10.5" customHeight="1">
      <c r="A1675" s="2" t="s">
        <v>2032</v>
      </c>
      <c r="B1675" s="3">
        <v>45986.398252314822</v>
      </c>
      <c r="C1675" s="2" t="s">
        <v>579</v>
      </c>
      <c r="D1675" s="2" t="s">
        <v>252</v>
      </c>
      <c r="E1675" s="2" t="s">
        <v>32</v>
      </c>
      <c r="F1675" s="4">
        <v>20000</v>
      </c>
      <c r="G1675" s="5">
        <v>3</v>
      </c>
      <c r="H1675" s="6">
        <v>5</v>
      </c>
      <c r="I1675" s="7">
        <f t="shared" si="260"/>
        <v>60000</v>
      </c>
      <c r="J1675" s="7">
        <f t="shared" si="261"/>
        <v>3000</v>
      </c>
      <c r="K1675" s="7">
        <f t="shared" si="262"/>
        <v>57000</v>
      </c>
      <c r="L1675" s="4">
        <v>0</v>
      </c>
      <c r="M1675" s="7">
        <f t="shared" si="263"/>
        <v>57000</v>
      </c>
      <c r="N1675" s="2" t="s">
        <v>28</v>
      </c>
      <c r="O1675" t="s">
        <v>22</v>
      </c>
      <c r="P1675" s="2" t="s">
        <v>2367</v>
      </c>
      <c r="Q1675" s="2">
        <v>2</v>
      </c>
      <c r="R1675" s="2" t="s">
        <v>34</v>
      </c>
      <c r="S1675" s="2" t="str">
        <f t="shared" si="264"/>
        <v>Rendah</v>
      </c>
      <c r="T1675" s="2" t="str">
        <f t="shared" si="265"/>
        <v>FALSE</v>
      </c>
      <c r="U1675" s="2" t="str">
        <f t="shared" si="266"/>
        <v>FALSE</v>
      </c>
      <c r="V1675" s="2" t="b">
        <f t="shared" si="267"/>
        <v>0</v>
      </c>
      <c r="W1675" s="2" t="b">
        <f t="shared" si="268"/>
        <v>1</v>
      </c>
      <c r="X1675" s="2" t="b">
        <f t="shared" si="269"/>
        <v>0</v>
      </c>
    </row>
    <row r="1676" spans="1:24" ht="10.5" customHeight="1">
      <c r="A1676" s="2" t="s">
        <v>2033</v>
      </c>
      <c r="B1676" s="3">
        <v>45986.425266203703</v>
      </c>
      <c r="C1676" s="2" t="s">
        <v>441</v>
      </c>
      <c r="D1676" s="2" t="s">
        <v>108</v>
      </c>
      <c r="E1676" s="2" t="s">
        <v>41</v>
      </c>
      <c r="F1676" s="4">
        <v>40000</v>
      </c>
      <c r="G1676" s="5">
        <v>0.7</v>
      </c>
      <c r="H1676" s="6">
        <v>5</v>
      </c>
      <c r="I1676" s="7">
        <f t="shared" si="260"/>
        <v>28000</v>
      </c>
      <c r="J1676" s="7">
        <f t="shared" si="261"/>
        <v>1400</v>
      </c>
      <c r="K1676" s="7">
        <f t="shared" si="262"/>
        <v>26600</v>
      </c>
      <c r="L1676" s="4">
        <v>72000</v>
      </c>
      <c r="M1676" s="7">
        <f t="shared" si="263"/>
        <v>98600</v>
      </c>
      <c r="N1676" s="2" t="s">
        <v>58</v>
      </c>
      <c r="O1676" t="s">
        <v>22</v>
      </c>
      <c r="P1676" s="2" t="s">
        <v>2370</v>
      </c>
      <c r="Q1676" s="2">
        <v>4</v>
      </c>
      <c r="R1676" s="2" t="s">
        <v>23</v>
      </c>
      <c r="S1676" s="2" t="str">
        <f t="shared" si="264"/>
        <v>Rendah</v>
      </c>
      <c r="T1676" s="2" t="str">
        <f t="shared" si="265"/>
        <v>FALSE</v>
      </c>
      <c r="U1676" s="2" t="str">
        <f t="shared" si="266"/>
        <v>FALSE</v>
      </c>
      <c r="V1676" s="2" t="b">
        <f t="shared" si="267"/>
        <v>0</v>
      </c>
      <c r="W1676" s="2" t="b">
        <f t="shared" si="268"/>
        <v>0</v>
      </c>
      <c r="X1676" s="2" t="b">
        <f t="shared" si="269"/>
        <v>0</v>
      </c>
    </row>
    <row r="1677" spans="1:24" ht="10.5" customHeight="1">
      <c r="A1677" s="2" t="s">
        <v>2034</v>
      </c>
      <c r="B1677" s="3">
        <v>45986.426168981481</v>
      </c>
      <c r="C1677" s="2" t="s">
        <v>1249</v>
      </c>
      <c r="D1677" s="2" t="s">
        <v>98</v>
      </c>
      <c r="E1677" s="2" t="s">
        <v>75</v>
      </c>
      <c r="F1677" s="4">
        <v>45000</v>
      </c>
      <c r="G1677" s="5">
        <v>1.6</v>
      </c>
      <c r="H1677" s="6">
        <v>5</v>
      </c>
      <c r="I1677" s="7">
        <f t="shared" si="260"/>
        <v>72000</v>
      </c>
      <c r="J1677" s="7">
        <f t="shared" si="261"/>
        <v>3600</v>
      </c>
      <c r="K1677" s="7">
        <f t="shared" si="262"/>
        <v>68400</v>
      </c>
      <c r="L1677" s="4">
        <v>97000</v>
      </c>
      <c r="M1677" s="7">
        <f t="shared" si="263"/>
        <v>165400</v>
      </c>
      <c r="N1677" s="2" t="s">
        <v>21</v>
      </c>
      <c r="O1677" t="s">
        <v>22</v>
      </c>
      <c r="P1677" s="2" t="s">
        <v>2365</v>
      </c>
      <c r="Q1677" s="2">
        <v>2</v>
      </c>
      <c r="R1677" s="2" t="s">
        <v>34</v>
      </c>
      <c r="S1677" s="2" t="str">
        <f t="shared" si="264"/>
        <v>Tinggi</v>
      </c>
      <c r="T1677" s="2" t="str">
        <f t="shared" si="265"/>
        <v>FALSE</v>
      </c>
      <c r="U1677" s="2" t="str">
        <f t="shared" si="266"/>
        <v>TRUE</v>
      </c>
      <c r="V1677" s="2" t="b">
        <f t="shared" si="267"/>
        <v>0</v>
      </c>
      <c r="W1677" s="2" t="b">
        <f t="shared" si="268"/>
        <v>0</v>
      </c>
      <c r="X1677" s="2" t="b">
        <f t="shared" si="269"/>
        <v>0</v>
      </c>
    </row>
    <row r="1678" spans="1:24" ht="10.5" customHeight="1">
      <c r="A1678" s="2" t="s">
        <v>2034</v>
      </c>
      <c r="B1678" s="3">
        <v>45986.426168981481</v>
      </c>
      <c r="C1678" s="2" t="s">
        <v>1249</v>
      </c>
      <c r="D1678" s="2" t="s">
        <v>98</v>
      </c>
      <c r="E1678" s="2" t="s">
        <v>49</v>
      </c>
      <c r="F1678" s="4">
        <v>26000</v>
      </c>
      <c r="G1678" s="5">
        <v>1.1000000000000001</v>
      </c>
      <c r="H1678" s="6">
        <v>5</v>
      </c>
      <c r="I1678" s="7">
        <f t="shared" si="260"/>
        <v>28600.000000000004</v>
      </c>
      <c r="J1678" s="7">
        <f t="shared" si="261"/>
        <v>1430.0000000000002</v>
      </c>
      <c r="K1678" s="7">
        <f t="shared" si="262"/>
        <v>27170.000000000004</v>
      </c>
      <c r="L1678" s="4">
        <v>0</v>
      </c>
      <c r="M1678" s="7">
        <f t="shared" si="263"/>
        <v>27170.000000000004</v>
      </c>
      <c r="N1678" s="2" t="s">
        <v>21</v>
      </c>
      <c r="O1678" t="s">
        <v>22</v>
      </c>
      <c r="P1678" s="2" t="s">
        <v>2365</v>
      </c>
      <c r="Q1678" s="2">
        <v>2</v>
      </c>
      <c r="R1678" s="2" t="s">
        <v>34</v>
      </c>
      <c r="S1678" s="2" t="str">
        <f t="shared" si="264"/>
        <v>Sangat Rendah</v>
      </c>
      <c r="T1678" s="2" t="str">
        <f t="shared" si="265"/>
        <v>FALSE</v>
      </c>
      <c r="U1678" s="2" t="str">
        <f t="shared" si="266"/>
        <v>FALSE</v>
      </c>
      <c r="V1678" s="2" t="b">
        <f t="shared" si="267"/>
        <v>0</v>
      </c>
      <c r="W1678" s="2" t="b">
        <f t="shared" si="268"/>
        <v>0</v>
      </c>
      <c r="X1678" s="2" t="b">
        <f t="shared" si="269"/>
        <v>0</v>
      </c>
    </row>
    <row r="1679" spans="1:24" ht="10.5" customHeight="1">
      <c r="A1679" s="2" t="s">
        <v>2035</v>
      </c>
      <c r="B1679" s="3">
        <v>45986.432060185187</v>
      </c>
      <c r="C1679" s="2" t="s">
        <v>277</v>
      </c>
      <c r="D1679" s="2" t="s">
        <v>252</v>
      </c>
      <c r="E1679" s="2" t="s">
        <v>20</v>
      </c>
      <c r="F1679" s="4">
        <v>10000</v>
      </c>
      <c r="G1679" s="5">
        <v>1.6</v>
      </c>
      <c r="H1679" s="6">
        <v>5</v>
      </c>
      <c r="I1679" s="7">
        <f t="shared" si="260"/>
        <v>16000</v>
      </c>
      <c r="J1679" s="7">
        <f t="shared" si="261"/>
        <v>800</v>
      </c>
      <c r="K1679" s="7">
        <f t="shared" si="262"/>
        <v>15200</v>
      </c>
      <c r="L1679" s="4">
        <v>18000</v>
      </c>
      <c r="M1679" s="7">
        <f t="shared" si="263"/>
        <v>33200</v>
      </c>
      <c r="N1679" s="2" t="s">
        <v>33</v>
      </c>
      <c r="O1679" t="s">
        <v>22</v>
      </c>
      <c r="P1679" s="2" t="s">
        <v>2367</v>
      </c>
      <c r="Q1679" s="2">
        <v>2</v>
      </c>
      <c r="R1679" s="2" t="s">
        <v>23</v>
      </c>
      <c r="S1679" s="2" t="str">
        <f t="shared" si="264"/>
        <v>Sangat Rendah</v>
      </c>
      <c r="T1679" s="2" t="str">
        <f t="shared" si="265"/>
        <v>FALSE</v>
      </c>
      <c r="U1679" s="2" t="str">
        <f t="shared" si="266"/>
        <v>FALSE</v>
      </c>
      <c r="V1679" s="2" t="b">
        <f t="shared" si="267"/>
        <v>0</v>
      </c>
      <c r="W1679" s="2" t="b">
        <f t="shared" si="268"/>
        <v>1</v>
      </c>
      <c r="X1679" s="2" t="b">
        <f t="shared" si="269"/>
        <v>1</v>
      </c>
    </row>
    <row r="1680" spans="1:24" ht="10.5" customHeight="1">
      <c r="A1680" s="2" t="s">
        <v>2036</v>
      </c>
      <c r="B1680" s="3">
        <v>45986.450543981482</v>
      </c>
      <c r="C1680" s="2" t="s">
        <v>1551</v>
      </c>
      <c r="D1680" s="2" t="s">
        <v>150</v>
      </c>
      <c r="E1680" s="2" t="s">
        <v>80</v>
      </c>
      <c r="F1680" s="4">
        <v>15000</v>
      </c>
      <c r="G1680" s="5">
        <v>1.7</v>
      </c>
      <c r="H1680" s="6">
        <v>5</v>
      </c>
      <c r="I1680" s="7">
        <f t="shared" si="260"/>
        <v>25500</v>
      </c>
      <c r="J1680" s="7">
        <f t="shared" si="261"/>
        <v>1275</v>
      </c>
      <c r="K1680" s="7">
        <f t="shared" si="262"/>
        <v>24225</v>
      </c>
      <c r="L1680" s="4">
        <v>68000</v>
      </c>
      <c r="M1680" s="7">
        <f t="shared" si="263"/>
        <v>92225</v>
      </c>
      <c r="N1680" s="2" t="s">
        <v>58</v>
      </c>
      <c r="O1680" t="s">
        <v>69</v>
      </c>
      <c r="P1680" s="2" t="s">
        <v>2365</v>
      </c>
      <c r="Q1680" s="2">
        <v>5</v>
      </c>
      <c r="R1680" s="2" t="s">
        <v>23</v>
      </c>
      <c r="S1680" s="2" t="str">
        <f t="shared" si="264"/>
        <v>Rendah</v>
      </c>
      <c r="T1680" s="2" t="str">
        <f t="shared" si="265"/>
        <v>FALSE</v>
      </c>
      <c r="U1680" s="2" t="str">
        <f t="shared" si="266"/>
        <v>FALSE</v>
      </c>
      <c r="V1680" s="2" t="b">
        <f t="shared" si="267"/>
        <v>0</v>
      </c>
      <c r="W1680" s="2" t="b">
        <f t="shared" si="268"/>
        <v>0</v>
      </c>
      <c r="X1680" s="2" t="b">
        <f t="shared" si="269"/>
        <v>0</v>
      </c>
    </row>
    <row r="1681" spans="1:24" ht="10.5" customHeight="1">
      <c r="A1681" s="2" t="s">
        <v>2037</v>
      </c>
      <c r="B1681" s="3">
        <v>45986.461921296293</v>
      </c>
      <c r="C1681" s="2" t="s">
        <v>110</v>
      </c>
      <c r="D1681" s="2" t="s">
        <v>111</v>
      </c>
      <c r="E1681" s="2" t="s">
        <v>161</v>
      </c>
      <c r="F1681" s="4">
        <v>115000</v>
      </c>
      <c r="G1681" s="5">
        <v>0.9</v>
      </c>
      <c r="H1681" s="6">
        <v>5</v>
      </c>
      <c r="I1681" s="7">
        <f t="shared" si="260"/>
        <v>103500</v>
      </c>
      <c r="J1681" s="7">
        <f t="shared" si="261"/>
        <v>5175</v>
      </c>
      <c r="K1681" s="7">
        <f t="shared" si="262"/>
        <v>98325</v>
      </c>
      <c r="L1681" s="4">
        <v>0</v>
      </c>
      <c r="M1681" s="7">
        <f t="shared" si="263"/>
        <v>98325</v>
      </c>
      <c r="N1681" s="2" t="s">
        <v>28</v>
      </c>
      <c r="O1681" t="s">
        <v>22</v>
      </c>
      <c r="P1681" s="2" t="s">
        <v>2367</v>
      </c>
      <c r="Q1681" s="2">
        <v>4</v>
      </c>
      <c r="R1681" s="2" t="s">
        <v>23</v>
      </c>
      <c r="S1681" s="2" t="str">
        <f t="shared" si="264"/>
        <v>Rendah</v>
      </c>
      <c r="T1681" s="2" t="str">
        <f t="shared" si="265"/>
        <v>FALSE</v>
      </c>
      <c r="U1681" s="2" t="str">
        <f t="shared" si="266"/>
        <v>FALSE</v>
      </c>
      <c r="V1681" s="2" t="b">
        <f t="shared" si="267"/>
        <v>0</v>
      </c>
      <c r="W1681" s="2" t="b">
        <f t="shared" si="268"/>
        <v>1</v>
      </c>
      <c r="X1681" s="2" t="b">
        <f t="shared" si="269"/>
        <v>0</v>
      </c>
    </row>
    <row r="1682" spans="1:24" ht="10.5" customHeight="1">
      <c r="A1682" s="2" t="s">
        <v>2038</v>
      </c>
      <c r="B1682" s="3">
        <v>45986.464571759258</v>
      </c>
      <c r="C1682" s="2" t="s">
        <v>995</v>
      </c>
      <c r="D1682" s="2" t="s">
        <v>114</v>
      </c>
      <c r="E1682" s="2" t="s">
        <v>41</v>
      </c>
      <c r="F1682" s="4">
        <v>40000</v>
      </c>
      <c r="G1682" s="5">
        <v>1.3</v>
      </c>
      <c r="H1682" s="6">
        <v>5</v>
      </c>
      <c r="I1682" s="7">
        <f t="shared" si="260"/>
        <v>52000</v>
      </c>
      <c r="J1682" s="7">
        <f t="shared" si="261"/>
        <v>2600</v>
      </c>
      <c r="K1682" s="7">
        <f t="shared" si="262"/>
        <v>49400</v>
      </c>
      <c r="L1682" s="4">
        <v>78000</v>
      </c>
      <c r="M1682" s="7">
        <f t="shared" si="263"/>
        <v>127400</v>
      </c>
      <c r="N1682" s="2" t="s">
        <v>33</v>
      </c>
      <c r="O1682" t="s">
        <v>22</v>
      </c>
      <c r="P1682" s="2" t="s">
        <v>2368</v>
      </c>
      <c r="Q1682" s="2">
        <v>1</v>
      </c>
      <c r="R1682" s="2" t="s">
        <v>23</v>
      </c>
      <c r="S1682" s="2" t="str">
        <f t="shared" si="264"/>
        <v>Standar</v>
      </c>
      <c r="T1682" s="2" t="str">
        <f t="shared" si="265"/>
        <v>FALSE</v>
      </c>
      <c r="U1682" s="2" t="str">
        <f t="shared" si="266"/>
        <v>FALSE</v>
      </c>
      <c r="V1682" s="2" t="b">
        <f t="shared" si="267"/>
        <v>0</v>
      </c>
      <c r="W1682" s="2" t="b">
        <f t="shared" si="268"/>
        <v>0</v>
      </c>
      <c r="X1682" s="2" t="b">
        <f t="shared" si="269"/>
        <v>0</v>
      </c>
    </row>
    <row r="1683" spans="1:24" ht="10.5" customHeight="1">
      <c r="A1683" s="2" t="s">
        <v>2039</v>
      </c>
      <c r="B1683" s="3">
        <v>45986.470868055563</v>
      </c>
      <c r="C1683" s="2" t="s">
        <v>673</v>
      </c>
      <c r="D1683" s="2" t="s">
        <v>26</v>
      </c>
      <c r="E1683" s="2" t="s">
        <v>32</v>
      </c>
      <c r="F1683" s="4">
        <v>20000</v>
      </c>
      <c r="G1683" s="5">
        <v>1.7</v>
      </c>
      <c r="H1683" s="6">
        <v>5</v>
      </c>
      <c r="I1683" s="7">
        <f t="shared" si="260"/>
        <v>34000</v>
      </c>
      <c r="J1683" s="7">
        <f t="shared" si="261"/>
        <v>1700</v>
      </c>
      <c r="K1683" s="7">
        <f t="shared" si="262"/>
        <v>32300</v>
      </c>
      <c r="L1683" s="4">
        <v>17000</v>
      </c>
      <c r="M1683" s="7">
        <f t="shared" si="263"/>
        <v>49300</v>
      </c>
      <c r="N1683" s="2" t="s">
        <v>58</v>
      </c>
      <c r="O1683" t="s">
        <v>22</v>
      </c>
      <c r="P1683" s="2" t="s">
        <v>2368</v>
      </c>
      <c r="Q1683" s="2">
        <v>2</v>
      </c>
      <c r="R1683" s="2" t="s">
        <v>34</v>
      </c>
      <c r="S1683" s="2" t="str">
        <f t="shared" si="264"/>
        <v>Sangat Rendah</v>
      </c>
      <c r="T1683" s="2" t="str">
        <f t="shared" si="265"/>
        <v>FALSE</v>
      </c>
      <c r="U1683" s="2" t="str">
        <f t="shared" si="266"/>
        <v>FALSE</v>
      </c>
      <c r="V1683" s="2" t="b">
        <f t="shared" si="267"/>
        <v>0</v>
      </c>
      <c r="W1683" s="2" t="b">
        <f t="shared" si="268"/>
        <v>0</v>
      </c>
      <c r="X1683" s="2" t="b">
        <f t="shared" si="269"/>
        <v>0</v>
      </c>
    </row>
    <row r="1684" spans="1:24" ht="10.5" customHeight="1">
      <c r="A1684" s="2" t="s">
        <v>2040</v>
      </c>
      <c r="B1684" s="3">
        <v>45986.473807870367</v>
      </c>
      <c r="C1684" s="2" t="s">
        <v>79</v>
      </c>
      <c r="D1684" s="2" t="s">
        <v>74</v>
      </c>
      <c r="E1684" s="2" t="s">
        <v>65</v>
      </c>
      <c r="F1684" s="4">
        <v>46000</v>
      </c>
      <c r="G1684" s="5">
        <v>1.4</v>
      </c>
      <c r="H1684" s="6">
        <v>5</v>
      </c>
      <c r="I1684" s="7">
        <f t="shared" si="260"/>
        <v>64399.999999999993</v>
      </c>
      <c r="J1684" s="7">
        <f t="shared" si="261"/>
        <v>3220</v>
      </c>
      <c r="K1684" s="7">
        <f t="shared" si="262"/>
        <v>61179.999999999993</v>
      </c>
      <c r="L1684" s="4">
        <v>74000</v>
      </c>
      <c r="M1684" s="7">
        <f t="shared" si="263"/>
        <v>135180</v>
      </c>
      <c r="N1684" s="2" t="s">
        <v>33</v>
      </c>
      <c r="O1684" t="s">
        <v>22</v>
      </c>
      <c r="P1684" s="2" t="s">
        <v>2368</v>
      </c>
      <c r="Q1684" s="2">
        <v>4</v>
      </c>
      <c r="R1684" s="2" t="s">
        <v>23</v>
      </c>
      <c r="S1684" s="2" t="str">
        <f t="shared" si="264"/>
        <v>Standar</v>
      </c>
      <c r="T1684" s="2" t="str">
        <f t="shared" si="265"/>
        <v>FALSE</v>
      </c>
      <c r="U1684" s="2" t="str">
        <f t="shared" si="266"/>
        <v>FALSE</v>
      </c>
      <c r="V1684" s="2" t="b">
        <f t="shared" si="267"/>
        <v>0</v>
      </c>
      <c r="W1684" s="2" t="b">
        <f t="shared" si="268"/>
        <v>0</v>
      </c>
      <c r="X1684" s="2" t="b">
        <f t="shared" si="269"/>
        <v>0</v>
      </c>
    </row>
    <row r="1685" spans="1:24" ht="10.5" customHeight="1">
      <c r="A1685" s="2" t="s">
        <v>2041</v>
      </c>
      <c r="B1685" s="3">
        <v>45986.509745370371</v>
      </c>
      <c r="C1685" s="2" t="s">
        <v>1045</v>
      </c>
      <c r="D1685" s="2" t="s">
        <v>52</v>
      </c>
      <c r="E1685" s="2" t="s">
        <v>95</v>
      </c>
      <c r="F1685" s="4">
        <v>9500</v>
      </c>
      <c r="G1685" s="5">
        <v>1.7</v>
      </c>
      <c r="H1685" s="6">
        <v>5</v>
      </c>
      <c r="I1685" s="7">
        <f t="shared" si="260"/>
        <v>16150</v>
      </c>
      <c r="J1685" s="7">
        <f t="shared" si="261"/>
        <v>807.5</v>
      </c>
      <c r="K1685" s="7">
        <f t="shared" si="262"/>
        <v>15342.5</v>
      </c>
      <c r="L1685" s="4">
        <v>80000</v>
      </c>
      <c r="M1685" s="7">
        <f t="shared" si="263"/>
        <v>95342.5</v>
      </c>
      <c r="N1685" s="2" t="s">
        <v>21</v>
      </c>
      <c r="O1685" t="s">
        <v>22</v>
      </c>
      <c r="P1685" s="2" t="s">
        <v>2370</v>
      </c>
      <c r="Q1685" s="2">
        <v>4</v>
      </c>
      <c r="R1685" s="2" t="s">
        <v>23</v>
      </c>
      <c r="S1685" s="2" t="str">
        <f t="shared" si="264"/>
        <v>Rendah</v>
      </c>
      <c r="T1685" s="2" t="str">
        <f t="shared" si="265"/>
        <v>FALSE</v>
      </c>
      <c r="U1685" s="2" t="str">
        <f t="shared" si="266"/>
        <v>FALSE</v>
      </c>
      <c r="V1685" s="2" t="b">
        <f t="shared" si="267"/>
        <v>0</v>
      </c>
      <c r="W1685" s="2" t="b">
        <f t="shared" si="268"/>
        <v>0</v>
      </c>
      <c r="X1685" s="2" t="b">
        <f t="shared" si="269"/>
        <v>0</v>
      </c>
    </row>
    <row r="1686" spans="1:24" ht="10.5" customHeight="1">
      <c r="A1686" s="2" t="s">
        <v>2042</v>
      </c>
      <c r="B1686" s="3">
        <v>45986.511574074073</v>
      </c>
      <c r="C1686" s="2" t="s">
        <v>547</v>
      </c>
      <c r="D1686" s="2" t="s">
        <v>164</v>
      </c>
      <c r="E1686" s="2" t="s">
        <v>57</v>
      </c>
      <c r="F1686" s="4">
        <v>17500</v>
      </c>
      <c r="G1686" s="5">
        <v>3.3</v>
      </c>
      <c r="H1686" s="6">
        <v>5</v>
      </c>
      <c r="I1686" s="7">
        <f t="shared" si="260"/>
        <v>57750</v>
      </c>
      <c r="J1686" s="7">
        <f t="shared" si="261"/>
        <v>2887.5</v>
      </c>
      <c r="K1686" s="7">
        <f t="shared" si="262"/>
        <v>54862.5</v>
      </c>
      <c r="L1686" s="4">
        <v>49000</v>
      </c>
      <c r="M1686" s="7">
        <f t="shared" si="263"/>
        <v>103862.5</v>
      </c>
      <c r="N1686" s="2" t="s">
        <v>21</v>
      </c>
      <c r="O1686" t="s">
        <v>22</v>
      </c>
      <c r="P1686" s="2" t="s">
        <v>2366</v>
      </c>
      <c r="Q1686" s="2">
        <v>4</v>
      </c>
      <c r="R1686" s="2" t="s">
        <v>23</v>
      </c>
      <c r="S1686" s="2" t="str">
        <f t="shared" si="264"/>
        <v>Standar</v>
      </c>
      <c r="T1686" s="2" t="str">
        <f t="shared" si="265"/>
        <v>FALSE</v>
      </c>
      <c r="U1686" s="2" t="str">
        <f t="shared" si="266"/>
        <v>FALSE</v>
      </c>
      <c r="V1686" s="2" t="b">
        <f t="shared" si="267"/>
        <v>0</v>
      </c>
      <c r="W1686" s="2" t="b">
        <f t="shared" si="268"/>
        <v>0</v>
      </c>
      <c r="X1686" s="2" t="b">
        <f t="shared" si="269"/>
        <v>0</v>
      </c>
    </row>
    <row r="1687" spans="1:24" ht="10.5" customHeight="1">
      <c r="A1687" s="2" t="s">
        <v>2043</v>
      </c>
      <c r="B1687" s="3">
        <v>45986.547731481478</v>
      </c>
      <c r="C1687" s="2" t="s">
        <v>120</v>
      </c>
      <c r="D1687" s="2" t="s">
        <v>94</v>
      </c>
      <c r="E1687" s="2" t="s">
        <v>161</v>
      </c>
      <c r="F1687" s="4">
        <v>115000</v>
      </c>
      <c r="G1687" s="5">
        <v>0.8</v>
      </c>
      <c r="H1687" s="6">
        <v>5</v>
      </c>
      <c r="I1687" s="7">
        <f t="shared" si="260"/>
        <v>92000</v>
      </c>
      <c r="J1687" s="7">
        <f t="shared" si="261"/>
        <v>4600</v>
      </c>
      <c r="K1687" s="7">
        <f t="shared" si="262"/>
        <v>87400</v>
      </c>
      <c r="L1687" s="4">
        <v>85000</v>
      </c>
      <c r="M1687" s="7">
        <f t="shared" si="263"/>
        <v>172400</v>
      </c>
      <c r="N1687" s="2" t="s">
        <v>28</v>
      </c>
      <c r="O1687" t="s">
        <v>22</v>
      </c>
      <c r="P1687" s="2" t="s">
        <v>2370</v>
      </c>
      <c r="Q1687" s="2">
        <v>3</v>
      </c>
      <c r="R1687" s="2" t="s">
        <v>34</v>
      </c>
      <c r="S1687" s="2" t="str">
        <f t="shared" si="264"/>
        <v>Tinggi</v>
      </c>
      <c r="T1687" s="2" t="str">
        <f t="shared" si="265"/>
        <v>FALSE</v>
      </c>
      <c r="U1687" s="2" t="str">
        <f t="shared" si="266"/>
        <v>TRUE</v>
      </c>
      <c r="V1687" s="2" t="b">
        <f t="shared" si="267"/>
        <v>0</v>
      </c>
      <c r="W1687" s="2" t="b">
        <f t="shared" si="268"/>
        <v>0</v>
      </c>
      <c r="X1687" s="2" t="b">
        <f t="shared" si="269"/>
        <v>0</v>
      </c>
    </row>
    <row r="1688" spans="1:24" ht="10.5" customHeight="1">
      <c r="A1688" s="2" t="s">
        <v>2043</v>
      </c>
      <c r="B1688" s="3">
        <v>45986.547731481478</v>
      </c>
      <c r="C1688" s="2" t="s">
        <v>120</v>
      </c>
      <c r="D1688" s="2" t="s">
        <v>94</v>
      </c>
      <c r="E1688" s="2" t="s">
        <v>32</v>
      </c>
      <c r="F1688" s="4">
        <v>20000</v>
      </c>
      <c r="G1688" s="5">
        <v>1.3</v>
      </c>
      <c r="H1688" s="6">
        <v>5</v>
      </c>
      <c r="I1688" s="7">
        <f t="shared" si="260"/>
        <v>26000</v>
      </c>
      <c r="J1688" s="7">
        <f t="shared" si="261"/>
        <v>1300</v>
      </c>
      <c r="K1688" s="7">
        <f t="shared" si="262"/>
        <v>24700</v>
      </c>
      <c r="L1688" s="4">
        <v>0</v>
      </c>
      <c r="M1688" s="7">
        <f t="shared" si="263"/>
        <v>24700</v>
      </c>
      <c r="N1688" s="2" t="s">
        <v>28</v>
      </c>
      <c r="O1688" t="s">
        <v>22</v>
      </c>
      <c r="P1688" s="2" t="s">
        <v>2370</v>
      </c>
      <c r="Q1688" s="2">
        <v>3</v>
      </c>
      <c r="R1688" s="2" t="s">
        <v>34</v>
      </c>
      <c r="S1688" s="2" t="str">
        <f t="shared" si="264"/>
        <v>Sangat Rendah</v>
      </c>
      <c r="T1688" s="2" t="str">
        <f t="shared" si="265"/>
        <v>FALSE</v>
      </c>
      <c r="U1688" s="2" t="str">
        <f t="shared" si="266"/>
        <v>FALSE</v>
      </c>
      <c r="V1688" s="2" t="b">
        <f t="shared" si="267"/>
        <v>0</v>
      </c>
      <c r="W1688" s="2" t="b">
        <f t="shared" si="268"/>
        <v>0</v>
      </c>
      <c r="X1688" s="2" t="b">
        <f t="shared" si="269"/>
        <v>0</v>
      </c>
    </row>
    <row r="1689" spans="1:24" ht="10.5" customHeight="1">
      <c r="A1689" s="2" t="s">
        <v>2044</v>
      </c>
      <c r="B1689" s="3">
        <v>45986.574247685188</v>
      </c>
      <c r="C1689" s="2" t="s">
        <v>441</v>
      </c>
      <c r="D1689" s="2" t="s">
        <v>108</v>
      </c>
      <c r="E1689" s="2" t="s">
        <v>80</v>
      </c>
      <c r="F1689" s="4">
        <v>15000</v>
      </c>
      <c r="G1689" s="5">
        <v>0.9</v>
      </c>
      <c r="H1689" s="6">
        <v>5</v>
      </c>
      <c r="I1689" s="7">
        <f t="shared" si="260"/>
        <v>13500</v>
      </c>
      <c r="J1689" s="7">
        <f t="shared" si="261"/>
        <v>675</v>
      </c>
      <c r="K1689" s="7">
        <f t="shared" si="262"/>
        <v>12825</v>
      </c>
      <c r="L1689" s="4">
        <v>72000</v>
      </c>
      <c r="M1689" s="7">
        <f t="shared" si="263"/>
        <v>84825</v>
      </c>
      <c r="N1689" s="2" t="s">
        <v>21</v>
      </c>
      <c r="O1689" t="s">
        <v>22</v>
      </c>
      <c r="P1689" s="2" t="s">
        <v>2367</v>
      </c>
      <c r="Q1689" s="2">
        <v>1</v>
      </c>
      <c r="R1689" s="2" t="s">
        <v>23</v>
      </c>
      <c r="S1689" s="2" t="str">
        <f t="shared" si="264"/>
        <v>Rendah</v>
      </c>
      <c r="T1689" s="2" t="str">
        <f t="shared" si="265"/>
        <v>FALSE</v>
      </c>
      <c r="U1689" s="2" t="str">
        <f t="shared" si="266"/>
        <v>FALSE</v>
      </c>
      <c r="V1689" s="2" t="b">
        <f t="shared" si="267"/>
        <v>0</v>
      </c>
      <c r="W1689" s="2" t="b">
        <f t="shared" si="268"/>
        <v>1</v>
      </c>
      <c r="X1689" s="2" t="b">
        <f t="shared" si="269"/>
        <v>0</v>
      </c>
    </row>
    <row r="1690" spans="1:24" ht="10.5" customHeight="1">
      <c r="A1690" s="2" t="s">
        <v>2045</v>
      </c>
      <c r="B1690" s="3">
        <v>45986.574803240743</v>
      </c>
      <c r="C1690" s="2" t="s">
        <v>301</v>
      </c>
      <c r="D1690" s="2" t="s">
        <v>108</v>
      </c>
      <c r="E1690" s="2" t="s">
        <v>65</v>
      </c>
      <c r="F1690" s="4">
        <v>46000</v>
      </c>
      <c r="G1690" s="5">
        <v>0.5</v>
      </c>
      <c r="H1690" s="6">
        <v>5</v>
      </c>
      <c r="I1690" s="7">
        <f t="shared" si="260"/>
        <v>23000</v>
      </c>
      <c r="J1690" s="7">
        <f t="shared" si="261"/>
        <v>1150</v>
      </c>
      <c r="K1690" s="7">
        <f t="shared" si="262"/>
        <v>21850</v>
      </c>
      <c r="L1690" s="4">
        <v>72000</v>
      </c>
      <c r="M1690" s="7">
        <f t="shared" si="263"/>
        <v>93850</v>
      </c>
      <c r="N1690" s="2" t="s">
        <v>21</v>
      </c>
      <c r="O1690" t="s">
        <v>69</v>
      </c>
      <c r="P1690" s="2" t="s">
        <v>2370</v>
      </c>
      <c r="Q1690" s="2">
        <v>4</v>
      </c>
      <c r="R1690" s="2" t="s">
        <v>23</v>
      </c>
      <c r="S1690" s="2" t="str">
        <f t="shared" si="264"/>
        <v>Rendah</v>
      </c>
      <c r="T1690" s="2" t="str">
        <f t="shared" si="265"/>
        <v>FALSE</v>
      </c>
      <c r="U1690" s="2" t="str">
        <f t="shared" si="266"/>
        <v>FALSE</v>
      </c>
      <c r="V1690" s="2" t="b">
        <f t="shared" si="267"/>
        <v>0</v>
      </c>
      <c r="W1690" s="2" t="b">
        <f t="shared" si="268"/>
        <v>0</v>
      </c>
      <c r="X1690" s="2" t="b">
        <f t="shared" si="269"/>
        <v>0</v>
      </c>
    </row>
    <row r="1691" spans="1:24" ht="10.5" customHeight="1">
      <c r="A1691" s="2" t="s">
        <v>2046</v>
      </c>
      <c r="B1691" s="3">
        <v>45986.578877314823</v>
      </c>
      <c r="C1691" s="2" t="s">
        <v>244</v>
      </c>
      <c r="D1691" s="2" t="s">
        <v>56</v>
      </c>
      <c r="E1691" s="2" t="s">
        <v>65</v>
      </c>
      <c r="F1691" s="4">
        <v>46000</v>
      </c>
      <c r="G1691" s="5">
        <v>1</v>
      </c>
      <c r="H1691" s="6">
        <v>5</v>
      </c>
      <c r="I1691" s="7">
        <f t="shared" si="260"/>
        <v>46000</v>
      </c>
      <c r="J1691" s="7">
        <f t="shared" si="261"/>
        <v>2300</v>
      </c>
      <c r="K1691" s="7">
        <f t="shared" si="262"/>
        <v>43700</v>
      </c>
      <c r="L1691" s="4">
        <v>26000</v>
      </c>
      <c r="M1691" s="7">
        <f t="shared" si="263"/>
        <v>69700</v>
      </c>
      <c r="N1691" s="2" t="s">
        <v>58</v>
      </c>
      <c r="O1691" t="s">
        <v>22</v>
      </c>
      <c r="P1691" s="2" t="s">
        <v>2368</v>
      </c>
      <c r="Q1691" s="2">
        <v>5</v>
      </c>
      <c r="R1691" s="2" t="s">
        <v>23</v>
      </c>
      <c r="S1691" s="2" t="str">
        <f t="shared" si="264"/>
        <v>Rendah</v>
      </c>
      <c r="T1691" s="2" t="str">
        <f t="shared" si="265"/>
        <v>FALSE</v>
      </c>
      <c r="U1691" s="2" t="str">
        <f t="shared" si="266"/>
        <v>FALSE</v>
      </c>
      <c r="V1691" s="2" t="b">
        <f t="shared" si="267"/>
        <v>0</v>
      </c>
      <c r="W1691" s="2" t="b">
        <f t="shared" si="268"/>
        <v>0</v>
      </c>
      <c r="X1691" s="2" t="b">
        <f t="shared" si="269"/>
        <v>0</v>
      </c>
    </row>
    <row r="1692" spans="1:24" ht="10.5" customHeight="1">
      <c r="A1692" s="2" t="s">
        <v>2047</v>
      </c>
      <c r="B1692" s="3">
        <v>45986.59883101852</v>
      </c>
      <c r="C1692" s="2" t="s">
        <v>456</v>
      </c>
      <c r="D1692" s="2" t="s">
        <v>123</v>
      </c>
      <c r="E1692" s="2" t="s">
        <v>143</v>
      </c>
      <c r="F1692" s="4">
        <v>10000</v>
      </c>
      <c r="G1692" s="5">
        <v>1.2</v>
      </c>
      <c r="H1692" s="6">
        <v>5</v>
      </c>
      <c r="I1692" s="7">
        <f t="shared" si="260"/>
        <v>12000</v>
      </c>
      <c r="J1692" s="7">
        <f t="shared" si="261"/>
        <v>600</v>
      </c>
      <c r="K1692" s="7">
        <f t="shared" si="262"/>
        <v>11400</v>
      </c>
      <c r="L1692" s="4">
        <v>59000</v>
      </c>
      <c r="M1692" s="7">
        <f t="shared" si="263"/>
        <v>70400</v>
      </c>
      <c r="N1692" s="2" t="s">
        <v>58</v>
      </c>
      <c r="O1692" t="s">
        <v>22</v>
      </c>
      <c r="P1692" s="2" t="s">
        <v>2367</v>
      </c>
      <c r="Q1692" s="2">
        <v>3</v>
      </c>
      <c r="R1692" s="2" t="s">
        <v>23</v>
      </c>
      <c r="S1692" s="2" t="str">
        <f t="shared" si="264"/>
        <v>Rendah</v>
      </c>
      <c r="T1692" s="2" t="str">
        <f t="shared" si="265"/>
        <v>FALSE</v>
      </c>
      <c r="U1692" s="2" t="str">
        <f t="shared" si="266"/>
        <v>TRUE</v>
      </c>
      <c r="V1692" s="2" t="b">
        <f t="shared" si="267"/>
        <v>0</v>
      </c>
      <c r="W1692" s="2" t="b">
        <f t="shared" si="268"/>
        <v>1</v>
      </c>
      <c r="X1692" s="2" t="b">
        <f t="shared" si="269"/>
        <v>0</v>
      </c>
    </row>
    <row r="1693" spans="1:24" ht="10.5" customHeight="1">
      <c r="A1693" s="2" t="s">
        <v>2048</v>
      </c>
      <c r="B1693" s="3">
        <v>45986.617210648154</v>
      </c>
      <c r="C1693" s="2" t="s">
        <v>122</v>
      </c>
      <c r="D1693" s="2" t="s">
        <v>123</v>
      </c>
      <c r="E1693" s="2" t="s">
        <v>41</v>
      </c>
      <c r="F1693" s="4">
        <v>40000</v>
      </c>
      <c r="G1693" s="5">
        <v>0.7</v>
      </c>
      <c r="H1693" s="6">
        <v>5</v>
      </c>
      <c r="I1693" s="7">
        <f t="shared" si="260"/>
        <v>28000</v>
      </c>
      <c r="J1693" s="7">
        <f t="shared" si="261"/>
        <v>1400</v>
      </c>
      <c r="K1693" s="7">
        <f t="shared" si="262"/>
        <v>26600</v>
      </c>
      <c r="L1693" s="4">
        <v>59000</v>
      </c>
      <c r="M1693" s="7">
        <f t="shared" si="263"/>
        <v>85600</v>
      </c>
      <c r="N1693" s="2" t="s">
        <v>33</v>
      </c>
      <c r="O1693" t="s">
        <v>115</v>
      </c>
      <c r="P1693" s="2" t="s">
        <v>2365</v>
      </c>
      <c r="Q1693" s="2">
        <v>1</v>
      </c>
      <c r="R1693" s="2" t="s">
        <v>23</v>
      </c>
      <c r="S1693" s="2" t="str">
        <f t="shared" si="264"/>
        <v>Rendah</v>
      </c>
      <c r="T1693" s="2" t="str">
        <f t="shared" si="265"/>
        <v>FALSE</v>
      </c>
      <c r="U1693" s="2" t="str">
        <f t="shared" si="266"/>
        <v>FALSE</v>
      </c>
      <c r="V1693" s="2" t="b">
        <f t="shared" si="267"/>
        <v>0</v>
      </c>
      <c r="W1693" s="2" t="b">
        <f t="shared" si="268"/>
        <v>0</v>
      </c>
      <c r="X1693" s="2" t="b">
        <f t="shared" si="269"/>
        <v>0</v>
      </c>
    </row>
    <row r="1694" spans="1:24" ht="10.5" customHeight="1">
      <c r="A1694" s="2" t="s">
        <v>2049</v>
      </c>
      <c r="B1694" s="3">
        <v>45986.631493055553</v>
      </c>
      <c r="C1694" s="2" t="s">
        <v>251</v>
      </c>
      <c r="D1694" s="2" t="s">
        <v>252</v>
      </c>
      <c r="E1694" s="2" t="s">
        <v>95</v>
      </c>
      <c r="F1694" s="4">
        <v>9500</v>
      </c>
      <c r="G1694" s="5">
        <v>2.1</v>
      </c>
      <c r="H1694" s="6">
        <v>5</v>
      </c>
      <c r="I1694" s="7">
        <f t="shared" si="260"/>
        <v>19950</v>
      </c>
      <c r="J1694" s="7">
        <f t="shared" si="261"/>
        <v>997.5</v>
      </c>
      <c r="K1694" s="7">
        <f t="shared" si="262"/>
        <v>18952.5</v>
      </c>
      <c r="L1694" s="4">
        <v>18000</v>
      </c>
      <c r="M1694" s="7">
        <f t="shared" si="263"/>
        <v>36952.5</v>
      </c>
      <c r="N1694" s="2" t="s">
        <v>58</v>
      </c>
      <c r="O1694" t="s">
        <v>22</v>
      </c>
      <c r="P1694" s="2" t="s">
        <v>2366</v>
      </c>
      <c r="Q1694" s="2">
        <v>5</v>
      </c>
      <c r="R1694" s="2" t="s">
        <v>23</v>
      </c>
      <c r="S1694" s="2" t="str">
        <f t="shared" si="264"/>
        <v>Sangat Rendah</v>
      </c>
      <c r="T1694" s="2" t="str">
        <f t="shared" si="265"/>
        <v>FALSE</v>
      </c>
      <c r="U1694" s="2" t="str">
        <f t="shared" si="266"/>
        <v>FALSE</v>
      </c>
      <c r="V1694" s="2" t="b">
        <f t="shared" si="267"/>
        <v>0</v>
      </c>
      <c r="W1694" s="2" t="b">
        <f t="shared" si="268"/>
        <v>0</v>
      </c>
      <c r="X1694" s="2" t="b">
        <f t="shared" si="269"/>
        <v>1</v>
      </c>
    </row>
    <row r="1695" spans="1:24" ht="10.5" customHeight="1">
      <c r="A1695" s="2" t="s">
        <v>2050</v>
      </c>
      <c r="B1695" s="3">
        <v>45986.63422453704</v>
      </c>
      <c r="C1695" s="2" t="s">
        <v>621</v>
      </c>
      <c r="D1695" s="2" t="s">
        <v>19</v>
      </c>
      <c r="E1695" s="2" t="s">
        <v>75</v>
      </c>
      <c r="F1695" s="4">
        <v>45000</v>
      </c>
      <c r="G1695" s="5">
        <v>0.2</v>
      </c>
      <c r="H1695" s="6">
        <v>5</v>
      </c>
      <c r="I1695" s="7">
        <f t="shared" si="260"/>
        <v>9000</v>
      </c>
      <c r="J1695" s="7">
        <f t="shared" si="261"/>
        <v>450</v>
      </c>
      <c r="K1695" s="7">
        <f t="shared" si="262"/>
        <v>8550</v>
      </c>
      <c r="L1695" s="4">
        <v>15000</v>
      </c>
      <c r="M1695" s="7">
        <f t="shared" si="263"/>
        <v>23550</v>
      </c>
      <c r="N1695" s="2" t="s">
        <v>28</v>
      </c>
      <c r="O1695" t="s">
        <v>22</v>
      </c>
      <c r="P1695" s="2" t="s">
        <v>2368</v>
      </c>
      <c r="Q1695" s="2">
        <v>5</v>
      </c>
      <c r="R1695" s="2" t="s">
        <v>34</v>
      </c>
      <c r="S1695" s="2" t="str">
        <f t="shared" si="264"/>
        <v>Sangat Rendah</v>
      </c>
      <c r="T1695" s="2" t="str">
        <f t="shared" si="265"/>
        <v>FALSE</v>
      </c>
      <c r="U1695" s="2" t="str">
        <f t="shared" si="266"/>
        <v>FALSE</v>
      </c>
      <c r="V1695" s="2" t="b">
        <f t="shared" si="267"/>
        <v>0</v>
      </c>
      <c r="W1695" s="2" t="b">
        <f t="shared" si="268"/>
        <v>0</v>
      </c>
      <c r="X1695" s="2" t="b">
        <f t="shared" si="269"/>
        <v>0</v>
      </c>
    </row>
    <row r="1696" spans="1:24" ht="10.5" customHeight="1">
      <c r="A1696" s="2" t="s">
        <v>2051</v>
      </c>
      <c r="B1696" s="3">
        <v>45986.651354166657</v>
      </c>
      <c r="C1696" s="2" t="s">
        <v>1163</v>
      </c>
      <c r="D1696" s="2" t="s">
        <v>160</v>
      </c>
      <c r="E1696" s="2" t="s">
        <v>32</v>
      </c>
      <c r="F1696" s="4">
        <v>20000</v>
      </c>
      <c r="G1696" s="5">
        <v>2.2000000000000002</v>
      </c>
      <c r="H1696" s="6">
        <v>5</v>
      </c>
      <c r="I1696" s="7">
        <f t="shared" si="260"/>
        <v>44000</v>
      </c>
      <c r="J1696" s="7">
        <f t="shared" si="261"/>
        <v>2200</v>
      </c>
      <c r="K1696" s="7">
        <f t="shared" si="262"/>
        <v>41800</v>
      </c>
      <c r="L1696" s="4">
        <v>46000</v>
      </c>
      <c r="M1696" s="7">
        <f t="shared" si="263"/>
        <v>87800</v>
      </c>
      <c r="N1696" s="2" t="s">
        <v>58</v>
      </c>
      <c r="O1696" t="s">
        <v>22</v>
      </c>
      <c r="P1696" s="2" t="s">
        <v>2370</v>
      </c>
      <c r="Q1696" s="2">
        <v>5</v>
      </c>
      <c r="R1696" s="2" t="s">
        <v>23</v>
      </c>
      <c r="S1696" s="2" t="str">
        <f t="shared" si="264"/>
        <v>Rendah</v>
      </c>
      <c r="T1696" s="2" t="str">
        <f t="shared" si="265"/>
        <v>FALSE</v>
      </c>
      <c r="U1696" s="2" t="str">
        <f t="shared" si="266"/>
        <v>FALSE</v>
      </c>
      <c r="V1696" s="2" t="b">
        <f t="shared" si="267"/>
        <v>0</v>
      </c>
      <c r="W1696" s="2" t="b">
        <f t="shared" si="268"/>
        <v>0</v>
      </c>
      <c r="X1696" s="2" t="b">
        <f t="shared" si="269"/>
        <v>0</v>
      </c>
    </row>
    <row r="1697" spans="1:24" ht="10.5" customHeight="1">
      <c r="A1697" s="2" t="s">
        <v>2052</v>
      </c>
      <c r="B1697" s="3">
        <v>45986.657685185193</v>
      </c>
      <c r="C1697" s="2" t="s">
        <v>593</v>
      </c>
      <c r="D1697" s="2" t="s">
        <v>48</v>
      </c>
      <c r="E1697" s="2" t="s">
        <v>57</v>
      </c>
      <c r="F1697" s="4">
        <v>17500</v>
      </c>
      <c r="G1697" s="5">
        <v>0.7</v>
      </c>
      <c r="H1697" s="6">
        <v>5</v>
      </c>
      <c r="I1697" s="7">
        <f t="shared" si="260"/>
        <v>12250</v>
      </c>
      <c r="J1697" s="7">
        <f t="shared" si="261"/>
        <v>612.5</v>
      </c>
      <c r="K1697" s="7">
        <f t="shared" si="262"/>
        <v>11637.5</v>
      </c>
      <c r="L1697" s="4">
        <v>18000</v>
      </c>
      <c r="M1697" s="7">
        <f t="shared" si="263"/>
        <v>29637.5</v>
      </c>
      <c r="N1697" s="2" t="s">
        <v>28</v>
      </c>
      <c r="O1697" t="s">
        <v>22</v>
      </c>
      <c r="P1697" s="2" t="s">
        <v>2367</v>
      </c>
      <c r="Q1697" s="2">
        <v>5</v>
      </c>
      <c r="R1697" s="2" t="s">
        <v>23</v>
      </c>
      <c r="S1697" s="2" t="str">
        <f t="shared" si="264"/>
        <v>Sangat Rendah</v>
      </c>
      <c r="T1697" s="2" t="str">
        <f t="shared" si="265"/>
        <v>FALSE</v>
      </c>
      <c r="U1697" s="2" t="str">
        <f t="shared" si="266"/>
        <v>FALSE</v>
      </c>
      <c r="V1697" s="2" t="b">
        <f t="shared" si="267"/>
        <v>0</v>
      </c>
      <c r="W1697" s="2" t="b">
        <f t="shared" si="268"/>
        <v>1</v>
      </c>
      <c r="X1697" s="2" t="b">
        <f t="shared" si="269"/>
        <v>1</v>
      </c>
    </row>
    <row r="1698" spans="1:24" ht="10.5" customHeight="1">
      <c r="A1698" s="2" t="s">
        <v>2053</v>
      </c>
      <c r="B1698" s="3">
        <v>45986.684444444443</v>
      </c>
      <c r="C1698" s="2" t="s">
        <v>265</v>
      </c>
      <c r="D1698" s="2" t="s">
        <v>87</v>
      </c>
      <c r="E1698" s="2" t="s">
        <v>75</v>
      </c>
      <c r="F1698" s="4">
        <v>45000</v>
      </c>
      <c r="G1698" s="5">
        <v>1.2</v>
      </c>
      <c r="H1698" s="6">
        <v>5</v>
      </c>
      <c r="I1698" s="7">
        <f t="shared" si="260"/>
        <v>54000</v>
      </c>
      <c r="J1698" s="7">
        <f t="shared" si="261"/>
        <v>2700</v>
      </c>
      <c r="K1698" s="7">
        <f t="shared" si="262"/>
        <v>51300</v>
      </c>
      <c r="L1698" s="4">
        <v>49000</v>
      </c>
      <c r="M1698" s="7">
        <f t="shared" si="263"/>
        <v>100300</v>
      </c>
      <c r="N1698" s="2" t="s">
        <v>33</v>
      </c>
      <c r="O1698" t="s">
        <v>22</v>
      </c>
      <c r="P1698" s="2" t="s">
        <v>2365</v>
      </c>
      <c r="Q1698" s="2">
        <v>3</v>
      </c>
      <c r="R1698" s="2" t="s">
        <v>23</v>
      </c>
      <c r="S1698" s="2" t="str">
        <f t="shared" si="264"/>
        <v>Standar</v>
      </c>
      <c r="T1698" s="2" t="str">
        <f t="shared" si="265"/>
        <v>FALSE</v>
      </c>
      <c r="U1698" s="2" t="str">
        <f t="shared" si="266"/>
        <v>FALSE</v>
      </c>
      <c r="V1698" s="2" t="b">
        <f t="shared" si="267"/>
        <v>0</v>
      </c>
      <c r="W1698" s="2" t="b">
        <f t="shared" si="268"/>
        <v>0</v>
      </c>
      <c r="X1698" s="2" t="b">
        <f t="shared" si="269"/>
        <v>0</v>
      </c>
    </row>
    <row r="1699" spans="1:24" ht="10.5" customHeight="1">
      <c r="A1699" s="2" t="s">
        <v>2054</v>
      </c>
      <c r="B1699" s="3">
        <v>45986.684895833343</v>
      </c>
      <c r="C1699" s="2" t="s">
        <v>60</v>
      </c>
      <c r="D1699" s="2" t="s">
        <v>61</v>
      </c>
      <c r="E1699" s="2" t="s">
        <v>170</v>
      </c>
      <c r="F1699" s="4">
        <v>12000</v>
      </c>
      <c r="G1699" s="5">
        <v>1.1000000000000001</v>
      </c>
      <c r="H1699" s="6">
        <v>5</v>
      </c>
      <c r="I1699" s="7">
        <f t="shared" si="260"/>
        <v>13200.000000000002</v>
      </c>
      <c r="J1699" s="7">
        <f t="shared" si="261"/>
        <v>660.00000000000011</v>
      </c>
      <c r="K1699" s="7">
        <f t="shared" si="262"/>
        <v>12540.000000000002</v>
      </c>
      <c r="L1699" s="4">
        <v>59000</v>
      </c>
      <c r="M1699" s="7">
        <f t="shared" si="263"/>
        <v>71540</v>
      </c>
      <c r="N1699" s="2" t="s">
        <v>58</v>
      </c>
      <c r="O1699" t="s">
        <v>22</v>
      </c>
      <c r="P1699" s="2" t="s">
        <v>2365</v>
      </c>
      <c r="Q1699" s="2">
        <v>2</v>
      </c>
      <c r="R1699" s="2" t="s">
        <v>34</v>
      </c>
      <c r="S1699" s="2" t="str">
        <f t="shared" si="264"/>
        <v>Rendah</v>
      </c>
      <c r="T1699" s="2" t="str">
        <f t="shared" si="265"/>
        <v>FALSE</v>
      </c>
      <c r="U1699" s="2" t="str">
        <f t="shared" si="266"/>
        <v>FALSE</v>
      </c>
      <c r="V1699" s="2" t="b">
        <f t="shared" si="267"/>
        <v>0</v>
      </c>
      <c r="W1699" s="2" t="b">
        <f t="shared" si="268"/>
        <v>0</v>
      </c>
      <c r="X1699" s="2" t="b">
        <f t="shared" si="269"/>
        <v>0</v>
      </c>
    </row>
    <row r="1700" spans="1:24" ht="10.5" customHeight="1">
      <c r="A1700" s="2" t="s">
        <v>2055</v>
      </c>
      <c r="B1700" s="3">
        <v>45986.694641203707</v>
      </c>
      <c r="C1700" s="2" t="s">
        <v>489</v>
      </c>
      <c r="D1700" s="2" t="s">
        <v>123</v>
      </c>
      <c r="E1700" s="2" t="s">
        <v>20</v>
      </c>
      <c r="F1700" s="4">
        <v>10000</v>
      </c>
      <c r="G1700" s="5">
        <v>1.7</v>
      </c>
      <c r="H1700" s="6">
        <v>5</v>
      </c>
      <c r="I1700" s="7">
        <f t="shared" si="260"/>
        <v>17000</v>
      </c>
      <c r="J1700" s="7">
        <f t="shared" si="261"/>
        <v>850</v>
      </c>
      <c r="K1700" s="7">
        <f t="shared" si="262"/>
        <v>16150</v>
      </c>
      <c r="L1700" s="4">
        <v>59000</v>
      </c>
      <c r="M1700" s="7">
        <f t="shared" si="263"/>
        <v>75150</v>
      </c>
      <c r="N1700" s="2" t="s">
        <v>21</v>
      </c>
      <c r="O1700" t="s">
        <v>22</v>
      </c>
      <c r="P1700" s="2" t="s">
        <v>2370</v>
      </c>
      <c r="Q1700" s="2">
        <v>4</v>
      </c>
      <c r="R1700" s="2" t="s">
        <v>23</v>
      </c>
      <c r="S1700" s="2" t="str">
        <f t="shared" si="264"/>
        <v>Rendah</v>
      </c>
      <c r="T1700" s="2" t="str">
        <f t="shared" si="265"/>
        <v>FALSE</v>
      </c>
      <c r="U1700" s="2" t="str">
        <f t="shared" si="266"/>
        <v>FALSE</v>
      </c>
      <c r="V1700" s="2" t="b">
        <f t="shared" si="267"/>
        <v>0</v>
      </c>
      <c r="W1700" s="2" t="b">
        <f t="shared" si="268"/>
        <v>0</v>
      </c>
      <c r="X1700" s="2" t="b">
        <f t="shared" si="269"/>
        <v>0</v>
      </c>
    </row>
    <row r="1701" spans="1:24" ht="10.5" customHeight="1">
      <c r="A1701" s="2" t="s">
        <v>2056</v>
      </c>
      <c r="B1701" s="3">
        <v>45986.697013888886</v>
      </c>
      <c r="C1701" s="2" t="s">
        <v>152</v>
      </c>
      <c r="D1701" s="2" t="s">
        <v>153</v>
      </c>
      <c r="E1701" s="2" t="s">
        <v>170</v>
      </c>
      <c r="F1701" s="4">
        <v>12000</v>
      </c>
      <c r="G1701" s="5">
        <v>0.5</v>
      </c>
      <c r="H1701" s="6">
        <v>5</v>
      </c>
      <c r="I1701" s="7">
        <f t="shared" si="260"/>
        <v>6000</v>
      </c>
      <c r="J1701" s="7">
        <f t="shared" si="261"/>
        <v>300</v>
      </c>
      <c r="K1701" s="7">
        <f t="shared" si="262"/>
        <v>5700</v>
      </c>
      <c r="L1701" s="4">
        <v>50000</v>
      </c>
      <c r="M1701" s="7">
        <f t="shared" si="263"/>
        <v>55700</v>
      </c>
      <c r="N1701" s="2" t="s">
        <v>33</v>
      </c>
      <c r="O1701" t="s">
        <v>22</v>
      </c>
      <c r="P1701" s="2" t="s">
        <v>2366</v>
      </c>
      <c r="Q1701" s="2">
        <v>2</v>
      </c>
      <c r="R1701" s="2" t="s">
        <v>23</v>
      </c>
      <c r="S1701" s="2" t="str">
        <f t="shared" si="264"/>
        <v>Rendah</v>
      </c>
      <c r="T1701" s="2" t="str">
        <f t="shared" si="265"/>
        <v>FALSE</v>
      </c>
      <c r="U1701" s="2" t="str">
        <f t="shared" si="266"/>
        <v>FALSE</v>
      </c>
      <c r="V1701" s="2" t="b">
        <f t="shared" si="267"/>
        <v>0</v>
      </c>
      <c r="W1701" s="2" t="b">
        <f t="shared" si="268"/>
        <v>0</v>
      </c>
      <c r="X1701" s="2" t="b">
        <f t="shared" si="269"/>
        <v>0</v>
      </c>
    </row>
    <row r="1702" spans="1:24" ht="10.5" customHeight="1">
      <c r="A1702" s="2" t="s">
        <v>2057</v>
      </c>
      <c r="B1702" s="3">
        <v>45986.707731481481</v>
      </c>
      <c r="C1702" s="2" t="s">
        <v>762</v>
      </c>
      <c r="D1702" s="2" t="s">
        <v>105</v>
      </c>
      <c r="E1702" s="2" t="s">
        <v>32</v>
      </c>
      <c r="F1702" s="4">
        <v>20000</v>
      </c>
      <c r="G1702" s="5">
        <v>2.2000000000000002</v>
      </c>
      <c r="H1702" s="6">
        <v>5</v>
      </c>
      <c r="I1702" s="7">
        <f t="shared" si="260"/>
        <v>44000</v>
      </c>
      <c r="J1702" s="7">
        <f t="shared" si="261"/>
        <v>2200</v>
      </c>
      <c r="K1702" s="7">
        <f t="shared" si="262"/>
        <v>41800</v>
      </c>
      <c r="L1702" s="4">
        <v>18000</v>
      </c>
      <c r="M1702" s="7">
        <f t="shared" si="263"/>
        <v>59800</v>
      </c>
      <c r="N1702" s="2" t="s">
        <v>33</v>
      </c>
      <c r="O1702" t="s">
        <v>22</v>
      </c>
      <c r="P1702" s="2" t="s">
        <v>2367</v>
      </c>
      <c r="Q1702" s="2">
        <v>2</v>
      </c>
      <c r="R1702" s="2" t="s">
        <v>23</v>
      </c>
      <c r="S1702" s="2" t="str">
        <f t="shared" si="264"/>
        <v>Rendah</v>
      </c>
      <c r="T1702" s="2" t="str">
        <f t="shared" si="265"/>
        <v>FALSE</v>
      </c>
      <c r="U1702" s="2" t="str">
        <f t="shared" si="266"/>
        <v>FALSE</v>
      </c>
      <c r="V1702" s="2" t="b">
        <f t="shared" si="267"/>
        <v>0</v>
      </c>
      <c r="W1702" s="2" t="b">
        <f t="shared" si="268"/>
        <v>1</v>
      </c>
      <c r="X1702" s="2" t="b">
        <f t="shared" si="269"/>
        <v>0</v>
      </c>
    </row>
    <row r="1703" spans="1:24" ht="10.5" customHeight="1">
      <c r="A1703" s="2" t="s">
        <v>2058</v>
      </c>
      <c r="B1703" s="3">
        <v>45986.782210648147</v>
      </c>
      <c r="C1703" s="2" t="s">
        <v>313</v>
      </c>
      <c r="D1703" s="2" t="s">
        <v>94</v>
      </c>
      <c r="E1703" s="2" t="s">
        <v>41</v>
      </c>
      <c r="F1703" s="4">
        <v>40000</v>
      </c>
      <c r="G1703" s="5">
        <v>0.9</v>
      </c>
      <c r="H1703" s="6">
        <v>5</v>
      </c>
      <c r="I1703" s="7">
        <f t="shared" si="260"/>
        <v>36000</v>
      </c>
      <c r="J1703" s="7">
        <f t="shared" si="261"/>
        <v>1800</v>
      </c>
      <c r="K1703" s="7">
        <f t="shared" si="262"/>
        <v>34200</v>
      </c>
      <c r="L1703" s="4">
        <v>85000</v>
      </c>
      <c r="M1703" s="7">
        <f t="shared" si="263"/>
        <v>119200</v>
      </c>
      <c r="N1703" s="2" t="s">
        <v>21</v>
      </c>
      <c r="O1703" t="s">
        <v>22</v>
      </c>
      <c r="P1703" s="2" t="s">
        <v>2368</v>
      </c>
      <c r="Q1703" s="2">
        <v>3</v>
      </c>
      <c r="R1703" s="2" t="s">
        <v>23</v>
      </c>
      <c r="S1703" s="2" t="str">
        <f t="shared" si="264"/>
        <v>Standar</v>
      </c>
      <c r="T1703" s="2" t="str">
        <f t="shared" si="265"/>
        <v>FALSE</v>
      </c>
      <c r="U1703" s="2" t="str">
        <f t="shared" si="266"/>
        <v>FALSE</v>
      </c>
      <c r="V1703" s="2" t="b">
        <f t="shared" si="267"/>
        <v>0</v>
      </c>
      <c r="W1703" s="2" t="b">
        <f t="shared" si="268"/>
        <v>0</v>
      </c>
      <c r="X1703" s="2" t="b">
        <f t="shared" si="269"/>
        <v>0</v>
      </c>
    </row>
    <row r="1704" spans="1:24" ht="10.5" customHeight="1">
      <c r="A1704" s="2" t="s">
        <v>2059</v>
      </c>
      <c r="B1704" s="3">
        <v>45986.786666666667</v>
      </c>
      <c r="C1704" s="2" t="s">
        <v>639</v>
      </c>
      <c r="D1704" s="2" t="s">
        <v>167</v>
      </c>
      <c r="E1704" s="2" t="s">
        <v>170</v>
      </c>
      <c r="F1704" s="4">
        <v>12000</v>
      </c>
      <c r="G1704" s="5">
        <v>0.8</v>
      </c>
      <c r="H1704" s="6">
        <v>5</v>
      </c>
      <c r="I1704" s="7">
        <f t="shared" si="260"/>
        <v>9600</v>
      </c>
      <c r="J1704" s="7">
        <f t="shared" si="261"/>
        <v>480</v>
      </c>
      <c r="K1704" s="7">
        <f t="shared" si="262"/>
        <v>9120</v>
      </c>
      <c r="L1704" s="4">
        <v>56000</v>
      </c>
      <c r="M1704" s="7">
        <f t="shared" si="263"/>
        <v>65120</v>
      </c>
      <c r="N1704" s="2" t="s">
        <v>28</v>
      </c>
      <c r="O1704" t="s">
        <v>22</v>
      </c>
      <c r="P1704" s="2" t="s">
        <v>2370</v>
      </c>
      <c r="Q1704" s="2">
        <v>4</v>
      </c>
      <c r="R1704" s="2" t="s">
        <v>23</v>
      </c>
      <c r="S1704" s="2" t="str">
        <f t="shared" si="264"/>
        <v>Rendah</v>
      </c>
      <c r="T1704" s="2" t="str">
        <f t="shared" si="265"/>
        <v>FALSE</v>
      </c>
      <c r="U1704" s="2" t="str">
        <f t="shared" si="266"/>
        <v>FALSE</v>
      </c>
      <c r="V1704" s="2" t="b">
        <f t="shared" si="267"/>
        <v>0</v>
      </c>
      <c r="W1704" s="2" t="b">
        <f t="shared" si="268"/>
        <v>0</v>
      </c>
      <c r="X1704" s="2" t="b">
        <f t="shared" si="269"/>
        <v>0</v>
      </c>
    </row>
    <row r="1705" spans="1:24" ht="10.5" customHeight="1">
      <c r="A1705" s="2" t="s">
        <v>2060</v>
      </c>
      <c r="B1705" s="3">
        <v>45986.819282407407</v>
      </c>
      <c r="C1705" s="2" t="s">
        <v>857</v>
      </c>
      <c r="D1705" s="2" t="s">
        <v>19</v>
      </c>
      <c r="E1705" s="2" t="s">
        <v>75</v>
      </c>
      <c r="F1705" s="4">
        <v>45000</v>
      </c>
      <c r="G1705" s="5">
        <v>1.3</v>
      </c>
      <c r="H1705" s="6">
        <v>5</v>
      </c>
      <c r="I1705" s="7">
        <f t="shared" si="260"/>
        <v>58500</v>
      </c>
      <c r="J1705" s="7">
        <f t="shared" si="261"/>
        <v>2925</v>
      </c>
      <c r="K1705" s="7">
        <f t="shared" si="262"/>
        <v>55575</v>
      </c>
      <c r="L1705" s="4">
        <v>15000</v>
      </c>
      <c r="M1705" s="7">
        <f t="shared" si="263"/>
        <v>70575</v>
      </c>
      <c r="N1705" s="2" t="s">
        <v>58</v>
      </c>
      <c r="O1705" t="s">
        <v>22</v>
      </c>
      <c r="P1705" s="2" t="s">
        <v>2370</v>
      </c>
      <c r="Q1705" s="2">
        <v>2</v>
      </c>
      <c r="R1705" s="2" t="s">
        <v>34</v>
      </c>
      <c r="S1705" s="2" t="str">
        <f t="shared" si="264"/>
        <v>Rendah</v>
      </c>
      <c r="T1705" s="2" t="str">
        <f t="shared" si="265"/>
        <v>FALSE</v>
      </c>
      <c r="U1705" s="2" t="str">
        <f t="shared" si="266"/>
        <v>FALSE</v>
      </c>
      <c r="V1705" s="2" t="b">
        <f t="shared" si="267"/>
        <v>0</v>
      </c>
      <c r="W1705" s="2" t="b">
        <f t="shared" si="268"/>
        <v>0</v>
      </c>
      <c r="X1705" s="2" t="b">
        <f t="shared" si="269"/>
        <v>0</v>
      </c>
    </row>
    <row r="1706" spans="1:24" ht="10.5" customHeight="1">
      <c r="A1706" s="2" t="s">
        <v>2060</v>
      </c>
      <c r="B1706" s="3">
        <v>45986.819282407407</v>
      </c>
      <c r="C1706" s="2" t="s">
        <v>857</v>
      </c>
      <c r="D1706" s="2" t="s">
        <v>19</v>
      </c>
      <c r="E1706" s="2" t="s">
        <v>182</v>
      </c>
      <c r="F1706" s="4">
        <v>11000</v>
      </c>
      <c r="G1706" s="5">
        <v>1.5</v>
      </c>
      <c r="H1706" s="6">
        <v>5</v>
      </c>
      <c r="I1706" s="7">
        <f t="shared" si="260"/>
        <v>16500</v>
      </c>
      <c r="J1706" s="7">
        <f t="shared" si="261"/>
        <v>825</v>
      </c>
      <c r="K1706" s="7">
        <f t="shared" si="262"/>
        <v>15675</v>
      </c>
      <c r="L1706" s="4">
        <v>0</v>
      </c>
      <c r="M1706" s="7">
        <f t="shared" si="263"/>
        <v>15675</v>
      </c>
      <c r="N1706" s="2" t="s">
        <v>58</v>
      </c>
      <c r="O1706" t="s">
        <v>22</v>
      </c>
      <c r="P1706" s="2" t="s">
        <v>2370</v>
      </c>
      <c r="Q1706" s="2">
        <v>2</v>
      </c>
      <c r="R1706" s="2" t="s">
        <v>34</v>
      </c>
      <c r="S1706" s="2" t="str">
        <f t="shared" si="264"/>
        <v>Sangat Rendah</v>
      </c>
      <c r="T1706" s="2" t="str">
        <f t="shared" si="265"/>
        <v>FALSE</v>
      </c>
      <c r="U1706" s="2" t="str">
        <f t="shared" si="266"/>
        <v>FALSE</v>
      </c>
      <c r="V1706" s="2" t="b">
        <f t="shared" si="267"/>
        <v>0</v>
      </c>
      <c r="W1706" s="2" t="b">
        <f t="shared" si="268"/>
        <v>0</v>
      </c>
      <c r="X1706" s="2" t="b">
        <f t="shared" si="269"/>
        <v>0</v>
      </c>
    </row>
    <row r="1707" spans="1:24" ht="10.5" customHeight="1">
      <c r="A1707" s="2" t="s">
        <v>2061</v>
      </c>
      <c r="B1707" s="3">
        <v>45986.984178240738</v>
      </c>
      <c r="C1707" s="2" t="s">
        <v>2062</v>
      </c>
      <c r="D1707" s="2" t="s">
        <v>84</v>
      </c>
      <c r="E1707" s="2" t="s">
        <v>20</v>
      </c>
      <c r="F1707" s="4">
        <v>10000</v>
      </c>
      <c r="G1707" s="5">
        <v>1.2</v>
      </c>
      <c r="H1707" s="6">
        <v>5</v>
      </c>
      <c r="I1707" s="7">
        <f t="shared" si="260"/>
        <v>12000</v>
      </c>
      <c r="J1707" s="7">
        <f t="shared" si="261"/>
        <v>600</v>
      </c>
      <c r="K1707" s="7">
        <f t="shared" si="262"/>
        <v>11400</v>
      </c>
      <c r="L1707" s="4">
        <v>30000</v>
      </c>
      <c r="M1707" s="7">
        <f t="shared" si="263"/>
        <v>41400</v>
      </c>
      <c r="N1707" s="2" t="s">
        <v>58</v>
      </c>
      <c r="O1707" t="s">
        <v>69</v>
      </c>
      <c r="P1707" s="2" t="s">
        <v>2367</v>
      </c>
      <c r="Q1707" s="2">
        <v>1</v>
      </c>
      <c r="R1707" s="2" t="s">
        <v>34</v>
      </c>
      <c r="S1707" s="2" t="str">
        <f t="shared" si="264"/>
        <v>Sangat Rendah</v>
      </c>
      <c r="T1707" s="2" t="str">
        <f t="shared" si="265"/>
        <v>FALSE</v>
      </c>
      <c r="U1707" s="2" t="str">
        <f t="shared" si="266"/>
        <v>FALSE</v>
      </c>
      <c r="V1707" s="2" t="b">
        <f t="shared" si="267"/>
        <v>0</v>
      </c>
      <c r="W1707" s="2" t="b">
        <f t="shared" si="268"/>
        <v>1</v>
      </c>
      <c r="X1707" s="2" t="b">
        <f t="shared" si="269"/>
        <v>0</v>
      </c>
    </row>
    <row r="1708" spans="1:24" ht="10.5" customHeight="1">
      <c r="A1708" s="2" t="s">
        <v>2063</v>
      </c>
      <c r="B1708" s="3">
        <v>45987.036192129628</v>
      </c>
      <c r="C1708" s="2" t="s">
        <v>683</v>
      </c>
      <c r="D1708" s="2" t="s">
        <v>111</v>
      </c>
      <c r="E1708" s="2" t="s">
        <v>102</v>
      </c>
      <c r="F1708" s="4">
        <v>55000</v>
      </c>
      <c r="G1708" s="5">
        <v>0.8</v>
      </c>
      <c r="H1708" s="6">
        <v>0</v>
      </c>
      <c r="I1708" s="7">
        <f t="shared" si="260"/>
        <v>44000</v>
      </c>
      <c r="J1708" s="7">
        <f t="shared" si="261"/>
        <v>0</v>
      </c>
      <c r="K1708" s="7">
        <f t="shared" si="262"/>
        <v>44000</v>
      </c>
      <c r="L1708" s="4">
        <v>0</v>
      </c>
      <c r="M1708" s="7">
        <f t="shared" si="263"/>
        <v>44000</v>
      </c>
      <c r="N1708" s="2" t="s">
        <v>21</v>
      </c>
      <c r="O1708" t="s">
        <v>69</v>
      </c>
      <c r="P1708" s="2" t="s">
        <v>2370</v>
      </c>
      <c r="Q1708" s="2">
        <v>4</v>
      </c>
      <c r="R1708" s="2" t="s">
        <v>23</v>
      </c>
      <c r="S1708" s="2" t="str">
        <f t="shared" si="264"/>
        <v>Sangat Rendah</v>
      </c>
      <c r="T1708" s="2" t="str">
        <f t="shared" si="265"/>
        <v>FALSE</v>
      </c>
      <c r="U1708" s="2" t="str">
        <f t="shared" si="266"/>
        <v>FALSE</v>
      </c>
      <c r="V1708" s="2" t="b">
        <f t="shared" si="267"/>
        <v>0</v>
      </c>
      <c r="W1708" s="2" t="b">
        <f t="shared" si="268"/>
        <v>0</v>
      </c>
      <c r="X1708" s="2" t="b">
        <f t="shared" si="269"/>
        <v>1</v>
      </c>
    </row>
    <row r="1709" spans="1:24" ht="10.5" customHeight="1">
      <c r="A1709" s="2" t="s">
        <v>2064</v>
      </c>
      <c r="B1709" s="3">
        <v>45987.051180555558</v>
      </c>
      <c r="C1709" s="2" t="s">
        <v>558</v>
      </c>
      <c r="D1709" s="2" t="s">
        <v>425</v>
      </c>
      <c r="E1709" s="2" t="s">
        <v>170</v>
      </c>
      <c r="F1709" s="4">
        <v>12000</v>
      </c>
      <c r="G1709" s="5">
        <v>0.8</v>
      </c>
      <c r="H1709" s="6">
        <v>0</v>
      </c>
      <c r="I1709" s="7">
        <f t="shared" si="260"/>
        <v>9600</v>
      </c>
      <c r="J1709" s="7">
        <f t="shared" si="261"/>
        <v>0</v>
      </c>
      <c r="K1709" s="7">
        <f t="shared" si="262"/>
        <v>9600</v>
      </c>
      <c r="L1709" s="4">
        <v>67000</v>
      </c>
      <c r="M1709" s="7">
        <f t="shared" si="263"/>
        <v>76600</v>
      </c>
      <c r="N1709" s="2" t="s">
        <v>21</v>
      </c>
      <c r="O1709" t="s">
        <v>22</v>
      </c>
      <c r="P1709" s="2" t="s">
        <v>2367</v>
      </c>
      <c r="Q1709" s="2">
        <v>5</v>
      </c>
      <c r="R1709" s="2" t="s">
        <v>23</v>
      </c>
      <c r="S1709" s="2" t="str">
        <f t="shared" si="264"/>
        <v>Rendah</v>
      </c>
      <c r="T1709" s="2" t="str">
        <f t="shared" si="265"/>
        <v>FALSE</v>
      </c>
      <c r="U1709" s="2" t="str">
        <f t="shared" si="266"/>
        <v>FALSE</v>
      </c>
      <c r="V1709" s="2" t="b">
        <f t="shared" si="267"/>
        <v>0</v>
      </c>
      <c r="W1709" s="2" t="b">
        <f t="shared" si="268"/>
        <v>1</v>
      </c>
      <c r="X1709" s="2" t="b">
        <f t="shared" si="269"/>
        <v>0</v>
      </c>
    </row>
    <row r="1710" spans="1:24" ht="10.5" customHeight="1">
      <c r="A1710" s="2" t="s">
        <v>2065</v>
      </c>
      <c r="B1710" s="3">
        <v>45987.068680555552</v>
      </c>
      <c r="C1710" s="2" t="s">
        <v>579</v>
      </c>
      <c r="D1710" s="2" t="s">
        <v>252</v>
      </c>
      <c r="E1710" s="2" t="s">
        <v>35</v>
      </c>
      <c r="F1710" s="4">
        <v>13500</v>
      </c>
      <c r="G1710" s="5">
        <v>2.4</v>
      </c>
      <c r="H1710" s="6">
        <v>0</v>
      </c>
      <c r="I1710" s="7">
        <f t="shared" si="260"/>
        <v>32400</v>
      </c>
      <c r="J1710" s="7">
        <f t="shared" si="261"/>
        <v>0</v>
      </c>
      <c r="K1710" s="7">
        <f t="shared" si="262"/>
        <v>32400</v>
      </c>
      <c r="L1710" s="4">
        <v>18000</v>
      </c>
      <c r="M1710" s="7">
        <f t="shared" si="263"/>
        <v>50400</v>
      </c>
      <c r="N1710" s="2" t="s">
        <v>58</v>
      </c>
      <c r="O1710" t="s">
        <v>22</v>
      </c>
      <c r="P1710" s="2" t="s">
        <v>2365</v>
      </c>
      <c r="Q1710" s="2">
        <v>2</v>
      </c>
      <c r="R1710" s="2" t="s">
        <v>34</v>
      </c>
      <c r="S1710" s="2" t="str">
        <f t="shared" si="264"/>
        <v>Rendah</v>
      </c>
      <c r="T1710" s="2" t="str">
        <f t="shared" si="265"/>
        <v>FALSE</v>
      </c>
      <c r="U1710" s="2" t="str">
        <f t="shared" si="266"/>
        <v>FALSE</v>
      </c>
      <c r="V1710" s="2" t="b">
        <f t="shared" si="267"/>
        <v>0</v>
      </c>
      <c r="W1710" s="2" t="b">
        <f t="shared" si="268"/>
        <v>0</v>
      </c>
      <c r="X1710" s="2" t="b">
        <f t="shared" si="269"/>
        <v>0</v>
      </c>
    </row>
    <row r="1711" spans="1:24" ht="10.5" customHeight="1">
      <c r="A1711" s="2" t="s">
        <v>2066</v>
      </c>
      <c r="B1711" s="3">
        <v>45987.358541666668</v>
      </c>
      <c r="C1711" s="2" t="s">
        <v>1163</v>
      </c>
      <c r="D1711" s="2" t="s">
        <v>160</v>
      </c>
      <c r="E1711" s="2" t="s">
        <v>65</v>
      </c>
      <c r="F1711" s="4">
        <v>46000</v>
      </c>
      <c r="G1711" s="5">
        <v>0.4</v>
      </c>
      <c r="H1711" s="6">
        <v>0</v>
      </c>
      <c r="I1711" s="7">
        <f t="shared" si="260"/>
        <v>18400</v>
      </c>
      <c r="J1711" s="7">
        <f t="shared" si="261"/>
        <v>0</v>
      </c>
      <c r="K1711" s="7">
        <f t="shared" si="262"/>
        <v>18400</v>
      </c>
      <c r="L1711" s="4">
        <v>46000</v>
      </c>
      <c r="M1711" s="7">
        <f t="shared" si="263"/>
        <v>64400</v>
      </c>
      <c r="N1711" s="2" t="s">
        <v>21</v>
      </c>
      <c r="O1711" t="s">
        <v>22</v>
      </c>
      <c r="P1711" s="2" t="s">
        <v>2367</v>
      </c>
      <c r="Q1711" s="2">
        <v>3</v>
      </c>
      <c r="R1711" s="2" t="s">
        <v>23</v>
      </c>
      <c r="S1711" s="2" t="str">
        <f t="shared" si="264"/>
        <v>Rendah</v>
      </c>
      <c r="T1711" s="2" t="str">
        <f t="shared" si="265"/>
        <v>FALSE</v>
      </c>
      <c r="U1711" s="2" t="str">
        <f t="shared" si="266"/>
        <v>FALSE</v>
      </c>
      <c r="V1711" s="2" t="b">
        <f t="shared" si="267"/>
        <v>0</v>
      </c>
      <c r="W1711" s="2" t="b">
        <f t="shared" si="268"/>
        <v>1</v>
      </c>
      <c r="X1711" s="2" t="b">
        <f t="shared" si="269"/>
        <v>0</v>
      </c>
    </row>
    <row r="1712" spans="1:24" ht="10.5" customHeight="1">
      <c r="A1712" s="2" t="s">
        <v>2067</v>
      </c>
      <c r="B1712" s="3">
        <v>45987.406643518523</v>
      </c>
      <c r="C1712" s="2" t="s">
        <v>764</v>
      </c>
      <c r="D1712" s="2" t="s">
        <v>252</v>
      </c>
      <c r="E1712" s="2" t="s">
        <v>80</v>
      </c>
      <c r="F1712" s="4">
        <v>15000</v>
      </c>
      <c r="G1712" s="5">
        <v>2.1</v>
      </c>
      <c r="H1712" s="6">
        <v>0</v>
      </c>
      <c r="I1712" s="7">
        <f t="shared" si="260"/>
        <v>31500</v>
      </c>
      <c r="J1712" s="7">
        <f t="shared" si="261"/>
        <v>0</v>
      </c>
      <c r="K1712" s="7">
        <f t="shared" si="262"/>
        <v>31500</v>
      </c>
      <c r="L1712" s="4">
        <v>18000</v>
      </c>
      <c r="M1712" s="7">
        <f t="shared" si="263"/>
        <v>49500</v>
      </c>
      <c r="N1712" s="2" t="s">
        <v>58</v>
      </c>
      <c r="O1712" t="s">
        <v>22</v>
      </c>
      <c r="P1712" s="2" t="s">
        <v>2367</v>
      </c>
      <c r="Q1712" s="2">
        <v>5</v>
      </c>
      <c r="R1712" s="2" t="s">
        <v>23</v>
      </c>
      <c r="S1712" s="2" t="str">
        <f t="shared" si="264"/>
        <v>Sangat Rendah</v>
      </c>
      <c r="T1712" s="2" t="str">
        <f t="shared" si="265"/>
        <v>FALSE</v>
      </c>
      <c r="U1712" s="2" t="str">
        <f t="shared" si="266"/>
        <v>FALSE</v>
      </c>
      <c r="V1712" s="2" t="b">
        <f t="shared" si="267"/>
        <v>0</v>
      </c>
      <c r="W1712" s="2" t="b">
        <f t="shared" si="268"/>
        <v>1</v>
      </c>
      <c r="X1712" s="2" t="b">
        <f t="shared" si="269"/>
        <v>1</v>
      </c>
    </row>
    <row r="1713" spans="1:24" ht="10.5" customHeight="1">
      <c r="A1713" s="2" t="s">
        <v>2068</v>
      </c>
      <c r="B1713" s="3">
        <v>45987.484027777777</v>
      </c>
      <c r="C1713" s="2" t="s">
        <v>263</v>
      </c>
      <c r="D1713" s="2" t="s">
        <v>185</v>
      </c>
      <c r="E1713" s="2" t="s">
        <v>65</v>
      </c>
      <c r="F1713" s="4">
        <v>46000</v>
      </c>
      <c r="G1713" s="5">
        <v>1.2</v>
      </c>
      <c r="H1713" s="6">
        <v>0</v>
      </c>
      <c r="I1713" s="7">
        <f t="shared" si="260"/>
        <v>55200</v>
      </c>
      <c r="J1713" s="7">
        <f t="shared" si="261"/>
        <v>0</v>
      </c>
      <c r="K1713" s="7">
        <f t="shared" si="262"/>
        <v>55200</v>
      </c>
      <c r="L1713" s="4">
        <v>87000</v>
      </c>
      <c r="M1713" s="7">
        <f t="shared" si="263"/>
        <v>142200</v>
      </c>
      <c r="N1713" s="2" t="s">
        <v>33</v>
      </c>
      <c r="O1713" t="s">
        <v>115</v>
      </c>
      <c r="P1713" s="2" t="s">
        <v>2367</v>
      </c>
      <c r="Q1713" s="2">
        <v>2</v>
      </c>
      <c r="R1713" s="2" t="s">
        <v>23</v>
      </c>
      <c r="S1713" s="2" t="str">
        <f t="shared" si="264"/>
        <v>Standar</v>
      </c>
      <c r="T1713" s="2" t="str">
        <f t="shared" si="265"/>
        <v>FALSE</v>
      </c>
      <c r="U1713" s="2" t="str">
        <f t="shared" si="266"/>
        <v>FALSE</v>
      </c>
      <c r="V1713" s="2" t="b">
        <f t="shared" si="267"/>
        <v>0</v>
      </c>
      <c r="W1713" s="2" t="b">
        <f t="shared" si="268"/>
        <v>1</v>
      </c>
      <c r="X1713" s="2" t="b">
        <f t="shared" si="269"/>
        <v>0</v>
      </c>
    </row>
    <row r="1714" spans="1:24" ht="10.5" customHeight="1">
      <c r="A1714" s="2" t="s">
        <v>2069</v>
      </c>
      <c r="B1714" s="3">
        <v>45987.491956018523</v>
      </c>
      <c r="C1714" s="2" t="s">
        <v>2070</v>
      </c>
      <c r="D1714" s="2" t="s">
        <v>252</v>
      </c>
      <c r="E1714" s="2" t="s">
        <v>49</v>
      </c>
      <c r="F1714" s="4">
        <v>26000</v>
      </c>
      <c r="G1714" s="5">
        <v>2.2999999999999998</v>
      </c>
      <c r="H1714" s="6">
        <v>0</v>
      </c>
      <c r="I1714" s="7">
        <f t="shared" si="260"/>
        <v>59799.999999999993</v>
      </c>
      <c r="J1714" s="7">
        <f t="shared" si="261"/>
        <v>0</v>
      </c>
      <c r="K1714" s="7">
        <f t="shared" si="262"/>
        <v>59799.999999999993</v>
      </c>
      <c r="L1714" s="4">
        <v>18000</v>
      </c>
      <c r="M1714" s="7">
        <f t="shared" si="263"/>
        <v>77800</v>
      </c>
      <c r="N1714" s="2" t="s">
        <v>21</v>
      </c>
      <c r="O1714" t="s">
        <v>22</v>
      </c>
      <c r="P1714" s="2" t="s">
        <v>2370</v>
      </c>
      <c r="Q1714" s="2">
        <v>2</v>
      </c>
      <c r="R1714" s="2" t="s">
        <v>23</v>
      </c>
      <c r="S1714" s="2" t="str">
        <f t="shared" si="264"/>
        <v>Rendah</v>
      </c>
      <c r="T1714" s="2" t="str">
        <f t="shared" si="265"/>
        <v>FALSE</v>
      </c>
      <c r="U1714" s="2" t="str">
        <f t="shared" si="266"/>
        <v>FALSE</v>
      </c>
      <c r="V1714" s="2" t="b">
        <f t="shared" si="267"/>
        <v>0</v>
      </c>
      <c r="W1714" s="2" t="b">
        <f t="shared" si="268"/>
        <v>0</v>
      </c>
      <c r="X1714" s="2" t="b">
        <f t="shared" si="269"/>
        <v>0</v>
      </c>
    </row>
    <row r="1715" spans="1:24" ht="10.5" customHeight="1">
      <c r="A1715" s="2" t="s">
        <v>2069</v>
      </c>
      <c r="B1715" s="3">
        <v>45987.491956018523</v>
      </c>
      <c r="C1715" s="2" t="s">
        <v>2070</v>
      </c>
      <c r="D1715" s="2" t="s">
        <v>252</v>
      </c>
      <c r="E1715" s="2" t="s">
        <v>161</v>
      </c>
      <c r="F1715" s="4">
        <v>115000</v>
      </c>
      <c r="G1715" s="5">
        <v>0.9</v>
      </c>
      <c r="H1715" s="6">
        <v>0</v>
      </c>
      <c r="I1715" s="7">
        <f t="shared" si="260"/>
        <v>103500</v>
      </c>
      <c r="J1715" s="7">
        <f t="shared" si="261"/>
        <v>0</v>
      </c>
      <c r="K1715" s="7">
        <f t="shared" si="262"/>
        <v>103500</v>
      </c>
      <c r="L1715" s="4">
        <v>0</v>
      </c>
      <c r="M1715" s="7">
        <f t="shared" si="263"/>
        <v>103500</v>
      </c>
      <c r="N1715" s="2" t="s">
        <v>21</v>
      </c>
      <c r="O1715" t="s">
        <v>22</v>
      </c>
      <c r="P1715" s="2" t="s">
        <v>2370</v>
      </c>
      <c r="Q1715" s="2">
        <v>2</v>
      </c>
      <c r="R1715" s="2" t="s">
        <v>23</v>
      </c>
      <c r="S1715" s="2" t="str">
        <f t="shared" si="264"/>
        <v>Standar</v>
      </c>
      <c r="T1715" s="2" t="str">
        <f t="shared" si="265"/>
        <v>FALSE</v>
      </c>
      <c r="U1715" s="2" t="str">
        <f t="shared" si="266"/>
        <v>FALSE</v>
      </c>
      <c r="V1715" s="2" t="b">
        <f t="shared" si="267"/>
        <v>0</v>
      </c>
      <c r="W1715" s="2" t="b">
        <f t="shared" si="268"/>
        <v>0</v>
      </c>
      <c r="X1715" s="2" t="b">
        <f t="shared" si="269"/>
        <v>0</v>
      </c>
    </row>
    <row r="1716" spans="1:24" ht="10.5" customHeight="1">
      <c r="A1716" s="2" t="s">
        <v>2071</v>
      </c>
      <c r="B1716" s="3">
        <v>45987.560266203713</v>
      </c>
      <c r="C1716" s="2" t="s">
        <v>386</v>
      </c>
      <c r="D1716" s="2" t="s">
        <v>61</v>
      </c>
      <c r="E1716" s="2" t="s">
        <v>75</v>
      </c>
      <c r="F1716" s="4">
        <v>45000</v>
      </c>
      <c r="G1716" s="5">
        <v>0.7</v>
      </c>
      <c r="H1716" s="6">
        <v>0</v>
      </c>
      <c r="I1716" s="7">
        <f t="shared" si="260"/>
        <v>31499.999999999996</v>
      </c>
      <c r="J1716" s="7">
        <f t="shared" si="261"/>
        <v>0</v>
      </c>
      <c r="K1716" s="7">
        <f t="shared" si="262"/>
        <v>31499.999999999996</v>
      </c>
      <c r="L1716" s="4">
        <v>59000</v>
      </c>
      <c r="M1716" s="7">
        <f t="shared" si="263"/>
        <v>90500</v>
      </c>
      <c r="N1716" s="2" t="s">
        <v>58</v>
      </c>
      <c r="O1716" t="s">
        <v>22</v>
      </c>
      <c r="P1716" s="2" t="s">
        <v>2370</v>
      </c>
      <c r="Q1716" s="2">
        <v>3</v>
      </c>
      <c r="R1716" s="2" t="s">
        <v>34</v>
      </c>
      <c r="S1716" s="2" t="str">
        <f t="shared" si="264"/>
        <v>Rendah</v>
      </c>
      <c r="T1716" s="2" t="str">
        <f t="shared" si="265"/>
        <v>FALSE</v>
      </c>
      <c r="U1716" s="2" t="str">
        <f t="shared" si="266"/>
        <v>FALSE</v>
      </c>
      <c r="V1716" s="2" t="b">
        <f t="shared" si="267"/>
        <v>0</v>
      </c>
      <c r="W1716" s="2" t="b">
        <f t="shared" si="268"/>
        <v>0</v>
      </c>
      <c r="X1716" s="2" t="b">
        <f t="shared" si="269"/>
        <v>0</v>
      </c>
    </row>
    <row r="1717" spans="1:24" ht="10.5" customHeight="1">
      <c r="A1717" s="2" t="s">
        <v>2072</v>
      </c>
      <c r="B1717" s="3">
        <v>45987.657870370371</v>
      </c>
      <c r="C1717" s="2" t="s">
        <v>817</v>
      </c>
      <c r="D1717" s="2" t="s">
        <v>19</v>
      </c>
      <c r="E1717" s="2" t="s">
        <v>35</v>
      </c>
      <c r="F1717" s="4">
        <v>13500</v>
      </c>
      <c r="G1717" s="5">
        <v>1.6</v>
      </c>
      <c r="H1717" s="6">
        <v>0</v>
      </c>
      <c r="I1717" s="7">
        <f t="shared" si="260"/>
        <v>21600</v>
      </c>
      <c r="J1717" s="7">
        <f t="shared" si="261"/>
        <v>0</v>
      </c>
      <c r="K1717" s="7">
        <f t="shared" si="262"/>
        <v>21600</v>
      </c>
      <c r="L1717" s="4">
        <v>15000</v>
      </c>
      <c r="M1717" s="7">
        <f t="shared" si="263"/>
        <v>36600</v>
      </c>
      <c r="N1717" s="2" t="s">
        <v>58</v>
      </c>
      <c r="O1717" t="s">
        <v>22</v>
      </c>
      <c r="P1717" s="2" t="s">
        <v>2370</v>
      </c>
      <c r="Q1717" s="2">
        <v>3</v>
      </c>
      <c r="R1717" s="2" t="s">
        <v>23</v>
      </c>
      <c r="S1717" s="2" t="str">
        <f t="shared" si="264"/>
        <v>Sangat Rendah</v>
      </c>
      <c r="T1717" s="2" t="str">
        <f t="shared" si="265"/>
        <v>FALSE</v>
      </c>
      <c r="U1717" s="2" t="str">
        <f t="shared" si="266"/>
        <v>FALSE</v>
      </c>
      <c r="V1717" s="2" t="b">
        <f t="shared" si="267"/>
        <v>0</v>
      </c>
      <c r="W1717" s="2" t="b">
        <f t="shared" si="268"/>
        <v>0</v>
      </c>
      <c r="X1717" s="2" t="b">
        <f t="shared" si="269"/>
        <v>1</v>
      </c>
    </row>
    <row r="1718" spans="1:24" ht="10.5" customHeight="1">
      <c r="A1718" s="2" t="s">
        <v>2073</v>
      </c>
      <c r="B1718" s="3">
        <v>45987.678668981483</v>
      </c>
      <c r="C1718" s="2" t="s">
        <v>259</v>
      </c>
      <c r="D1718" s="2" t="s">
        <v>164</v>
      </c>
      <c r="E1718" s="2" t="s">
        <v>95</v>
      </c>
      <c r="F1718" s="4">
        <v>9500</v>
      </c>
      <c r="G1718" s="5">
        <v>1.1000000000000001</v>
      </c>
      <c r="H1718" s="6">
        <v>0</v>
      </c>
      <c r="I1718" s="7">
        <f t="shared" si="260"/>
        <v>10450</v>
      </c>
      <c r="J1718" s="7">
        <f t="shared" si="261"/>
        <v>0</v>
      </c>
      <c r="K1718" s="7">
        <f t="shared" si="262"/>
        <v>10450</v>
      </c>
      <c r="L1718" s="4">
        <v>49000</v>
      </c>
      <c r="M1718" s="7">
        <f t="shared" si="263"/>
        <v>59450</v>
      </c>
      <c r="N1718" s="2" t="s">
        <v>28</v>
      </c>
      <c r="O1718" t="s">
        <v>22</v>
      </c>
      <c r="P1718" s="2" t="s">
        <v>2367</v>
      </c>
      <c r="Q1718" s="2">
        <v>1</v>
      </c>
      <c r="R1718" s="2" t="s">
        <v>34</v>
      </c>
      <c r="S1718" s="2" t="str">
        <f t="shared" si="264"/>
        <v>Rendah</v>
      </c>
      <c r="T1718" s="2" t="str">
        <f t="shared" si="265"/>
        <v>FALSE</v>
      </c>
      <c r="U1718" s="2" t="str">
        <f t="shared" si="266"/>
        <v>FALSE</v>
      </c>
      <c r="V1718" s="2" t="b">
        <f t="shared" si="267"/>
        <v>0</v>
      </c>
      <c r="W1718" s="2" t="b">
        <f t="shared" si="268"/>
        <v>1</v>
      </c>
      <c r="X1718" s="2" t="b">
        <f t="shared" si="269"/>
        <v>0</v>
      </c>
    </row>
    <row r="1719" spans="1:24" ht="10.5" customHeight="1">
      <c r="A1719" s="2" t="s">
        <v>2074</v>
      </c>
      <c r="B1719" s="3">
        <v>45987.728182870371</v>
      </c>
      <c r="C1719" s="2" t="s">
        <v>1112</v>
      </c>
      <c r="D1719" s="2" t="s">
        <v>31</v>
      </c>
      <c r="E1719" s="2" t="s">
        <v>80</v>
      </c>
      <c r="F1719" s="4">
        <v>15000</v>
      </c>
      <c r="G1719" s="5">
        <v>2.8</v>
      </c>
      <c r="H1719" s="6">
        <v>0</v>
      </c>
      <c r="I1719" s="7">
        <f t="shared" si="260"/>
        <v>42000</v>
      </c>
      <c r="J1719" s="7">
        <f t="shared" si="261"/>
        <v>0</v>
      </c>
      <c r="K1719" s="7">
        <f t="shared" si="262"/>
        <v>42000</v>
      </c>
      <c r="L1719" s="4">
        <v>76000</v>
      </c>
      <c r="M1719" s="7">
        <f t="shared" si="263"/>
        <v>118000</v>
      </c>
      <c r="N1719" s="2" t="s">
        <v>21</v>
      </c>
      <c r="O1719" t="s">
        <v>22</v>
      </c>
      <c r="P1719" s="2" t="s">
        <v>2367</v>
      </c>
      <c r="Q1719" s="2">
        <v>4</v>
      </c>
      <c r="R1719" s="2" t="s">
        <v>23</v>
      </c>
      <c r="S1719" s="2" t="str">
        <f t="shared" si="264"/>
        <v>Standar</v>
      </c>
      <c r="T1719" s="2" t="str">
        <f t="shared" si="265"/>
        <v>FALSE</v>
      </c>
      <c r="U1719" s="2" t="str">
        <f t="shared" si="266"/>
        <v>FALSE</v>
      </c>
      <c r="V1719" s="2" t="b">
        <f t="shared" si="267"/>
        <v>0</v>
      </c>
      <c r="W1719" s="2" t="b">
        <f t="shared" si="268"/>
        <v>1</v>
      </c>
      <c r="X1719" s="2" t="b">
        <f t="shared" si="269"/>
        <v>0</v>
      </c>
    </row>
    <row r="1720" spans="1:24" ht="10.5" customHeight="1">
      <c r="A1720" s="2" t="s">
        <v>2075</v>
      </c>
      <c r="B1720" s="3">
        <v>45987.864270833343</v>
      </c>
      <c r="C1720" s="2" t="s">
        <v>505</v>
      </c>
      <c r="D1720" s="2" t="s">
        <v>173</v>
      </c>
      <c r="E1720" s="2" t="s">
        <v>20</v>
      </c>
      <c r="F1720" s="4">
        <v>10000</v>
      </c>
      <c r="G1720" s="5">
        <v>1.4</v>
      </c>
      <c r="H1720" s="6">
        <v>0</v>
      </c>
      <c r="I1720" s="7">
        <f t="shared" si="260"/>
        <v>14000</v>
      </c>
      <c r="J1720" s="7">
        <f t="shared" si="261"/>
        <v>0</v>
      </c>
      <c r="K1720" s="7">
        <f t="shared" si="262"/>
        <v>14000</v>
      </c>
      <c r="L1720" s="4">
        <v>48000</v>
      </c>
      <c r="M1720" s="7">
        <f t="shared" si="263"/>
        <v>62000</v>
      </c>
      <c r="N1720" s="2" t="s">
        <v>33</v>
      </c>
      <c r="O1720" t="s">
        <v>22</v>
      </c>
      <c r="P1720" s="2" t="s">
        <v>2367</v>
      </c>
      <c r="Q1720" s="2">
        <v>5</v>
      </c>
      <c r="R1720" s="2" t="s">
        <v>23</v>
      </c>
      <c r="S1720" s="2" t="str">
        <f t="shared" si="264"/>
        <v>Rendah</v>
      </c>
      <c r="T1720" s="2" t="str">
        <f t="shared" si="265"/>
        <v>FALSE</v>
      </c>
      <c r="U1720" s="2" t="str">
        <f t="shared" si="266"/>
        <v>FALSE</v>
      </c>
      <c r="V1720" s="2" t="b">
        <f t="shared" si="267"/>
        <v>0</v>
      </c>
      <c r="W1720" s="2" t="b">
        <f t="shared" si="268"/>
        <v>1</v>
      </c>
      <c r="X1720" s="2" t="b">
        <f t="shared" si="269"/>
        <v>0</v>
      </c>
    </row>
    <row r="1721" spans="1:24" ht="10.5" customHeight="1">
      <c r="A1721" s="2" t="s">
        <v>2076</v>
      </c>
      <c r="B1721" s="3">
        <v>45987.912546296298</v>
      </c>
      <c r="C1721" s="2" t="s">
        <v>441</v>
      </c>
      <c r="D1721" s="2" t="s">
        <v>108</v>
      </c>
      <c r="E1721" s="2" t="s">
        <v>57</v>
      </c>
      <c r="F1721" s="4">
        <v>17500</v>
      </c>
      <c r="G1721" s="5">
        <v>2.2999999999999998</v>
      </c>
      <c r="H1721" s="6">
        <v>0</v>
      </c>
      <c r="I1721" s="7">
        <f t="shared" si="260"/>
        <v>40250</v>
      </c>
      <c r="J1721" s="7">
        <f t="shared" si="261"/>
        <v>0</v>
      </c>
      <c r="K1721" s="7">
        <f t="shared" si="262"/>
        <v>40250</v>
      </c>
      <c r="L1721" s="4">
        <v>72000</v>
      </c>
      <c r="M1721" s="7">
        <f t="shared" si="263"/>
        <v>112250</v>
      </c>
      <c r="N1721" s="2" t="s">
        <v>21</v>
      </c>
      <c r="O1721" t="s">
        <v>22</v>
      </c>
      <c r="P1721" s="2" t="s">
        <v>2368</v>
      </c>
      <c r="Q1721" s="2">
        <v>3</v>
      </c>
      <c r="R1721" s="2" t="s">
        <v>23</v>
      </c>
      <c r="S1721" s="2" t="str">
        <f t="shared" si="264"/>
        <v>Standar</v>
      </c>
      <c r="T1721" s="2" t="str">
        <f t="shared" si="265"/>
        <v>FALSE</v>
      </c>
      <c r="U1721" s="2" t="str">
        <f t="shared" si="266"/>
        <v>FALSE</v>
      </c>
      <c r="V1721" s="2" t="b">
        <f t="shared" si="267"/>
        <v>0</v>
      </c>
      <c r="W1721" s="2" t="b">
        <f t="shared" si="268"/>
        <v>0</v>
      </c>
      <c r="X1721" s="2" t="b">
        <f t="shared" si="269"/>
        <v>0</v>
      </c>
    </row>
    <row r="1722" spans="1:24" ht="10.5" customHeight="1">
      <c r="A1722" s="2" t="s">
        <v>2077</v>
      </c>
      <c r="B1722" s="3">
        <v>45988.36273148148</v>
      </c>
      <c r="C1722" s="2" t="s">
        <v>784</v>
      </c>
      <c r="D1722" s="2" t="s">
        <v>56</v>
      </c>
      <c r="E1722" s="2" t="s">
        <v>99</v>
      </c>
      <c r="F1722" s="4">
        <v>10000</v>
      </c>
      <c r="G1722" s="5">
        <v>0.5</v>
      </c>
      <c r="H1722" s="6">
        <v>0</v>
      </c>
      <c r="I1722" s="7">
        <f t="shared" si="260"/>
        <v>5000</v>
      </c>
      <c r="J1722" s="7">
        <f t="shared" si="261"/>
        <v>0</v>
      </c>
      <c r="K1722" s="7">
        <f t="shared" si="262"/>
        <v>5000</v>
      </c>
      <c r="L1722" s="4">
        <v>26000</v>
      </c>
      <c r="M1722" s="7">
        <f t="shared" si="263"/>
        <v>31000</v>
      </c>
      <c r="N1722" s="2" t="s">
        <v>58</v>
      </c>
      <c r="O1722" t="s">
        <v>22</v>
      </c>
      <c r="P1722" s="2" t="s">
        <v>2365</v>
      </c>
      <c r="Q1722" s="2">
        <v>2</v>
      </c>
      <c r="R1722" s="2" t="s">
        <v>34</v>
      </c>
      <c r="S1722" s="2" t="str">
        <f t="shared" si="264"/>
        <v>Sangat Rendah</v>
      </c>
      <c r="T1722" s="2" t="str">
        <f t="shared" si="265"/>
        <v>FALSE</v>
      </c>
      <c r="U1722" s="2" t="str">
        <f t="shared" si="266"/>
        <v>FALSE</v>
      </c>
      <c r="V1722" s="2" t="b">
        <f t="shared" si="267"/>
        <v>0</v>
      </c>
      <c r="W1722" s="2" t="b">
        <f t="shared" si="268"/>
        <v>0</v>
      </c>
      <c r="X1722" s="2" t="b">
        <f t="shared" si="269"/>
        <v>0</v>
      </c>
    </row>
    <row r="1723" spans="1:24" ht="10.5" customHeight="1">
      <c r="A1723" s="2" t="s">
        <v>2078</v>
      </c>
      <c r="B1723" s="3">
        <v>45988.406180555547</v>
      </c>
      <c r="C1723" s="2" t="s">
        <v>132</v>
      </c>
      <c r="D1723" s="2" t="s">
        <v>133</v>
      </c>
      <c r="E1723" s="2" t="s">
        <v>53</v>
      </c>
      <c r="F1723" s="4">
        <v>14000</v>
      </c>
      <c r="G1723" s="5">
        <v>0.9</v>
      </c>
      <c r="H1723" s="6">
        <v>0</v>
      </c>
      <c r="I1723" s="7">
        <f t="shared" si="260"/>
        <v>12600</v>
      </c>
      <c r="J1723" s="7">
        <f t="shared" si="261"/>
        <v>0</v>
      </c>
      <c r="K1723" s="7">
        <f t="shared" si="262"/>
        <v>12600</v>
      </c>
      <c r="L1723" s="4">
        <v>50000</v>
      </c>
      <c r="M1723" s="7">
        <f t="shared" si="263"/>
        <v>62600</v>
      </c>
      <c r="N1723" s="2" t="s">
        <v>21</v>
      </c>
      <c r="O1723" t="s">
        <v>22</v>
      </c>
      <c r="P1723" s="2" t="s">
        <v>2370</v>
      </c>
      <c r="Q1723" s="2">
        <v>2</v>
      </c>
      <c r="R1723" s="2" t="s">
        <v>23</v>
      </c>
      <c r="S1723" s="2" t="str">
        <f t="shared" si="264"/>
        <v>Rendah</v>
      </c>
      <c r="T1723" s="2" t="str">
        <f t="shared" si="265"/>
        <v>FALSE</v>
      </c>
      <c r="U1723" s="2" t="str">
        <f t="shared" si="266"/>
        <v>FALSE</v>
      </c>
      <c r="V1723" s="2" t="b">
        <f t="shared" si="267"/>
        <v>0</v>
      </c>
      <c r="W1723" s="2" t="b">
        <f t="shared" si="268"/>
        <v>0</v>
      </c>
      <c r="X1723" s="2" t="b">
        <f t="shared" si="269"/>
        <v>0</v>
      </c>
    </row>
    <row r="1724" spans="1:24" ht="10.5" customHeight="1">
      <c r="A1724" s="2" t="s">
        <v>2079</v>
      </c>
      <c r="B1724" s="3">
        <v>45988.430358796293</v>
      </c>
      <c r="C1724" s="2" t="s">
        <v>741</v>
      </c>
      <c r="D1724" s="2" t="s">
        <v>74</v>
      </c>
      <c r="E1724" s="2" t="s">
        <v>65</v>
      </c>
      <c r="F1724" s="4">
        <v>46000</v>
      </c>
      <c r="G1724" s="5">
        <v>0.7</v>
      </c>
      <c r="H1724" s="6">
        <v>0</v>
      </c>
      <c r="I1724" s="7">
        <f t="shared" si="260"/>
        <v>32199.999999999996</v>
      </c>
      <c r="J1724" s="7">
        <f t="shared" si="261"/>
        <v>0</v>
      </c>
      <c r="K1724" s="7">
        <f t="shared" si="262"/>
        <v>32199.999999999996</v>
      </c>
      <c r="L1724" s="4">
        <v>74000</v>
      </c>
      <c r="M1724" s="7">
        <f t="shared" si="263"/>
        <v>106200</v>
      </c>
      <c r="N1724" s="2" t="s">
        <v>58</v>
      </c>
      <c r="O1724" t="s">
        <v>22</v>
      </c>
      <c r="P1724" s="2" t="s">
        <v>2368</v>
      </c>
      <c r="Q1724" s="2">
        <v>1</v>
      </c>
      <c r="R1724" s="2" t="s">
        <v>23</v>
      </c>
      <c r="S1724" s="2" t="str">
        <f t="shared" si="264"/>
        <v>Standar</v>
      </c>
      <c r="T1724" s="2" t="str">
        <f t="shared" si="265"/>
        <v>FALSE</v>
      </c>
      <c r="U1724" s="2" t="str">
        <f t="shared" si="266"/>
        <v>FALSE</v>
      </c>
      <c r="V1724" s="2" t="b">
        <f t="shared" si="267"/>
        <v>0</v>
      </c>
      <c r="W1724" s="2" t="b">
        <f t="shared" si="268"/>
        <v>0</v>
      </c>
      <c r="X1724" s="2" t="b">
        <f t="shared" si="269"/>
        <v>0</v>
      </c>
    </row>
    <row r="1725" spans="1:24" ht="10.5" customHeight="1">
      <c r="A1725" s="2" t="s">
        <v>2079</v>
      </c>
      <c r="B1725" s="3">
        <v>45988.430358796293</v>
      </c>
      <c r="C1725" s="2" t="s">
        <v>741</v>
      </c>
      <c r="D1725" s="2" t="s">
        <v>74</v>
      </c>
      <c r="E1725" s="2" t="s">
        <v>57</v>
      </c>
      <c r="F1725" s="4">
        <v>17500</v>
      </c>
      <c r="G1725" s="5">
        <v>2.9</v>
      </c>
      <c r="H1725" s="6">
        <v>0</v>
      </c>
      <c r="I1725" s="7">
        <f t="shared" si="260"/>
        <v>50750</v>
      </c>
      <c r="J1725" s="7">
        <f t="shared" si="261"/>
        <v>0</v>
      </c>
      <c r="K1725" s="7">
        <f t="shared" si="262"/>
        <v>50750</v>
      </c>
      <c r="L1725" s="4">
        <v>0</v>
      </c>
      <c r="M1725" s="7">
        <f t="shared" si="263"/>
        <v>50750</v>
      </c>
      <c r="N1725" s="2" t="s">
        <v>58</v>
      </c>
      <c r="O1725" t="s">
        <v>22</v>
      </c>
      <c r="P1725" s="2" t="s">
        <v>2368</v>
      </c>
      <c r="Q1725" s="2">
        <v>1</v>
      </c>
      <c r="R1725" s="2" t="s">
        <v>23</v>
      </c>
      <c r="S1725" s="2" t="str">
        <f t="shared" si="264"/>
        <v>Rendah</v>
      </c>
      <c r="T1725" s="2" t="str">
        <f t="shared" si="265"/>
        <v>FALSE</v>
      </c>
      <c r="U1725" s="2" t="str">
        <f t="shared" si="266"/>
        <v>FALSE</v>
      </c>
      <c r="V1725" s="2" t="b">
        <f t="shared" si="267"/>
        <v>0</v>
      </c>
      <c r="W1725" s="2" t="b">
        <f t="shared" si="268"/>
        <v>0</v>
      </c>
      <c r="X1725" s="2" t="b">
        <f t="shared" si="269"/>
        <v>0</v>
      </c>
    </row>
    <row r="1726" spans="1:24" ht="10.5" customHeight="1">
      <c r="A1726" s="2" t="s">
        <v>2080</v>
      </c>
      <c r="B1726" s="3">
        <v>45988.438113425917</v>
      </c>
      <c r="C1726" s="2" t="s">
        <v>2062</v>
      </c>
      <c r="D1726" s="2" t="s">
        <v>84</v>
      </c>
      <c r="E1726" s="2" t="s">
        <v>35</v>
      </c>
      <c r="F1726" s="4">
        <v>13500</v>
      </c>
      <c r="G1726" s="5">
        <v>2.2000000000000002</v>
      </c>
      <c r="H1726" s="6">
        <v>0</v>
      </c>
      <c r="I1726" s="7">
        <f t="shared" si="260"/>
        <v>29700.000000000004</v>
      </c>
      <c r="J1726" s="7">
        <f t="shared" si="261"/>
        <v>0</v>
      </c>
      <c r="K1726" s="7">
        <f t="shared" si="262"/>
        <v>29700.000000000004</v>
      </c>
      <c r="L1726" s="4">
        <v>30000</v>
      </c>
      <c r="M1726" s="7">
        <f t="shared" si="263"/>
        <v>59700</v>
      </c>
      <c r="N1726" s="2" t="s">
        <v>33</v>
      </c>
      <c r="O1726" t="s">
        <v>22</v>
      </c>
      <c r="P1726" s="2" t="s">
        <v>2366</v>
      </c>
      <c r="Q1726" s="2">
        <v>4</v>
      </c>
      <c r="R1726" s="2" t="s">
        <v>34</v>
      </c>
      <c r="S1726" s="2" t="str">
        <f t="shared" si="264"/>
        <v>Rendah</v>
      </c>
      <c r="T1726" s="2" t="str">
        <f t="shared" si="265"/>
        <v>FALSE</v>
      </c>
      <c r="U1726" s="2" t="str">
        <f t="shared" si="266"/>
        <v>FALSE</v>
      </c>
      <c r="V1726" s="2" t="b">
        <f t="shared" si="267"/>
        <v>0</v>
      </c>
      <c r="W1726" s="2" t="b">
        <f t="shared" si="268"/>
        <v>0</v>
      </c>
      <c r="X1726" s="2" t="b">
        <f t="shared" si="269"/>
        <v>0</v>
      </c>
    </row>
    <row r="1727" spans="1:24" ht="10.5" customHeight="1">
      <c r="A1727" s="2" t="s">
        <v>2081</v>
      </c>
      <c r="B1727" s="3">
        <v>45988.453784722216</v>
      </c>
      <c r="C1727" s="2" t="s">
        <v>802</v>
      </c>
      <c r="D1727" s="2" t="s">
        <v>31</v>
      </c>
      <c r="E1727" s="2" t="s">
        <v>35</v>
      </c>
      <c r="F1727" s="4">
        <v>13500</v>
      </c>
      <c r="G1727" s="5">
        <v>1.9</v>
      </c>
      <c r="H1727" s="6">
        <v>0</v>
      </c>
      <c r="I1727" s="7">
        <f t="shared" si="260"/>
        <v>25650</v>
      </c>
      <c r="J1727" s="7">
        <f t="shared" si="261"/>
        <v>0</v>
      </c>
      <c r="K1727" s="7">
        <f t="shared" si="262"/>
        <v>25650</v>
      </c>
      <c r="L1727" s="4">
        <v>76000</v>
      </c>
      <c r="M1727" s="7">
        <f t="shared" si="263"/>
        <v>101650</v>
      </c>
      <c r="N1727" s="2" t="s">
        <v>33</v>
      </c>
      <c r="O1727" t="s">
        <v>69</v>
      </c>
      <c r="P1727" s="2" t="s">
        <v>2366</v>
      </c>
      <c r="Q1727" s="2">
        <v>1</v>
      </c>
      <c r="R1727" s="2" t="s">
        <v>23</v>
      </c>
      <c r="S1727" s="2" t="str">
        <f t="shared" si="264"/>
        <v>Standar</v>
      </c>
      <c r="T1727" s="2" t="str">
        <f t="shared" si="265"/>
        <v>FALSE</v>
      </c>
      <c r="U1727" s="2" t="str">
        <f t="shared" si="266"/>
        <v>FALSE</v>
      </c>
      <c r="V1727" s="2" t="b">
        <f t="shared" si="267"/>
        <v>0</v>
      </c>
      <c r="W1727" s="2" t="b">
        <f t="shared" si="268"/>
        <v>0</v>
      </c>
      <c r="X1727" s="2" t="b">
        <f t="shared" si="269"/>
        <v>0</v>
      </c>
    </row>
    <row r="1728" spans="1:24" ht="10.5" customHeight="1">
      <c r="A1728" s="2" t="s">
        <v>2082</v>
      </c>
      <c r="B1728" s="3">
        <v>45988.466631944437</v>
      </c>
      <c r="C1728" s="2" t="s">
        <v>1414</v>
      </c>
      <c r="D1728" s="2" t="s">
        <v>286</v>
      </c>
      <c r="E1728" s="2" t="s">
        <v>143</v>
      </c>
      <c r="F1728" s="4">
        <v>10000</v>
      </c>
      <c r="G1728" s="5">
        <v>0.7</v>
      </c>
      <c r="H1728" s="6">
        <v>0</v>
      </c>
      <c r="I1728" s="7">
        <f t="shared" si="260"/>
        <v>7000</v>
      </c>
      <c r="J1728" s="7">
        <f t="shared" si="261"/>
        <v>0</v>
      </c>
      <c r="K1728" s="7">
        <f t="shared" si="262"/>
        <v>7000</v>
      </c>
      <c r="L1728" s="4">
        <v>79000</v>
      </c>
      <c r="M1728" s="7">
        <f t="shared" si="263"/>
        <v>86000</v>
      </c>
      <c r="N1728" s="2" t="s">
        <v>33</v>
      </c>
      <c r="O1728" t="s">
        <v>22</v>
      </c>
      <c r="P1728" s="2" t="s">
        <v>2368</v>
      </c>
      <c r="Q1728" s="2">
        <v>2</v>
      </c>
      <c r="R1728" s="2" t="s">
        <v>23</v>
      </c>
      <c r="S1728" s="2" t="str">
        <f t="shared" si="264"/>
        <v>Rendah</v>
      </c>
      <c r="T1728" s="2" t="str">
        <f t="shared" si="265"/>
        <v>FALSE</v>
      </c>
      <c r="U1728" s="2" t="str">
        <f t="shared" si="266"/>
        <v>TRUE</v>
      </c>
      <c r="V1728" s="2" t="b">
        <f t="shared" si="267"/>
        <v>0</v>
      </c>
      <c r="W1728" s="2" t="b">
        <f t="shared" si="268"/>
        <v>0</v>
      </c>
      <c r="X1728" s="2" t="b">
        <f t="shared" si="269"/>
        <v>0</v>
      </c>
    </row>
    <row r="1729" spans="1:24" ht="10.5" customHeight="1">
      <c r="A1729" s="2" t="s">
        <v>2083</v>
      </c>
      <c r="B1729" s="3">
        <v>45988.533252314817</v>
      </c>
      <c r="C1729" s="2" t="s">
        <v>202</v>
      </c>
      <c r="D1729" s="2" t="s">
        <v>44</v>
      </c>
      <c r="E1729" s="2" t="s">
        <v>45</v>
      </c>
      <c r="F1729" s="4">
        <v>10500</v>
      </c>
      <c r="G1729" s="5">
        <v>3.2</v>
      </c>
      <c r="H1729" s="6">
        <v>0</v>
      </c>
      <c r="I1729" s="7">
        <f t="shared" si="260"/>
        <v>33600</v>
      </c>
      <c r="J1729" s="7">
        <f t="shared" si="261"/>
        <v>0</v>
      </c>
      <c r="K1729" s="7">
        <f t="shared" si="262"/>
        <v>33600</v>
      </c>
      <c r="L1729" s="4">
        <v>43000</v>
      </c>
      <c r="M1729" s="7">
        <f t="shared" si="263"/>
        <v>76600</v>
      </c>
      <c r="N1729" s="2" t="s">
        <v>28</v>
      </c>
      <c r="O1729" t="s">
        <v>115</v>
      </c>
      <c r="P1729" s="2" t="s">
        <v>2365</v>
      </c>
      <c r="Q1729" s="2">
        <v>4</v>
      </c>
      <c r="R1729" s="2" t="s">
        <v>23</v>
      </c>
      <c r="S1729" s="2" t="str">
        <f t="shared" si="264"/>
        <v>Rendah</v>
      </c>
      <c r="T1729" s="2" t="str">
        <f t="shared" si="265"/>
        <v>FALSE</v>
      </c>
      <c r="U1729" s="2" t="str">
        <f t="shared" si="266"/>
        <v>FALSE</v>
      </c>
      <c r="V1729" s="2" t="b">
        <f t="shared" si="267"/>
        <v>0</v>
      </c>
      <c r="W1729" s="2" t="b">
        <f t="shared" si="268"/>
        <v>0</v>
      </c>
      <c r="X1729" s="2" t="b">
        <f t="shared" si="269"/>
        <v>0</v>
      </c>
    </row>
    <row r="1730" spans="1:24" ht="10.5" customHeight="1">
      <c r="A1730" s="2" t="s">
        <v>2084</v>
      </c>
      <c r="B1730" s="3">
        <v>45988.580555555563</v>
      </c>
      <c r="C1730" s="2" t="s">
        <v>980</v>
      </c>
      <c r="D1730" s="2" t="s">
        <v>164</v>
      </c>
      <c r="E1730" s="2" t="s">
        <v>53</v>
      </c>
      <c r="F1730" s="4">
        <v>14000</v>
      </c>
      <c r="G1730" s="5">
        <v>0.9</v>
      </c>
      <c r="H1730" s="6">
        <v>0</v>
      </c>
      <c r="I1730" s="7">
        <f t="shared" si="260"/>
        <v>12600</v>
      </c>
      <c r="J1730" s="7">
        <f t="shared" si="261"/>
        <v>0</v>
      </c>
      <c r="K1730" s="7">
        <f t="shared" si="262"/>
        <v>12600</v>
      </c>
      <c r="L1730" s="4">
        <v>49000</v>
      </c>
      <c r="M1730" s="7">
        <f t="shared" si="263"/>
        <v>61600</v>
      </c>
      <c r="N1730" s="2" t="s">
        <v>58</v>
      </c>
      <c r="O1730" t="s">
        <v>22</v>
      </c>
      <c r="P1730" s="2" t="s">
        <v>2368</v>
      </c>
      <c r="Q1730" s="2">
        <v>2</v>
      </c>
      <c r="R1730" s="2" t="s">
        <v>23</v>
      </c>
      <c r="S1730" s="2" t="str">
        <f t="shared" si="264"/>
        <v>Rendah</v>
      </c>
      <c r="T1730" s="2" t="str">
        <f t="shared" si="265"/>
        <v>FALSE</v>
      </c>
      <c r="U1730" s="2" t="str">
        <f t="shared" si="266"/>
        <v>FALSE</v>
      </c>
      <c r="V1730" s="2" t="b">
        <f t="shared" si="267"/>
        <v>0</v>
      </c>
      <c r="W1730" s="2" t="b">
        <f t="shared" si="268"/>
        <v>0</v>
      </c>
      <c r="X1730" s="2" t="b">
        <f t="shared" si="269"/>
        <v>0</v>
      </c>
    </row>
    <row r="1731" spans="1:24" ht="10.5" customHeight="1">
      <c r="A1731" s="2" t="s">
        <v>2085</v>
      </c>
      <c r="B1731" s="3">
        <v>45988.618622685193</v>
      </c>
      <c r="C1731" s="2" t="s">
        <v>316</v>
      </c>
      <c r="D1731" s="2" t="s">
        <v>252</v>
      </c>
      <c r="E1731" s="2" t="s">
        <v>182</v>
      </c>
      <c r="F1731" s="4">
        <v>11000</v>
      </c>
      <c r="G1731" s="5">
        <v>1.3</v>
      </c>
      <c r="H1731" s="6">
        <v>0</v>
      </c>
      <c r="I1731" s="7">
        <f t="shared" si="260"/>
        <v>14300</v>
      </c>
      <c r="J1731" s="7">
        <f t="shared" si="261"/>
        <v>0</v>
      </c>
      <c r="K1731" s="7">
        <f t="shared" si="262"/>
        <v>14300</v>
      </c>
      <c r="L1731" s="4">
        <v>18000</v>
      </c>
      <c r="M1731" s="7">
        <f t="shared" si="263"/>
        <v>32300</v>
      </c>
      <c r="N1731" s="2" t="s">
        <v>28</v>
      </c>
      <c r="O1731" t="s">
        <v>22</v>
      </c>
      <c r="P1731" s="2" t="s">
        <v>2368</v>
      </c>
      <c r="Q1731" s="2">
        <v>3</v>
      </c>
      <c r="R1731" s="2" t="s">
        <v>34</v>
      </c>
      <c r="S1731" s="2" t="str">
        <f t="shared" si="264"/>
        <v>Sangat Rendah</v>
      </c>
      <c r="T1731" s="2" t="str">
        <f t="shared" si="265"/>
        <v>FALSE</v>
      </c>
      <c r="U1731" s="2" t="str">
        <f t="shared" si="266"/>
        <v>FALSE</v>
      </c>
      <c r="V1731" s="2" t="b">
        <f t="shared" si="267"/>
        <v>0</v>
      </c>
      <c r="W1731" s="2" t="b">
        <f t="shared" si="268"/>
        <v>0</v>
      </c>
      <c r="X1731" s="2" t="b">
        <f t="shared" si="269"/>
        <v>0</v>
      </c>
    </row>
    <row r="1732" spans="1:24" ht="10.5" customHeight="1">
      <c r="A1732" s="2" t="s">
        <v>2086</v>
      </c>
      <c r="B1732" s="3">
        <v>45988.644942129627</v>
      </c>
      <c r="C1732" s="2" t="s">
        <v>2087</v>
      </c>
      <c r="D1732" s="2" t="s">
        <v>48</v>
      </c>
      <c r="E1732" s="2" t="s">
        <v>57</v>
      </c>
      <c r="F1732" s="4">
        <v>17500</v>
      </c>
      <c r="G1732" s="5">
        <v>2.7</v>
      </c>
      <c r="H1732" s="6">
        <v>0</v>
      </c>
      <c r="I1732" s="7">
        <f t="shared" ref="I1732:I1795" si="270">F1732*G1732</f>
        <v>47250</v>
      </c>
      <c r="J1732" s="7">
        <f t="shared" ref="J1732:J1795" si="271">I1732*(H1732/100)</f>
        <v>0</v>
      </c>
      <c r="K1732" s="7">
        <f t="shared" ref="K1732:K1795" si="272">I1732-J1732</f>
        <v>47250</v>
      </c>
      <c r="L1732" s="4">
        <v>18000</v>
      </c>
      <c r="M1732" s="7">
        <f t="shared" ref="M1732:M1795" si="273">K1732+L1732</f>
        <v>65250</v>
      </c>
      <c r="N1732" s="2" t="s">
        <v>28</v>
      </c>
      <c r="O1732" t="s">
        <v>22</v>
      </c>
      <c r="P1732" s="2" t="s">
        <v>2366</v>
      </c>
      <c r="Q1732" s="2">
        <v>4</v>
      </c>
      <c r="R1732" s="2" t="s">
        <v>23</v>
      </c>
      <c r="S1732" s="2" t="str">
        <f t="shared" ref="S1732:S1795" si="274">IF(M1732&lt;=50000,"Sangat Rendah",IF(M1732&lt;=100000,"Rendah",IF(M1732&lt;=150000,"Standar",IF(M1732&lt;=200000,"Tinggi","Sangat Tinggi"))))</f>
        <v>Rendah</v>
      </c>
      <c r="T1732" s="2" t="str">
        <f t="shared" ref="T1732:T1795" si="275">IF(AND(S1732="Rendah",D1732="Yogyakarta"),"TRUE","FALSE")</f>
        <v>FALSE</v>
      </c>
      <c r="U1732" s="2" t="str">
        <f t="shared" ref="U1732:U1795" si="276">IF(OR(S1732="Tinggi",E1732="Bayam"),"TRUE","FALSE")</f>
        <v>FALSE</v>
      </c>
      <c r="V1732" s="2" t="b">
        <f t="shared" ref="V1732:V1795" si="277">IF(AND(S1732="Standar",N1732="Transef Bank"),TRUE,FALSE)</f>
        <v>0</v>
      </c>
      <c r="W1732" s="2" t="b">
        <f t="shared" ref="W1732:W1795" si="278">IF(OR(S1732="Sangat Tinggi",P1732="FoodMart"),TRUE,FALSE)</f>
        <v>0</v>
      </c>
      <c r="X1732" s="2" t="b">
        <f t="shared" ref="X1732:X1795" si="279">IF(AND(S1732="Sangat Rendah",R1732="Perempuan"),TRUE,FALSE)</f>
        <v>0</v>
      </c>
    </row>
    <row r="1733" spans="1:24" ht="10.5" customHeight="1">
      <c r="A1733" s="2" t="s">
        <v>2088</v>
      </c>
      <c r="B1733" s="3">
        <v>45988.701747685183</v>
      </c>
      <c r="C1733" s="2" t="s">
        <v>547</v>
      </c>
      <c r="D1733" s="2" t="s">
        <v>164</v>
      </c>
      <c r="E1733" s="2" t="s">
        <v>41</v>
      </c>
      <c r="F1733" s="4">
        <v>40000</v>
      </c>
      <c r="G1733" s="5">
        <v>0.6</v>
      </c>
      <c r="H1733" s="6">
        <v>0</v>
      </c>
      <c r="I1733" s="7">
        <f t="shared" si="270"/>
        <v>24000</v>
      </c>
      <c r="J1733" s="7">
        <f t="shared" si="271"/>
        <v>0</v>
      </c>
      <c r="K1733" s="7">
        <f t="shared" si="272"/>
        <v>24000</v>
      </c>
      <c r="L1733" s="4">
        <v>49000</v>
      </c>
      <c r="M1733" s="7">
        <f t="shared" si="273"/>
        <v>73000</v>
      </c>
      <c r="N1733" s="2" t="s">
        <v>33</v>
      </c>
      <c r="O1733" t="s">
        <v>22</v>
      </c>
      <c r="P1733" s="2" t="s">
        <v>2367</v>
      </c>
      <c r="Q1733" s="2">
        <v>4</v>
      </c>
      <c r="R1733" s="2" t="s">
        <v>23</v>
      </c>
      <c r="S1733" s="2" t="str">
        <f t="shared" si="274"/>
        <v>Rendah</v>
      </c>
      <c r="T1733" s="2" t="str">
        <f t="shared" si="275"/>
        <v>FALSE</v>
      </c>
      <c r="U1733" s="2" t="str">
        <f t="shared" si="276"/>
        <v>FALSE</v>
      </c>
      <c r="V1733" s="2" t="b">
        <f t="shared" si="277"/>
        <v>0</v>
      </c>
      <c r="W1733" s="2" t="b">
        <f t="shared" si="278"/>
        <v>1</v>
      </c>
      <c r="X1733" s="2" t="b">
        <f t="shared" si="279"/>
        <v>0</v>
      </c>
    </row>
    <row r="1734" spans="1:24" ht="10.5" customHeight="1">
      <c r="A1734" s="2" t="s">
        <v>2089</v>
      </c>
      <c r="B1734" s="3">
        <v>45988.717650462961</v>
      </c>
      <c r="C1734" s="2" t="s">
        <v>349</v>
      </c>
      <c r="D1734" s="2" t="s">
        <v>64</v>
      </c>
      <c r="E1734" s="2" t="s">
        <v>95</v>
      </c>
      <c r="F1734" s="4">
        <v>9500</v>
      </c>
      <c r="G1734" s="5">
        <v>1.2</v>
      </c>
      <c r="H1734" s="6">
        <v>0</v>
      </c>
      <c r="I1734" s="7">
        <f t="shared" si="270"/>
        <v>11400</v>
      </c>
      <c r="J1734" s="7">
        <f t="shared" si="271"/>
        <v>0</v>
      </c>
      <c r="K1734" s="7">
        <f t="shared" si="272"/>
        <v>11400</v>
      </c>
      <c r="L1734" s="4">
        <v>89000</v>
      </c>
      <c r="M1734" s="7">
        <f t="shared" si="273"/>
        <v>100400</v>
      </c>
      <c r="N1734" s="2" t="s">
        <v>33</v>
      </c>
      <c r="O1734" t="s">
        <v>22</v>
      </c>
      <c r="P1734" s="2" t="s">
        <v>2366</v>
      </c>
      <c r="Q1734" s="2">
        <v>3</v>
      </c>
      <c r="R1734" s="2" t="s">
        <v>23</v>
      </c>
      <c r="S1734" s="2" t="str">
        <f t="shared" si="274"/>
        <v>Standar</v>
      </c>
      <c r="T1734" s="2" t="str">
        <f t="shared" si="275"/>
        <v>FALSE</v>
      </c>
      <c r="U1734" s="2" t="str">
        <f t="shared" si="276"/>
        <v>FALSE</v>
      </c>
      <c r="V1734" s="2" t="b">
        <f t="shared" si="277"/>
        <v>0</v>
      </c>
      <c r="W1734" s="2" t="b">
        <f t="shared" si="278"/>
        <v>0</v>
      </c>
      <c r="X1734" s="2" t="b">
        <f t="shared" si="279"/>
        <v>0</v>
      </c>
    </row>
    <row r="1735" spans="1:24" ht="10.5" customHeight="1">
      <c r="A1735" s="2" t="s">
        <v>2090</v>
      </c>
      <c r="B1735" s="3">
        <v>45988.720231481479</v>
      </c>
      <c r="C1735" s="2" t="s">
        <v>47</v>
      </c>
      <c r="D1735" s="2" t="s">
        <v>48</v>
      </c>
      <c r="E1735" s="2" t="s">
        <v>20</v>
      </c>
      <c r="F1735" s="4">
        <v>10000</v>
      </c>
      <c r="G1735" s="5">
        <v>2</v>
      </c>
      <c r="H1735" s="6">
        <v>0</v>
      </c>
      <c r="I1735" s="7">
        <f t="shared" si="270"/>
        <v>20000</v>
      </c>
      <c r="J1735" s="7">
        <f t="shared" si="271"/>
        <v>0</v>
      </c>
      <c r="K1735" s="7">
        <f t="shared" si="272"/>
        <v>20000</v>
      </c>
      <c r="L1735" s="4">
        <v>18000</v>
      </c>
      <c r="M1735" s="7">
        <f t="shared" si="273"/>
        <v>38000</v>
      </c>
      <c r="N1735" s="2" t="s">
        <v>58</v>
      </c>
      <c r="O1735" t="s">
        <v>22</v>
      </c>
      <c r="P1735" s="2" t="s">
        <v>2365</v>
      </c>
      <c r="Q1735" s="2">
        <v>4</v>
      </c>
      <c r="R1735" s="2" t="s">
        <v>23</v>
      </c>
      <c r="S1735" s="2" t="str">
        <f t="shared" si="274"/>
        <v>Sangat Rendah</v>
      </c>
      <c r="T1735" s="2" t="str">
        <f t="shared" si="275"/>
        <v>FALSE</v>
      </c>
      <c r="U1735" s="2" t="str">
        <f t="shared" si="276"/>
        <v>FALSE</v>
      </c>
      <c r="V1735" s="2" t="b">
        <f t="shared" si="277"/>
        <v>0</v>
      </c>
      <c r="W1735" s="2" t="b">
        <f t="shared" si="278"/>
        <v>0</v>
      </c>
      <c r="X1735" s="2" t="b">
        <f t="shared" si="279"/>
        <v>1</v>
      </c>
    </row>
    <row r="1736" spans="1:24" ht="10.5" customHeight="1">
      <c r="A1736" s="2" t="s">
        <v>2091</v>
      </c>
      <c r="B1736" s="3">
        <v>45988.72923611111</v>
      </c>
      <c r="C1736" s="2" t="s">
        <v>147</v>
      </c>
      <c r="D1736" s="2" t="s">
        <v>19</v>
      </c>
      <c r="E1736" s="2" t="s">
        <v>41</v>
      </c>
      <c r="F1736" s="4">
        <v>40000</v>
      </c>
      <c r="G1736" s="5">
        <v>1.2</v>
      </c>
      <c r="H1736" s="6">
        <v>0</v>
      </c>
      <c r="I1736" s="7">
        <f t="shared" si="270"/>
        <v>48000</v>
      </c>
      <c r="J1736" s="7">
        <f t="shared" si="271"/>
        <v>0</v>
      </c>
      <c r="K1736" s="7">
        <f t="shared" si="272"/>
        <v>48000</v>
      </c>
      <c r="L1736" s="4">
        <v>15000</v>
      </c>
      <c r="M1736" s="7">
        <f t="shared" si="273"/>
        <v>63000</v>
      </c>
      <c r="N1736" s="2" t="s">
        <v>33</v>
      </c>
      <c r="O1736" t="s">
        <v>22</v>
      </c>
      <c r="P1736" s="2" t="s">
        <v>2367</v>
      </c>
      <c r="Q1736" s="2">
        <v>3</v>
      </c>
      <c r="R1736" s="2" t="s">
        <v>23</v>
      </c>
      <c r="S1736" s="2" t="str">
        <f t="shared" si="274"/>
        <v>Rendah</v>
      </c>
      <c r="T1736" s="2" t="str">
        <f t="shared" si="275"/>
        <v>FALSE</v>
      </c>
      <c r="U1736" s="2" t="str">
        <f t="shared" si="276"/>
        <v>FALSE</v>
      </c>
      <c r="V1736" s="2" t="b">
        <f t="shared" si="277"/>
        <v>0</v>
      </c>
      <c r="W1736" s="2" t="b">
        <f t="shared" si="278"/>
        <v>1</v>
      </c>
      <c r="X1736" s="2" t="b">
        <f t="shared" si="279"/>
        <v>0</v>
      </c>
    </row>
    <row r="1737" spans="1:24" ht="10.5" customHeight="1">
      <c r="A1737" s="2" t="s">
        <v>2092</v>
      </c>
      <c r="B1737" s="3">
        <v>45988.74796296296</v>
      </c>
      <c r="C1737" s="2" t="s">
        <v>130</v>
      </c>
      <c r="D1737" s="2" t="s">
        <v>84</v>
      </c>
      <c r="E1737" s="2" t="s">
        <v>45</v>
      </c>
      <c r="F1737" s="4">
        <v>10500</v>
      </c>
      <c r="G1737" s="5">
        <v>1.3</v>
      </c>
      <c r="H1737" s="6">
        <v>0</v>
      </c>
      <c r="I1737" s="7">
        <f t="shared" si="270"/>
        <v>13650</v>
      </c>
      <c r="J1737" s="7">
        <f t="shared" si="271"/>
        <v>0</v>
      </c>
      <c r="K1737" s="7">
        <f t="shared" si="272"/>
        <v>13650</v>
      </c>
      <c r="L1737" s="4">
        <v>30000</v>
      </c>
      <c r="M1737" s="7">
        <f t="shared" si="273"/>
        <v>43650</v>
      </c>
      <c r="N1737" s="2" t="s">
        <v>33</v>
      </c>
      <c r="O1737" t="s">
        <v>22</v>
      </c>
      <c r="P1737" s="2" t="s">
        <v>2368</v>
      </c>
      <c r="Q1737" s="2">
        <v>2</v>
      </c>
      <c r="R1737" s="2" t="s">
        <v>23</v>
      </c>
      <c r="S1737" s="2" t="str">
        <f t="shared" si="274"/>
        <v>Sangat Rendah</v>
      </c>
      <c r="T1737" s="2" t="str">
        <f t="shared" si="275"/>
        <v>FALSE</v>
      </c>
      <c r="U1737" s="2" t="str">
        <f t="shared" si="276"/>
        <v>FALSE</v>
      </c>
      <c r="V1737" s="2" t="b">
        <f t="shared" si="277"/>
        <v>0</v>
      </c>
      <c r="W1737" s="2" t="b">
        <f t="shared" si="278"/>
        <v>0</v>
      </c>
      <c r="X1737" s="2" t="b">
        <f t="shared" si="279"/>
        <v>1</v>
      </c>
    </row>
    <row r="1738" spans="1:24" ht="10.5" customHeight="1">
      <c r="A1738" s="2" t="s">
        <v>2093</v>
      </c>
      <c r="B1738" s="3">
        <v>45988.878483796303</v>
      </c>
      <c r="C1738" s="2" t="s">
        <v>1303</v>
      </c>
      <c r="D1738" s="2" t="s">
        <v>94</v>
      </c>
      <c r="E1738" s="2" t="s">
        <v>41</v>
      </c>
      <c r="F1738" s="4">
        <v>40000</v>
      </c>
      <c r="G1738" s="5">
        <v>0.8</v>
      </c>
      <c r="H1738" s="6">
        <v>0</v>
      </c>
      <c r="I1738" s="7">
        <f t="shared" si="270"/>
        <v>32000</v>
      </c>
      <c r="J1738" s="7">
        <f t="shared" si="271"/>
        <v>0</v>
      </c>
      <c r="K1738" s="7">
        <f t="shared" si="272"/>
        <v>32000</v>
      </c>
      <c r="L1738" s="4">
        <v>85000</v>
      </c>
      <c r="M1738" s="7">
        <f t="shared" si="273"/>
        <v>117000</v>
      </c>
      <c r="N1738" s="2" t="s">
        <v>21</v>
      </c>
      <c r="O1738" t="s">
        <v>22</v>
      </c>
      <c r="P1738" s="2" t="s">
        <v>2366</v>
      </c>
      <c r="Q1738" s="2">
        <v>1</v>
      </c>
      <c r="R1738" s="2" t="s">
        <v>23</v>
      </c>
      <c r="S1738" s="2" t="str">
        <f t="shared" si="274"/>
        <v>Standar</v>
      </c>
      <c r="T1738" s="2" t="str">
        <f t="shared" si="275"/>
        <v>FALSE</v>
      </c>
      <c r="U1738" s="2" t="str">
        <f t="shared" si="276"/>
        <v>FALSE</v>
      </c>
      <c r="V1738" s="2" t="b">
        <f t="shared" si="277"/>
        <v>0</v>
      </c>
      <c r="W1738" s="2" t="b">
        <f t="shared" si="278"/>
        <v>0</v>
      </c>
      <c r="X1738" s="2" t="b">
        <f t="shared" si="279"/>
        <v>0</v>
      </c>
    </row>
    <row r="1739" spans="1:24" ht="10.5" customHeight="1">
      <c r="A1739" s="2" t="s">
        <v>2094</v>
      </c>
      <c r="B1739" s="3">
        <v>45988.910763888889</v>
      </c>
      <c r="C1739" s="2" t="s">
        <v>216</v>
      </c>
      <c r="D1739" s="2" t="s">
        <v>179</v>
      </c>
      <c r="E1739" s="2" t="s">
        <v>182</v>
      </c>
      <c r="F1739" s="4">
        <v>11000</v>
      </c>
      <c r="G1739" s="5">
        <v>1.4</v>
      </c>
      <c r="H1739" s="6">
        <v>0</v>
      </c>
      <c r="I1739" s="7">
        <f t="shared" si="270"/>
        <v>15399.999999999998</v>
      </c>
      <c r="J1739" s="7">
        <f t="shared" si="271"/>
        <v>0</v>
      </c>
      <c r="K1739" s="7">
        <f t="shared" si="272"/>
        <v>15399.999999999998</v>
      </c>
      <c r="L1739" s="4">
        <v>57000</v>
      </c>
      <c r="M1739" s="7">
        <f t="shared" si="273"/>
        <v>72400</v>
      </c>
      <c r="N1739" s="2" t="s">
        <v>58</v>
      </c>
      <c r="O1739" t="s">
        <v>69</v>
      </c>
      <c r="P1739" s="2" t="s">
        <v>2366</v>
      </c>
      <c r="Q1739" s="2">
        <v>4</v>
      </c>
      <c r="R1739" s="2" t="s">
        <v>34</v>
      </c>
      <c r="S1739" s="2" t="str">
        <f t="shared" si="274"/>
        <v>Rendah</v>
      </c>
      <c r="T1739" s="2" t="str">
        <f t="shared" si="275"/>
        <v>FALSE</v>
      </c>
      <c r="U1739" s="2" t="str">
        <f t="shared" si="276"/>
        <v>FALSE</v>
      </c>
      <c r="V1739" s="2" t="b">
        <f t="shared" si="277"/>
        <v>0</v>
      </c>
      <c r="W1739" s="2" t="b">
        <f t="shared" si="278"/>
        <v>0</v>
      </c>
      <c r="X1739" s="2" t="b">
        <f t="shared" si="279"/>
        <v>0</v>
      </c>
    </row>
    <row r="1740" spans="1:24" ht="10.5" customHeight="1">
      <c r="A1740" s="2" t="s">
        <v>2095</v>
      </c>
      <c r="B1740" s="3">
        <v>45988.930960648147</v>
      </c>
      <c r="C1740" s="2" t="s">
        <v>1839</v>
      </c>
      <c r="D1740" s="2" t="s">
        <v>229</v>
      </c>
      <c r="E1740" s="2" t="s">
        <v>41</v>
      </c>
      <c r="F1740" s="4">
        <v>40000</v>
      </c>
      <c r="G1740" s="5">
        <v>0.5</v>
      </c>
      <c r="H1740" s="6">
        <v>0</v>
      </c>
      <c r="I1740" s="7">
        <f t="shared" si="270"/>
        <v>20000</v>
      </c>
      <c r="J1740" s="7">
        <f t="shared" si="271"/>
        <v>0</v>
      </c>
      <c r="K1740" s="7">
        <f t="shared" si="272"/>
        <v>20000</v>
      </c>
      <c r="L1740" s="4">
        <v>28000</v>
      </c>
      <c r="M1740" s="7">
        <f t="shared" si="273"/>
        <v>48000</v>
      </c>
      <c r="N1740" s="2" t="s">
        <v>28</v>
      </c>
      <c r="O1740" t="s">
        <v>22</v>
      </c>
      <c r="P1740" s="2" t="s">
        <v>2366</v>
      </c>
      <c r="Q1740" s="2">
        <v>1</v>
      </c>
      <c r="R1740" s="2" t="s">
        <v>23</v>
      </c>
      <c r="S1740" s="2" t="str">
        <f t="shared" si="274"/>
        <v>Sangat Rendah</v>
      </c>
      <c r="T1740" s="2" t="str">
        <f t="shared" si="275"/>
        <v>FALSE</v>
      </c>
      <c r="U1740" s="2" t="str">
        <f t="shared" si="276"/>
        <v>FALSE</v>
      </c>
      <c r="V1740" s="2" t="b">
        <f t="shared" si="277"/>
        <v>0</v>
      </c>
      <c r="W1740" s="2" t="b">
        <f t="shared" si="278"/>
        <v>0</v>
      </c>
      <c r="X1740" s="2" t="b">
        <f t="shared" si="279"/>
        <v>1</v>
      </c>
    </row>
    <row r="1741" spans="1:24" ht="10.5" customHeight="1">
      <c r="A1741" s="2" t="s">
        <v>2096</v>
      </c>
      <c r="B1741" s="3">
        <v>45989.012175925927</v>
      </c>
      <c r="C1741" s="2" t="s">
        <v>379</v>
      </c>
      <c r="D1741" s="2" t="s">
        <v>173</v>
      </c>
      <c r="E1741" s="2" t="s">
        <v>35</v>
      </c>
      <c r="F1741" s="4">
        <v>13500</v>
      </c>
      <c r="G1741" s="5">
        <v>1.6</v>
      </c>
      <c r="H1741" s="6">
        <v>0</v>
      </c>
      <c r="I1741" s="7">
        <f t="shared" si="270"/>
        <v>21600</v>
      </c>
      <c r="J1741" s="7">
        <f t="shared" si="271"/>
        <v>0</v>
      </c>
      <c r="K1741" s="7">
        <f t="shared" si="272"/>
        <v>21600</v>
      </c>
      <c r="L1741" s="4">
        <v>48000</v>
      </c>
      <c r="M1741" s="7">
        <f t="shared" si="273"/>
        <v>69600</v>
      </c>
      <c r="N1741" s="2" t="s">
        <v>21</v>
      </c>
      <c r="O1741" t="s">
        <v>69</v>
      </c>
      <c r="P1741" s="2" t="s">
        <v>2370</v>
      </c>
      <c r="Q1741" s="2">
        <v>5</v>
      </c>
      <c r="R1741" s="2" t="s">
        <v>23</v>
      </c>
      <c r="S1741" s="2" t="str">
        <f t="shared" si="274"/>
        <v>Rendah</v>
      </c>
      <c r="T1741" s="2" t="str">
        <f t="shared" si="275"/>
        <v>FALSE</v>
      </c>
      <c r="U1741" s="2" t="str">
        <f t="shared" si="276"/>
        <v>FALSE</v>
      </c>
      <c r="V1741" s="2" t="b">
        <f t="shared" si="277"/>
        <v>0</v>
      </c>
      <c r="W1741" s="2" t="b">
        <f t="shared" si="278"/>
        <v>0</v>
      </c>
      <c r="X1741" s="2" t="b">
        <f t="shared" si="279"/>
        <v>0</v>
      </c>
    </row>
    <row r="1742" spans="1:24" ht="10.5" customHeight="1">
      <c r="A1742" s="2" t="s">
        <v>2097</v>
      </c>
      <c r="B1742" s="3">
        <v>45989.100219907406</v>
      </c>
      <c r="C1742" s="2" t="s">
        <v>181</v>
      </c>
      <c r="D1742" s="2" t="s">
        <v>98</v>
      </c>
      <c r="E1742" s="2" t="s">
        <v>35</v>
      </c>
      <c r="F1742" s="4">
        <v>13500</v>
      </c>
      <c r="G1742" s="5">
        <v>2.2999999999999998</v>
      </c>
      <c r="H1742" s="6">
        <v>0</v>
      </c>
      <c r="I1742" s="7">
        <f t="shared" si="270"/>
        <v>31049.999999999996</v>
      </c>
      <c r="J1742" s="7">
        <f t="shared" si="271"/>
        <v>0</v>
      </c>
      <c r="K1742" s="7">
        <f t="shared" si="272"/>
        <v>31049.999999999996</v>
      </c>
      <c r="L1742" s="4">
        <v>97000</v>
      </c>
      <c r="M1742" s="7">
        <f t="shared" si="273"/>
        <v>128050</v>
      </c>
      <c r="N1742" s="2" t="s">
        <v>33</v>
      </c>
      <c r="O1742" t="s">
        <v>22</v>
      </c>
      <c r="P1742" s="2" t="s">
        <v>2370</v>
      </c>
      <c r="Q1742" s="2">
        <v>1</v>
      </c>
      <c r="R1742" s="2" t="s">
        <v>23</v>
      </c>
      <c r="S1742" s="2" t="str">
        <f t="shared" si="274"/>
        <v>Standar</v>
      </c>
      <c r="T1742" s="2" t="str">
        <f t="shared" si="275"/>
        <v>FALSE</v>
      </c>
      <c r="U1742" s="2" t="str">
        <f t="shared" si="276"/>
        <v>FALSE</v>
      </c>
      <c r="V1742" s="2" t="b">
        <f t="shared" si="277"/>
        <v>0</v>
      </c>
      <c r="W1742" s="2" t="b">
        <f t="shared" si="278"/>
        <v>0</v>
      </c>
      <c r="X1742" s="2" t="b">
        <f t="shared" si="279"/>
        <v>0</v>
      </c>
    </row>
    <row r="1743" spans="1:24" ht="10.5" customHeight="1">
      <c r="A1743" s="2" t="s">
        <v>2098</v>
      </c>
      <c r="B1743" s="3">
        <v>45989.298541666663</v>
      </c>
      <c r="C1743" s="2" t="s">
        <v>1088</v>
      </c>
      <c r="D1743" s="2" t="s">
        <v>118</v>
      </c>
      <c r="E1743" s="2" t="s">
        <v>41</v>
      </c>
      <c r="F1743" s="4">
        <v>40000</v>
      </c>
      <c r="G1743" s="5">
        <v>0.6</v>
      </c>
      <c r="H1743" s="6">
        <v>0</v>
      </c>
      <c r="I1743" s="7">
        <f t="shared" si="270"/>
        <v>24000</v>
      </c>
      <c r="J1743" s="7">
        <f t="shared" si="271"/>
        <v>0</v>
      </c>
      <c r="K1743" s="7">
        <f t="shared" si="272"/>
        <v>24000</v>
      </c>
      <c r="L1743" s="4">
        <v>84000</v>
      </c>
      <c r="M1743" s="7">
        <f t="shared" si="273"/>
        <v>108000</v>
      </c>
      <c r="N1743" s="2" t="s">
        <v>33</v>
      </c>
      <c r="O1743" t="s">
        <v>69</v>
      </c>
      <c r="P1743" s="2" t="s">
        <v>2365</v>
      </c>
      <c r="Q1743" s="2">
        <v>5</v>
      </c>
      <c r="R1743" s="2" t="s">
        <v>34</v>
      </c>
      <c r="S1743" s="2" t="str">
        <f t="shared" si="274"/>
        <v>Standar</v>
      </c>
      <c r="T1743" s="2" t="str">
        <f t="shared" si="275"/>
        <v>FALSE</v>
      </c>
      <c r="U1743" s="2" t="str">
        <f t="shared" si="276"/>
        <v>FALSE</v>
      </c>
      <c r="V1743" s="2" t="b">
        <f t="shared" si="277"/>
        <v>0</v>
      </c>
      <c r="W1743" s="2" t="b">
        <f t="shared" si="278"/>
        <v>0</v>
      </c>
      <c r="X1743" s="2" t="b">
        <f t="shared" si="279"/>
        <v>0</v>
      </c>
    </row>
    <row r="1744" spans="1:24" ht="10.5" customHeight="1">
      <c r="A1744" s="2" t="s">
        <v>2099</v>
      </c>
      <c r="B1744" s="3">
        <v>45989.36278935185</v>
      </c>
      <c r="C1744" s="2" t="s">
        <v>463</v>
      </c>
      <c r="D1744" s="2" t="s">
        <v>114</v>
      </c>
      <c r="E1744" s="2" t="s">
        <v>80</v>
      </c>
      <c r="F1744" s="4">
        <v>15000</v>
      </c>
      <c r="G1744" s="5">
        <v>1.1000000000000001</v>
      </c>
      <c r="H1744" s="6">
        <v>0</v>
      </c>
      <c r="I1744" s="7">
        <f t="shared" si="270"/>
        <v>16500</v>
      </c>
      <c r="J1744" s="7">
        <f t="shared" si="271"/>
        <v>0</v>
      </c>
      <c r="K1744" s="7">
        <f t="shared" si="272"/>
        <v>16500</v>
      </c>
      <c r="L1744" s="4">
        <v>78000</v>
      </c>
      <c r="M1744" s="7">
        <f t="shared" si="273"/>
        <v>94500</v>
      </c>
      <c r="N1744" s="2" t="s">
        <v>33</v>
      </c>
      <c r="O1744" t="s">
        <v>69</v>
      </c>
      <c r="P1744" s="2" t="s">
        <v>2368</v>
      </c>
      <c r="Q1744" s="2">
        <v>5</v>
      </c>
      <c r="R1744" s="2" t="s">
        <v>23</v>
      </c>
      <c r="S1744" s="2" t="str">
        <f t="shared" si="274"/>
        <v>Rendah</v>
      </c>
      <c r="T1744" s="2" t="str">
        <f t="shared" si="275"/>
        <v>TRUE</v>
      </c>
      <c r="U1744" s="2" t="str">
        <f t="shared" si="276"/>
        <v>FALSE</v>
      </c>
      <c r="V1744" s="2" t="b">
        <f t="shared" si="277"/>
        <v>0</v>
      </c>
      <c r="W1744" s="2" t="b">
        <f t="shared" si="278"/>
        <v>0</v>
      </c>
      <c r="X1744" s="2" t="b">
        <f t="shared" si="279"/>
        <v>0</v>
      </c>
    </row>
    <row r="1745" spans="1:24" ht="10.5" customHeight="1">
      <c r="A1745" s="2" t="s">
        <v>2100</v>
      </c>
      <c r="B1745" s="3">
        <v>45989.379548611112</v>
      </c>
      <c r="C1745" s="2" t="s">
        <v>802</v>
      </c>
      <c r="D1745" s="2" t="s">
        <v>31</v>
      </c>
      <c r="E1745" s="2" t="s">
        <v>41</v>
      </c>
      <c r="F1745" s="4">
        <v>40000</v>
      </c>
      <c r="G1745" s="5">
        <v>1.5</v>
      </c>
      <c r="H1745" s="6">
        <v>0</v>
      </c>
      <c r="I1745" s="7">
        <f t="shared" si="270"/>
        <v>60000</v>
      </c>
      <c r="J1745" s="7">
        <f t="shared" si="271"/>
        <v>0</v>
      </c>
      <c r="K1745" s="7">
        <f t="shared" si="272"/>
        <v>60000</v>
      </c>
      <c r="L1745" s="4">
        <v>76000</v>
      </c>
      <c r="M1745" s="7">
        <f t="shared" si="273"/>
        <v>136000</v>
      </c>
      <c r="N1745" s="2" t="s">
        <v>58</v>
      </c>
      <c r="O1745" t="s">
        <v>69</v>
      </c>
      <c r="P1745" s="2" t="s">
        <v>2368</v>
      </c>
      <c r="Q1745" s="2">
        <v>3</v>
      </c>
      <c r="R1745" s="2" t="s">
        <v>23</v>
      </c>
      <c r="S1745" s="2" t="str">
        <f t="shared" si="274"/>
        <v>Standar</v>
      </c>
      <c r="T1745" s="2" t="str">
        <f t="shared" si="275"/>
        <v>FALSE</v>
      </c>
      <c r="U1745" s="2" t="str">
        <f t="shared" si="276"/>
        <v>FALSE</v>
      </c>
      <c r="V1745" s="2" t="b">
        <f t="shared" si="277"/>
        <v>0</v>
      </c>
      <c r="W1745" s="2" t="b">
        <f t="shared" si="278"/>
        <v>0</v>
      </c>
      <c r="X1745" s="2" t="b">
        <f t="shared" si="279"/>
        <v>0</v>
      </c>
    </row>
    <row r="1746" spans="1:24" ht="10.5" customHeight="1">
      <c r="A1746" s="2" t="s">
        <v>2101</v>
      </c>
      <c r="B1746" s="3">
        <v>45989.407546296286</v>
      </c>
      <c r="C1746" s="2" t="s">
        <v>18</v>
      </c>
      <c r="D1746" s="2" t="s">
        <v>19</v>
      </c>
      <c r="E1746" s="2" t="s">
        <v>170</v>
      </c>
      <c r="F1746" s="4">
        <v>12000</v>
      </c>
      <c r="G1746" s="5">
        <v>0.8</v>
      </c>
      <c r="H1746" s="6">
        <v>0</v>
      </c>
      <c r="I1746" s="7">
        <f t="shared" si="270"/>
        <v>9600</v>
      </c>
      <c r="J1746" s="7">
        <f t="shared" si="271"/>
        <v>0</v>
      </c>
      <c r="K1746" s="7">
        <f t="shared" si="272"/>
        <v>9600</v>
      </c>
      <c r="L1746" s="4">
        <v>15000</v>
      </c>
      <c r="M1746" s="7">
        <f t="shared" si="273"/>
        <v>24600</v>
      </c>
      <c r="N1746" s="2" t="s">
        <v>28</v>
      </c>
      <c r="O1746" t="s">
        <v>22</v>
      </c>
      <c r="P1746" s="2" t="s">
        <v>2366</v>
      </c>
      <c r="Q1746" s="2">
        <v>2</v>
      </c>
      <c r="R1746" s="2" t="s">
        <v>23</v>
      </c>
      <c r="S1746" s="2" t="str">
        <f t="shared" si="274"/>
        <v>Sangat Rendah</v>
      </c>
      <c r="T1746" s="2" t="str">
        <f t="shared" si="275"/>
        <v>FALSE</v>
      </c>
      <c r="U1746" s="2" t="str">
        <f t="shared" si="276"/>
        <v>FALSE</v>
      </c>
      <c r="V1746" s="2" t="b">
        <f t="shared" si="277"/>
        <v>0</v>
      </c>
      <c r="W1746" s="2" t="b">
        <f t="shared" si="278"/>
        <v>0</v>
      </c>
      <c r="X1746" s="2" t="b">
        <f t="shared" si="279"/>
        <v>1</v>
      </c>
    </row>
    <row r="1747" spans="1:24" ht="10.5" customHeight="1">
      <c r="A1747" s="2" t="s">
        <v>2102</v>
      </c>
      <c r="B1747" s="3">
        <v>45989.411921296298</v>
      </c>
      <c r="C1747" s="2" t="s">
        <v>172</v>
      </c>
      <c r="D1747" s="2" t="s">
        <v>173</v>
      </c>
      <c r="E1747" s="2" t="s">
        <v>80</v>
      </c>
      <c r="F1747" s="4">
        <v>15000</v>
      </c>
      <c r="G1747" s="5">
        <v>1.1000000000000001</v>
      </c>
      <c r="H1747" s="6">
        <v>0</v>
      </c>
      <c r="I1747" s="7">
        <f t="shared" si="270"/>
        <v>16500</v>
      </c>
      <c r="J1747" s="7">
        <f t="shared" si="271"/>
        <v>0</v>
      </c>
      <c r="K1747" s="7">
        <f t="shared" si="272"/>
        <v>16500</v>
      </c>
      <c r="L1747" s="4">
        <v>48000</v>
      </c>
      <c r="M1747" s="7">
        <f t="shared" si="273"/>
        <v>64500</v>
      </c>
      <c r="N1747" s="2" t="s">
        <v>21</v>
      </c>
      <c r="O1747" t="s">
        <v>22</v>
      </c>
      <c r="P1747" s="2" t="s">
        <v>2368</v>
      </c>
      <c r="Q1747" s="2">
        <v>2</v>
      </c>
      <c r="R1747" s="2" t="s">
        <v>23</v>
      </c>
      <c r="S1747" s="2" t="str">
        <f t="shared" si="274"/>
        <v>Rendah</v>
      </c>
      <c r="T1747" s="2" t="str">
        <f t="shared" si="275"/>
        <v>FALSE</v>
      </c>
      <c r="U1747" s="2" t="str">
        <f t="shared" si="276"/>
        <v>FALSE</v>
      </c>
      <c r="V1747" s="2" t="b">
        <f t="shared" si="277"/>
        <v>0</v>
      </c>
      <c r="W1747" s="2" t="b">
        <f t="shared" si="278"/>
        <v>0</v>
      </c>
      <c r="X1747" s="2" t="b">
        <f t="shared" si="279"/>
        <v>0</v>
      </c>
    </row>
    <row r="1748" spans="1:24" ht="10.5" customHeight="1">
      <c r="A1748" s="2" t="s">
        <v>2103</v>
      </c>
      <c r="B1748" s="3">
        <v>45989.49894675926</v>
      </c>
      <c r="C1748" s="2" t="s">
        <v>449</v>
      </c>
      <c r="D1748" s="2" t="s">
        <v>56</v>
      </c>
      <c r="E1748" s="2" t="s">
        <v>143</v>
      </c>
      <c r="F1748" s="4">
        <v>10000</v>
      </c>
      <c r="G1748" s="5">
        <v>1</v>
      </c>
      <c r="H1748" s="6">
        <v>0</v>
      </c>
      <c r="I1748" s="7">
        <f t="shared" si="270"/>
        <v>10000</v>
      </c>
      <c r="J1748" s="7">
        <f t="shared" si="271"/>
        <v>0</v>
      </c>
      <c r="K1748" s="7">
        <f t="shared" si="272"/>
        <v>10000</v>
      </c>
      <c r="L1748" s="4">
        <v>26000</v>
      </c>
      <c r="M1748" s="7">
        <f t="shared" si="273"/>
        <v>36000</v>
      </c>
      <c r="N1748" s="2" t="s">
        <v>58</v>
      </c>
      <c r="O1748" t="s">
        <v>22</v>
      </c>
      <c r="P1748" s="2" t="s">
        <v>2368</v>
      </c>
      <c r="Q1748" s="2">
        <v>5</v>
      </c>
      <c r="R1748" s="2" t="s">
        <v>23</v>
      </c>
      <c r="S1748" s="2" t="str">
        <f t="shared" si="274"/>
        <v>Sangat Rendah</v>
      </c>
      <c r="T1748" s="2" t="str">
        <f t="shared" si="275"/>
        <v>FALSE</v>
      </c>
      <c r="U1748" s="2" t="str">
        <f t="shared" si="276"/>
        <v>TRUE</v>
      </c>
      <c r="V1748" s="2" t="b">
        <f t="shared" si="277"/>
        <v>0</v>
      </c>
      <c r="W1748" s="2" t="b">
        <f t="shared" si="278"/>
        <v>0</v>
      </c>
      <c r="X1748" s="2" t="b">
        <f t="shared" si="279"/>
        <v>1</v>
      </c>
    </row>
    <row r="1749" spans="1:24" ht="10.5" customHeight="1">
      <c r="A1749" s="2" t="s">
        <v>2104</v>
      </c>
      <c r="B1749" s="3">
        <v>45989.514513888891</v>
      </c>
      <c r="C1749" s="2" t="s">
        <v>646</v>
      </c>
      <c r="D1749" s="2" t="s">
        <v>185</v>
      </c>
      <c r="E1749" s="2" t="s">
        <v>75</v>
      </c>
      <c r="F1749" s="4">
        <v>45000</v>
      </c>
      <c r="G1749" s="5">
        <v>1.8</v>
      </c>
      <c r="H1749" s="6">
        <v>0</v>
      </c>
      <c r="I1749" s="7">
        <f t="shared" si="270"/>
        <v>81000</v>
      </c>
      <c r="J1749" s="7">
        <f t="shared" si="271"/>
        <v>0</v>
      </c>
      <c r="K1749" s="7">
        <f t="shared" si="272"/>
        <v>81000</v>
      </c>
      <c r="L1749" s="4">
        <v>87000</v>
      </c>
      <c r="M1749" s="7">
        <f t="shared" si="273"/>
        <v>168000</v>
      </c>
      <c r="N1749" s="2" t="s">
        <v>58</v>
      </c>
      <c r="O1749" t="s">
        <v>22</v>
      </c>
      <c r="P1749" s="2" t="s">
        <v>2365</v>
      </c>
      <c r="Q1749" s="2">
        <v>4</v>
      </c>
      <c r="R1749" s="2" t="s">
        <v>34</v>
      </c>
      <c r="S1749" s="2" t="str">
        <f t="shared" si="274"/>
        <v>Tinggi</v>
      </c>
      <c r="T1749" s="2" t="str">
        <f t="shared" si="275"/>
        <v>FALSE</v>
      </c>
      <c r="U1749" s="2" t="str">
        <f t="shared" si="276"/>
        <v>TRUE</v>
      </c>
      <c r="V1749" s="2" t="b">
        <f t="shared" si="277"/>
        <v>0</v>
      </c>
      <c r="W1749" s="2" t="b">
        <f t="shared" si="278"/>
        <v>0</v>
      </c>
      <c r="X1749" s="2" t="b">
        <f t="shared" si="279"/>
        <v>0</v>
      </c>
    </row>
    <row r="1750" spans="1:24" ht="10.5" customHeight="1">
      <c r="A1750" s="2" t="s">
        <v>2105</v>
      </c>
      <c r="B1750" s="3">
        <v>45989.514537037037</v>
      </c>
      <c r="C1750" s="2" t="s">
        <v>1975</v>
      </c>
      <c r="D1750" s="2" t="s">
        <v>19</v>
      </c>
      <c r="E1750" s="2" t="s">
        <v>170</v>
      </c>
      <c r="F1750" s="4">
        <v>12000</v>
      </c>
      <c r="G1750" s="5">
        <v>1.1000000000000001</v>
      </c>
      <c r="H1750" s="6">
        <v>0</v>
      </c>
      <c r="I1750" s="7">
        <f t="shared" si="270"/>
        <v>13200.000000000002</v>
      </c>
      <c r="J1750" s="7">
        <f t="shared" si="271"/>
        <v>0</v>
      </c>
      <c r="K1750" s="7">
        <f t="shared" si="272"/>
        <v>13200.000000000002</v>
      </c>
      <c r="L1750" s="4">
        <v>15000</v>
      </c>
      <c r="M1750" s="7">
        <f t="shared" si="273"/>
        <v>28200</v>
      </c>
      <c r="N1750" s="2" t="s">
        <v>33</v>
      </c>
      <c r="O1750" t="s">
        <v>22</v>
      </c>
      <c r="P1750" s="2" t="s">
        <v>2368</v>
      </c>
      <c r="Q1750" s="2">
        <v>2</v>
      </c>
      <c r="R1750" s="2" t="s">
        <v>23</v>
      </c>
      <c r="S1750" s="2" t="str">
        <f t="shared" si="274"/>
        <v>Sangat Rendah</v>
      </c>
      <c r="T1750" s="2" t="str">
        <f t="shared" si="275"/>
        <v>FALSE</v>
      </c>
      <c r="U1750" s="2" t="str">
        <f t="shared" si="276"/>
        <v>FALSE</v>
      </c>
      <c r="V1750" s="2" t="b">
        <f t="shared" si="277"/>
        <v>0</v>
      </c>
      <c r="W1750" s="2" t="b">
        <f t="shared" si="278"/>
        <v>0</v>
      </c>
      <c r="X1750" s="2" t="b">
        <f t="shared" si="279"/>
        <v>1</v>
      </c>
    </row>
    <row r="1751" spans="1:24" ht="10.5" customHeight="1">
      <c r="A1751" s="2" t="s">
        <v>2106</v>
      </c>
      <c r="B1751" s="3">
        <v>45989.570879629631</v>
      </c>
      <c r="C1751" s="2" t="s">
        <v>1028</v>
      </c>
      <c r="D1751" s="2" t="s">
        <v>48</v>
      </c>
      <c r="E1751" s="2" t="s">
        <v>190</v>
      </c>
      <c r="F1751" s="4">
        <v>15500</v>
      </c>
      <c r="G1751" s="5">
        <v>0.3</v>
      </c>
      <c r="H1751" s="6">
        <v>0</v>
      </c>
      <c r="I1751" s="7">
        <f t="shared" si="270"/>
        <v>4650</v>
      </c>
      <c r="J1751" s="7">
        <f t="shared" si="271"/>
        <v>0</v>
      </c>
      <c r="K1751" s="7">
        <f t="shared" si="272"/>
        <v>4650</v>
      </c>
      <c r="L1751" s="4">
        <v>18000</v>
      </c>
      <c r="M1751" s="7">
        <f t="shared" si="273"/>
        <v>22650</v>
      </c>
      <c r="N1751" s="2" t="s">
        <v>21</v>
      </c>
      <c r="O1751" t="s">
        <v>2107</v>
      </c>
      <c r="P1751" s="2" t="s">
        <v>2366</v>
      </c>
      <c r="Q1751" s="2">
        <v>3</v>
      </c>
      <c r="R1751" s="2" t="s">
        <v>23</v>
      </c>
      <c r="S1751" s="2" t="str">
        <f t="shared" si="274"/>
        <v>Sangat Rendah</v>
      </c>
      <c r="T1751" s="2" t="str">
        <f t="shared" si="275"/>
        <v>FALSE</v>
      </c>
      <c r="U1751" s="2" t="str">
        <f t="shared" si="276"/>
        <v>FALSE</v>
      </c>
      <c r="V1751" s="2" t="b">
        <f t="shared" si="277"/>
        <v>0</v>
      </c>
      <c r="W1751" s="2" t="b">
        <f t="shared" si="278"/>
        <v>0</v>
      </c>
      <c r="X1751" s="2" t="b">
        <f t="shared" si="279"/>
        <v>1</v>
      </c>
    </row>
    <row r="1752" spans="1:24" ht="10.5" customHeight="1">
      <c r="A1752" s="2" t="s">
        <v>2108</v>
      </c>
      <c r="B1752" s="3">
        <v>45989.589178240742</v>
      </c>
      <c r="C1752" s="2" t="s">
        <v>358</v>
      </c>
      <c r="D1752" s="2" t="s">
        <v>105</v>
      </c>
      <c r="E1752" s="2" t="s">
        <v>35</v>
      </c>
      <c r="F1752" s="4">
        <v>13500</v>
      </c>
      <c r="G1752" s="5">
        <v>1</v>
      </c>
      <c r="H1752" s="6">
        <v>0</v>
      </c>
      <c r="I1752" s="7">
        <f t="shared" si="270"/>
        <v>13500</v>
      </c>
      <c r="J1752" s="7">
        <f t="shared" si="271"/>
        <v>0</v>
      </c>
      <c r="K1752" s="7">
        <f t="shared" si="272"/>
        <v>13500</v>
      </c>
      <c r="L1752" s="4">
        <v>18000</v>
      </c>
      <c r="M1752" s="7">
        <f t="shared" si="273"/>
        <v>31500</v>
      </c>
      <c r="N1752" s="2" t="s">
        <v>21</v>
      </c>
      <c r="O1752" t="s">
        <v>2107</v>
      </c>
      <c r="P1752" s="2" t="s">
        <v>2366</v>
      </c>
      <c r="Q1752" s="2">
        <v>5</v>
      </c>
      <c r="R1752" s="2" t="s">
        <v>34</v>
      </c>
      <c r="S1752" s="2" t="str">
        <f t="shared" si="274"/>
        <v>Sangat Rendah</v>
      </c>
      <c r="T1752" s="2" t="str">
        <f t="shared" si="275"/>
        <v>FALSE</v>
      </c>
      <c r="U1752" s="2" t="str">
        <f t="shared" si="276"/>
        <v>FALSE</v>
      </c>
      <c r="V1752" s="2" t="b">
        <f t="shared" si="277"/>
        <v>0</v>
      </c>
      <c r="W1752" s="2" t="b">
        <f t="shared" si="278"/>
        <v>0</v>
      </c>
      <c r="X1752" s="2" t="b">
        <f t="shared" si="279"/>
        <v>0</v>
      </c>
    </row>
    <row r="1753" spans="1:24" ht="10.5" customHeight="1">
      <c r="A1753" s="2" t="s">
        <v>2109</v>
      </c>
      <c r="B1753" s="3">
        <v>45989.592442129629</v>
      </c>
      <c r="C1753" s="2" t="s">
        <v>673</v>
      </c>
      <c r="D1753" s="2" t="s">
        <v>26</v>
      </c>
      <c r="E1753" s="2" t="s">
        <v>75</v>
      </c>
      <c r="F1753" s="4">
        <v>45000</v>
      </c>
      <c r="G1753" s="5">
        <v>0.9</v>
      </c>
      <c r="H1753" s="6">
        <v>0</v>
      </c>
      <c r="I1753" s="7">
        <f t="shared" si="270"/>
        <v>40500</v>
      </c>
      <c r="J1753" s="7">
        <f t="shared" si="271"/>
        <v>0</v>
      </c>
      <c r="K1753" s="7">
        <f t="shared" si="272"/>
        <v>40500</v>
      </c>
      <c r="L1753" s="4">
        <v>17000</v>
      </c>
      <c r="M1753" s="7">
        <f t="shared" si="273"/>
        <v>57500</v>
      </c>
      <c r="N1753" s="2" t="s">
        <v>33</v>
      </c>
      <c r="O1753" t="s">
        <v>2110</v>
      </c>
      <c r="P1753" s="2" t="s">
        <v>2367</v>
      </c>
      <c r="Q1753" s="2">
        <v>4</v>
      </c>
      <c r="R1753" s="2" t="s">
        <v>34</v>
      </c>
      <c r="S1753" s="2" t="str">
        <f t="shared" si="274"/>
        <v>Rendah</v>
      </c>
      <c r="T1753" s="2" t="str">
        <f t="shared" si="275"/>
        <v>FALSE</v>
      </c>
      <c r="U1753" s="2" t="str">
        <f t="shared" si="276"/>
        <v>FALSE</v>
      </c>
      <c r="V1753" s="2" t="b">
        <f t="shared" si="277"/>
        <v>0</v>
      </c>
      <c r="W1753" s="2" t="b">
        <f t="shared" si="278"/>
        <v>1</v>
      </c>
      <c r="X1753" s="2" t="b">
        <f t="shared" si="279"/>
        <v>0</v>
      </c>
    </row>
    <row r="1754" spans="1:24" ht="10.5" customHeight="1">
      <c r="A1754" s="2" t="s">
        <v>2111</v>
      </c>
      <c r="B1754" s="3">
        <v>45989.621342592603</v>
      </c>
      <c r="C1754" s="2" t="s">
        <v>634</v>
      </c>
      <c r="D1754" s="2" t="s">
        <v>235</v>
      </c>
      <c r="E1754" s="2" t="s">
        <v>57</v>
      </c>
      <c r="F1754" s="4">
        <v>17500</v>
      </c>
      <c r="G1754" s="5">
        <v>2.1</v>
      </c>
      <c r="H1754" s="6">
        <v>0</v>
      </c>
      <c r="I1754" s="7">
        <f t="shared" si="270"/>
        <v>36750</v>
      </c>
      <c r="J1754" s="7">
        <f t="shared" si="271"/>
        <v>0</v>
      </c>
      <c r="K1754" s="7">
        <f t="shared" si="272"/>
        <v>36750</v>
      </c>
      <c r="L1754" s="4">
        <v>80000</v>
      </c>
      <c r="M1754" s="7">
        <f t="shared" si="273"/>
        <v>116750</v>
      </c>
      <c r="N1754" s="2" t="s">
        <v>58</v>
      </c>
      <c r="O1754" t="s">
        <v>2110</v>
      </c>
      <c r="P1754" s="2" t="s">
        <v>2366</v>
      </c>
      <c r="Q1754" s="2">
        <v>5</v>
      </c>
      <c r="R1754" s="2" t="s">
        <v>23</v>
      </c>
      <c r="S1754" s="2" t="str">
        <f t="shared" si="274"/>
        <v>Standar</v>
      </c>
      <c r="T1754" s="2" t="str">
        <f t="shared" si="275"/>
        <v>FALSE</v>
      </c>
      <c r="U1754" s="2" t="str">
        <f t="shared" si="276"/>
        <v>FALSE</v>
      </c>
      <c r="V1754" s="2" t="b">
        <f t="shared" si="277"/>
        <v>0</v>
      </c>
      <c r="W1754" s="2" t="b">
        <f t="shared" si="278"/>
        <v>0</v>
      </c>
      <c r="X1754" s="2" t="b">
        <f t="shared" si="279"/>
        <v>0</v>
      </c>
    </row>
    <row r="1755" spans="1:24" ht="10.5" customHeight="1">
      <c r="A1755" s="2" t="s">
        <v>2112</v>
      </c>
      <c r="B1755" s="3">
        <v>45989.673379629632</v>
      </c>
      <c r="C1755" s="2" t="s">
        <v>166</v>
      </c>
      <c r="D1755" s="2" t="s">
        <v>167</v>
      </c>
      <c r="E1755" s="2" t="s">
        <v>75</v>
      </c>
      <c r="F1755" s="4">
        <v>45000</v>
      </c>
      <c r="G1755" s="5">
        <v>1.1000000000000001</v>
      </c>
      <c r="H1755" s="6">
        <v>0</v>
      </c>
      <c r="I1755" s="7">
        <f t="shared" si="270"/>
        <v>49500.000000000007</v>
      </c>
      <c r="J1755" s="7">
        <f t="shared" si="271"/>
        <v>0</v>
      </c>
      <c r="K1755" s="7">
        <f t="shared" si="272"/>
        <v>49500.000000000007</v>
      </c>
      <c r="L1755" s="4">
        <v>56000</v>
      </c>
      <c r="M1755" s="7">
        <f t="shared" si="273"/>
        <v>105500</v>
      </c>
      <c r="N1755" s="2" t="s">
        <v>33</v>
      </c>
      <c r="O1755" t="s">
        <v>2110</v>
      </c>
      <c r="P1755" s="2" t="s">
        <v>2370</v>
      </c>
      <c r="Q1755" s="2">
        <v>5</v>
      </c>
      <c r="R1755" s="2" t="s">
        <v>23</v>
      </c>
      <c r="S1755" s="2" t="str">
        <f t="shared" si="274"/>
        <v>Standar</v>
      </c>
      <c r="T1755" s="2" t="str">
        <f t="shared" si="275"/>
        <v>FALSE</v>
      </c>
      <c r="U1755" s="2" t="str">
        <f t="shared" si="276"/>
        <v>FALSE</v>
      </c>
      <c r="V1755" s="2" t="b">
        <f t="shared" si="277"/>
        <v>0</v>
      </c>
      <c r="W1755" s="2" t="b">
        <f t="shared" si="278"/>
        <v>0</v>
      </c>
      <c r="X1755" s="2" t="b">
        <f t="shared" si="279"/>
        <v>0</v>
      </c>
    </row>
    <row r="1756" spans="1:24" ht="10.5" customHeight="1">
      <c r="A1756" s="2" t="s">
        <v>2113</v>
      </c>
      <c r="B1756" s="3">
        <v>45989.853460648148</v>
      </c>
      <c r="C1756" s="2" t="s">
        <v>301</v>
      </c>
      <c r="D1756" s="2" t="s">
        <v>108</v>
      </c>
      <c r="E1756" s="2" t="s">
        <v>53</v>
      </c>
      <c r="F1756" s="4">
        <v>14000</v>
      </c>
      <c r="G1756" s="5">
        <v>1.2</v>
      </c>
      <c r="H1756" s="6">
        <v>0</v>
      </c>
      <c r="I1756" s="7">
        <f t="shared" si="270"/>
        <v>16800</v>
      </c>
      <c r="J1756" s="7">
        <f t="shared" si="271"/>
        <v>0</v>
      </c>
      <c r="K1756" s="7">
        <f t="shared" si="272"/>
        <v>16800</v>
      </c>
      <c r="L1756" s="4">
        <v>72000</v>
      </c>
      <c r="M1756" s="7">
        <f t="shared" si="273"/>
        <v>88800</v>
      </c>
      <c r="N1756" s="2" t="s">
        <v>28</v>
      </c>
      <c r="O1756" t="s">
        <v>69</v>
      </c>
      <c r="P1756" s="2" t="s">
        <v>2366</v>
      </c>
      <c r="Q1756" s="2">
        <v>3</v>
      </c>
      <c r="R1756" s="2" t="s">
        <v>23</v>
      </c>
      <c r="S1756" s="2" t="str">
        <f t="shared" si="274"/>
        <v>Rendah</v>
      </c>
      <c r="T1756" s="2" t="str">
        <f t="shared" si="275"/>
        <v>FALSE</v>
      </c>
      <c r="U1756" s="2" t="str">
        <f t="shared" si="276"/>
        <v>FALSE</v>
      </c>
      <c r="V1756" s="2" t="b">
        <f t="shared" si="277"/>
        <v>0</v>
      </c>
      <c r="W1756" s="2" t="b">
        <f t="shared" si="278"/>
        <v>0</v>
      </c>
      <c r="X1756" s="2" t="b">
        <f t="shared" si="279"/>
        <v>0</v>
      </c>
    </row>
    <row r="1757" spans="1:24" ht="10.5" customHeight="1">
      <c r="A1757" s="2" t="s">
        <v>2114</v>
      </c>
      <c r="B1757" s="3">
        <v>45989.90965277778</v>
      </c>
      <c r="C1757" s="2" t="s">
        <v>110</v>
      </c>
      <c r="D1757" s="2" t="s">
        <v>111</v>
      </c>
      <c r="E1757" s="2" t="s">
        <v>75</v>
      </c>
      <c r="F1757" s="4">
        <v>45000</v>
      </c>
      <c r="G1757" s="5">
        <v>0.5</v>
      </c>
      <c r="H1757" s="6">
        <v>0</v>
      </c>
      <c r="I1757" s="7">
        <f t="shared" si="270"/>
        <v>22500</v>
      </c>
      <c r="J1757" s="7">
        <f t="shared" si="271"/>
        <v>0</v>
      </c>
      <c r="K1757" s="7">
        <f t="shared" si="272"/>
        <v>22500</v>
      </c>
      <c r="L1757" s="4">
        <v>0</v>
      </c>
      <c r="M1757" s="7">
        <f t="shared" si="273"/>
        <v>22500</v>
      </c>
      <c r="N1757" s="2" t="s">
        <v>28</v>
      </c>
      <c r="O1757" t="s">
        <v>22</v>
      </c>
      <c r="P1757" s="2" t="s">
        <v>2370</v>
      </c>
      <c r="Q1757" s="2">
        <v>3</v>
      </c>
      <c r="R1757" s="2" t="s">
        <v>23</v>
      </c>
      <c r="S1757" s="2" t="str">
        <f t="shared" si="274"/>
        <v>Sangat Rendah</v>
      </c>
      <c r="T1757" s="2" t="str">
        <f t="shared" si="275"/>
        <v>FALSE</v>
      </c>
      <c r="U1757" s="2" t="str">
        <f t="shared" si="276"/>
        <v>FALSE</v>
      </c>
      <c r="V1757" s="2" t="b">
        <f t="shared" si="277"/>
        <v>0</v>
      </c>
      <c r="W1757" s="2" t="b">
        <f t="shared" si="278"/>
        <v>0</v>
      </c>
      <c r="X1757" s="2" t="b">
        <f t="shared" si="279"/>
        <v>1</v>
      </c>
    </row>
    <row r="1758" spans="1:24" ht="10.5" customHeight="1">
      <c r="A1758" s="2" t="s">
        <v>2115</v>
      </c>
      <c r="B1758" s="3">
        <v>45990.291365740741</v>
      </c>
      <c r="C1758" s="2" t="s">
        <v>2116</v>
      </c>
      <c r="D1758" s="2" t="s">
        <v>140</v>
      </c>
      <c r="E1758" s="2" t="s">
        <v>170</v>
      </c>
      <c r="F1758" s="4">
        <v>12000</v>
      </c>
      <c r="G1758" s="5">
        <v>0.5</v>
      </c>
      <c r="H1758" s="6">
        <v>0</v>
      </c>
      <c r="I1758" s="7">
        <f t="shared" si="270"/>
        <v>6000</v>
      </c>
      <c r="J1758" s="7">
        <f t="shared" si="271"/>
        <v>0</v>
      </c>
      <c r="K1758" s="7">
        <f t="shared" si="272"/>
        <v>6000</v>
      </c>
      <c r="L1758" s="4">
        <v>55000</v>
      </c>
      <c r="M1758" s="7">
        <f t="shared" si="273"/>
        <v>61000</v>
      </c>
      <c r="N1758" s="2" t="s">
        <v>33</v>
      </c>
      <c r="O1758" t="s">
        <v>22</v>
      </c>
      <c r="P1758" s="2" t="s">
        <v>2370</v>
      </c>
      <c r="Q1758" s="2">
        <v>1</v>
      </c>
      <c r="R1758" s="2" t="s">
        <v>34</v>
      </c>
      <c r="S1758" s="2" t="str">
        <f t="shared" si="274"/>
        <v>Rendah</v>
      </c>
      <c r="T1758" s="2" t="str">
        <f t="shared" si="275"/>
        <v>FALSE</v>
      </c>
      <c r="U1758" s="2" t="str">
        <f t="shared" si="276"/>
        <v>FALSE</v>
      </c>
      <c r="V1758" s="2" t="b">
        <f t="shared" si="277"/>
        <v>0</v>
      </c>
      <c r="W1758" s="2" t="b">
        <f t="shared" si="278"/>
        <v>0</v>
      </c>
      <c r="X1758" s="2" t="b">
        <f t="shared" si="279"/>
        <v>0</v>
      </c>
    </row>
    <row r="1759" spans="1:24" ht="10.5" customHeight="1">
      <c r="A1759" s="2" t="s">
        <v>2117</v>
      </c>
      <c r="B1759" s="3">
        <v>45990.341620370367</v>
      </c>
      <c r="C1759" s="2" t="s">
        <v>850</v>
      </c>
      <c r="D1759" s="2" t="s">
        <v>40</v>
      </c>
      <c r="E1759" s="2" t="s">
        <v>53</v>
      </c>
      <c r="F1759" s="4">
        <v>14000</v>
      </c>
      <c r="G1759" s="5">
        <v>1.2</v>
      </c>
      <c r="H1759" s="6">
        <v>0</v>
      </c>
      <c r="I1759" s="7">
        <f t="shared" si="270"/>
        <v>16800</v>
      </c>
      <c r="J1759" s="7">
        <f t="shared" si="271"/>
        <v>0</v>
      </c>
      <c r="K1759" s="7">
        <f t="shared" si="272"/>
        <v>16800</v>
      </c>
      <c r="L1759" s="4">
        <v>93000</v>
      </c>
      <c r="M1759" s="7">
        <f t="shared" si="273"/>
        <v>109800</v>
      </c>
      <c r="N1759" s="2" t="s">
        <v>21</v>
      </c>
      <c r="O1759" t="s">
        <v>69</v>
      </c>
      <c r="P1759" s="2" t="s">
        <v>2367</v>
      </c>
      <c r="Q1759" s="2">
        <v>2</v>
      </c>
      <c r="R1759" s="2" t="s">
        <v>34</v>
      </c>
      <c r="S1759" s="2" t="str">
        <f t="shared" si="274"/>
        <v>Standar</v>
      </c>
      <c r="T1759" s="2" t="str">
        <f t="shared" si="275"/>
        <v>FALSE</v>
      </c>
      <c r="U1759" s="2" t="str">
        <f t="shared" si="276"/>
        <v>FALSE</v>
      </c>
      <c r="V1759" s="2" t="b">
        <f t="shared" si="277"/>
        <v>0</v>
      </c>
      <c r="W1759" s="2" t="b">
        <f t="shared" si="278"/>
        <v>1</v>
      </c>
      <c r="X1759" s="2" t="b">
        <f t="shared" si="279"/>
        <v>0</v>
      </c>
    </row>
    <row r="1760" spans="1:24" ht="10.5" customHeight="1">
      <c r="A1760" s="2" t="s">
        <v>2118</v>
      </c>
      <c r="B1760" s="3">
        <v>45990.380104166667</v>
      </c>
      <c r="C1760" s="2" t="s">
        <v>560</v>
      </c>
      <c r="D1760" s="2" t="s">
        <v>74</v>
      </c>
      <c r="E1760" s="2" t="s">
        <v>143</v>
      </c>
      <c r="F1760" s="4">
        <v>10000</v>
      </c>
      <c r="G1760" s="5">
        <v>0.9</v>
      </c>
      <c r="H1760" s="6">
        <v>0</v>
      </c>
      <c r="I1760" s="7">
        <f t="shared" si="270"/>
        <v>9000</v>
      </c>
      <c r="J1760" s="7">
        <f t="shared" si="271"/>
        <v>0</v>
      </c>
      <c r="K1760" s="7">
        <f t="shared" si="272"/>
        <v>9000</v>
      </c>
      <c r="L1760" s="4">
        <v>74000</v>
      </c>
      <c r="M1760" s="7">
        <f t="shared" si="273"/>
        <v>83000</v>
      </c>
      <c r="N1760" s="2" t="s">
        <v>58</v>
      </c>
      <c r="O1760" t="s">
        <v>2107</v>
      </c>
      <c r="P1760" s="2" t="s">
        <v>2366</v>
      </c>
      <c r="Q1760" s="2">
        <v>5</v>
      </c>
      <c r="R1760" s="2" t="s">
        <v>23</v>
      </c>
      <c r="S1760" s="2" t="str">
        <f t="shared" si="274"/>
        <v>Rendah</v>
      </c>
      <c r="T1760" s="2" t="str">
        <f t="shared" si="275"/>
        <v>FALSE</v>
      </c>
      <c r="U1760" s="2" t="str">
        <f t="shared" si="276"/>
        <v>TRUE</v>
      </c>
      <c r="V1760" s="2" t="b">
        <f t="shared" si="277"/>
        <v>0</v>
      </c>
      <c r="W1760" s="2" t="b">
        <f t="shared" si="278"/>
        <v>0</v>
      </c>
      <c r="X1760" s="2" t="b">
        <f t="shared" si="279"/>
        <v>0</v>
      </c>
    </row>
    <row r="1761" spans="1:24" ht="10.5" customHeight="1">
      <c r="A1761" s="2" t="s">
        <v>2118</v>
      </c>
      <c r="B1761" s="3">
        <v>45990.380104166667</v>
      </c>
      <c r="C1761" s="2" t="s">
        <v>560</v>
      </c>
      <c r="D1761" s="2" t="s">
        <v>74</v>
      </c>
      <c r="E1761" s="2" t="s">
        <v>32</v>
      </c>
      <c r="F1761" s="4">
        <v>20000</v>
      </c>
      <c r="G1761" s="5">
        <v>2.5</v>
      </c>
      <c r="H1761" s="6">
        <v>0</v>
      </c>
      <c r="I1761" s="7">
        <f t="shared" si="270"/>
        <v>50000</v>
      </c>
      <c r="J1761" s="7">
        <f t="shared" si="271"/>
        <v>0</v>
      </c>
      <c r="K1761" s="7">
        <f t="shared" si="272"/>
        <v>50000</v>
      </c>
      <c r="L1761" s="4">
        <v>0</v>
      </c>
      <c r="M1761" s="7">
        <f t="shared" si="273"/>
        <v>50000</v>
      </c>
      <c r="N1761" s="2" t="s">
        <v>58</v>
      </c>
      <c r="O1761" t="s">
        <v>2107</v>
      </c>
      <c r="P1761" s="2" t="s">
        <v>2366</v>
      </c>
      <c r="Q1761" s="2">
        <v>5</v>
      </c>
      <c r="R1761" s="2" t="s">
        <v>23</v>
      </c>
      <c r="S1761" s="2" t="str">
        <f t="shared" si="274"/>
        <v>Sangat Rendah</v>
      </c>
      <c r="T1761" s="2" t="str">
        <f t="shared" si="275"/>
        <v>FALSE</v>
      </c>
      <c r="U1761" s="2" t="str">
        <f t="shared" si="276"/>
        <v>FALSE</v>
      </c>
      <c r="V1761" s="2" t="b">
        <f t="shared" si="277"/>
        <v>0</v>
      </c>
      <c r="W1761" s="2" t="b">
        <f t="shared" si="278"/>
        <v>0</v>
      </c>
      <c r="X1761" s="2" t="b">
        <f t="shared" si="279"/>
        <v>1</v>
      </c>
    </row>
    <row r="1762" spans="1:24" ht="10.5" customHeight="1">
      <c r="A1762" s="2" t="s">
        <v>2119</v>
      </c>
      <c r="B1762" s="3">
        <v>45990.381249999999</v>
      </c>
      <c r="C1762" s="2" t="s">
        <v>1253</v>
      </c>
      <c r="D1762" s="2" t="s">
        <v>425</v>
      </c>
      <c r="E1762" s="2" t="s">
        <v>41</v>
      </c>
      <c r="F1762" s="4">
        <v>40000</v>
      </c>
      <c r="G1762" s="5">
        <v>0.5</v>
      </c>
      <c r="H1762" s="6">
        <v>0</v>
      </c>
      <c r="I1762" s="7">
        <f t="shared" si="270"/>
        <v>20000</v>
      </c>
      <c r="J1762" s="7">
        <f t="shared" si="271"/>
        <v>0</v>
      </c>
      <c r="K1762" s="7">
        <f t="shared" si="272"/>
        <v>20000</v>
      </c>
      <c r="L1762" s="4">
        <v>67000</v>
      </c>
      <c r="M1762" s="7">
        <f t="shared" si="273"/>
        <v>87000</v>
      </c>
      <c r="N1762" s="2" t="s">
        <v>58</v>
      </c>
      <c r="O1762" t="s">
        <v>22</v>
      </c>
      <c r="P1762" s="2" t="s">
        <v>2365</v>
      </c>
      <c r="Q1762" s="2">
        <v>1</v>
      </c>
      <c r="R1762" s="2" t="s">
        <v>23</v>
      </c>
      <c r="S1762" s="2" t="str">
        <f t="shared" si="274"/>
        <v>Rendah</v>
      </c>
      <c r="T1762" s="2" t="str">
        <f t="shared" si="275"/>
        <v>FALSE</v>
      </c>
      <c r="U1762" s="2" t="str">
        <f t="shared" si="276"/>
        <v>FALSE</v>
      </c>
      <c r="V1762" s="2" t="b">
        <f t="shared" si="277"/>
        <v>0</v>
      </c>
      <c r="W1762" s="2" t="b">
        <f t="shared" si="278"/>
        <v>0</v>
      </c>
      <c r="X1762" s="2" t="b">
        <f t="shared" si="279"/>
        <v>0</v>
      </c>
    </row>
    <row r="1763" spans="1:24" ht="10.5" customHeight="1">
      <c r="A1763" s="2" t="s">
        <v>2120</v>
      </c>
      <c r="B1763" s="3">
        <v>45990.404178240737</v>
      </c>
      <c r="C1763" s="2" t="s">
        <v>169</v>
      </c>
      <c r="D1763" s="2" t="s">
        <v>61</v>
      </c>
      <c r="E1763" s="2" t="s">
        <v>182</v>
      </c>
      <c r="F1763" s="4">
        <v>11000</v>
      </c>
      <c r="G1763" s="5">
        <v>1.7</v>
      </c>
      <c r="H1763" s="6">
        <v>0</v>
      </c>
      <c r="I1763" s="7">
        <f t="shared" si="270"/>
        <v>18700</v>
      </c>
      <c r="J1763" s="7">
        <f t="shared" si="271"/>
        <v>0</v>
      </c>
      <c r="K1763" s="7">
        <f t="shared" si="272"/>
        <v>18700</v>
      </c>
      <c r="L1763" s="4">
        <v>59000</v>
      </c>
      <c r="M1763" s="7">
        <f t="shared" si="273"/>
        <v>77700</v>
      </c>
      <c r="N1763" s="2" t="s">
        <v>21</v>
      </c>
      <c r="O1763" t="s">
        <v>22</v>
      </c>
      <c r="P1763" s="2" t="s">
        <v>2370</v>
      </c>
      <c r="Q1763" s="2">
        <v>2</v>
      </c>
      <c r="R1763" s="2" t="s">
        <v>23</v>
      </c>
      <c r="S1763" s="2" t="str">
        <f t="shared" si="274"/>
        <v>Rendah</v>
      </c>
      <c r="T1763" s="2" t="str">
        <f t="shared" si="275"/>
        <v>FALSE</v>
      </c>
      <c r="U1763" s="2" t="str">
        <f t="shared" si="276"/>
        <v>FALSE</v>
      </c>
      <c r="V1763" s="2" t="b">
        <f t="shared" si="277"/>
        <v>0</v>
      </c>
      <c r="W1763" s="2" t="b">
        <f t="shared" si="278"/>
        <v>0</v>
      </c>
      <c r="X1763" s="2" t="b">
        <f t="shared" si="279"/>
        <v>0</v>
      </c>
    </row>
    <row r="1764" spans="1:24" ht="10.5" customHeight="1">
      <c r="A1764" s="2" t="s">
        <v>2121</v>
      </c>
      <c r="B1764" s="3">
        <v>45990.577592592592</v>
      </c>
      <c r="C1764" s="2" t="s">
        <v>125</v>
      </c>
      <c r="D1764" s="2" t="s">
        <v>31</v>
      </c>
      <c r="E1764" s="2" t="s">
        <v>35</v>
      </c>
      <c r="F1764" s="4">
        <v>13500</v>
      </c>
      <c r="G1764" s="5">
        <v>1.4</v>
      </c>
      <c r="H1764" s="6">
        <v>0</v>
      </c>
      <c r="I1764" s="7">
        <f t="shared" si="270"/>
        <v>18900</v>
      </c>
      <c r="J1764" s="7">
        <f t="shared" si="271"/>
        <v>0</v>
      </c>
      <c r="K1764" s="7">
        <f t="shared" si="272"/>
        <v>18900</v>
      </c>
      <c r="L1764" s="4">
        <v>76000</v>
      </c>
      <c r="M1764" s="7">
        <f t="shared" si="273"/>
        <v>94900</v>
      </c>
      <c r="N1764" s="2" t="s">
        <v>21</v>
      </c>
      <c r="O1764" t="s">
        <v>2110</v>
      </c>
      <c r="P1764" s="2" t="s">
        <v>2368</v>
      </c>
      <c r="Q1764" s="2">
        <v>4</v>
      </c>
      <c r="R1764" s="2" t="s">
        <v>23</v>
      </c>
      <c r="S1764" s="2" t="str">
        <f t="shared" si="274"/>
        <v>Rendah</v>
      </c>
      <c r="T1764" s="2" t="str">
        <f t="shared" si="275"/>
        <v>FALSE</v>
      </c>
      <c r="U1764" s="2" t="str">
        <f t="shared" si="276"/>
        <v>FALSE</v>
      </c>
      <c r="V1764" s="2" t="b">
        <f t="shared" si="277"/>
        <v>0</v>
      </c>
      <c r="W1764" s="2" t="b">
        <f t="shared" si="278"/>
        <v>0</v>
      </c>
      <c r="X1764" s="2" t="b">
        <f t="shared" si="279"/>
        <v>0</v>
      </c>
    </row>
    <row r="1765" spans="1:24" ht="10.5" customHeight="1">
      <c r="A1765" s="2" t="s">
        <v>2122</v>
      </c>
      <c r="B1765" s="3">
        <v>45990.638553240737</v>
      </c>
      <c r="C1765" s="2" t="s">
        <v>539</v>
      </c>
      <c r="D1765" s="2" t="s">
        <v>98</v>
      </c>
      <c r="E1765" s="2" t="s">
        <v>143</v>
      </c>
      <c r="F1765" s="4">
        <v>10000</v>
      </c>
      <c r="G1765" s="5">
        <v>1.2</v>
      </c>
      <c r="H1765" s="6">
        <v>0</v>
      </c>
      <c r="I1765" s="7">
        <f t="shared" si="270"/>
        <v>12000</v>
      </c>
      <c r="J1765" s="7">
        <f t="shared" si="271"/>
        <v>0</v>
      </c>
      <c r="K1765" s="7">
        <f t="shared" si="272"/>
        <v>12000</v>
      </c>
      <c r="L1765" s="4">
        <v>97000</v>
      </c>
      <c r="M1765" s="7">
        <f t="shared" si="273"/>
        <v>109000</v>
      </c>
      <c r="N1765" s="2" t="s">
        <v>28</v>
      </c>
      <c r="O1765" t="s">
        <v>22</v>
      </c>
      <c r="P1765" s="2" t="s">
        <v>2366</v>
      </c>
      <c r="Q1765" s="2">
        <v>2</v>
      </c>
      <c r="R1765" s="2" t="s">
        <v>23</v>
      </c>
      <c r="S1765" s="2" t="str">
        <f t="shared" si="274"/>
        <v>Standar</v>
      </c>
      <c r="T1765" s="2" t="str">
        <f t="shared" si="275"/>
        <v>FALSE</v>
      </c>
      <c r="U1765" s="2" t="str">
        <f t="shared" si="276"/>
        <v>TRUE</v>
      </c>
      <c r="V1765" s="2" t="b">
        <f t="shared" si="277"/>
        <v>0</v>
      </c>
      <c r="W1765" s="2" t="b">
        <f t="shared" si="278"/>
        <v>0</v>
      </c>
      <c r="X1765" s="2" t="b">
        <f t="shared" si="279"/>
        <v>0</v>
      </c>
    </row>
    <row r="1766" spans="1:24" ht="10.5" customHeight="1">
      <c r="A1766" s="2" t="s">
        <v>2123</v>
      </c>
      <c r="B1766" s="3">
        <v>45990.652789351851</v>
      </c>
      <c r="C1766" s="2" t="s">
        <v>194</v>
      </c>
      <c r="D1766" s="2" t="s">
        <v>19</v>
      </c>
      <c r="E1766" s="2" t="s">
        <v>65</v>
      </c>
      <c r="F1766" s="4">
        <v>46000</v>
      </c>
      <c r="G1766" s="5">
        <v>1</v>
      </c>
      <c r="H1766" s="6">
        <v>0</v>
      </c>
      <c r="I1766" s="7">
        <f t="shared" si="270"/>
        <v>46000</v>
      </c>
      <c r="J1766" s="7">
        <f t="shared" si="271"/>
        <v>0</v>
      </c>
      <c r="K1766" s="7">
        <f t="shared" si="272"/>
        <v>46000</v>
      </c>
      <c r="L1766" s="4">
        <v>15000</v>
      </c>
      <c r="M1766" s="7">
        <f t="shared" si="273"/>
        <v>61000</v>
      </c>
      <c r="N1766" s="2" t="s">
        <v>21</v>
      </c>
      <c r="O1766" t="s">
        <v>22</v>
      </c>
      <c r="P1766" s="2" t="s">
        <v>2368</v>
      </c>
      <c r="Q1766" s="2">
        <v>1</v>
      </c>
      <c r="R1766" s="2" t="s">
        <v>23</v>
      </c>
      <c r="S1766" s="2" t="str">
        <f t="shared" si="274"/>
        <v>Rendah</v>
      </c>
      <c r="T1766" s="2" t="str">
        <f t="shared" si="275"/>
        <v>FALSE</v>
      </c>
      <c r="U1766" s="2" t="str">
        <f t="shared" si="276"/>
        <v>FALSE</v>
      </c>
      <c r="V1766" s="2" t="b">
        <f t="shared" si="277"/>
        <v>0</v>
      </c>
      <c r="W1766" s="2" t="b">
        <f t="shared" si="278"/>
        <v>0</v>
      </c>
      <c r="X1766" s="2" t="b">
        <f t="shared" si="279"/>
        <v>0</v>
      </c>
    </row>
    <row r="1767" spans="1:24" ht="10.5" customHeight="1">
      <c r="A1767" s="2" t="s">
        <v>2124</v>
      </c>
      <c r="B1767" s="3">
        <v>45990.766435185193</v>
      </c>
      <c r="C1767" s="2" t="s">
        <v>384</v>
      </c>
      <c r="D1767" s="2" t="s">
        <v>48</v>
      </c>
      <c r="E1767" s="2" t="s">
        <v>161</v>
      </c>
      <c r="F1767" s="4">
        <v>115000</v>
      </c>
      <c r="G1767" s="5">
        <v>1</v>
      </c>
      <c r="H1767" s="6">
        <v>0</v>
      </c>
      <c r="I1767" s="7">
        <f t="shared" si="270"/>
        <v>115000</v>
      </c>
      <c r="J1767" s="7">
        <f t="shared" si="271"/>
        <v>0</v>
      </c>
      <c r="K1767" s="7">
        <f t="shared" si="272"/>
        <v>115000</v>
      </c>
      <c r="L1767" s="4">
        <v>18000</v>
      </c>
      <c r="M1767" s="7">
        <f t="shared" si="273"/>
        <v>133000</v>
      </c>
      <c r="N1767" s="2" t="s">
        <v>28</v>
      </c>
      <c r="O1767" t="s">
        <v>22</v>
      </c>
      <c r="P1767" s="2" t="s">
        <v>2367</v>
      </c>
      <c r="Q1767" s="2">
        <v>5</v>
      </c>
      <c r="R1767" s="2" t="s">
        <v>23</v>
      </c>
      <c r="S1767" s="2" t="str">
        <f t="shared" si="274"/>
        <v>Standar</v>
      </c>
      <c r="T1767" s="2" t="str">
        <f t="shared" si="275"/>
        <v>FALSE</v>
      </c>
      <c r="U1767" s="2" t="str">
        <f t="shared" si="276"/>
        <v>FALSE</v>
      </c>
      <c r="V1767" s="2" t="b">
        <f t="shared" si="277"/>
        <v>0</v>
      </c>
      <c r="W1767" s="2" t="b">
        <f t="shared" si="278"/>
        <v>1</v>
      </c>
      <c r="X1767" s="2" t="b">
        <f t="shared" si="279"/>
        <v>0</v>
      </c>
    </row>
    <row r="1768" spans="1:24" ht="10.5" customHeight="1">
      <c r="A1768" s="2" t="s">
        <v>2125</v>
      </c>
      <c r="B1768" s="3">
        <v>45990.79</v>
      </c>
      <c r="C1768" s="2" t="s">
        <v>388</v>
      </c>
      <c r="D1768" s="2" t="s">
        <v>173</v>
      </c>
      <c r="E1768" s="2" t="s">
        <v>99</v>
      </c>
      <c r="F1768" s="4">
        <v>10000</v>
      </c>
      <c r="G1768" s="5">
        <v>1.2</v>
      </c>
      <c r="H1768" s="6">
        <v>0</v>
      </c>
      <c r="I1768" s="7">
        <f t="shared" si="270"/>
        <v>12000</v>
      </c>
      <c r="J1768" s="7">
        <f t="shared" si="271"/>
        <v>0</v>
      </c>
      <c r="K1768" s="7">
        <f t="shared" si="272"/>
        <v>12000</v>
      </c>
      <c r="L1768" s="4">
        <v>48000</v>
      </c>
      <c r="M1768" s="7">
        <f t="shared" si="273"/>
        <v>60000</v>
      </c>
      <c r="N1768" s="2" t="s">
        <v>28</v>
      </c>
      <c r="O1768" t="s">
        <v>22</v>
      </c>
      <c r="P1768" s="2" t="s">
        <v>2368</v>
      </c>
      <c r="Q1768" s="2">
        <v>5</v>
      </c>
      <c r="R1768" s="2" t="s">
        <v>23</v>
      </c>
      <c r="S1768" s="2" t="str">
        <f t="shared" si="274"/>
        <v>Rendah</v>
      </c>
      <c r="T1768" s="2" t="str">
        <f t="shared" si="275"/>
        <v>FALSE</v>
      </c>
      <c r="U1768" s="2" t="str">
        <f t="shared" si="276"/>
        <v>FALSE</v>
      </c>
      <c r="V1768" s="2" t="b">
        <f t="shared" si="277"/>
        <v>0</v>
      </c>
      <c r="W1768" s="2" t="b">
        <f t="shared" si="278"/>
        <v>0</v>
      </c>
      <c r="X1768" s="2" t="b">
        <f t="shared" si="279"/>
        <v>0</v>
      </c>
    </row>
    <row r="1769" spans="1:24" ht="10.5" customHeight="1">
      <c r="A1769" s="2" t="s">
        <v>2126</v>
      </c>
      <c r="B1769" s="3">
        <v>45990.813344907408</v>
      </c>
      <c r="C1769" s="2" t="s">
        <v>421</v>
      </c>
      <c r="D1769" s="2" t="s">
        <v>31</v>
      </c>
      <c r="E1769" s="2" t="s">
        <v>75</v>
      </c>
      <c r="F1769" s="4">
        <v>45000</v>
      </c>
      <c r="G1769" s="5">
        <v>0.4</v>
      </c>
      <c r="H1769" s="6">
        <v>0</v>
      </c>
      <c r="I1769" s="7">
        <f t="shared" si="270"/>
        <v>18000</v>
      </c>
      <c r="J1769" s="7">
        <f t="shared" si="271"/>
        <v>0</v>
      </c>
      <c r="K1769" s="7">
        <f t="shared" si="272"/>
        <v>18000</v>
      </c>
      <c r="L1769" s="4">
        <v>76000</v>
      </c>
      <c r="M1769" s="7">
        <f t="shared" si="273"/>
        <v>94000</v>
      </c>
      <c r="N1769" s="2" t="s">
        <v>28</v>
      </c>
      <c r="O1769" t="s">
        <v>2107</v>
      </c>
      <c r="P1769" s="2" t="s">
        <v>2367</v>
      </c>
      <c r="Q1769" s="2">
        <v>5</v>
      </c>
      <c r="R1769" s="2" t="s">
        <v>23</v>
      </c>
      <c r="S1769" s="2" t="str">
        <f t="shared" si="274"/>
        <v>Rendah</v>
      </c>
      <c r="T1769" s="2" t="str">
        <f t="shared" si="275"/>
        <v>FALSE</v>
      </c>
      <c r="U1769" s="2" t="str">
        <f t="shared" si="276"/>
        <v>FALSE</v>
      </c>
      <c r="V1769" s="2" t="b">
        <f t="shared" si="277"/>
        <v>0</v>
      </c>
      <c r="W1769" s="2" t="b">
        <f t="shared" si="278"/>
        <v>1</v>
      </c>
      <c r="X1769" s="2" t="b">
        <f t="shared" si="279"/>
        <v>0</v>
      </c>
    </row>
    <row r="1770" spans="1:24" ht="10.5" customHeight="1">
      <c r="A1770" s="2" t="s">
        <v>2127</v>
      </c>
      <c r="B1770" s="3">
        <v>45990.991168981483</v>
      </c>
      <c r="C1770" s="2" t="s">
        <v>192</v>
      </c>
      <c r="D1770" s="2" t="s">
        <v>98</v>
      </c>
      <c r="E1770" s="2" t="s">
        <v>57</v>
      </c>
      <c r="F1770" s="4">
        <v>17500</v>
      </c>
      <c r="G1770" s="5">
        <v>2.5</v>
      </c>
      <c r="H1770" s="6">
        <v>0</v>
      </c>
      <c r="I1770" s="7">
        <f t="shared" si="270"/>
        <v>43750</v>
      </c>
      <c r="J1770" s="7">
        <f t="shared" si="271"/>
        <v>0</v>
      </c>
      <c r="K1770" s="7">
        <f t="shared" si="272"/>
        <v>43750</v>
      </c>
      <c r="L1770" s="4">
        <v>97000</v>
      </c>
      <c r="M1770" s="7">
        <f t="shared" si="273"/>
        <v>140750</v>
      </c>
      <c r="N1770" s="2" t="s">
        <v>33</v>
      </c>
      <c r="O1770" t="s">
        <v>22</v>
      </c>
      <c r="P1770" s="2" t="s">
        <v>2368</v>
      </c>
      <c r="Q1770" s="2">
        <v>5</v>
      </c>
      <c r="R1770" s="2" t="s">
        <v>23</v>
      </c>
      <c r="S1770" s="2" t="str">
        <f t="shared" si="274"/>
        <v>Standar</v>
      </c>
      <c r="T1770" s="2" t="str">
        <f t="shared" si="275"/>
        <v>FALSE</v>
      </c>
      <c r="U1770" s="2" t="str">
        <f t="shared" si="276"/>
        <v>FALSE</v>
      </c>
      <c r="V1770" s="2" t="b">
        <f t="shared" si="277"/>
        <v>0</v>
      </c>
      <c r="W1770" s="2" t="b">
        <f t="shared" si="278"/>
        <v>0</v>
      </c>
      <c r="X1770" s="2" t="b">
        <f t="shared" si="279"/>
        <v>0</v>
      </c>
    </row>
    <row r="1771" spans="1:24" ht="10.5" customHeight="1">
      <c r="A1771" s="2" t="s">
        <v>2127</v>
      </c>
      <c r="B1771" s="3">
        <v>45990.991168981483</v>
      </c>
      <c r="C1771" s="2" t="s">
        <v>192</v>
      </c>
      <c r="D1771" s="2" t="s">
        <v>98</v>
      </c>
      <c r="E1771" s="2" t="s">
        <v>45</v>
      </c>
      <c r="F1771" s="4">
        <v>10500</v>
      </c>
      <c r="G1771" s="5">
        <v>0.7</v>
      </c>
      <c r="H1771" s="6">
        <v>0</v>
      </c>
      <c r="I1771" s="7">
        <f t="shared" si="270"/>
        <v>7349.9999999999991</v>
      </c>
      <c r="J1771" s="7">
        <f t="shared" si="271"/>
        <v>0</v>
      </c>
      <c r="K1771" s="7">
        <f t="shared" si="272"/>
        <v>7349.9999999999991</v>
      </c>
      <c r="L1771" s="4">
        <v>0</v>
      </c>
      <c r="M1771" s="7">
        <f t="shared" si="273"/>
        <v>7349.9999999999991</v>
      </c>
      <c r="N1771" s="2" t="s">
        <v>33</v>
      </c>
      <c r="O1771" t="s">
        <v>22</v>
      </c>
      <c r="P1771" s="2" t="s">
        <v>2368</v>
      </c>
      <c r="Q1771" s="2">
        <v>5</v>
      </c>
      <c r="R1771" s="2" t="s">
        <v>23</v>
      </c>
      <c r="S1771" s="2" t="str">
        <f t="shared" si="274"/>
        <v>Sangat Rendah</v>
      </c>
      <c r="T1771" s="2" t="str">
        <f t="shared" si="275"/>
        <v>FALSE</v>
      </c>
      <c r="U1771" s="2" t="str">
        <f t="shared" si="276"/>
        <v>FALSE</v>
      </c>
      <c r="V1771" s="2" t="b">
        <f t="shared" si="277"/>
        <v>0</v>
      </c>
      <c r="W1771" s="2" t="b">
        <f t="shared" si="278"/>
        <v>0</v>
      </c>
      <c r="X1771" s="2" t="b">
        <f t="shared" si="279"/>
        <v>1</v>
      </c>
    </row>
    <row r="1772" spans="1:24" ht="10.5" customHeight="1">
      <c r="A1772" s="2" t="s">
        <v>2128</v>
      </c>
      <c r="B1772" s="3">
        <v>45991.310717592591</v>
      </c>
      <c r="C1772" s="2" t="s">
        <v>1249</v>
      </c>
      <c r="D1772" s="2" t="s">
        <v>98</v>
      </c>
      <c r="E1772" s="2" t="s">
        <v>41</v>
      </c>
      <c r="F1772" s="4">
        <v>40000</v>
      </c>
      <c r="G1772" s="5">
        <v>0.5</v>
      </c>
      <c r="H1772" s="6">
        <v>0</v>
      </c>
      <c r="I1772" s="7">
        <f t="shared" si="270"/>
        <v>20000</v>
      </c>
      <c r="J1772" s="7">
        <f t="shared" si="271"/>
        <v>0</v>
      </c>
      <c r="K1772" s="7">
        <f t="shared" si="272"/>
        <v>20000</v>
      </c>
      <c r="L1772" s="4">
        <v>97000</v>
      </c>
      <c r="M1772" s="7">
        <f t="shared" si="273"/>
        <v>117000</v>
      </c>
      <c r="N1772" s="2" t="s">
        <v>21</v>
      </c>
      <c r="O1772" t="s">
        <v>2110</v>
      </c>
      <c r="P1772" s="2" t="s">
        <v>2366</v>
      </c>
      <c r="Q1772" s="2">
        <v>5</v>
      </c>
      <c r="R1772" s="2" t="s">
        <v>34</v>
      </c>
      <c r="S1772" s="2" t="str">
        <f t="shared" si="274"/>
        <v>Standar</v>
      </c>
      <c r="T1772" s="2" t="str">
        <f t="shared" si="275"/>
        <v>FALSE</v>
      </c>
      <c r="U1772" s="2" t="str">
        <f t="shared" si="276"/>
        <v>FALSE</v>
      </c>
      <c r="V1772" s="2" t="b">
        <f t="shared" si="277"/>
        <v>0</v>
      </c>
      <c r="W1772" s="2" t="b">
        <f t="shared" si="278"/>
        <v>0</v>
      </c>
      <c r="X1772" s="2" t="b">
        <f t="shared" si="279"/>
        <v>0</v>
      </c>
    </row>
    <row r="1773" spans="1:24" ht="10.5" customHeight="1">
      <c r="A1773" s="2" t="s">
        <v>2129</v>
      </c>
      <c r="B1773" s="3">
        <v>45991.391527777778</v>
      </c>
      <c r="C1773" s="2" t="s">
        <v>259</v>
      </c>
      <c r="D1773" s="2" t="s">
        <v>164</v>
      </c>
      <c r="E1773" s="2" t="s">
        <v>99</v>
      </c>
      <c r="F1773" s="4">
        <v>10000</v>
      </c>
      <c r="G1773" s="5">
        <v>0.7</v>
      </c>
      <c r="H1773" s="6">
        <v>0</v>
      </c>
      <c r="I1773" s="7">
        <f t="shared" si="270"/>
        <v>7000</v>
      </c>
      <c r="J1773" s="7">
        <f t="shared" si="271"/>
        <v>0</v>
      </c>
      <c r="K1773" s="7">
        <f t="shared" si="272"/>
        <v>7000</v>
      </c>
      <c r="L1773" s="4">
        <v>49000</v>
      </c>
      <c r="M1773" s="7">
        <f t="shared" si="273"/>
        <v>56000</v>
      </c>
      <c r="N1773" s="2" t="s">
        <v>33</v>
      </c>
      <c r="O1773" t="s">
        <v>2110</v>
      </c>
      <c r="P1773" s="2" t="s">
        <v>2370</v>
      </c>
      <c r="Q1773" s="2">
        <v>3</v>
      </c>
      <c r="R1773" s="2" t="s">
        <v>34</v>
      </c>
      <c r="S1773" s="2" t="str">
        <f t="shared" si="274"/>
        <v>Rendah</v>
      </c>
      <c r="T1773" s="2" t="str">
        <f t="shared" si="275"/>
        <v>FALSE</v>
      </c>
      <c r="U1773" s="2" t="str">
        <f t="shared" si="276"/>
        <v>FALSE</v>
      </c>
      <c r="V1773" s="2" t="b">
        <f t="shared" si="277"/>
        <v>0</v>
      </c>
      <c r="W1773" s="2" t="b">
        <f t="shared" si="278"/>
        <v>0</v>
      </c>
      <c r="X1773" s="2" t="b">
        <f t="shared" si="279"/>
        <v>0</v>
      </c>
    </row>
    <row r="1774" spans="1:24" ht="10.5" customHeight="1">
      <c r="A1774" s="2" t="s">
        <v>2130</v>
      </c>
      <c r="B1774" s="3">
        <v>45991.438750000001</v>
      </c>
      <c r="C1774" s="2" t="s">
        <v>802</v>
      </c>
      <c r="D1774" s="2" t="s">
        <v>31</v>
      </c>
      <c r="E1774" s="2" t="s">
        <v>57</v>
      </c>
      <c r="F1774" s="4">
        <v>17500</v>
      </c>
      <c r="G1774" s="5">
        <v>3.4</v>
      </c>
      <c r="H1774" s="6">
        <v>0</v>
      </c>
      <c r="I1774" s="7">
        <f t="shared" si="270"/>
        <v>59500</v>
      </c>
      <c r="J1774" s="7">
        <f t="shared" si="271"/>
        <v>0</v>
      </c>
      <c r="K1774" s="7">
        <f t="shared" si="272"/>
        <v>59500</v>
      </c>
      <c r="L1774" s="4">
        <v>76000</v>
      </c>
      <c r="M1774" s="7">
        <f t="shared" si="273"/>
        <v>135500</v>
      </c>
      <c r="N1774" s="2" t="s">
        <v>28</v>
      </c>
      <c r="O1774" t="s">
        <v>2110</v>
      </c>
      <c r="P1774" s="2" t="s">
        <v>2370</v>
      </c>
      <c r="Q1774" s="2">
        <v>3</v>
      </c>
      <c r="R1774" s="2" t="s">
        <v>23</v>
      </c>
      <c r="S1774" s="2" t="str">
        <f t="shared" si="274"/>
        <v>Standar</v>
      </c>
      <c r="T1774" s="2" t="str">
        <f t="shared" si="275"/>
        <v>FALSE</v>
      </c>
      <c r="U1774" s="2" t="str">
        <f t="shared" si="276"/>
        <v>FALSE</v>
      </c>
      <c r="V1774" s="2" t="b">
        <f t="shared" si="277"/>
        <v>0</v>
      </c>
      <c r="W1774" s="2" t="b">
        <f t="shared" si="278"/>
        <v>0</v>
      </c>
      <c r="X1774" s="2" t="b">
        <f t="shared" si="279"/>
        <v>0</v>
      </c>
    </row>
    <row r="1775" spans="1:24" ht="10.5" customHeight="1">
      <c r="A1775" s="2" t="s">
        <v>2131</v>
      </c>
      <c r="B1775" s="3">
        <v>45991.467233796298</v>
      </c>
      <c r="C1775" s="2" t="s">
        <v>843</v>
      </c>
      <c r="D1775" s="2" t="s">
        <v>140</v>
      </c>
      <c r="E1775" s="2" t="s">
        <v>57</v>
      </c>
      <c r="F1775" s="4">
        <v>17500</v>
      </c>
      <c r="G1775" s="5">
        <v>1.5</v>
      </c>
      <c r="H1775" s="6">
        <v>0</v>
      </c>
      <c r="I1775" s="7">
        <f t="shared" si="270"/>
        <v>26250</v>
      </c>
      <c r="J1775" s="7">
        <f t="shared" si="271"/>
        <v>0</v>
      </c>
      <c r="K1775" s="7">
        <f t="shared" si="272"/>
        <v>26250</v>
      </c>
      <c r="L1775" s="4">
        <v>55000</v>
      </c>
      <c r="M1775" s="7">
        <f t="shared" si="273"/>
        <v>81250</v>
      </c>
      <c r="N1775" s="2" t="s">
        <v>58</v>
      </c>
      <c r="O1775" t="s">
        <v>2107</v>
      </c>
      <c r="P1775" s="2" t="s">
        <v>2370</v>
      </c>
      <c r="Q1775" s="2">
        <v>2</v>
      </c>
      <c r="R1775" s="2" t="s">
        <v>23</v>
      </c>
      <c r="S1775" s="2" t="str">
        <f t="shared" si="274"/>
        <v>Rendah</v>
      </c>
      <c r="T1775" s="2" t="str">
        <f t="shared" si="275"/>
        <v>FALSE</v>
      </c>
      <c r="U1775" s="2" t="str">
        <f t="shared" si="276"/>
        <v>FALSE</v>
      </c>
      <c r="V1775" s="2" t="b">
        <f t="shared" si="277"/>
        <v>0</v>
      </c>
      <c r="W1775" s="2" t="b">
        <f t="shared" si="278"/>
        <v>0</v>
      </c>
      <c r="X1775" s="2" t="b">
        <f t="shared" si="279"/>
        <v>0</v>
      </c>
    </row>
    <row r="1776" spans="1:24" ht="10.5" customHeight="1">
      <c r="A1776" s="2" t="s">
        <v>2132</v>
      </c>
      <c r="B1776" s="3">
        <v>45991.472314814811</v>
      </c>
      <c r="C1776" s="2" t="s">
        <v>1043</v>
      </c>
      <c r="D1776" s="2" t="s">
        <v>74</v>
      </c>
      <c r="E1776" s="2" t="s">
        <v>143</v>
      </c>
      <c r="F1776" s="4">
        <v>10000</v>
      </c>
      <c r="G1776" s="5">
        <v>0.5</v>
      </c>
      <c r="H1776" s="6">
        <v>0</v>
      </c>
      <c r="I1776" s="7">
        <f t="shared" si="270"/>
        <v>5000</v>
      </c>
      <c r="J1776" s="7">
        <f t="shared" si="271"/>
        <v>0</v>
      </c>
      <c r="K1776" s="7">
        <f t="shared" si="272"/>
        <v>5000</v>
      </c>
      <c r="L1776" s="4">
        <v>74000</v>
      </c>
      <c r="M1776" s="7">
        <f t="shared" si="273"/>
        <v>79000</v>
      </c>
      <c r="N1776" s="2" t="s">
        <v>33</v>
      </c>
      <c r="O1776" t="s">
        <v>22</v>
      </c>
      <c r="P1776" s="2" t="s">
        <v>2367</v>
      </c>
      <c r="Q1776" s="2">
        <v>2</v>
      </c>
      <c r="R1776" s="2" t="s">
        <v>23</v>
      </c>
      <c r="S1776" s="2" t="str">
        <f t="shared" si="274"/>
        <v>Rendah</v>
      </c>
      <c r="T1776" s="2" t="str">
        <f t="shared" si="275"/>
        <v>FALSE</v>
      </c>
      <c r="U1776" s="2" t="str">
        <f t="shared" si="276"/>
        <v>TRUE</v>
      </c>
      <c r="V1776" s="2" t="b">
        <f t="shared" si="277"/>
        <v>0</v>
      </c>
      <c r="W1776" s="2" t="b">
        <f t="shared" si="278"/>
        <v>1</v>
      </c>
      <c r="X1776" s="2" t="b">
        <f t="shared" si="279"/>
        <v>0</v>
      </c>
    </row>
    <row r="1777" spans="1:24" ht="10.5" customHeight="1">
      <c r="A1777" s="2" t="s">
        <v>2133</v>
      </c>
      <c r="B1777" s="3">
        <v>45991.511805555558</v>
      </c>
      <c r="C1777" s="2" t="s">
        <v>125</v>
      </c>
      <c r="D1777" s="2" t="s">
        <v>31</v>
      </c>
      <c r="E1777" s="2" t="s">
        <v>57</v>
      </c>
      <c r="F1777" s="4">
        <v>17500</v>
      </c>
      <c r="G1777" s="5">
        <v>4.3</v>
      </c>
      <c r="H1777" s="6">
        <v>0</v>
      </c>
      <c r="I1777" s="7">
        <f t="shared" si="270"/>
        <v>75250</v>
      </c>
      <c r="J1777" s="7">
        <f t="shared" si="271"/>
        <v>0</v>
      </c>
      <c r="K1777" s="7">
        <f t="shared" si="272"/>
        <v>75250</v>
      </c>
      <c r="L1777" s="4">
        <v>76000</v>
      </c>
      <c r="M1777" s="7">
        <f t="shared" si="273"/>
        <v>151250</v>
      </c>
      <c r="N1777" s="2" t="s">
        <v>58</v>
      </c>
      <c r="O1777" t="s">
        <v>2110</v>
      </c>
      <c r="P1777" s="2" t="s">
        <v>2370</v>
      </c>
      <c r="Q1777" s="2">
        <v>1</v>
      </c>
      <c r="R1777" s="2" t="s">
        <v>23</v>
      </c>
      <c r="S1777" s="2" t="str">
        <f t="shared" si="274"/>
        <v>Tinggi</v>
      </c>
      <c r="T1777" s="2" t="str">
        <f t="shared" si="275"/>
        <v>FALSE</v>
      </c>
      <c r="U1777" s="2" t="str">
        <f t="shared" si="276"/>
        <v>TRUE</v>
      </c>
      <c r="V1777" s="2" t="b">
        <f t="shared" si="277"/>
        <v>0</v>
      </c>
      <c r="W1777" s="2" t="b">
        <f t="shared" si="278"/>
        <v>0</v>
      </c>
      <c r="X1777" s="2" t="b">
        <f t="shared" si="279"/>
        <v>0</v>
      </c>
    </row>
    <row r="1778" spans="1:24" ht="10.5" customHeight="1">
      <c r="A1778" s="2" t="s">
        <v>2134</v>
      </c>
      <c r="B1778" s="3">
        <v>45991.555462962962</v>
      </c>
      <c r="C1778" s="2" t="s">
        <v>1311</v>
      </c>
      <c r="D1778" s="2" t="s">
        <v>105</v>
      </c>
      <c r="E1778" s="2" t="s">
        <v>75</v>
      </c>
      <c r="F1778" s="4">
        <v>45000</v>
      </c>
      <c r="G1778" s="5">
        <v>1.4</v>
      </c>
      <c r="H1778" s="6">
        <v>0</v>
      </c>
      <c r="I1778" s="7">
        <f t="shared" si="270"/>
        <v>62999.999999999993</v>
      </c>
      <c r="J1778" s="7">
        <f t="shared" si="271"/>
        <v>0</v>
      </c>
      <c r="K1778" s="7">
        <f t="shared" si="272"/>
        <v>62999.999999999993</v>
      </c>
      <c r="L1778" s="4">
        <v>18000</v>
      </c>
      <c r="M1778" s="7">
        <f t="shared" si="273"/>
        <v>81000</v>
      </c>
      <c r="N1778" s="2" t="s">
        <v>33</v>
      </c>
      <c r="O1778" t="s">
        <v>2107</v>
      </c>
      <c r="P1778" s="2" t="s">
        <v>2367</v>
      </c>
      <c r="Q1778" s="2">
        <v>5</v>
      </c>
      <c r="R1778" s="2" t="s">
        <v>23</v>
      </c>
      <c r="S1778" s="2" t="str">
        <f t="shared" si="274"/>
        <v>Rendah</v>
      </c>
      <c r="T1778" s="2" t="str">
        <f t="shared" si="275"/>
        <v>FALSE</v>
      </c>
      <c r="U1778" s="2" t="str">
        <f t="shared" si="276"/>
        <v>FALSE</v>
      </c>
      <c r="V1778" s="2" t="b">
        <f t="shared" si="277"/>
        <v>0</v>
      </c>
      <c r="W1778" s="2" t="b">
        <f t="shared" si="278"/>
        <v>1</v>
      </c>
      <c r="X1778" s="2" t="b">
        <f t="shared" si="279"/>
        <v>0</v>
      </c>
    </row>
    <row r="1779" spans="1:24" ht="10.5" customHeight="1">
      <c r="A1779" s="2" t="s">
        <v>2135</v>
      </c>
      <c r="B1779" s="3">
        <v>45991.642696759263</v>
      </c>
      <c r="C1779" s="2" t="s">
        <v>427</v>
      </c>
      <c r="D1779" s="2" t="s">
        <v>365</v>
      </c>
      <c r="E1779" s="2" t="s">
        <v>65</v>
      </c>
      <c r="F1779" s="4">
        <v>46000</v>
      </c>
      <c r="G1779" s="5">
        <v>1.5</v>
      </c>
      <c r="H1779" s="6">
        <v>0</v>
      </c>
      <c r="I1779" s="7">
        <f t="shared" si="270"/>
        <v>69000</v>
      </c>
      <c r="J1779" s="7">
        <f t="shared" si="271"/>
        <v>0</v>
      </c>
      <c r="K1779" s="7">
        <f t="shared" si="272"/>
        <v>69000</v>
      </c>
      <c r="L1779" s="4">
        <v>21000</v>
      </c>
      <c r="M1779" s="7">
        <f t="shared" si="273"/>
        <v>90000</v>
      </c>
      <c r="N1779" s="2" t="s">
        <v>58</v>
      </c>
      <c r="O1779" t="s">
        <v>2107</v>
      </c>
      <c r="P1779" s="2" t="s">
        <v>2368</v>
      </c>
      <c r="Q1779" s="2">
        <v>2</v>
      </c>
      <c r="R1779" s="2" t="s">
        <v>23</v>
      </c>
      <c r="S1779" s="2" t="str">
        <f t="shared" si="274"/>
        <v>Rendah</v>
      </c>
      <c r="T1779" s="2" t="str">
        <f t="shared" si="275"/>
        <v>FALSE</v>
      </c>
      <c r="U1779" s="2" t="str">
        <f t="shared" si="276"/>
        <v>FALSE</v>
      </c>
      <c r="V1779" s="2" t="b">
        <f t="shared" si="277"/>
        <v>0</v>
      </c>
      <c r="W1779" s="2" t="b">
        <f t="shared" si="278"/>
        <v>0</v>
      </c>
      <c r="X1779" s="2" t="b">
        <f t="shared" si="279"/>
        <v>0</v>
      </c>
    </row>
    <row r="1780" spans="1:24" ht="10.5" customHeight="1">
      <c r="A1780" s="2" t="s">
        <v>2136</v>
      </c>
      <c r="B1780" s="3">
        <v>45991.649525462963</v>
      </c>
      <c r="C1780" s="2" t="s">
        <v>1301</v>
      </c>
      <c r="D1780" s="2" t="s">
        <v>44</v>
      </c>
      <c r="E1780" s="2" t="s">
        <v>161</v>
      </c>
      <c r="F1780" s="4">
        <v>115000</v>
      </c>
      <c r="G1780" s="5">
        <v>1.4</v>
      </c>
      <c r="H1780" s="6">
        <v>0</v>
      </c>
      <c r="I1780" s="7">
        <f t="shared" si="270"/>
        <v>161000</v>
      </c>
      <c r="J1780" s="7">
        <f t="shared" si="271"/>
        <v>0</v>
      </c>
      <c r="K1780" s="7">
        <f t="shared" si="272"/>
        <v>161000</v>
      </c>
      <c r="L1780" s="4">
        <v>43000</v>
      </c>
      <c r="M1780" s="7">
        <f t="shared" si="273"/>
        <v>204000</v>
      </c>
      <c r="N1780" s="2" t="s">
        <v>28</v>
      </c>
      <c r="O1780" t="s">
        <v>2107</v>
      </c>
      <c r="P1780" s="2" t="s">
        <v>2365</v>
      </c>
      <c r="Q1780" s="2">
        <v>5</v>
      </c>
      <c r="R1780" s="2" t="s">
        <v>23</v>
      </c>
      <c r="S1780" s="2" t="str">
        <f t="shared" si="274"/>
        <v>Sangat Tinggi</v>
      </c>
      <c r="T1780" s="2" t="str">
        <f t="shared" si="275"/>
        <v>FALSE</v>
      </c>
      <c r="U1780" s="2" t="str">
        <f t="shared" si="276"/>
        <v>FALSE</v>
      </c>
      <c r="V1780" s="2" t="b">
        <f t="shared" si="277"/>
        <v>0</v>
      </c>
      <c r="W1780" s="2" t="b">
        <f t="shared" si="278"/>
        <v>1</v>
      </c>
      <c r="X1780" s="2" t="b">
        <f t="shared" si="279"/>
        <v>0</v>
      </c>
    </row>
    <row r="1781" spans="1:24" ht="10.5" customHeight="1">
      <c r="A1781" s="2" t="s">
        <v>2137</v>
      </c>
      <c r="B1781" s="3">
        <v>45991.714201388888</v>
      </c>
      <c r="C1781" s="2" t="s">
        <v>706</v>
      </c>
      <c r="D1781" s="2" t="s">
        <v>61</v>
      </c>
      <c r="E1781" s="2" t="s">
        <v>27</v>
      </c>
      <c r="F1781" s="4">
        <v>15000</v>
      </c>
      <c r="G1781" s="5">
        <v>0.3</v>
      </c>
      <c r="H1781" s="6">
        <v>0</v>
      </c>
      <c r="I1781" s="7">
        <f t="shared" si="270"/>
        <v>4500</v>
      </c>
      <c r="J1781" s="7">
        <f t="shared" si="271"/>
        <v>0</v>
      </c>
      <c r="K1781" s="7">
        <f t="shared" si="272"/>
        <v>4500</v>
      </c>
      <c r="L1781" s="4">
        <v>59000</v>
      </c>
      <c r="M1781" s="7">
        <f t="shared" si="273"/>
        <v>63500</v>
      </c>
      <c r="N1781" s="2" t="s">
        <v>58</v>
      </c>
      <c r="O1781" t="s">
        <v>2107</v>
      </c>
      <c r="P1781" s="2" t="s">
        <v>2368</v>
      </c>
      <c r="Q1781" s="2">
        <v>4</v>
      </c>
      <c r="R1781" s="2" t="s">
        <v>23</v>
      </c>
      <c r="S1781" s="2" t="str">
        <f t="shared" si="274"/>
        <v>Rendah</v>
      </c>
      <c r="T1781" s="2" t="str">
        <f t="shared" si="275"/>
        <v>FALSE</v>
      </c>
      <c r="U1781" s="2" t="str">
        <f t="shared" si="276"/>
        <v>FALSE</v>
      </c>
      <c r="V1781" s="2" t="b">
        <f t="shared" si="277"/>
        <v>0</v>
      </c>
      <c r="W1781" s="2" t="b">
        <f t="shared" si="278"/>
        <v>0</v>
      </c>
      <c r="X1781" s="2" t="b">
        <f t="shared" si="279"/>
        <v>0</v>
      </c>
    </row>
    <row r="1782" spans="1:24" ht="10.5" customHeight="1">
      <c r="A1782" s="2" t="s">
        <v>2138</v>
      </c>
      <c r="B1782" s="3">
        <v>45991.7425</v>
      </c>
      <c r="C1782" s="2" t="s">
        <v>377</v>
      </c>
      <c r="D1782" s="2" t="s">
        <v>44</v>
      </c>
      <c r="E1782" s="2" t="s">
        <v>57</v>
      </c>
      <c r="F1782" s="4">
        <v>17500</v>
      </c>
      <c r="G1782" s="5">
        <v>4.2</v>
      </c>
      <c r="H1782" s="6">
        <v>0</v>
      </c>
      <c r="I1782" s="7">
        <f t="shared" si="270"/>
        <v>73500</v>
      </c>
      <c r="J1782" s="7">
        <f t="shared" si="271"/>
        <v>0</v>
      </c>
      <c r="K1782" s="7">
        <f t="shared" si="272"/>
        <v>73500</v>
      </c>
      <c r="L1782" s="4">
        <v>43000</v>
      </c>
      <c r="M1782" s="7">
        <f t="shared" si="273"/>
        <v>116500</v>
      </c>
      <c r="N1782" s="2" t="s">
        <v>28</v>
      </c>
      <c r="O1782" t="s">
        <v>2107</v>
      </c>
      <c r="P1782" s="2" t="s">
        <v>2367</v>
      </c>
      <c r="Q1782" s="2">
        <v>1</v>
      </c>
      <c r="R1782" s="2" t="s">
        <v>34</v>
      </c>
      <c r="S1782" s="2" t="str">
        <f t="shared" si="274"/>
        <v>Standar</v>
      </c>
      <c r="T1782" s="2" t="str">
        <f t="shared" si="275"/>
        <v>FALSE</v>
      </c>
      <c r="U1782" s="2" t="str">
        <f t="shared" si="276"/>
        <v>FALSE</v>
      </c>
      <c r="V1782" s="2" t="b">
        <f t="shared" si="277"/>
        <v>0</v>
      </c>
      <c r="W1782" s="2" t="b">
        <f t="shared" si="278"/>
        <v>1</v>
      </c>
      <c r="X1782" s="2" t="b">
        <f t="shared" si="279"/>
        <v>0</v>
      </c>
    </row>
    <row r="1783" spans="1:24" ht="10.5" customHeight="1">
      <c r="A1783" s="2" t="s">
        <v>2139</v>
      </c>
      <c r="B1783" s="3">
        <v>45991.781608796293</v>
      </c>
      <c r="C1783" s="2" t="s">
        <v>744</v>
      </c>
      <c r="D1783" s="2" t="s">
        <v>229</v>
      </c>
      <c r="E1783" s="2" t="s">
        <v>41</v>
      </c>
      <c r="F1783" s="4">
        <v>40000</v>
      </c>
      <c r="G1783" s="5">
        <v>0.9</v>
      </c>
      <c r="H1783" s="6">
        <v>0</v>
      </c>
      <c r="I1783" s="7">
        <f t="shared" si="270"/>
        <v>36000</v>
      </c>
      <c r="J1783" s="7">
        <f t="shared" si="271"/>
        <v>0</v>
      </c>
      <c r="K1783" s="7">
        <f t="shared" si="272"/>
        <v>36000</v>
      </c>
      <c r="L1783" s="4">
        <v>28000</v>
      </c>
      <c r="M1783" s="7">
        <f t="shared" si="273"/>
        <v>64000</v>
      </c>
      <c r="N1783" s="2" t="s">
        <v>33</v>
      </c>
      <c r="O1783" t="s">
        <v>22</v>
      </c>
      <c r="P1783" s="2" t="s">
        <v>2366</v>
      </c>
      <c r="Q1783" s="2">
        <v>5</v>
      </c>
      <c r="R1783" s="2" t="s">
        <v>34</v>
      </c>
      <c r="S1783" s="2" t="str">
        <f t="shared" si="274"/>
        <v>Rendah</v>
      </c>
      <c r="T1783" s="2" t="str">
        <f t="shared" si="275"/>
        <v>FALSE</v>
      </c>
      <c r="U1783" s="2" t="str">
        <f t="shared" si="276"/>
        <v>FALSE</v>
      </c>
      <c r="V1783" s="2" t="b">
        <f t="shared" si="277"/>
        <v>0</v>
      </c>
      <c r="W1783" s="2" t="b">
        <f t="shared" si="278"/>
        <v>0</v>
      </c>
      <c r="X1783" s="2" t="b">
        <f t="shared" si="279"/>
        <v>0</v>
      </c>
    </row>
    <row r="1784" spans="1:24" ht="10.5" customHeight="1">
      <c r="A1784" s="2" t="s">
        <v>2140</v>
      </c>
      <c r="B1784" s="3">
        <v>45991.832881944443</v>
      </c>
      <c r="C1784" s="2" t="s">
        <v>187</v>
      </c>
      <c r="D1784" s="2" t="s">
        <v>111</v>
      </c>
      <c r="E1784" s="2" t="s">
        <v>41</v>
      </c>
      <c r="F1784" s="4">
        <v>40000</v>
      </c>
      <c r="G1784" s="5">
        <v>1.3</v>
      </c>
      <c r="H1784" s="6">
        <v>0</v>
      </c>
      <c r="I1784" s="7">
        <f t="shared" si="270"/>
        <v>52000</v>
      </c>
      <c r="J1784" s="7">
        <f t="shared" si="271"/>
        <v>0</v>
      </c>
      <c r="K1784" s="7">
        <f t="shared" si="272"/>
        <v>52000</v>
      </c>
      <c r="L1784" s="4">
        <v>0</v>
      </c>
      <c r="M1784" s="7">
        <f t="shared" si="273"/>
        <v>52000</v>
      </c>
      <c r="N1784" s="2" t="s">
        <v>58</v>
      </c>
      <c r="O1784" t="s">
        <v>22</v>
      </c>
      <c r="P1784" s="2" t="s">
        <v>2365</v>
      </c>
      <c r="Q1784" s="2">
        <v>1</v>
      </c>
      <c r="R1784" s="2" t="s">
        <v>34</v>
      </c>
      <c r="S1784" s="2" t="str">
        <f t="shared" si="274"/>
        <v>Rendah</v>
      </c>
      <c r="T1784" s="2" t="str">
        <f t="shared" si="275"/>
        <v>FALSE</v>
      </c>
      <c r="U1784" s="2" t="str">
        <f t="shared" si="276"/>
        <v>FALSE</v>
      </c>
      <c r="V1784" s="2" t="b">
        <f t="shared" si="277"/>
        <v>0</v>
      </c>
      <c r="W1784" s="2" t="b">
        <f t="shared" si="278"/>
        <v>0</v>
      </c>
      <c r="X1784" s="2" t="b">
        <f t="shared" si="279"/>
        <v>0</v>
      </c>
    </row>
    <row r="1785" spans="1:24" ht="10.5" customHeight="1">
      <c r="A1785" s="2" t="s">
        <v>2141</v>
      </c>
      <c r="B1785" s="3">
        <v>45991.844328703701</v>
      </c>
      <c r="C1785" s="2" t="s">
        <v>1513</v>
      </c>
      <c r="D1785" s="2" t="s">
        <v>87</v>
      </c>
      <c r="E1785" s="2" t="s">
        <v>53</v>
      </c>
      <c r="F1785" s="4">
        <v>14000</v>
      </c>
      <c r="G1785" s="5">
        <v>1.9</v>
      </c>
      <c r="H1785" s="6">
        <v>0</v>
      </c>
      <c r="I1785" s="7">
        <f t="shared" si="270"/>
        <v>26600</v>
      </c>
      <c r="J1785" s="7">
        <f t="shared" si="271"/>
        <v>0</v>
      </c>
      <c r="K1785" s="7">
        <f t="shared" si="272"/>
        <v>26600</v>
      </c>
      <c r="L1785" s="4">
        <v>49000</v>
      </c>
      <c r="M1785" s="7">
        <f t="shared" si="273"/>
        <v>75600</v>
      </c>
      <c r="N1785" s="2" t="s">
        <v>21</v>
      </c>
      <c r="O1785" t="s">
        <v>22</v>
      </c>
      <c r="P1785" s="2" t="s">
        <v>2370</v>
      </c>
      <c r="Q1785" s="2">
        <v>1</v>
      </c>
      <c r="R1785" s="2" t="s">
        <v>23</v>
      </c>
      <c r="S1785" s="2" t="str">
        <f t="shared" si="274"/>
        <v>Rendah</v>
      </c>
      <c r="T1785" s="2" t="str">
        <f t="shared" si="275"/>
        <v>FALSE</v>
      </c>
      <c r="U1785" s="2" t="str">
        <f t="shared" si="276"/>
        <v>FALSE</v>
      </c>
      <c r="V1785" s="2" t="b">
        <f t="shared" si="277"/>
        <v>0</v>
      </c>
      <c r="W1785" s="2" t="b">
        <f t="shared" si="278"/>
        <v>0</v>
      </c>
      <c r="X1785" s="2" t="b">
        <f t="shared" si="279"/>
        <v>0</v>
      </c>
    </row>
    <row r="1786" spans="1:24" ht="10.5" customHeight="1">
      <c r="A1786" s="2" t="s">
        <v>2141</v>
      </c>
      <c r="B1786" s="3">
        <v>45991.844328703701</v>
      </c>
      <c r="C1786" s="2" t="s">
        <v>1513</v>
      </c>
      <c r="D1786" s="2" t="s">
        <v>87</v>
      </c>
      <c r="E1786" s="2" t="s">
        <v>49</v>
      </c>
      <c r="F1786" s="4">
        <v>26000</v>
      </c>
      <c r="G1786" s="5">
        <v>1.3</v>
      </c>
      <c r="H1786" s="6">
        <v>0</v>
      </c>
      <c r="I1786" s="7">
        <f t="shared" si="270"/>
        <v>33800</v>
      </c>
      <c r="J1786" s="7">
        <f t="shared" si="271"/>
        <v>0</v>
      </c>
      <c r="K1786" s="7">
        <f t="shared" si="272"/>
        <v>33800</v>
      </c>
      <c r="L1786" s="4">
        <v>0</v>
      </c>
      <c r="M1786" s="7">
        <f t="shared" si="273"/>
        <v>33800</v>
      </c>
      <c r="N1786" s="2" t="s">
        <v>21</v>
      </c>
      <c r="O1786" t="s">
        <v>22</v>
      </c>
      <c r="P1786" s="2" t="s">
        <v>2370</v>
      </c>
      <c r="Q1786" s="2">
        <v>1</v>
      </c>
      <c r="R1786" s="2" t="s">
        <v>23</v>
      </c>
      <c r="S1786" s="2" t="str">
        <f t="shared" si="274"/>
        <v>Sangat Rendah</v>
      </c>
      <c r="T1786" s="2" t="str">
        <f t="shared" si="275"/>
        <v>FALSE</v>
      </c>
      <c r="U1786" s="2" t="str">
        <f t="shared" si="276"/>
        <v>FALSE</v>
      </c>
      <c r="V1786" s="2" t="b">
        <f t="shared" si="277"/>
        <v>0</v>
      </c>
      <c r="W1786" s="2" t="b">
        <f t="shared" si="278"/>
        <v>0</v>
      </c>
      <c r="X1786" s="2" t="b">
        <f t="shared" si="279"/>
        <v>1</v>
      </c>
    </row>
    <row r="1787" spans="1:24" ht="10.5" customHeight="1">
      <c r="A1787" s="2" t="s">
        <v>2142</v>
      </c>
      <c r="B1787" s="3">
        <v>45992.579513888893</v>
      </c>
      <c r="C1787" s="2" t="s">
        <v>503</v>
      </c>
      <c r="D1787" s="2" t="s">
        <v>173</v>
      </c>
      <c r="E1787" s="2" t="s">
        <v>65</v>
      </c>
      <c r="F1787" s="4">
        <v>46000</v>
      </c>
      <c r="G1787" s="5">
        <v>1.3</v>
      </c>
      <c r="H1787" s="6">
        <v>0</v>
      </c>
      <c r="I1787" s="7">
        <f t="shared" si="270"/>
        <v>59800</v>
      </c>
      <c r="J1787" s="7">
        <f t="shared" si="271"/>
        <v>0</v>
      </c>
      <c r="K1787" s="7">
        <f t="shared" si="272"/>
        <v>59800</v>
      </c>
      <c r="L1787" s="4">
        <v>48000</v>
      </c>
      <c r="M1787" s="7">
        <f t="shared" si="273"/>
        <v>107800</v>
      </c>
      <c r="N1787" s="2" t="s">
        <v>33</v>
      </c>
      <c r="O1787" t="s">
        <v>22</v>
      </c>
      <c r="P1787" s="2" t="s">
        <v>2370</v>
      </c>
      <c r="Q1787" s="2">
        <v>4</v>
      </c>
      <c r="R1787" s="2" t="s">
        <v>23</v>
      </c>
      <c r="S1787" s="2" t="str">
        <f t="shared" si="274"/>
        <v>Standar</v>
      </c>
      <c r="T1787" s="2" t="str">
        <f t="shared" si="275"/>
        <v>FALSE</v>
      </c>
      <c r="U1787" s="2" t="str">
        <f t="shared" si="276"/>
        <v>FALSE</v>
      </c>
      <c r="V1787" s="2" t="b">
        <f t="shared" si="277"/>
        <v>0</v>
      </c>
      <c r="W1787" s="2" t="b">
        <f t="shared" si="278"/>
        <v>0</v>
      </c>
      <c r="X1787" s="2" t="b">
        <f t="shared" si="279"/>
        <v>0</v>
      </c>
    </row>
    <row r="1788" spans="1:24" ht="10.5" customHeight="1">
      <c r="A1788" s="2" t="s">
        <v>2143</v>
      </c>
      <c r="B1788" s="3">
        <v>45993.298310185193</v>
      </c>
      <c r="C1788" s="2" t="s">
        <v>37</v>
      </c>
      <c r="D1788" s="2" t="s">
        <v>26</v>
      </c>
      <c r="E1788" s="2" t="s">
        <v>99</v>
      </c>
      <c r="F1788" s="4">
        <v>10000</v>
      </c>
      <c r="G1788" s="5">
        <v>1.1000000000000001</v>
      </c>
      <c r="H1788" s="6">
        <v>0</v>
      </c>
      <c r="I1788" s="7">
        <f t="shared" si="270"/>
        <v>11000</v>
      </c>
      <c r="J1788" s="7">
        <f t="shared" si="271"/>
        <v>0</v>
      </c>
      <c r="K1788" s="7">
        <f t="shared" si="272"/>
        <v>11000</v>
      </c>
      <c r="L1788" s="4">
        <v>17000</v>
      </c>
      <c r="M1788" s="7">
        <f t="shared" si="273"/>
        <v>28000</v>
      </c>
      <c r="N1788" s="2" t="s">
        <v>58</v>
      </c>
      <c r="O1788" t="s">
        <v>22</v>
      </c>
      <c r="P1788" s="2" t="s">
        <v>2368</v>
      </c>
      <c r="Q1788" s="2">
        <v>3</v>
      </c>
      <c r="R1788" s="2" t="s">
        <v>23</v>
      </c>
      <c r="S1788" s="2" t="str">
        <f t="shared" si="274"/>
        <v>Sangat Rendah</v>
      </c>
      <c r="T1788" s="2" t="str">
        <f t="shared" si="275"/>
        <v>FALSE</v>
      </c>
      <c r="U1788" s="2" t="str">
        <f t="shared" si="276"/>
        <v>FALSE</v>
      </c>
      <c r="V1788" s="2" t="b">
        <f t="shared" si="277"/>
        <v>0</v>
      </c>
      <c r="W1788" s="2" t="b">
        <f t="shared" si="278"/>
        <v>0</v>
      </c>
      <c r="X1788" s="2" t="b">
        <f t="shared" si="279"/>
        <v>1</v>
      </c>
    </row>
    <row r="1789" spans="1:24" ht="10.5" customHeight="1">
      <c r="A1789" s="2" t="s">
        <v>2144</v>
      </c>
      <c r="B1789" s="3">
        <v>45993.64671296296</v>
      </c>
      <c r="C1789" s="2" t="s">
        <v>163</v>
      </c>
      <c r="D1789" s="2" t="s">
        <v>164</v>
      </c>
      <c r="E1789" s="2" t="s">
        <v>41</v>
      </c>
      <c r="F1789" s="4">
        <v>40000</v>
      </c>
      <c r="G1789" s="5">
        <v>0.9</v>
      </c>
      <c r="H1789" s="6">
        <v>0</v>
      </c>
      <c r="I1789" s="7">
        <f t="shared" si="270"/>
        <v>36000</v>
      </c>
      <c r="J1789" s="7">
        <f t="shared" si="271"/>
        <v>0</v>
      </c>
      <c r="K1789" s="7">
        <f t="shared" si="272"/>
        <v>36000</v>
      </c>
      <c r="L1789" s="4">
        <v>49000</v>
      </c>
      <c r="M1789" s="7">
        <f t="shared" si="273"/>
        <v>85000</v>
      </c>
      <c r="N1789" s="2" t="s">
        <v>33</v>
      </c>
      <c r="O1789" t="s">
        <v>2110</v>
      </c>
      <c r="P1789" s="2" t="s">
        <v>2367</v>
      </c>
      <c r="Q1789" s="2">
        <v>1</v>
      </c>
      <c r="R1789" s="2" t="s">
        <v>23</v>
      </c>
      <c r="S1789" s="2" t="str">
        <f t="shared" si="274"/>
        <v>Rendah</v>
      </c>
      <c r="T1789" s="2" t="str">
        <f t="shared" si="275"/>
        <v>FALSE</v>
      </c>
      <c r="U1789" s="2" t="str">
        <f t="shared" si="276"/>
        <v>FALSE</v>
      </c>
      <c r="V1789" s="2" t="b">
        <f t="shared" si="277"/>
        <v>0</v>
      </c>
      <c r="W1789" s="2" t="b">
        <f t="shared" si="278"/>
        <v>1</v>
      </c>
      <c r="X1789" s="2" t="b">
        <f t="shared" si="279"/>
        <v>0</v>
      </c>
    </row>
    <row r="1790" spans="1:24" ht="10.5" customHeight="1">
      <c r="A1790" s="2" t="s">
        <v>2145</v>
      </c>
      <c r="B1790" s="3">
        <v>45993.72693287037</v>
      </c>
      <c r="C1790" s="2" t="s">
        <v>301</v>
      </c>
      <c r="D1790" s="2" t="s">
        <v>108</v>
      </c>
      <c r="E1790" s="2" t="s">
        <v>80</v>
      </c>
      <c r="F1790" s="4">
        <v>15000</v>
      </c>
      <c r="G1790" s="5">
        <v>2.2999999999999998</v>
      </c>
      <c r="H1790" s="6">
        <v>0</v>
      </c>
      <c r="I1790" s="7">
        <f t="shared" si="270"/>
        <v>34500</v>
      </c>
      <c r="J1790" s="7">
        <f t="shared" si="271"/>
        <v>0</v>
      </c>
      <c r="K1790" s="7">
        <f t="shared" si="272"/>
        <v>34500</v>
      </c>
      <c r="L1790" s="4">
        <v>72000</v>
      </c>
      <c r="M1790" s="7">
        <f t="shared" si="273"/>
        <v>106500</v>
      </c>
      <c r="N1790" s="2" t="s">
        <v>33</v>
      </c>
      <c r="O1790" t="s">
        <v>2107</v>
      </c>
      <c r="P1790" s="2" t="s">
        <v>2368</v>
      </c>
      <c r="Q1790" s="2">
        <v>5</v>
      </c>
      <c r="R1790" s="2" t="s">
        <v>23</v>
      </c>
      <c r="S1790" s="2" t="str">
        <f t="shared" si="274"/>
        <v>Standar</v>
      </c>
      <c r="T1790" s="2" t="str">
        <f t="shared" si="275"/>
        <v>FALSE</v>
      </c>
      <c r="U1790" s="2" t="str">
        <f t="shared" si="276"/>
        <v>FALSE</v>
      </c>
      <c r="V1790" s="2" t="b">
        <f t="shared" si="277"/>
        <v>0</v>
      </c>
      <c r="W1790" s="2" t="b">
        <f t="shared" si="278"/>
        <v>0</v>
      </c>
      <c r="X1790" s="2" t="b">
        <f t="shared" si="279"/>
        <v>0</v>
      </c>
    </row>
    <row r="1791" spans="1:24" ht="10.5" customHeight="1">
      <c r="A1791" s="2" t="s">
        <v>2146</v>
      </c>
      <c r="B1791" s="3">
        <v>45994.676504629628</v>
      </c>
      <c r="C1791" s="2" t="s">
        <v>77</v>
      </c>
      <c r="D1791" s="2" t="s">
        <v>52</v>
      </c>
      <c r="E1791" s="2" t="s">
        <v>65</v>
      </c>
      <c r="F1791" s="4">
        <v>46000</v>
      </c>
      <c r="G1791" s="5">
        <v>0.8</v>
      </c>
      <c r="H1791" s="6">
        <v>0</v>
      </c>
      <c r="I1791" s="7">
        <f t="shared" si="270"/>
        <v>36800</v>
      </c>
      <c r="J1791" s="7">
        <f t="shared" si="271"/>
        <v>0</v>
      </c>
      <c r="K1791" s="7">
        <f t="shared" si="272"/>
        <v>36800</v>
      </c>
      <c r="L1791" s="4">
        <v>80000</v>
      </c>
      <c r="M1791" s="7">
        <f t="shared" si="273"/>
        <v>116800</v>
      </c>
      <c r="N1791" s="2" t="s">
        <v>28</v>
      </c>
      <c r="O1791" t="s">
        <v>2110</v>
      </c>
      <c r="P1791" s="2" t="s">
        <v>2366</v>
      </c>
      <c r="Q1791" s="2">
        <v>5</v>
      </c>
      <c r="R1791" s="2" t="s">
        <v>34</v>
      </c>
      <c r="S1791" s="2" t="str">
        <f t="shared" si="274"/>
        <v>Standar</v>
      </c>
      <c r="T1791" s="2" t="str">
        <f t="shared" si="275"/>
        <v>FALSE</v>
      </c>
      <c r="U1791" s="2" t="str">
        <f t="shared" si="276"/>
        <v>FALSE</v>
      </c>
      <c r="V1791" s="2" t="b">
        <f t="shared" si="277"/>
        <v>0</v>
      </c>
      <c r="W1791" s="2" t="b">
        <f t="shared" si="278"/>
        <v>0</v>
      </c>
      <c r="X1791" s="2" t="b">
        <f t="shared" si="279"/>
        <v>0</v>
      </c>
    </row>
    <row r="1792" spans="1:24" ht="10.5" customHeight="1">
      <c r="A1792" s="2" t="s">
        <v>2147</v>
      </c>
      <c r="B1792" s="3">
        <v>45995.408564814818</v>
      </c>
      <c r="C1792" s="2" t="s">
        <v>1073</v>
      </c>
      <c r="D1792" s="2" t="s">
        <v>160</v>
      </c>
      <c r="E1792" s="2" t="s">
        <v>41</v>
      </c>
      <c r="F1792" s="4">
        <v>40000</v>
      </c>
      <c r="G1792" s="5">
        <v>1.3</v>
      </c>
      <c r="H1792" s="6">
        <v>0</v>
      </c>
      <c r="I1792" s="7">
        <f t="shared" si="270"/>
        <v>52000</v>
      </c>
      <c r="J1792" s="7">
        <f t="shared" si="271"/>
        <v>0</v>
      </c>
      <c r="K1792" s="7">
        <f t="shared" si="272"/>
        <v>52000</v>
      </c>
      <c r="L1792" s="4">
        <v>46000</v>
      </c>
      <c r="M1792" s="7">
        <f t="shared" si="273"/>
        <v>98000</v>
      </c>
      <c r="N1792" s="2" t="s">
        <v>33</v>
      </c>
      <c r="O1792" t="s">
        <v>2110</v>
      </c>
      <c r="P1792" s="2" t="s">
        <v>2368</v>
      </c>
      <c r="Q1792" s="2">
        <v>5</v>
      </c>
      <c r="R1792" s="2" t="s">
        <v>23</v>
      </c>
      <c r="S1792" s="2" t="str">
        <f t="shared" si="274"/>
        <v>Rendah</v>
      </c>
      <c r="T1792" s="2" t="str">
        <f t="shared" si="275"/>
        <v>FALSE</v>
      </c>
      <c r="U1792" s="2" t="str">
        <f t="shared" si="276"/>
        <v>FALSE</v>
      </c>
      <c r="V1792" s="2" t="b">
        <f t="shared" si="277"/>
        <v>0</v>
      </c>
      <c r="W1792" s="2" t="b">
        <f t="shared" si="278"/>
        <v>0</v>
      </c>
      <c r="X1792" s="2" t="b">
        <f t="shared" si="279"/>
        <v>0</v>
      </c>
    </row>
    <row r="1793" spans="1:24" ht="10.5" customHeight="1">
      <c r="A1793" s="2" t="s">
        <v>2148</v>
      </c>
      <c r="B1793" s="3">
        <v>45995.485138888893</v>
      </c>
      <c r="C1793" s="2" t="s">
        <v>345</v>
      </c>
      <c r="D1793" s="2" t="s">
        <v>108</v>
      </c>
      <c r="E1793" s="2" t="s">
        <v>182</v>
      </c>
      <c r="F1793" s="4">
        <v>11000</v>
      </c>
      <c r="G1793" s="5">
        <v>2.2999999999999998</v>
      </c>
      <c r="H1793" s="6">
        <v>0</v>
      </c>
      <c r="I1793" s="7">
        <f t="shared" si="270"/>
        <v>25299.999999999996</v>
      </c>
      <c r="J1793" s="7">
        <f t="shared" si="271"/>
        <v>0</v>
      </c>
      <c r="K1793" s="7">
        <f t="shared" si="272"/>
        <v>25299.999999999996</v>
      </c>
      <c r="L1793" s="4">
        <v>72000</v>
      </c>
      <c r="M1793" s="7">
        <f t="shared" si="273"/>
        <v>97300</v>
      </c>
      <c r="N1793" s="2" t="s">
        <v>21</v>
      </c>
      <c r="O1793" t="s">
        <v>2110</v>
      </c>
      <c r="P1793" s="2" t="s">
        <v>2367</v>
      </c>
      <c r="Q1793" s="2">
        <v>5</v>
      </c>
      <c r="R1793" s="2" t="s">
        <v>23</v>
      </c>
      <c r="S1793" s="2" t="str">
        <f t="shared" si="274"/>
        <v>Rendah</v>
      </c>
      <c r="T1793" s="2" t="str">
        <f t="shared" si="275"/>
        <v>FALSE</v>
      </c>
      <c r="U1793" s="2" t="str">
        <f t="shared" si="276"/>
        <v>FALSE</v>
      </c>
      <c r="V1793" s="2" t="b">
        <f t="shared" si="277"/>
        <v>0</v>
      </c>
      <c r="W1793" s="2" t="b">
        <f t="shared" si="278"/>
        <v>1</v>
      </c>
      <c r="X1793" s="2" t="b">
        <f t="shared" si="279"/>
        <v>0</v>
      </c>
    </row>
    <row r="1794" spans="1:24" ht="10.5" customHeight="1">
      <c r="A1794" s="2" t="s">
        <v>2149</v>
      </c>
      <c r="B1794" s="3">
        <v>45995.563738425917</v>
      </c>
      <c r="C1794" s="2" t="s">
        <v>306</v>
      </c>
      <c r="D1794" s="2" t="s">
        <v>235</v>
      </c>
      <c r="E1794" s="2" t="s">
        <v>49</v>
      </c>
      <c r="F1794" s="4">
        <v>26000</v>
      </c>
      <c r="G1794" s="5">
        <v>1</v>
      </c>
      <c r="H1794" s="6">
        <v>0</v>
      </c>
      <c r="I1794" s="7">
        <f t="shared" si="270"/>
        <v>26000</v>
      </c>
      <c r="J1794" s="7">
        <f t="shared" si="271"/>
        <v>0</v>
      </c>
      <c r="K1794" s="7">
        <f t="shared" si="272"/>
        <v>26000</v>
      </c>
      <c r="L1794" s="4">
        <v>80000</v>
      </c>
      <c r="M1794" s="7">
        <f t="shared" si="273"/>
        <v>106000</v>
      </c>
      <c r="N1794" s="2" t="s">
        <v>28</v>
      </c>
      <c r="O1794" t="s">
        <v>22</v>
      </c>
      <c r="P1794" s="2" t="s">
        <v>2368</v>
      </c>
      <c r="Q1794" s="2">
        <v>1</v>
      </c>
      <c r="R1794" s="2" t="s">
        <v>23</v>
      </c>
      <c r="S1794" s="2" t="str">
        <f t="shared" si="274"/>
        <v>Standar</v>
      </c>
      <c r="T1794" s="2" t="str">
        <f t="shared" si="275"/>
        <v>FALSE</v>
      </c>
      <c r="U1794" s="2" t="str">
        <f t="shared" si="276"/>
        <v>FALSE</v>
      </c>
      <c r="V1794" s="2" t="b">
        <f t="shared" si="277"/>
        <v>0</v>
      </c>
      <c r="W1794" s="2" t="b">
        <f t="shared" si="278"/>
        <v>0</v>
      </c>
      <c r="X1794" s="2" t="b">
        <f t="shared" si="279"/>
        <v>0</v>
      </c>
    </row>
    <row r="1795" spans="1:24" ht="10.5" customHeight="1">
      <c r="A1795" s="2" t="s">
        <v>2150</v>
      </c>
      <c r="B1795" s="3">
        <v>45995.583113425928</v>
      </c>
      <c r="C1795" s="2" t="s">
        <v>980</v>
      </c>
      <c r="D1795" s="2" t="s">
        <v>164</v>
      </c>
      <c r="E1795" s="2" t="s">
        <v>57</v>
      </c>
      <c r="F1795" s="4">
        <v>17500</v>
      </c>
      <c r="G1795" s="5">
        <v>2.2999999999999998</v>
      </c>
      <c r="H1795" s="6">
        <v>0</v>
      </c>
      <c r="I1795" s="7">
        <f t="shared" si="270"/>
        <v>40250</v>
      </c>
      <c r="J1795" s="7">
        <f t="shared" si="271"/>
        <v>0</v>
      </c>
      <c r="K1795" s="7">
        <f t="shared" si="272"/>
        <v>40250</v>
      </c>
      <c r="L1795" s="4">
        <v>49000</v>
      </c>
      <c r="M1795" s="7">
        <f t="shared" si="273"/>
        <v>89250</v>
      </c>
      <c r="N1795" s="2" t="s">
        <v>58</v>
      </c>
      <c r="O1795" t="s">
        <v>2110</v>
      </c>
      <c r="P1795" s="2" t="s">
        <v>2366</v>
      </c>
      <c r="Q1795" s="2">
        <v>5</v>
      </c>
      <c r="R1795" s="2" t="s">
        <v>23</v>
      </c>
      <c r="S1795" s="2" t="str">
        <f t="shared" si="274"/>
        <v>Rendah</v>
      </c>
      <c r="T1795" s="2" t="str">
        <f t="shared" si="275"/>
        <v>FALSE</v>
      </c>
      <c r="U1795" s="2" t="str">
        <f t="shared" si="276"/>
        <v>FALSE</v>
      </c>
      <c r="V1795" s="2" t="b">
        <f t="shared" si="277"/>
        <v>0</v>
      </c>
      <c r="W1795" s="2" t="b">
        <f t="shared" si="278"/>
        <v>0</v>
      </c>
      <c r="X1795" s="2" t="b">
        <f t="shared" si="279"/>
        <v>0</v>
      </c>
    </row>
    <row r="1796" spans="1:24" ht="10.5" customHeight="1">
      <c r="A1796" s="2" t="s">
        <v>2151</v>
      </c>
      <c r="B1796" s="3">
        <v>45995.679363425923</v>
      </c>
      <c r="C1796" s="2" t="s">
        <v>560</v>
      </c>
      <c r="D1796" s="2" t="s">
        <v>74</v>
      </c>
      <c r="E1796" s="2" t="s">
        <v>35</v>
      </c>
      <c r="F1796" s="4">
        <v>13500</v>
      </c>
      <c r="G1796" s="5">
        <v>0.6</v>
      </c>
      <c r="H1796" s="6">
        <v>0</v>
      </c>
      <c r="I1796" s="7">
        <f t="shared" ref="I1796:I1859" si="280">F1796*G1796</f>
        <v>8100</v>
      </c>
      <c r="J1796" s="7">
        <f t="shared" ref="J1796:J1859" si="281">I1796*(H1796/100)</f>
        <v>0</v>
      </c>
      <c r="K1796" s="7">
        <f t="shared" ref="K1796:K1859" si="282">I1796-J1796</f>
        <v>8100</v>
      </c>
      <c r="L1796" s="4">
        <v>74000</v>
      </c>
      <c r="M1796" s="7">
        <f t="shared" ref="M1796:M1859" si="283">K1796+L1796</f>
        <v>82100</v>
      </c>
      <c r="N1796" s="2" t="s">
        <v>33</v>
      </c>
      <c r="O1796" t="s">
        <v>2110</v>
      </c>
      <c r="P1796" s="2" t="s">
        <v>2368</v>
      </c>
      <c r="Q1796" s="2">
        <v>1</v>
      </c>
      <c r="R1796" s="2" t="s">
        <v>23</v>
      </c>
      <c r="S1796" s="2" t="str">
        <f t="shared" ref="S1796:S1859" si="284">IF(M1796&lt;=50000,"Sangat Rendah",IF(M1796&lt;=100000,"Rendah",IF(M1796&lt;=150000,"Standar",IF(M1796&lt;=200000,"Tinggi","Sangat Tinggi"))))</f>
        <v>Rendah</v>
      </c>
      <c r="T1796" s="2" t="str">
        <f t="shared" ref="T1796:T1859" si="285">IF(AND(S1796="Rendah",D1796="Yogyakarta"),"TRUE","FALSE")</f>
        <v>FALSE</v>
      </c>
      <c r="U1796" s="2" t="str">
        <f t="shared" ref="U1796:U1859" si="286">IF(OR(S1796="Tinggi",E1796="Bayam"),"TRUE","FALSE")</f>
        <v>FALSE</v>
      </c>
      <c r="V1796" s="2" t="b">
        <f t="shared" ref="V1796:V1859" si="287">IF(AND(S1796="Standar",N1796="Transef Bank"),TRUE,FALSE)</f>
        <v>0</v>
      </c>
      <c r="W1796" s="2" t="b">
        <f t="shared" ref="W1796:W1859" si="288">IF(OR(S1796="Sangat Tinggi",P1796="FoodMart"),TRUE,FALSE)</f>
        <v>0</v>
      </c>
      <c r="X1796" s="2" t="b">
        <f t="shared" ref="X1796:X1859" si="289">IF(AND(S1796="Sangat Rendah",R1796="Perempuan"),TRUE,FALSE)</f>
        <v>0</v>
      </c>
    </row>
    <row r="1797" spans="1:24" ht="10.5" customHeight="1">
      <c r="A1797" s="2" t="s">
        <v>2152</v>
      </c>
      <c r="B1797" s="3">
        <v>45995.879953703698</v>
      </c>
      <c r="C1797" s="2" t="s">
        <v>1520</v>
      </c>
      <c r="D1797" s="2" t="s">
        <v>114</v>
      </c>
      <c r="E1797" s="2" t="s">
        <v>49</v>
      </c>
      <c r="F1797" s="4">
        <v>26000</v>
      </c>
      <c r="G1797" s="5">
        <v>1.6</v>
      </c>
      <c r="H1797" s="6">
        <v>0</v>
      </c>
      <c r="I1797" s="7">
        <f t="shared" si="280"/>
        <v>41600</v>
      </c>
      <c r="J1797" s="7">
        <f t="shared" si="281"/>
        <v>0</v>
      </c>
      <c r="K1797" s="7">
        <f t="shared" si="282"/>
        <v>41600</v>
      </c>
      <c r="L1797" s="4">
        <v>78000</v>
      </c>
      <c r="M1797" s="7">
        <f t="shared" si="283"/>
        <v>119600</v>
      </c>
      <c r="N1797" s="2" t="s">
        <v>28</v>
      </c>
      <c r="O1797" t="s">
        <v>22</v>
      </c>
      <c r="P1797" s="2" t="s">
        <v>2365</v>
      </c>
      <c r="Q1797" s="2">
        <v>4</v>
      </c>
      <c r="R1797" s="2" t="s">
        <v>23</v>
      </c>
      <c r="S1797" s="2" t="str">
        <f t="shared" si="284"/>
        <v>Standar</v>
      </c>
      <c r="T1797" s="2" t="str">
        <f t="shared" si="285"/>
        <v>FALSE</v>
      </c>
      <c r="U1797" s="2" t="str">
        <f t="shared" si="286"/>
        <v>FALSE</v>
      </c>
      <c r="V1797" s="2" t="b">
        <f t="shared" si="287"/>
        <v>0</v>
      </c>
      <c r="W1797" s="2" t="b">
        <f t="shared" si="288"/>
        <v>0</v>
      </c>
      <c r="X1797" s="2" t="b">
        <f t="shared" si="289"/>
        <v>0</v>
      </c>
    </row>
    <row r="1798" spans="1:24" ht="10.5" customHeight="1">
      <c r="A1798" s="2" t="s">
        <v>2153</v>
      </c>
      <c r="B1798" s="3">
        <v>45996.441516203697</v>
      </c>
      <c r="C1798" s="2" t="s">
        <v>343</v>
      </c>
      <c r="D1798" s="2" t="s">
        <v>61</v>
      </c>
      <c r="E1798" s="2" t="s">
        <v>80</v>
      </c>
      <c r="F1798" s="4">
        <v>15000</v>
      </c>
      <c r="G1798" s="5">
        <v>2.4</v>
      </c>
      <c r="H1798" s="6">
        <v>0</v>
      </c>
      <c r="I1798" s="7">
        <f t="shared" si="280"/>
        <v>36000</v>
      </c>
      <c r="J1798" s="7">
        <f t="shared" si="281"/>
        <v>0</v>
      </c>
      <c r="K1798" s="7">
        <f t="shared" si="282"/>
        <v>36000</v>
      </c>
      <c r="L1798" s="4">
        <v>59000</v>
      </c>
      <c r="M1798" s="7">
        <f t="shared" si="283"/>
        <v>95000</v>
      </c>
      <c r="N1798" s="2" t="s">
        <v>21</v>
      </c>
      <c r="O1798" t="s">
        <v>2110</v>
      </c>
      <c r="P1798" s="2" t="s">
        <v>2370</v>
      </c>
      <c r="Q1798" s="2">
        <v>5</v>
      </c>
      <c r="R1798" s="2" t="s">
        <v>23</v>
      </c>
      <c r="S1798" s="2" t="str">
        <f t="shared" si="284"/>
        <v>Rendah</v>
      </c>
      <c r="T1798" s="2" t="str">
        <f t="shared" si="285"/>
        <v>FALSE</v>
      </c>
      <c r="U1798" s="2" t="str">
        <f t="shared" si="286"/>
        <v>FALSE</v>
      </c>
      <c r="V1798" s="2" t="b">
        <f t="shared" si="287"/>
        <v>0</v>
      </c>
      <c r="W1798" s="2" t="b">
        <f t="shared" si="288"/>
        <v>0</v>
      </c>
      <c r="X1798" s="2" t="b">
        <f t="shared" si="289"/>
        <v>0</v>
      </c>
    </row>
    <row r="1799" spans="1:24" ht="10.5" customHeight="1">
      <c r="A1799" s="2" t="s">
        <v>2153</v>
      </c>
      <c r="B1799" s="3">
        <v>45996.441516203697</v>
      </c>
      <c r="C1799" s="2" t="s">
        <v>343</v>
      </c>
      <c r="D1799" s="2" t="s">
        <v>61</v>
      </c>
      <c r="E1799" s="2" t="s">
        <v>57</v>
      </c>
      <c r="F1799" s="4">
        <v>17500</v>
      </c>
      <c r="G1799" s="5">
        <v>0.6</v>
      </c>
      <c r="H1799" s="6">
        <v>0</v>
      </c>
      <c r="I1799" s="7">
        <f t="shared" si="280"/>
        <v>10500</v>
      </c>
      <c r="J1799" s="7">
        <f t="shared" si="281"/>
        <v>0</v>
      </c>
      <c r="K1799" s="7">
        <f t="shared" si="282"/>
        <v>10500</v>
      </c>
      <c r="L1799" s="4">
        <v>0</v>
      </c>
      <c r="M1799" s="7">
        <f t="shared" si="283"/>
        <v>10500</v>
      </c>
      <c r="N1799" s="2" t="s">
        <v>21</v>
      </c>
      <c r="O1799" t="s">
        <v>2110</v>
      </c>
      <c r="P1799" s="2" t="s">
        <v>2370</v>
      </c>
      <c r="Q1799" s="2">
        <v>5</v>
      </c>
      <c r="R1799" s="2" t="s">
        <v>23</v>
      </c>
      <c r="S1799" s="2" t="str">
        <f t="shared" si="284"/>
        <v>Sangat Rendah</v>
      </c>
      <c r="T1799" s="2" t="str">
        <f t="shared" si="285"/>
        <v>FALSE</v>
      </c>
      <c r="U1799" s="2" t="str">
        <f t="shared" si="286"/>
        <v>FALSE</v>
      </c>
      <c r="V1799" s="2" t="b">
        <f t="shared" si="287"/>
        <v>0</v>
      </c>
      <c r="W1799" s="2" t="b">
        <f t="shared" si="288"/>
        <v>0</v>
      </c>
      <c r="X1799" s="2" t="b">
        <f t="shared" si="289"/>
        <v>1</v>
      </c>
    </row>
    <row r="1800" spans="1:24" ht="10.5" customHeight="1">
      <c r="A1800" s="2" t="s">
        <v>2154</v>
      </c>
      <c r="B1800" s="3">
        <v>45996.673032407409</v>
      </c>
      <c r="C1800" s="2" t="s">
        <v>685</v>
      </c>
      <c r="D1800" s="2" t="s">
        <v>111</v>
      </c>
      <c r="E1800" s="2" t="s">
        <v>182</v>
      </c>
      <c r="F1800" s="4">
        <v>11000</v>
      </c>
      <c r="G1800" s="5">
        <v>1</v>
      </c>
      <c r="H1800" s="6">
        <v>0</v>
      </c>
      <c r="I1800" s="7">
        <f t="shared" si="280"/>
        <v>11000</v>
      </c>
      <c r="J1800" s="7">
        <f t="shared" si="281"/>
        <v>0</v>
      </c>
      <c r="K1800" s="7">
        <f t="shared" si="282"/>
        <v>11000</v>
      </c>
      <c r="L1800" s="4">
        <v>0</v>
      </c>
      <c r="M1800" s="7">
        <f t="shared" si="283"/>
        <v>11000</v>
      </c>
      <c r="N1800" s="2" t="s">
        <v>28</v>
      </c>
      <c r="O1800" t="s">
        <v>22</v>
      </c>
      <c r="P1800" s="2" t="s">
        <v>2367</v>
      </c>
      <c r="Q1800" s="2">
        <v>4</v>
      </c>
      <c r="R1800" s="2" t="s">
        <v>23</v>
      </c>
      <c r="S1800" s="2" t="str">
        <f t="shared" si="284"/>
        <v>Sangat Rendah</v>
      </c>
      <c r="T1800" s="2" t="str">
        <f t="shared" si="285"/>
        <v>FALSE</v>
      </c>
      <c r="U1800" s="2" t="str">
        <f t="shared" si="286"/>
        <v>FALSE</v>
      </c>
      <c r="V1800" s="2" t="b">
        <f t="shared" si="287"/>
        <v>0</v>
      </c>
      <c r="W1800" s="2" t="b">
        <f t="shared" si="288"/>
        <v>1</v>
      </c>
      <c r="X1800" s="2" t="b">
        <f t="shared" si="289"/>
        <v>1</v>
      </c>
    </row>
    <row r="1801" spans="1:24" ht="10.5" customHeight="1">
      <c r="A1801" s="2" t="s">
        <v>2155</v>
      </c>
      <c r="B1801" s="3">
        <v>45998.319502314807</v>
      </c>
      <c r="C1801" s="2" t="s">
        <v>237</v>
      </c>
      <c r="D1801" s="2" t="s">
        <v>229</v>
      </c>
      <c r="E1801" s="2" t="s">
        <v>35</v>
      </c>
      <c r="F1801" s="4">
        <v>13500</v>
      </c>
      <c r="G1801" s="5">
        <v>2.7</v>
      </c>
      <c r="H1801" s="6">
        <v>0</v>
      </c>
      <c r="I1801" s="7">
        <f t="shared" si="280"/>
        <v>36450</v>
      </c>
      <c r="J1801" s="7">
        <f t="shared" si="281"/>
        <v>0</v>
      </c>
      <c r="K1801" s="7">
        <f t="shared" si="282"/>
        <v>36450</v>
      </c>
      <c r="L1801" s="4">
        <v>28000</v>
      </c>
      <c r="M1801" s="7">
        <f t="shared" si="283"/>
        <v>64450</v>
      </c>
      <c r="N1801" s="2" t="s">
        <v>58</v>
      </c>
      <c r="O1801" t="s">
        <v>22</v>
      </c>
      <c r="P1801" s="2" t="s">
        <v>2370</v>
      </c>
      <c r="Q1801" s="2">
        <v>4</v>
      </c>
      <c r="R1801" s="2" t="s">
        <v>23</v>
      </c>
      <c r="S1801" s="2" t="str">
        <f t="shared" si="284"/>
        <v>Rendah</v>
      </c>
      <c r="T1801" s="2" t="str">
        <f t="shared" si="285"/>
        <v>FALSE</v>
      </c>
      <c r="U1801" s="2" t="str">
        <f t="shared" si="286"/>
        <v>FALSE</v>
      </c>
      <c r="V1801" s="2" t="b">
        <f t="shared" si="287"/>
        <v>0</v>
      </c>
      <c r="W1801" s="2" t="b">
        <f t="shared" si="288"/>
        <v>0</v>
      </c>
      <c r="X1801" s="2" t="b">
        <f t="shared" si="289"/>
        <v>0</v>
      </c>
    </row>
    <row r="1802" spans="1:24" ht="10.5" customHeight="1">
      <c r="A1802" s="2" t="s">
        <v>2156</v>
      </c>
      <c r="B1802" s="3">
        <v>45998.371006944442</v>
      </c>
      <c r="C1802" s="2" t="s">
        <v>748</v>
      </c>
      <c r="D1802" s="2" t="s">
        <v>229</v>
      </c>
      <c r="E1802" s="2" t="s">
        <v>41</v>
      </c>
      <c r="F1802" s="4">
        <v>40000</v>
      </c>
      <c r="G1802" s="5">
        <v>0.3</v>
      </c>
      <c r="H1802" s="6">
        <v>0</v>
      </c>
      <c r="I1802" s="7">
        <f t="shared" si="280"/>
        <v>12000</v>
      </c>
      <c r="J1802" s="7">
        <f t="shared" si="281"/>
        <v>0</v>
      </c>
      <c r="K1802" s="7">
        <f t="shared" si="282"/>
        <v>12000</v>
      </c>
      <c r="L1802" s="4">
        <v>28000</v>
      </c>
      <c r="M1802" s="7">
        <f t="shared" si="283"/>
        <v>40000</v>
      </c>
      <c r="N1802" s="2" t="s">
        <v>28</v>
      </c>
      <c r="O1802" t="s">
        <v>2107</v>
      </c>
      <c r="P1802" s="2" t="s">
        <v>2368</v>
      </c>
      <c r="Q1802" s="2">
        <v>2</v>
      </c>
      <c r="R1802" s="2" t="s">
        <v>23</v>
      </c>
      <c r="S1802" s="2" t="str">
        <f t="shared" si="284"/>
        <v>Sangat Rendah</v>
      </c>
      <c r="T1802" s="2" t="str">
        <f t="shared" si="285"/>
        <v>FALSE</v>
      </c>
      <c r="U1802" s="2" t="str">
        <f t="shared" si="286"/>
        <v>FALSE</v>
      </c>
      <c r="V1802" s="2" t="b">
        <f t="shared" si="287"/>
        <v>0</v>
      </c>
      <c r="W1802" s="2" t="b">
        <f t="shared" si="288"/>
        <v>0</v>
      </c>
      <c r="X1802" s="2" t="b">
        <f t="shared" si="289"/>
        <v>1</v>
      </c>
    </row>
    <row r="1803" spans="1:24" ht="10.5" customHeight="1">
      <c r="A1803" s="2" t="s">
        <v>2157</v>
      </c>
      <c r="B1803" s="3">
        <v>45998.403240740743</v>
      </c>
      <c r="C1803" s="2" t="s">
        <v>774</v>
      </c>
      <c r="D1803" s="2" t="s">
        <v>108</v>
      </c>
      <c r="E1803" s="2" t="s">
        <v>32</v>
      </c>
      <c r="F1803" s="4">
        <v>20000</v>
      </c>
      <c r="G1803" s="5">
        <v>0.4</v>
      </c>
      <c r="H1803" s="6">
        <v>0</v>
      </c>
      <c r="I1803" s="7">
        <f t="shared" si="280"/>
        <v>8000</v>
      </c>
      <c r="J1803" s="7">
        <f t="shared" si="281"/>
        <v>0</v>
      </c>
      <c r="K1803" s="7">
        <f t="shared" si="282"/>
        <v>8000</v>
      </c>
      <c r="L1803" s="4">
        <v>72000</v>
      </c>
      <c r="M1803" s="7">
        <f t="shared" si="283"/>
        <v>80000</v>
      </c>
      <c r="N1803" s="2" t="s">
        <v>33</v>
      </c>
      <c r="O1803" t="s">
        <v>2110</v>
      </c>
      <c r="P1803" s="2" t="s">
        <v>2365</v>
      </c>
      <c r="Q1803" s="2">
        <v>4</v>
      </c>
      <c r="R1803" s="2" t="s">
        <v>23</v>
      </c>
      <c r="S1803" s="2" t="str">
        <f t="shared" si="284"/>
        <v>Rendah</v>
      </c>
      <c r="T1803" s="2" t="str">
        <f t="shared" si="285"/>
        <v>FALSE</v>
      </c>
      <c r="U1803" s="2" t="str">
        <f t="shared" si="286"/>
        <v>FALSE</v>
      </c>
      <c r="V1803" s="2" t="b">
        <f t="shared" si="287"/>
        <v>0</v>
      </c>
      <c r="W1803" s="2" t="b">
        <f t="shared" si="288"/>
        <v>0</v>
      </c>
      <c r="X1803" s="2" t="b">
        <f t="shared" si="289"/>
        <v>0</v>
      </c>
    </row>
    <row r="1804" spans="1:24" ht="10.5" customHeight="1">
      <c r="A1804" s="2" t="s">
        <v>2158</v>
      </c>
      <c r="B1804" s="3">
        <v>46000.455497685187</v>
      </c>
      <c r="C1804" s="2" t="s">
        <v>37</v>
      </c>
      <c r="D1804" s="2" t="s">
        <v>26</v>
      </c>
      <c r="E1804" s="2" t="s">
        <v>75</v>
      </c>
      <c r="F1804" s="4">
        <v>45000</v>
      </c>
      <c r="G1804" s="5">
        <v>1.6</v>
      </c>
      <c r="H1804" s="6">
        <v>0</v>
      </c>
      <c r="I1804" s="7">
        <f t="shared" si="280"/>
        <v>72000</v>
      </c>
      <c r="J1804" s="7">
        <f t="shared" si="281"/>
        <v>0</v>
      </c>
      <c r="K1804" s="7">
        <f t="shared" si="282"/>
        <v>72000</v>
      </c>
      <c r="L1804" s="4">
        <v>17000</v>
      </c>
      <c r="M1804" s="7">
        <f t="shared" si="283"/>
        <v>89000</v>
      </c>
      <c r="N1804" s="2" t="s">
        <v>28</v>
      </c>
      <c r="O1804" t="s">
        <v>2110</v>
      </c>
      <c r="P1804" s="2" t="s">
        <v>2366</v>
      </c>
      <c r="Q1804" s="2">
        <v>5</v>
      </c>
      <c r="R1804" s="2" t="s">
        <v>23</v>
      </c>
      <c r="S1804" s="2" t="str">
        <f t="shared" si="284"/>
        <v>Rendah</v>
      </c>
      <c r="T1804" s="2" t="str">
        <f t="shared" si="285"/>
        <v>FALSE</v>
      </c>
      <c r="U1804" s="2" t="str">
        <f t="shared" si="286"/>
        <v>FALSE</v>
      </c>
      <c r="V1804" s="2" t="b">
        <f t="shared" si="287"/>
        <v>0</v>
      </c>
      <c r="W1804" s="2" t="b">
        <f t="shared" si="288"/>
        <v>0</v>
      </c>
      <c r="X1804" s="2" t="b">
        <f t="shared" si="289"/>
        <v>0</v>
      </c>
    </row>
    <row r="1805" spans="1:24" ht="10.5" customHeight="1">
      <c r="A1805" s="2" t="s">
        <v>2159</v>
      </c>
      <c r="B1805" s="3">
        <v>46000.542199074072</v>
      </c>
      <c r="C1805" s="2" t="s">
        <v>774</v>
      </c>
      <c r="D1805" s="2" t="s">
        <v>108</v>
      </c>
      <c r="E1805" s="2" t="s">
        <v>49</v>
      </c>
      <c r="F1805" s="4">
        <v>26000</v>
      </c>
      <c r="G1805" s="5">
        <v>1.7</v>
      </c>
      <c r="H1805" s="6">
        <v>0</v>
      </c>
      <c r="I1805" s="7">
        <f t="shared" si="280"/>
        <v>44200</v>
      </c>
      <c r="J1805" s="7">
        <f t="shared" si="281"/>
        <v>0</v>
      </c>
      <c r="K1805" s="7">
        <f t="shared" si="282"/>
        <v>44200</v>
      </c>
      <c r="L1805" s="4">
        <v>72000</v>
      </c>
      <c r="M1805" s="7">
        <f t="shared" si="283"/>
        <v>116200</v>
      </c>
      <c r="N1805" s="2" t="s">
        <v>21</v>
      </c>
      <c r="O1805" t="s">
        <v>22</v>
      </c>
      <c r="P1805" s="2" t="s">
        <v>2367</v>
      </c>
      <c r="Q1805" s="2">
        <v>4</v>
      </c>
      <c r="R1805" s="2" t="s">
        <v>23</v>
      </c>
      <c r="S1805" s="2" t="str">
        <f t="shared" si="284"/>
        <v>Standar</v>
      </c>
      <c r="T1805" s="2" t="str">
        <f t="shared" si="285"/>
        <v>FALSE</v>
      </c>
      <c r="U1805" s="2" t="str">
        <f t="shared" si="286"/>
        <v>FALSE</v>
      </c>
      <c r="V1805" s="2" t="b">
        <f t="shared" si="287"/>
        <v>0</v>
      </c>
      <c r="W1805" s="2" t="b">
        <f t="shared" si="288"/>
        <v>1</v>
      </c>
      <c r="X1805" s="2" t="b">
        <f t="shared" si="289"/>
        <v>0</v>
      </c>
    </row>
    <row r="1806" spans="1:24" ht="10.5" customHeight="1">
      <c r="A1806" s="2" t="s">
        <v>2160</v>
      </c>
      <c r="B1806" s="3">
        <v>46000.602071759262</v>
      </c>
      <c r="C1806" s="2" t="s">
        <v>729</v>
      </c>
      <c r="D1806" s="2" t="s">
        <v>167</v>
      </c>
      <c r="E1806" s="2" t="s">
        <v>170</v>
      </c>
      <c r="F1806" s="4">
        <v>12000</v>
      </c>
      <c r="G1806" s="5">
        <v>1.3</v>
      </c>
      <c r="H1806" s="6">
        <v>0</v>
      </c>
      <c r="I1806" s="7">
        <f t="shared" si="280"/>
        <v>15600</v>
      </c>
      <c r="J1806" s="7">
        <f t="shared" si="281"/>
        <v>0</v>
      </c>
      <c r="K1806" s="7">
        <f t="shared" si="282"/>
        <v>15600</v>
      </c>
      <c r="L1806" s="4">
        <v>56000</v>
      </c>
      <c r="M1806" s="7">
        <f t="shared" si="283"/>
        <v>71600</v>
      </c>
      <c r="N1806" s="2" t="s">
        <v>28</v>
      </c>
      <c r="O1806" t="s">
        <v>22</v>
      </c>
      <c r="P1806" s="2" t="s">
        <v>2365</v>
      </c>
      <c r="Q1806" s="2">
        <v>3</v>
      </c>
      <c r="R1806" s="2" t="s">
        <v>23</v>
      </c>
      <c r="S1806" s="2" t="str">
        <f t="shared" si="284"/>
        <v>Rendah</v>
      </c>
      <c r="T1806" s="2" t="str">
        <f t="shared" si="285"/>
        <v>FALSE</v>
      </c>
      <c r="U1806" s="2" t="str">
        <f t="shared" si="286"/>
        <v>FALSE</v>
      </c>
      <c r="V1806" s="2" t="b">
        <f t="shared" si="287"/>
        <v>0</v>
      </c>
      <c r="W1806" s="2" t="b">
        <f t="shared" si="288"/>
        <v>0</v>
      </c>
      <c r="X1806" s="2" t="b">
        <f t="shared" si="289"/>
        <v>0</v>
      </c>
    </row>
    <row r="1807" spans="1:24" ht="10.5" customHeight="1">
      <c r="A1807" s="2" t="s">
        <v>2161</v>
      </c>
      <c r="B1807" s="3">
        <v>46001.084374999999</v>
      </c>
      <c r="C1807" s="2" t="s">
        <v>113</v>
      </c>
      <c r="D1807" s="2" t="s">
        <v>114</v>
      </c>
      <c r="E1807" s="2" t="s">
        <v>95</v>
      </c>
      <c r="F1807" s="4">
        <v>9500</v>
      </c>
      <c r="G1807" s="5">
        <v>1.5</v>
      </c>
      <c r="H1807" s="6">
        <v>0</v>
      </c>
      <c r="I1807" s="7">
        <f t="shared" si="280"/>
        <v>14250</v>
      </c>
      <c r="J1807" s="7">
        <f t="shared" si="281"/>
        <v>0</v>
      </c>
      <c r="K1807" s="7">
        <f t="shared" si="282"/>
        <v>14250</v>
      </c>
      <c r="L1807" s="4">
        <v>78000</v>
      </c>
      <c r="M1807" s="7">
        <f t="shared" si="283"/>
        <v>92250</v>
      </c>
      <c r="N1807" s="2" t="s">
        <v>33</v>
      </c>
      <c r="O1807" t="s">
        <v>2107</v>
      </c>
      <c r="P1807" s="2" t="s">
        <v>2367</v>
      </c>
      <c r="Q1807" s="2">
        <v>2</v>
      </c>
      <c r="R1807" s="2" t="s">
        <v>23</v>
      </c>
      <c r="S1807" s="2" t="str">
        <f t="shared" si="284"/>
        <v>Rendah</v>
      </c>
      <c r="T1807" s="2" t="str">
        <f t="shared" si="285"/>
        <v>TRUE</v>
      </c>
      <c r="U1807" s="2" t="str">
        <f t="shared" si="286"/>
        <v>FALSE</v>
      </c>
      <c r="V1807" s="2" t="b">
        <f t="shared" si="287"/>
        <v>0</v>
      </c>
      <c r="W1807" s="2" t="b">
        <f t="shared" si="288"/>
        <v>1</v>
      </c>
      <c r="X1807" s="2" t="b">
        <f t="shared" si="289"/>
        <v>0</v>
      </c>
    </row>
    <row r="1808" spans="1:24" ht="10.5" customHeight="1">
      <c r="A1808" s="2" t="s">
        <v>2162</v>
      </c>
      <c r="B1808" s="3">
        <v>46001.384456018517</v>
      </c>
      <c r="C1808" s="2" t="s">
        <v>147</v>
      </c>
      <c r="D1808" s="2" t="s">
        <v>19</v>
      </c>
      <c r="E1808" s="2" t="s">
        <v>20</v>
      </c>
      <c r="F1808" s="4">
        <v>10000</v>
      </c>
      <c r="G1808" s="5">
        <v>2.1</v>
      </c>
      <c r="H1808" s="6">
        <v>0</v>
      </c>
      <c r="I1808" s="7">
        <f t="shared" si="280"/>
        <v>21000</v>
      </c>
      <c r="J1808" s="7">
        <f t="shared" si="281"/>
        <v>0</v>
      </c>
      <c r="K1808" s="7">
        <f t="shared" si="282"/>
        <v>21000</v>
      </c>
      <c r="L1808" s="4">
        <v>15000</v>
      </c>
      <c r="M1808" s="7">
        <f t="shared" si="283"/>
        <v>36000</v>
      </c>
      <c r="N1808" s="2" t="s">
        <v>21</v>
      </c>
      <c r="O1808" t="s">
        <v>22</v>
      </c>
      <c r="P1808" s="2" t="s">
        <v>2367</v>
      </c>
      <c r="Q1808" s="2">
        <v>4</v>
      </c>
      <c r="R1808" s="2" t="s">
        <v>23</v>
      </c>
      <c r="S1808" s="2" t="str">
        <f t="shared" si="284"/>
        <v>Sangat Rendah</v>
      </c>
      <c r="T1808" s="2" t="str">
        <f t="shared" si="285"/>
        <v>FALSE</v>
      </c>
      <c r="U1808" s="2" t="str">
        <f t="shared" si="286"/>
        <v>FALSE</v>
      </c>
      <c r="V1808" s="2" t="b">
        <f t="shared" si="287"/>
        <v>0</v>
      </c>
      <c r="W1808" s="2" t="b">
        <f t="shared" si="288"/>
        <v>1</v>
      </c>
      <c r="X1808" s="2" t="b">
        <f t="shared" si="289"/>
        <v>1</v>
      </c>
    </row>
    <row r="1809" spans="1:24" ht="10.5" customHeight="1">
      <c r="A1809" s="2" t="s">
        <v>2163</v>
      </c>
      <c r="B1809" s="3">
        <v>46001.477152777778</v>
      </c>
      <c r="C1809" s="2" t="s">
        <v>547</v>
      </c>
      <c r="D1809" s="2" t="s">
        <v>164</v>
      </c>
      <c r="E1809" s="2" t="s">
        <v>20</v>
      </c>
      <c r="F1809" s="4">
        <v>10000</v>
      </c>
      <c r="G1809" s="5">
        <v>2.2999999999999998</v>
      </c>
      <c r="H1809" s="6">
        <v>0</v>
      </c>
      <c r="I1809" s="7">
        <f t="shared" si="280"/>
        <v>23000</v>
      </c>
      <c r="J1809" s="7">
        <f t="shared" si="281"/>
        <v>0</v>
      </c>
      <c r="K1809" s="7">
        <f t="shared" si="282"/>
        <v>23000</v>
      </c>
      <c r="L1809" s="4">
        <v>49000</v>
      </c>
      <c r="M1809" s="7">
        <f t="shared" si="283"/>
        <v>72000</v>
      </c>
      <c r="N1809" s="2" t="s">
        <v>28</v>
      </c>
      <c r="O1809" t="s">
        <v>2110</v>
      </c>
      <c r="P1809" s="2" t="s">
        <v>2367</v>
      </c>
      <c r="Q1809" s="2">
        <v>2</v>
      </c>
      <c r="R1809" s="2" t="s">
        <v>23</v>
      </c>
      <c r="S1809" s="2" t="str">
        <f t="shared" si="284"/>
        <v>Rendah</v>
      </c>
      <c r="T1809" s="2" t="str">
        <f t="shared" si="285"/>
        <v>FALSE</v>
      </c>
      <c r="U1809" s="2" t="str">
        <f t="shared" si="286"/>
        <v>FALSE</v>
      </c>
      <c r="V1809" s="2" t="b">
        <f t="shared" si="287"/>
        <v>0</v>
      </c>
      <c r="W1809" s="2" t="b">
        <f t="shared" si="288"/>
        <v>1</v>
      </c>
      <c r="X1809" s="2" t="b">
        <f t="shared" si="289"/>
        <v>0</v>
      </c>
    </row>
    <row r="1810" spans="1:24" ht="10.5" customHeight="1">
      <c r="A1810" s="2" t="s">
        <v>2164</v>
      </c>
      <c r="B1810" s="3">
        <v>46001.740729166668</v>
      </c>
      <c r="C1810" s="2" t="s">
        <v>419</v>
      </c>
      <c r="D1810" s="2" t="s">
        <v>167</v>
      </c>
      <c r="E1810" s="2" t="s">
        <v>99</v>
      </c>
      <c r="F1810" s="4">
        <v>10000</v>
      </c>
      <c r="G1810" s="5">
        <v>0.3</v>
      </c>
      <c r="H1810" s="6">
        <v>0</v>
      </c>
      <c r="I1810" s="7">
        <f t="shared" si="280"/>
        <v>3000</v>
      </c>
      <c r="J1810" s="7">
        <f t="shared" si="281"/>
        <v>0</v>
      </c>
      <c r="K1810" s="7">
        <f t="shared" si="282"/>
        <v>3000</v>
      </c>
      <c r="L1810" s="4">
        <v>56000</v>
      </c>
      <c r="M1810" s="7">
        <f t="shared" si="283"/>
        <v>59000</v>
      </c>
      <c r="N1810" s="2" t="s">
        <v>33</v>
      </c>
      <c r="O1810" t="s">
        <v>2110</v>
      </c>
      <c r="P1810" s="2" t="s">
        <v>2366</v>
      </c>
      <c r="Q1810" s="2">
        <v>5</v>
      </c>
      <c r="R1810" s="2" t="s">
        <v>34</v>
      </c>
      <c r="S1810" s="2" t="str">
        <f t="shared" si="284"/>
        <v>Rendah</v>
      </c>
      <c r="T1810" s="2" t="str">
        <f t="shared" si="285"/>
        <v>FALSE</v>
      </c>
      <c r="U1810" s="2" t="str">
        <f t="shared" si="286"/>
        <v>FALSE</v>
      </c>
      <c r="V1810" s="2" t="b">
        <f t="shared" si="287"/>
        <v>0</v>
      </c>
      <c r="W1810" s="2" t="b">
        <f t="shared" si="288"/>
        <v>0</v>
      </c>
      <c r="X1810" s="2" t="b">
        <f t="shared" si="289"/>
        <v>0</v>
      </c>
    </row>
    <row r="1811" spans="1:24" ht="10.5" customHeight="1">
      <c r="A1811" s="2" t="s">
        <v>2165</v>
      </c>
      <c r="B1811" s="3">
        <v>46001.74119212963</v>
      </c>
      <c r="C1811" s="2" t="s">
        <v>593</v>
      </c>
      <c r="D1811" s="2" t="s">
        <v>48</v>
      </c>
      <c r="E1811" s="2" t="s">
        <v>95</v>
      </c>
      <c r="F1811" s="4">
        <v>9500</v>
      </c>
      <c r="G1811" s="5">
        <v>0.9</v>
      </c>
      <c r="H1811" s="6">
        <v>0</v>
      </c>
      <c r="I1811" s="7">
        <f t="shared" si="280"/>
        <v>8550</v>
      </c>
      <c r="J1811" s="7">
        <f t="shared" si="281"/>
        <v>0</v>
      </c>
      <c r="K1811" s="7">
        <f t="shared" si="282"/>
        <v>8550</v>
      </c>
      <c r="L1811" s="4">
        <v>18000</v>
      </c>
      <c r="M1811" s="7">
        <f t="shared" si="283"/>
        <v>26550</v>
      </c>
      <c r="N1811" s="2" t="s">
        <v>21</v>
      </c>
      <c r="O1811" t="s">
        <v>2107</v>
      </c>
      <c r="P1811" s="2" t="s">
        <v>2370</v>
      </c>
      <c r="Q1811" s="2">
        <v>4</v>
      </c>
      <c r="R1811" s="2" t="s">
        <v>23</v>
      </c>
      <c r="S1811" s="2" t="str">
        <f t="shared" si="284"/>
        <v>Sangat Rendah</v>
      </c>
      <c r="T1811" s="2" t="str">
        <f t="shared" si="285"/>
        <v>FALSE</v>
      </c>
      <c r="U1811" s="2" t="str">
        <f t="shared" si="286"/>
        <v>FALSE</v>
      </c>
      <c r="V1811" s="2" t="b">
        <f t="shared" si="287"/>
        <v>0</v>
      </c>
      <c r="W1811" s="2" t="b">
        <f t="shared" si="288"/>
        <v>0</v>
      </c>
      <c r="X1811" s="2" t="b">
        <f t="shared" si="289"/>
        <v>1</v>
      </c>
    </row>
    <row r="1812" spans="1:24" ht="10.5" customHeight="1">
      <c r="A1812" s="2" t="s">
        <v>2166</v>
      </c>
      <c r="B1812" s="3">
        <v>46001.781527777777</v>
      </c>
      <c r="C1812" s="2" t="s">
        <v>547</v>
      </c>
      <c r="D1812" s="2" t="s">
        <v>164</v>
      </c>
      <c r="E1812" s="2" t="s">
        <v>95</v>
      </c>
      <c r="F1812" s="4">
        <v>9500</v>
      </c>
      <c r="G1812" s="5">
        <v>1.8</v>
      </c>
      <c r="H1812" s="6">
        <v>0</v>
      </c>
      <c r="I1812" s="7">
        <f t="shared" si="280"/>
        <v>17100</v>
      </c>
      <c r="J1812" s="7">
        <f t="shared" si="281"/>
        <v>0</v>
      </c>
      <c r="K1812" s="7">
        <f t="shared" si="282"/>
        <v>17100</v>
      </c>
      <c r="L1812" s="4">
        <v>49000</v>
      </c>
      <c r="M1812" s="7">
        <f t="shared" si="283"/>
        <v>66100</v>
      </c>
      <c r="N1812" s="2" t="s">
        <v>33</v>
      </c>
      <c r="O1812" t="s">
        <v>2107</v>
      </c>
      <c r="P1812" s="2" t="s">
        <v>2366</v>
      </c>
      <c r="Q1812" s="2">
        <v>2</v>
      </c>
      <c r="R1812" s="2" t="s">
        <v>23</v>
      </c>
      <c r="S1812" s="2" t="str">
        <f t="shared" si="284"/>
        <v>Rendah</v>
      </c>
      <c r="T1812" s="2" t="str">
        <f t="shared" si="285"/>
        <v>FALSE</v>
      </c>
      <c r="U1812" s="2" t="str">
        <f t="shared" si="286"/>
        <v>FALSE</v>
      </c>
      <c r="V1812" s="2" t="b">
        <f t="shared" si="287"/>
        <v>0</v>
      </c>
      <c r="W1812" s="2" t="b">
        <f t="shared" si="288"/>
        <v>0</v>
      </c>
      <c r="X1812" s="2" t="b">
        <f t="shared" si="289"/>
        <v>0</v>
      </c>
    </row>
    <row r="1813" spans="1:24" ht="10.5" customHeight="1">
      <c r="A1813" s="2" t="s">
        <v>2167</v>
      </c>
      <c r="B1813" s="3">
        <v>46002.440416666657</v>
      </c>
      <c r="C1813" s="2" t="s">
        <v>651</v>
      </c>
      <c r="D1813" s="2" t="s">
        <v>44</v>
      </c>
      <c r="E1813" s="2" t="s">
        <v>95</v>
      </c>
      <c r="F1813" s="4">
        <v>9500</v>
      </c>
      <c r="G1813" s="5">
        <v>2.5</v>
      </c>
      <c r="H1813" s="6">
        <v>0</v>
      </c>
      <c r="I1813" s="7">
        <f t="shared" si="280"/>
        <v>23750</v>
      </c>
      <c r="J1813" s="7">
        <f t="shared" si="281"/>
        <v>0</v>
      </c>
      <c r="K1813" s="7">
        <f t="shared" si="282"/>
        <v>23750</v>
      </c>
      <c r="L1813" s="4">
        <v>43000</v>
      </c>
      <c r="M1813" s="7">
        <f t="shared" si="283"/>
        <v>66750</v>
      </c>
      <c r="N1813" s="2" t="s">
        <v>33</v>
      </c>
      <c r="O1813" t="s">
        <v>22</v>
      </c>
      <c r="P1813" s="2" t="s">
        <v>2368</v>
      </c>
      <c r="Q1813" s="2">
        <v>4</v>
      </c>
      <c r="R1813" s="2" t="s">
        <v>23</v>
      </c>
      <c r="S1813" s="2" t="str">
        <f t="shared" si="284"/>
        <v>Rendah</v>
      </c>
      <c r="T1813" s="2" t="str">
        <f t="shared" si="285"/>
        <v>FALSE</v>
      </c>
      <c r="U1813" s="2" t="str">
        <f t="shared" si="286"/>
        <v>FALSE</v>
      </c>
      <c r="V1813" s="2" t="b">
        <f t="shared" si="287"/>
        <v>0</v>
      </c>
      <c r="W1813" s="2" t="b">
        <f t="shared" si="288"/>
        <v>0</v>
      </c>
      <c r="X1813" s="2" t="b">
        <f t="shared" si="289"/>
        <v>0</v>
      </c>
    </row>
    <row r="1814" spans="1:24" ht="10.5" customHeight="1">
      <c r="A1814" s="2" t="s">
        <v>2168</v>
      </c>
      <c r="B1814" s="3">
        <v>46002.703587962962</v>
      </c>
      <c r="C1814" s="2" t="s">
        <v>944</v>
      </c>
      <c r="D1814" s="2" t="s">
        <v>40</v>
      </c>
      <c r="E1814" s="2" t="s">
        <v>57</v>
      </c>
      <c r="F1814" s="4">
        <v>17500</v>
      </c>
      <c r="G1814" s="5">
        <v>3.6</v>
      </c>
      <c r="H1814" s="6">
        <v>0</v>
      </c>
      <c r="I1814" s="7">
        <f t="shared" si="280"/>
        <v>63000</v>
      </c>
      <c r="J1814" s="7">
        <f t="shared" si="281"/>
        <v>0</v>
      </c>
      <c r="K1814" s="7">
        <f t="shared" si="282"/>
        <v>63000</v>
      </c>
      <c r="L1814" s="4">
        <v>93000</v>
      </c>
      <c r="M1814" s="7">
        <f t="shared" si="283"/>
        <v>156000</v>
      </c>
      <c r="N1814" s="2" t="s">
        <v>28</v>
      </c>
      <c r="O1814" t="s">
        <v>22</v>
      </c>
      <c r="P1814" s="2" t="s">
        <v>2367</v>
      </c>
      <c r="Q1814" s="2">
        <v>1</v>
      </c>
      <c r="R1814" s="2" t="s">
        <v>23</v>
      </c>
      <c r="S1814" s="2" t="str">
        <f t="shared" si="284"/>
        <v>Tinggi</v>
      </c>
      <c r="T1814" s="2" t="str">
        <f t="shared" si="285"/>
        <v>FALSE</v>
      </c>
      <c r="U1814" s="2" t="str">
        <f t="shared" si="286"/>
        <v>TRUE</v>
      </c>
      <c r="V1814" s="2" t="b">
        <f t="shared" si="287"/>
        <v>0</v>
      </c>
      <c r="W1814" s="2" t="b">
        <f t="shared" si="288"/>
        <v>1</v>
      </c>
      <c r="X1814" s="2" t="b">
        <f t="shared" si="289"/>
        <v>0</v>
      </c>
    </row>
    <row r="1815" spans="1:24" ht="10.5" customHeight="1">
      <c r="A1815" s="2" t="s">
        <v>2169</v>
      </c>
      <c r="B1815" s="3">
        <v>46003.070173611108</v>
      </c>
      <c r="C1815" s="2" t="s">
        <v>599</v>
      </c>
      <c r="D1815" s="2" t="s">
        <v>74</v>
      </c>
      <c r="E1815" s="2" t="s">
        <v>75</v>
      </c>
      <c r="F1815" s="4">
        <v>45000</v>
      </c>
      <c r="G1815" s="5">
        <v>1</v>
      </c>
      <c r="H1815" s="6">
        <v>5</v>
      </c>
      <c r="I1815" s="7">
        <f t="shared" si="280"/>
        <v>45000</v>
      </c>
      <c r="J1815" s="7">
        <f t="shared" si="281"/>
        <v>2250</v>
      </c>
      <c r="K1815" s="7">
        <f t="shared" si="282"/>
        <v>42750</v>
      </c>
      <c r="L1815" s="4">
        <v>74000</v>
      </c>
      <c r="M1815" s="7">
        <f t="shared" si="283"/>
        <v>116750</v>
      </c>
      <c r="N1815" s="2" t="s">
        <v>28</v>
      </c>
      <c r="O1815" t="s">
        <v>115</v>
      </c>
      <c r="P1815" s="2" t="s">
        <v>2370</v>
      </c>
      <c r="Q1815" s="2">
        <v>5</v>
      </c>
      <c r="R1815" s="2" t="s">
        <v>23</v>
      </c>
      <c r="S1815" s="2" t="str">
        <f t="shared" si="284"/>
        <v>Standar</v>
      </c>
      <c r="T1815" s="2" t="str">
        <f t="shared" si="285"/>
        <v>FALSE</v>
      </c>
      <c r="U1815" s="2" t="str">
        <f t="shared" si="286"/>
        <v>FALSE</v>
      </c>
      <c r="V1815" s="2" t="b">
        <f t="shared" si="287"/>
        <v>0</v>
      </c>
      <c r="W1815" s="2" t="b">
        <f t="shared" si="288"/>
        <v>0</v>
      </c>
      <c r="X1815" s="2" t="b">
        <f t="shared" si="289"/>
        <v>0</v>
      </c>
    </row>
    <row r="1816" spans="1:24" ht="10.5" customHeight="1">
      <c r="A1816" s="2" t="s">
        <v>2170</v>
      </c>
      <c r="B1816" s="3">
        <v>46003.267164351862</v>
      </c>
      <c r="C1816" s="2" t="s">
        <v>1731</v>
      </c>
      <c r="D1816" s="2" t="s">
        <v>40</v>
      </c>
      <c r="E1816" s="2" t="s">
        <v>102</v>
      </c>
      <c r="F1816" s="4">
        <v>55000</v>
      </c>
      <c r="G1816" s="5">
        <v>0.5</v>
      </c>
      <c r="H1816" s="6">
        <v>5</v>
      </c>
      <c r="I1816" s="7">
        <f t="shared" si="280"/>
        <v>27500</v>
      </c>
      <c r="J1816" s="7">
        <f t="shared" si="281"/>
        <v>1375</v>
      </c>
      <c r="K1816" s="7">
        <f t="shared" si="282"/>
        <v>26125</v>
      </c>
      <c r="L1816" s="4">
        <v>93000</v>
      </c>
      <c r="M1816" s="7">
        <f t="shared" si="283"/>
        <v>119125</v>
      </c>
      <c r="N1816" s="2" t="s">
        <v>58</v>
      </c>
      <c r="O1816" t="s">
        <v>2107</v>
      </c>
      <c r="P1816" s="2" t="s">
        <v>2368</v>
      </c>
      <c r="Q1816" s="2">
        <v>2</v>
      </c>
      <c r="R1816" s="2" t="s">
        <v>23</v>
      </c>
      <c r="S1816" s="2" t="str">
        <f t="shared" si="284"/>
        <v>Standar</v>
      </c>
      <c r="T1816" s="2" t="str">
        <f t="shared" si="285"/>
        <v>FALSE</v>
      </c>
      <c r="U1816" s="2" t="str">
        <f t="shared" si="286"/>
        <v>FALSE</v>
      </c>
      <c r="V1816" s="2" t="b">
        <f t="shared" si="287"/>
        <v>0</v>
      </c>
      <c r="W1816" s="2" t="b">
        <f t="shared" si="288"/>
        <v>0</v>
      </c>
      <c r="X1816" s="2" t="b">
        <f t="shared" si="289"/>
        <v>0</v>
      </c>
    </row>
    <row r="1817" spans="1:24" ht="10.5" customHeight="1">
      <c r="A1817" s="2" t="s">
        <v>2171</v>
      </c>
      <c r="B1817" s="3">
        <v>46003.433125000003</v>
      </c>
      <c r="C1817" s="2" t="s">
        <v>1120</v>
      </c>
      <c r="D1817" s="2" t="s">
        <v>114</v>
      </c>
      <c r="E1817" s="2" t="s">
        <v>41</v>
      </c>
      <c r="F1817" s="4">
        <v>40000</v>
      </c>
      <c r="G1817" s="5">
        <v>0.6</v>
      </c>
      <c r="H1817" s="6">
        <v>5</v>
      </c>
      <c r="I1817" s="7">
        <f t="shared" si="280"/>
        <v>24000</v>
      </c>
      <c r="J1817" s="7">
        <f t="shared" si="281"/>
        <v>1200</v>
      </c>
      <c r="K1817" s="7">
        <f t="shared" si="282"/>
        <v>22800</v>
      </c>
      <c r="L1817" s="4">
        <v>78000</v>
      </c>
      <c r="M1817" s="7">
        <f t="shared" si="283"/>
        <v>100800</v>
      </c>
      <c r="N1817" s="2" t="s">
        <v>21</v>
      </c>
      <c r="O1817" t="s">
        <v>2107</v>
      </c>
      <c r="P1817" s="2" t="s">
        <v>2365</v>
      </c>
      <c r="Q1817" s="2">
        <v>2</v>
      </c>
      <c r="R1817" s="2" t="s">
        <v>23</v>
      </c>
      <c r="S1817" s="2" t="str">
        <f t="shared" si="284"/>
        <v>Standar</v>
      </c>
      <c r="T1817" s="2" t="str">
        <f t="shared" si="285"/>
        <v>FALSE</v>
      </c>
      <c r="U1817" s="2" t="str">
        <f t="shared" si="286"/>
        <v>FALSE</v>
      </c>
      <c r="V1817" s="2" t="b">
        <f t="shared" si="287"/>
        <v>0</v>
      </c>
      <c r="W1817" s="2" t="b">
        <f t="shared" si="288"/>
        <v>0</v>
      </c>
      <c r="X1817" s="2" t="b">
        <f t="shared" si="289"/>
        <v>0</v>
      </c>
    </row>
    <row r="1818" spans="1:24" ht="10.5" customHeight="1">
      <c r="A1818" s="2" t="s">
        <v>2172</v>
      </c>
      <c r="B1818" s="3">
        <v>46003.459224537037</v>
      </c>
      <c r="C1818" s="2" t="s">
        <v>1260</v>
      </c>
      <c r="D1818" s="2" t="s">
        <v>173</v>
      </c>
      <c r="E1818" s="2" t="s">
        <v>41</v>
      </c>
      <c r="F1818" s="4">
        <v>40000</v>
      </c>
      <c r="G1818" s="5">
        <v>0.4</v>
      </c>
      <c r="H1818" s="6">
        <v>5</v>
      </c>
      <c r="I1818" s="7">
        <f t="shared" si="280"/>
        <v>16000</v>
      </c>
      <c r="J1818" s="7">
        <f t="shared" si="281"/>
        <v>800</v>
      </c>
      <c r="K1818" s="7">
        <f t="shared" si="282"/>
        <v>15200</v>
      </c>
      <c r="L1818" s="4">
        <v>48000</v>
      </c>
      <c r="M1818" s="7">
        <f t="shared" si="283"/>
        <v>63200</v>
      </c>
      <c r="N1818" s="2" t="s">
        <v>58</v>
      </c>
      <c r="O1818" t="s">
        <v>2110</v>
      </c>
      <c r="P1818" s="2" t="s">
        <v>2368</v>
      </c>
      <c r="Q1818" s="2">
        <v>5</v>
      </c>
      <c r="R1818" s="2" t="s">
        <v>23</v>
      </c>
      <c r="S1818" s="2" t="str">
        <f t="shared" si="284"/>
        <v>Rendah</v>
      </c>
      <c r="T1818" s="2" t="str">
        <f t="shared" si="285"/>
        <v>FALSE</v>
      </c>
      <c r="U1818" s="2" t="str">
        <f t="shared" si="286"/>
        <v>FALSE</v>
      </c>
      <c r="V1818" s="2" t="b">
        <f t="shared" si="287"/>
        <v>0</v>
      </c>
      <c r="W1818" s="2" t="b">
        <f t="shared" si="288"/>
        <v>0</v>
      </c>
      <c r="X1818" s="2" t="b">
        <f t="shared" si="289"/>
        <v>0</v>
      </c>
    </row>
    <row r="1819" spans="1:24" ht="10.5" customHeight="1">
      <c r="A1819" s="2" t="s">
        <v>2173</v>
      </c>
      <c r="B1819" s="3">
        <v>46003.473356481481</v>
      </c>
      <c r="C1819" s="2" t="s">
        <v>476</v>
      </c>
      <c r="D1819" s="2" t="s">
        <v>173</v>
      </c>
      <c r="E1819" s="2" t="s">
        <v>32</v>
      </c>
      <c r="F1819" s="4">
        <v>20000</v>
      </c>
      <c r="G1819" s="5">
        <v>2.8</v>
      </c>
      <c r="H1819" s="6">
        <v>5</v>
      </c>
      <c r="I1819" s="7">
        <f t="shared" si="280"/>
        <v>56000</v>
      </c>
      <c r="J1819" s="7">
        <f t="shared" si="281"/>
        <v>2800</v>
      </c>
      <c r="K1819" s="7">
        <f t="shared" si="282"/>
        <v>53200</v>
      </c>
      <c r="L1819" s="4">
        <v>48000</v>
      </c>
      <c r="M1819" s="7">
        <f t="shared" si="283"/>
        <v>101200</v>
      </c>
      <c r="N1819" s="2" t="s">
        <v>58</v>
      </c>
      <c r="O1819" t="s">
        <v>2110</v>
      </c>
      <c r="P1819" s="2" t="s">
        <v>2370</v>
      </c>
      <c r="Q1819" s="2">
        <v>3</v>
      </c>
      <c r="R1819" s="2" t="s">
        <v>23</v>
      </c>
      <c r="S1819" s="2" t="str">
        <f t="shared" si="284"/>
        <v>Standar</v>
      </c>
      <c r="T1819" s="2" t="str">
        <f t="shared" si="285"/>
        <v>FALSE</v>
      </c>
      <c r="U1819" s="2" t="str">
        <f t="shared" si="286"/>
        <v>FALSE</v>
      </c>
      <c r="V1819" s="2" t="b">
        <f t="shared" si="287"/>
        <v>0</v>
      </c>
      <c r="W1819" s="2" t="b">
        <f t="shared" si="288"/>
        <v>0</v>
      </c>
      <c r="X1819" s="2" t="b">
        <f t="shared" si="289"/>
        <v>0</v>
      </c>
    </row>
    <row r="1820" spans="1:24" ht="10.5" customHeight="1">
      <c r="A1820" s="2" t="s">
        <v>2174</v>
      </c>
      <c r="B1820" s="3">
        <v>46003.526608796303</v>
      </c>
      <c r="C1820" s="2" t="s">
        <v>489</v>
      </c>
      <c r="D1820" s="2" t="s">
        <v>123</v>
      </c>
      <c r="E1820" s="2" t="s">
        <v>41</v>
      </c>
      <c r="F1820" s="4">
        <v>40000</v>
      </c>
      <c r="G1820" s="5">
        <v>0.6</v>
      </c>
      <c r="H1820" s="6">
        <v>5</v>
      </c>
      <c r="I1820" s="7">
        <f t="shared" si="280"/>
        <v>24000</v>
      </c>
      <c r="J1820" s="7">
        <f t="shared" si="281"/>
        <v>1200</v>
      </c>
      <c r="K1820" s="7">
        <f t="shared" si="282"/>
        <v>22800</v>
      </c>
      <c r="L1820" s="4">
        <v>59000</v>
      </c>
      <c r="M1820" s="7">
        <f t="shared" si="283"/>
        <v>81800</v>
      </c>
      <c r="N1820" s="2" t="s">
        <v>33</v>
      </c>
      <c r="O1820" t="s">
        <v>22</v>
      </c>
      <c r="P1820" s="2" t="s">
        <v>2366</v>
      </c>
      <c r="Q1820" s="2">
        <v>1</v>
      </c>
      <c r="R1820" s="2" t="s">
        <v>23</v>
      </c>
      <c r="S1820" s="2" t="str">
        <f t="shared" si="284"/>
        <v>Rendah</v>
      </c>
      <c r="T1820" s="2" t="str">
        <f t="shared" si="285"/>
        <v>FALSE</v>
      </c>
      <c r="U1820" s="2" t="str">
        <f t="shared" si="286"/>
        <v>FALSE</v>
      </c>
      <c r="V1820" s="2" t="b">
        <f t="shared" si="287"/>
        <v>0</v>
      </c>
      <c r="W1820" s="2" t="b">
        <f t="shared" si="288"/>
        <v>0</v>
      </c>
      <c r="X1820" s="2" t="b">
        <f t="shared" si="289"/>
        <v>0</v>
      </c>
    </row>
    <row r="1821" spans="1:24" ht="10.5" customHeight="1">
      <c r="A1821" s="2" t="s">
        <v>2175</v>
      </c>
      <c r="B1821" s="3">
        <v>46003.52853009259</v>
      </c>
      <c r="C1821" s="2" t="s">
        <v>1077</v>
      </c>
      <c r="D1821" s="2" t="s">
        <v>133</v>
      </c>
      <c r="E1821" s="2" t="s">
        <v>182</v>
      </c>
      <c r="F1821" s="4">
        <v>11000</v>
      </c>
      <c r="G1821" s="5">
        <v>2</v>
      </c>
      <c r="H1821" s="6">
        <v>5</v>
      </c>
      <c r="I1821" s="7">
        <f t="shared" si="280"/>
        <v>22000</v>
      </c>
      <c r="J1821" s="7">
        <f t="shared" si="281"/>
        <v>1100</v>
      </c>
      <c r="K1821" s="7">
        <f t="shared" si="282"/>
        <v>20900</v>
      </c>
      <c r="L1821" s="4">
        <v>50000</v>
      </c>
      <c r="M1821" s="7">
        <f t="shared" si="283"/>
        <v>70900</v>
      </c>
      <c r="N1821" s="2" t="s">
        <v>33</v>
      </c>
      <c r="O1821" t="s">
        <v>22</v>
      </c>
      <c r="P1821" s="2" t="s">
        <v>2366</v>
      </c>
      <c r="Q1821" s="2">
        <v>5</v>
      </c>
      <c r="R1821" s="2" t="s">
        <v>23</v>
      </c>
      <c r="S1821" s="2" t="str">
        <f t="shared" si="284"/>
        <v>Rendah</v>
      </c>
      <c r="T1821" s="2" t="str">
        <f t="shared" si="285"/>
        <v>FALSE</v>
      </c>
      <c r="U1821" s="2" t="str">
        <f t="shared" si="286"/>
        <v>FALSE</v>
      </c>
      <c r="V1821" s="2" t="b">
        <f t="shared" si="287"/>
        <v>0</v>
      </c>
      <c r="W1821" s="2" t="b">
        <f t="shared" si="288"/>
        <v>0</v>
      </c>
      <c r="X1821" s="2" t="b">
        <f t="shared" si="289"/>
        <v>0</v>
      </c>
    </row>
    <row r="1822" spans="1:24" ht="10.5" customHeight="1">
      <c r="A1822" s="2" t="s">
        <v>2176</v>
      </c>
      <c r="B1822" s="3">
        <v>46003.53628472222</v>
      </c>
      <c r="C1822" s="2" t="s">
        <v>224</v>
      </c>
      <c r="D1822" s="2" t="s">
        <v>105</v>
      </c>
      <c r="E1822" s="2" t="s">
        <v>45</v>
      </c>
      <c r="F1822" s="4">
        <v>10500</v>
      </c>
      <c r="G1822" s="5">
        <v>0.8</v>
      </c>
      <c r="H1822" s="6">
        <v>5</v>
      </c>
      <c r="I1822" s="7">
        <f t="shared" si="280"/>
        <v>8400</v>
      </c>
      <c r="J1822" s="7">
        <f t="shared" si="281"/>
        <v>420</v>
      </c>
      <c r="K1822" s="7">
        <f t="shared" si="282"/>
        <v>7980</v>
      </c>
      <c r="L1822" s="4">
        <v>18000</v>
      </c>
      <c r="M1822" s="7">
        <f t="shared" si="283"/>
        <v>25980</v>
      </c>
      <c r="N1822" s="2" t="s">
        <v>58</v>
      </c>
      <c r="O1822" t="s">
        <v>2110</v>
      </c>
      <c r="P1822" s="2" t="s">
        <v>2366</v>
      </c>
      <c r="Q1822" s="2">
        <v>3</v>
      </c>
      <c r="R1822" s="2" t="s">
        <v>34</v>
      </c>
      <c r="S1822" s="2" t="str">
        <f t="shared" si="284"/>
        <v>Sangat Rendah</v>
      </c>
      <c r="T1822" s="2" t="str">
        <f t="shared" si="285"/>
        <v>FALSE</v>
      </c>
      <c r="U1822" s="2" t="str">
        <f t="shared" si="286"/>
        <v>FALSE</v>
      </c>
      <c r="V1822" s="2" t="b">
        <f t="shared" si="287"/>
        <v>0</v>
      </c>
      <c r="W1822" s="2" t="b">
        <f t="shared" si="288"/>
        <v>0</v>
      </c>
      <c r="X1822" s="2" t="b">
        <f t="shared" si="289"/>
        <v>0</v>
      </c>
    </row>
    <row r="1823" spans="1:24" ht="10.5" customHeight="1">
      <c r="A1823" s="2" t="s">
        <v>2177</v>
      </c>
      <c r="B1823" s="3">
        <v>46003.654976851853</v>
      </c>
      <c r="C1823" s="2" t="s">
        <v>2070</v>
      </c>
      <c r="D1823" s="2" t="s">
        <v>252</v>
      </c>
      <c r="E1823" s="2" t="s">
        <v>45</v>
      </c>
      <c r="F1823" s="4">
        <v>10500</v>
      </c>
      <c r="G1823" s="5">
        <v>2</v>
      </c>
      <c r="H1823" s="6">
        <v>5</v>
      </c>
      <c r="I1823" s="7">
        <f t="shared" si="280"/>
        <v>21000</v>
      </c>
      <c r="J1823" s="7">
        <f t="shared" si="281"/>
        <v>1050</v>
      </c>
      <c r="K1823" s="7">
        <f t="shared" si="282"/>
        <v>19950</v>
      </c>
      <c r="L1823" s="4">
        <v>18000</v>
      </c>
      <c r="M1823" s="7">
        <f t="shared" si="283"/>
        <v>37950</v>
      </c>
      <c r="N1823" s="2" t="s">
        <v>21</v>
      </c>
      <c r="O1823" t="s">
        <v>115</v>
      </c>
      <c r="P1823" s="2" t="s">
        <v>2370</v>
      </c>
      <c r="Q1823" s="2">
        <v>1</v>
      </c>
      <c r="R1823" s="2" t="s">
        <v>23</v>
      </c>
      <c r="S1823" s="2" t="str">
        <f t="shared" si="284"/>
        <v>Sangat Rendah</v>
      </c>
      <c r="T1823" s="2" t="str">
        <f t="shared" si="285"/>
        <v>FALSE</v>
      </c>
      <c r="U1823" s="2" t="str">
        <f t="shared" si="286"/>
        <v>FALSE</v>
      </c>
      <c r="V1823" s="2" t="b">
        <f t="shared" si="287"/>
        <v>0</v>
      </c>
      <c r="W1823" s="2" t="b">
        <f t="shared" si="288"/>
        <v>0</v>
      </c>
      <c r="X1823" s="2" t="b">
        <f t="shared" si="289"/>
        <v>1</v>
      </c>
    </row>
    <row r="1824" spans="1:24" ht="10.5" customHeight="1">
      <c r="A1824" s="2" t="s">
        <v>2178</v>
      </c>
      <c r="B1824" s="3">
        <v>46003.7028587963</v>
      </c>
      <c r="C1824" s="2" t="s">
        <v>433</v>
      </c>
      <c r="D1824" s="2" t="s">
        <v>48</v>
      </c>
      <c r="E1824" s="2" t="s">
        <v>57</v>
      </c>
      <c r="F1824" s="4">
        <v>17500</v>
      </c>
      <c r="G1824" s="5">
        <v>1.2</v>
      </c>
      <c r="H1824" s="6">
        <v>5</v>
      </c>
      <c r="I1824" s="7">
        <f t="shared" si="280"/>
        <v>21000</v>
      </c>
      <c r="J1824" s="7">
        <f t="shared" si="281"/>
        <v>1050</v>
      </c>
      <c r="K1824" s="7">
        <f t="shared" si="282"/>
        <v>19950</v>
      </c>
      <c r="L1824" s="4">
        <v>18000</v>
      </c>
      <c r="M1824" s="7">
        <f t="shared" si="283"/>
        <v>37950</v>
      </c>
      <c r="N1824" s="2" t="s">
        <v>28</v>
      </c>
      <c r="O1824" t="s">
        <v>2107</v>
      </c>
      <c r="P1824" s="2" t="s">
        <v>2366</v>
      </c>
      <c r="Q1824" s="2">
        <v>1</v>
      </c>
      <c r="R1824" s="2" t="s">
        <v>23</v>
      </c>
      <c r="S1824" s="2" t="str">
        <f t="shared" si="284"/>
        <v>Sangat Rendah</v>
      </c>
      <c r="T1824" s="2" t="str">
        <f t="shared" si="285"/>
        <v>FALSE</v>
      </c>
      <c r="U1824" s="2" t="str">
        <f t="shared" si="286"/>
        <v>FALSE</v>
      </c>
      <c r="V1824" s="2" t="b">
        <f t="shared" si="287"/>
        <v>0</v>
      </c>
      <c r="W1824" s="2" t="b">
        <f t="shared" si="288"/>
        <v>0</v>
      </c>
      <c r="X1824" s="2" t="b">
        <f t="shared" si="289"/>
        <v>1</v>
      </c>
    </row>
    <row r="1825" spans="1:24" ht="10.5" customHeight="1">
      <c r="A1825" s="2" t="s">
        <v>2179</v>
      </c>
      <c r="B1825" s="3">
        <v>46003.894768518519</v>
      </c>
      <c r="C1825" s="2" t="s">
        <v>454</v>
      </c>
      <c r="D1825" s="2" t="s">
        <v>286</v>
      </c>
      <c r="E1825" s="2" t="s">
        <v>53</v>
      </c>
      <c r="F1825" s="4">
        <v>14000</v>
      </c>
      <c r="G1825" s="5">
        <v>1.3</v>
      </c>
      <c r="H1825" s="6">
        <v>5</v>
      </c>
      <c r="I1825" s="7">
        <f t="shared" si="280"/>
        <v>18200</v>
      </c>
      <c r="J1825" s="7">
        <f t="shared" si="281"/>
        <v>910</v>
      </c>
      <c r="K1825" s="7">
        <f t="shared" si="282"/>
        <v>17290</v>
      </c>
      <c r="L1825" s="4">
        <v>79000</v>
      </c>
      <c r="M1825" s="7">
        <f t="shared" si="283"/>
        <v>96290</v>
      </c>
      <c r="N1825" s="2" t="s">
        <v>28</v>
      </c>
      <c r="O1825" t="s">
        <v>69</v>
      </c>
      <c r="P1825" s="2" t="s">
        <v>2370</v>
      </c>
      <c r="Q1825" s="2">
        <v>4</v>
      </c>
      <c r="R1825" s="2" t="s">
        <v>34</v>
      </c>
      <c r="S1825" s="2" t="str">
        <f t="shared" si="284"/>
        <v>Rendah</v>
      </c>
      <c r="T1825" s="2" t="str">
        <f t="shared" si="285"/>
        <v>FALSE</v>
      </c>
      <c r="U1825" s="2" t="str">
        <f t="shared" si="286"/>
        <v>FALSE</v>
      </c>
      <c r="V1825" s="2" t="b">
        <f t="shared" si="287"/>
        <v>0</v>
      </c>
      <c r="W1825" s="2" t="b">
        <f t="shared" si="288"/>
        <v>0</v>
      </c>
      <c r="X1825" s="2" t="b">
        <f t="shared" si="289"/>
        <v>0</v>
      </c>
    </row>
    <row r="1826" spans="1:24" ht="10.5" customHeight="1">
      <c r="A1826" s="2" t="s">
        <v>2180</v>
      </c>
      <c r="B1826" s="3">
        <v>46004.607627314806</v>
      </c>
      <c r="C1826" s="2" t="s">
        <v>273</v>
      </c>
      <c r="D1826" s="2" t="s">
        <v>84</v>
      </c>
      <c r="E1826" s="2" t="s">
        <v>57</v>
      </c>
      <c r="F1826" s="4">
        <v>17500</v>
      </c>
      <c r="G1826" s="5">
        <v>0.8</v>
      </c>
      <c r="H1826" s="6">
        <v>0</v>
      </c>
      <c r="I1826" s="7">
        <f t="shared" si="280"/>
        <v>14000</v>
      </c>
      <c r="J1826" s="7">
        <f t="shared" si="281"/>
        <v>0</v>
      </c>
      <c r="K1826" s="7">
        <f t="shared" si="282"/>
        <v>14000</v>
      </c>
      <c r="L1826" s="4">
        <v>30000</v>
      </c>
      <c r="M1826" s="7">
        <f t="shared" si="283"/>
        <v>44000</v>
      </c>
      <c r="N1826" s="2" t="s">
        <v>58</v>
      </c>
      <c r="O1826" t="s">
        <v>115</v>
      </c>
      <c r="P1826" s="2" t="s">
        <v>2367</v>
      </c>
      <c r="Q1826" s="2">
        <v>5</v>
      </c>
      <c r="R1826" s="2" t="s">
        <v>23</v>
      </c>
      <c r="S1826" s="2" t="str">
        <f t="shared" si="284"/>
        <v>Sangat Rendah</v>
      </c>
      <c r="T1826" s="2" t="str">
        <f t="shared" si="285"/>
        <v>FALSE</v>
      </c>
      <c r="U1826" s="2" t="str">
        <f t="shared" si="286"/>
        <v>FALSE</v>
      </c>
      <c r="V1826" s="2" t="b">
        <f t="shared" si="287"/>
        <v>0</v>
      </c>
      <c r="W1826" s="2" t="b">
        <f t="shared" si="288"/>
        <v>1</v>
      </c>
      <c r="X1826" s="2" t="b">
        <f t="shared" si="289"/>
        <v>1</v>
      </c>
    </row>
    <row r="1827" spans="1:24" ht="10.5" customHeight="1">
      <c r="A1827" s="2" t="s">
        <v>2180</v>
      </c>
      <c r="B1827" s="3">
        <v>46004.607627314806</v>
      </c>
      <c r="C1827" s="2" t="s">
        <v>273</v>
      </c>
      <c r="D1827" s="2" t="s">
        <v>84</v>
      </c>
      <c r="E1827" s="2" t="s">
        <v>99</v>
      </c>
      <c r="F1827" s="4">
        <v>10000</v>
      </c>
      <c r="G1827" s="5">
        <v>0.6</v>
      </c>
      <c r="H1827" s="6">
        <v>0</v>
      </c>
      <c r="I1827" s="7">
        <f t="shared" si="280"/>
        <v>6000</v>
      </c>
      <c r="J1827" s="7">
        <f t="shared" si="281"/>
        <v>0</v>
      </c>
      <c r="K1827" s="7">
        <f t="shared" si="282"/>
        <v>6000</v>
      </c>
      <c r="L1827" s="4">
        <v>0</v>
      </c>
      <c r="M1827" s="7">
        <f t="shared" si="283"/>
        <v>6000</v>
      </c>
      <c r="N1827" s="2" t="s">
        <v>58</v>
      </c>
      <c r="O1827" t="s">
        <v>115</v>
      </c>
      <c r="P1827" s="2" t="s">
        <v>2367</v>
      </c>
      <c r="Q1827" s="2">
        <v>5</v>
      </c>
      <c r="R1827" s="2" t="s">
        <v>23</v>
      </c>
      <c r="S1827" s="2" t="str">
        <f t="shared" si="284"/>
        <v>Sangat Rendah</v>
      </c>
      <c r="T1827" s="2" t="str">
        <f t="shared" si="285"/>
        <v>FALSE</v>
      </c>
      <c r="U1827" s="2" t="str">
        <f t="shared" si="286"/>
        <v>FALSE</v>
      </c>
      <c r="V1827" s="2" t="b">
        <f t="shared" si="287"/>
        <v>0</v>
      </c>
      <c r="W1827" s="2" t="b">
        <f t="shared" si="288"/>
        <v>1</v>
      </c>
      <c r="X1827" s="2" t="b">
        <f t="shared" si="289"/>
        <v>1</v>
      </c>
    </row>
    <row r="1828" spans="1:24" ht="10.5" customHeight="1">
      <c r="A1828" s="2" t="s">
        <v>2181</v>
      </c>
      <c r="B1828" s="3">
        <v>46005.417766203696</v>
      </c>
      <c r="C1828" s="2" t="s">
        <v>764</v>
      </c>
      <c r="D1828" s="2" t="s">
        <v>252</v>
      </c>
      <c r="E1828" s="2" t="s">
        <v>27</v>
      </c>
      <c r="F1828" s="4">
        <v>15000</v>
      </c>
      <c r="G1828" s="5">
        <v>0.2</v>
      </c>
      <c r="H1828" s="6">
        <v>0</v>
      </c>
      <c r="I1828" s="7">
        <f t="shared" si="280"/>
        <v>3000</v>
      </c>
      <c r="J1828" s="7">
        <f t="shared" si="281"/>
        <v>0</v>
      </c>
      <c r="K1828" s="7">
        <f t="shared" si="282"/>
        <v>3000</v>
      </c>
      <c r="L1828" s="4">
        <v>18000</v>
      </c>
      <c r="M1828" s="7">
        <f t="shared" si="283"/>
        <v>21000</v>
      </c>
      <c r="N1828" s="2" t="s">
        <v>21</v>
      </c>
      <c r="O1828" t="s">
        <v>22</v>
      </c>
      <c r="P1828" s="2" t="s">
        <v>2367</v>
      </c>
      <c r="Q1828" s="2">
        <v>5</v>
      </c>
      <c r="R1828" s="2" t="s">
        <v>23</v>
      </c>
      <c r="S1828" s="2" t="str">
        <f t="shared" si="284"/>
        <v>Sangat Rendah</v>
      </c>
      <c r="T1828" s="2" t="str">
        <f t="shared" si="285"/>
        <v>FALSE</v>
      </c>
      <c r="U1828" s="2" t="str">
        <f t="shared" si="286"/>
        <v>FALSE</v>
      </c>
      <c r="V1828" s="2" t="b">
        <f t="shared" si="287"/>
        <v>0</v>
      </c>
      <c r="W1828" s="2" t="b">
        <f t="shared" si="288"/>
        <v>1</v>
      </c>
      <c r="X1828" s="2" t="b">
        <f t="shared" si="289"/>
        <v>1</v>
      </c>
    </row>
    <row r="1829" spans="1:24" ht="10.5" customHeight="1">
      <c r="A1829" s="2" t="s">
        <v>2182</v>
      </c>
      <c r="B1829" s="3">
        <v>46005.648981481478</v>
      </c>
      <c r="C1829" s="2" t="s">
        <v>1088</v>
      </c>
      <c r="D1829" s="2" t="s">
        <v>118</v>
      </c>
      <c r="E1829" s="2" t="s">
        <v>20</v>
      </c>
      <c r="F1829" s="4">
        <v>10000</v>
      </c>
      <c r="G1829" s="5">
        <v>2.2999999999999998</v>
      </c>
      <c r="H1829" s="6">
        <v>0</v>
      </c>
      <c r="I1829" s="7">
        <f t="shared" si="280"/>
        <v>23000</v>
      </c>
      <c r="J1829" s="7">
        <f t="shared" si="281"/>
        <v>0</v>
      </c>
      <c r="K1829" s="7">
        <f t="shared" si="282"/>
        <v>23000</v>
      </c>
      <c r="L1829" s="4">
        <v>84000</v>
      </c>
      <c r="M1829" s="7">
        <f t="shared" si="283"/>
        <v>107000</v>
      </c>
      <c r="N1829" s="2" t="s">
        <v>33</v>
      </c>
      <c r="O1829" t="s">
        <v>22</v>
      </c>
      <c r="P1829" s="2" t="s">
        <v>2366</v>
      </c>
      <c r="Q1829" s="2">
        <v>1</v>
      </c>
      <c r="R1829" s="2" t="s">
        <v>34</v>
      </c>
      <c r="S1829" s="2" t="str">
        <f t="shared" si="284"/>
        <v>Standar</v>
      </c>
      <c r="T1829" s="2" t="str">
        <f t="shared" si="285"/>
        <v>FALSE</v>
      </c>
      <c r="U1829" s="2" t="str">
        <f t="shared" si="286"/>
        <v>FALSE</v>
      </c>
      <c r="V1829" s="2" t="b">
        <f t="shared" si="287"/>
        <v>0</v>
      </c>
      <c r="W1829" s="2" t="b">
        <f t="shared" si="288"/>
        <v>0</v>
      </c>
      <c r="X1829" s="2" t="b">
        <f t="shared" si="289"/>
        <v>0</v>
      </c>
    </row>
    <row r="1830" spans="1:24" ht="10.5" customHeight="1">
      <c r="A1830" s="2" t="s">
        <v>2183</v>
      </c>
      <c r="B1830" s="3">
        <v>46005.771990740737</v>
      </c>
      <c r="C1830" s="2" t="s">
        <v>1056</v>
      </c>
      <c r="D1830" s="2" t="s">
        <v>105</v>
      </c>
      <c r="E1830" s="2" t="s">
        <v>102</v>
      </c>
      <c r="F1830" s="4">
        <v>55000</v>
      </c>
      <c r="G1830" s="5">
        <v>0.5</v>
      </c>
      <c r="H1830" s="6">
        <v>0</v>
      </c>
      <c r="I1830" s="7">
        <f t="shared" si="280"/>
        <v>27500</v>
      </c>
      <c r="J1830" s="7">
        <f t="shared" si="281"/>
        <v>0</v>
      </c>
      <c r="K1830" s="7">
        <f t="shared" si="282"/>
        <v>27500</v>
      </c>
      <c r="L1830" s="4">
        <v>18000</v>
      </c>
      <c r="M1830" s="7">
        <f t="shared" si="283"/>
        <v>45500</v>
      </c>
      <c r="N1830" s="2" t="s">
        <v>21</v>
      </c>
      <c r="O1830" t="s">
        <v>2107</v>
      </c>
      <c r="P1830" s="2" t="s">
        <v>2368</v>
      </c>
      <c r="Q1830" s="2">
        <v>4</v>
      </c>
      <c r="R1830" s="2" t="s">
        <v>23</v>
      </c>
      <c r="S1830" s="2" t="str">
        <f t="shared" si="284"/>
        <v>Sangat Rendah</v>
      </c>
      <c r="T1830" s="2" t="str">
        <f t="shared" si="285"/>
        <v>FALSE</v>
      </c>
      <c r="U1830" s="2" t="str">
        <f t="shared" si="286"/>
        <v>FALSE</v>
      </c>
      <c r="V1830" s="2" t="b">
        <f t="shared" si="287"/>
        <v>0</v>
      </c>
      <c r="W1830" s="2" t="b">
        <f t="shared" si="288"/>
        <v>0</v>
      </c>
      <c r="X1830" s="2" t="b">
        <f t="shared" si="289"/>
        <v>1</v>
      </c>
    </row>
    <row r="1831" spans="1:24" ht="10.5" customHeight="1">
      <c r="A1831" s="2" t="s">
        <v>2184</v>
      </c>
      <c r="B1831" s="3">
        <v>46006.086898148147</v>
      </c>
      <c r="C1831" s="2" t="s">
        <v>431</v>
      </c>
      <c r="D1831" s="2" t="s">
        <v>108</v>
      </c>
      <c r="E1831" s="2" t="s">
        <v>75</v>
      </c>
      <c r="F1831" s="4">
        <v>45000</v>
      </c>
      <c r="G1831" s="5">
        <v>2.1</v>
      </c>
      <c r="H1831" s="6">
        <v>0</v>
      </c>
      <c r="I1831" s="7">
        <f t="shared" si="280"/>
        <v>94500</v>
      </c>
      <c r="J1831" s="7">
        <f t="shared" si="281"/>
        <v>0</v>
      </c>
      <c r="K1831" s="7">
        <f t="shared" si="282"/>
        <v>94500</v>
      </c>
      <c r="L1831" s="4">
        <v>72000</v>
      </c>
      <c r="M1831" s="7">
        <f t="shared" si="283"/>
        <v>166500</v>
      </c>
      <c r="N1831" s="2" t="s">
        <v>21</v>
      </c>
      <c r="O1831" t="s">
        <v>2110</v>
      </c>
      <c r="P1831" s="2" t="s">
        <v>2368</v>
      </c>
      <c r="Q1831" s="2">
        <v>2</v>
      </c>
      <c r="R1831" s="2" t="s">
        <v>34</v>
      </c>
      <c r="S1831" s="2" t="str">
        <f t="shared" si="284"/>
        <v>Tinggi</v>
      </c>
      <c r="T1831" s="2" t="str">
        <f t="shared" si="285"/>
        <v>FALSE</v>
      </c>
      <c r="U1831" s="2" t="str">
        <f t="shared" si="286"/>
        <v>TRUE</v>
      </c>
      <c r="V1831" s="2" t="b">
        <f t="shared" si="287"/>
        <v>0</v>
      </c>
      <c r="W1831" s="2" t="b">
        <f t="shared" si="288"/>
        <v>0</v>
      </c>
      <c r="X1831" s="2" t="b">
        <f t="shared" si="289"/>
        <v>0</v>
      </c>
    </row>
    <row r="1832" spans="1:24" ht="10.5" customHeight="1">
      <c r="A1832" s="2" t="s">
        <v>2185</v>
      </c>
      <c r="B1832" s="3">
        <v>46006.157256944447</v>
      </c>
      <c r="C1832" s="2" t="s">
        <v>209</v>
      </c>
      <c r="D1832" s="2" t="s">
        <v>160</v>
      </c>
      <c r="E1832" s="2" t="s">
        <v>35</v>
      </c>
      <c r="F1832" s="4">
        <v>13500</v>
      </c>
      <c r="G1832" s="5">
        <v>1.5</v>
      </c>
      <c r="H1832" s="6">
        <v>0</v>
      </c>
      <c r="I1832" s="7">
        <f t="shared" si="280"/>
        <v>20250</v>
      </c>
      <c r="J1832" s="7">
        <f t="shared" si="281"/>
        <v>0</v>
      </c>
      <c r="K1832" s="7">
        <f t="shared" si="282"/>
        <v>20250</v>
      </c>
      <c r="L1832" s="4">
        <v>46000</v>
      </c>
      <c r="M1832" s="7">
        <f t="shared" si="283"/>
        <v>66250</v>
      </c>
      <c r="N1832" s="2" t="s">
        <v>21</v>
      </c>
      <c r="O1832" t="s">
        <v>22</v>
      </c>
      <c r="P1832" s="2" t="s">
        <v>2366</v>
      </c>
      <c r="Q1832" s="2">
        <v>2</v>
      </c>
      <c r="R1832" s="2" t="s">
        <v>23</v>
      </c>
      <c r="S1832" s="2" t="str">
        <f t="shared" si="284"/>
        <v>Rendah</v>
      </c>
      <c r="T1832" s="2" t="str">
        <f t="shared" si="285"/>
        <v>FALSE</v>
      </c>
      <c r="U1832" s="2" t="str">
        <f t="shared" si="286"/>
        <v>FALSE</v>
      </c>
      <c r="V1832" s="2" t="b">
        <f t="shared" si="287"/>
        <v>0</v>
      </c>
      <c r="W1832" s="2" t="b">
        <f t="shared" si="288"/>
        <v>0</v>
      </c>
      <c r="X1832" s="2" t="b">
        <f t="shared" si="289"/>
        <v>0</v>
      </c>
    </row>
    <row r="1833" spans="1:24" ht="10.5" customHeight="1">
      <c r="A1833" s="2" t="s">
        <v>2186</v>
      </c>
      <c r="B1833" s="3">
        <v>46006.457187499997</v>
      </c>
      <c r="C1833" s="2" t="s">
        <v>2187</v>
      </c>
      <c r="D1833" s="2" t="s">
        <v>229</v>
      </c>
      <c r="E1833" s="2" t="s">
        <v>99</v>
      </c>
      <c r="F1833" s="4">
        <v>10000</v>
      </c>
      <c r="G1833" s="5">
        <v>1.3</v>
      </c>
      <c r="H1833" s="6">
        <v>0</v>
      </c>
      <c r="I1833" s="7">
        <f t="shared" si="280"/>
        <v>13000</v>
      </c>
      <c r="J1833" s="7">
        <f t="shared" si="281"/>
        <v>0</v>
      </c>
      <c r="K1833" s="7">
        <f t="shared" si="282"/>
        <v>13000</v>
      </c>
      <c r="L1833" s="4">
        <v>28000</v>
      </c>
      <c r="M1833" s="7">
        <f t="shared" si="283"/>
        <v>41000</v>
      </c>
      <c r="N1833" s="2" t="s">
        <v>28</v>
      </c>
      <c r="O1833" t="s">
        <v>2110</v>
      </c>
      <c r="P1833" s="2" t="s">
        <v>2365</v>
      </c>
      <c r="Q1833" s="2">
        <v>1</v>
      </c>
      <c r="R1833" s="2" t="s">
        <v>23</v>
      </c>
      <c r="S1833" s="2" t="str">
        <f t="shared" si="284"/>
        <v>Sangat Rendah</v>
      </c>
      <c r="T1833" s="2" t="str">
        <f t="shared" si="285"/>
        <v>FALSE</v>
      </c>
      <c r="U1833" s="2" t="str">
        <f t="shared" si="286"/>
        <v>FALSE</v>
      </c>
      <c r="V1833" s="2" t="b">
        <f t="shared" si="287"/>
        <v>0</v>
      </c>
      <c r="W1833" s="2" t="b">
        <f t="shared" si="288"/>
        <v>0</v>
      </c>
      <c r="X1833" s="2" t="b">
        <f t="shared" si="289"/>
        <v>1</v>
      </c>
    </row>
    <row r="1834" spans="1:24" ht="10.5" customHeight="1">
      <c r="A1834" s="2" t="s">
        <v>2188</v>
      </c>
      <c r="B1834" s="3">
        <v>46006.533009259263</v>
      </c>
      <c r="C1834" s="2" t="s">
        <v>184</v>
      </c>
      <c r="D1834" s="2" t="s">
        <v>185</v>
      </c>
      <c r="E1834" s="2" t="s">
        <v>32</v>
      </c>
      <c r="F1834" s="4">
        <v>20000</v>
      </c>
      <c r="G1834" s="5">
        <v>1.8</v>
      </c>
      <c r="H1834" s="6">
        <v>0</v>
      </c>
      <c r="I1834" s="7">
        <f t="shared" si="280"/>
        <v>36000</v>
      </c>
      <c r="J1834" s="7">
        <f t="shared" si="281"/>
        <v>0</v>
      </c>
      <c r="K1834" s="7">
        <f t="shared" si="282"/>
        <v>36000</v>
      </c>
      <c r="L1834" s="4">
        <v>87000</v>
      </c>
      <c r="M1834" s="7">
        <f t="shared" si="283"/>
        <v>123000</v>
      </c>
      <c r="N1834" s="2" t="s">
        <v>28</v>
      </c>
      <c r="O1834" t="s">
        <v>2110</v>
      </c>
      <c r="P1834" s="2" t="s">
        <v>2365</v>
      </c>
      <c r="Q1834" s="2">
        <v>4</v>
      </c>
      <c r="R1834" s="2" t="s">
        <v>23</v>
      </c>
      <c r="S1834" s="2" t="str">
        <f t="shared" si="284"/>
        <v>Standar</v>
      </c>
      <c r="T1834" s="2" t="str">
        <f t="shared" si="285"/>
        <v>FALSE</v>
      </c>
      <c r="U1834" s="2" t="str">
        <f t="shared" si="286"/>
        <v>FALSE</v>
      </c>
      <c r="V1834" s="2" t="b">
        <f t="shared" si="287"/>
        <v>0</v>
      </c>
      <c r="W1834" s="2" t="b">
        <f t="shared" si="288"/>
        <v>0</v>
      </c>
      <c r="X1834" s="2" t="b">
        <f t="shared" si="289"/>
        <v>0</v>
      </c>
    </row>
    <row r="1835" spans="1:24" ht="10.5" customHeight="1">
      <c r="A1835" s="2" t="s">
        <v>2189</v>
      </c>
      <c r="B1835" s="3">
        <v>46007.570231481477</v>
      </c>
      <c r="C1835" s="2" t="s">
        <v>321</v>
      </c>
      <c r="D1835" s="2" t="s">
        <v>19</v>
      </c>
      <c r="E1835" s="2" t="s">
        <v>65</v>
      </c>
      <c r="F1835" s="4">
        <v>46000</v>
      </c>
      <c r="G1835" s="5">
        <v>0.3</v>
      </c>
      <c r="H1835" s="6">
        <v>0</v>
      </c>
      <c r="I1835" s="7">
        <f t="shared" si="280"/>
        <v>13800</v>
      </c>
      <c r="J1835" s="7">
        <f t="shared" si="281"/>
        <v>0</v>
      </c>
      <c r="K1835" s="7">
        <f t="shared" si="282"/>
        <v>13800</v>
      </c>
      <c r="L1835" s="4">
        <v>15000</v>
      </c>
      <c r="M1835" s="7">
        <f t="shared" si="283"/>
        <v>28800</v>
      </c>
      <c r="N1835" s="2" t="s">
        <v>33</v>
      </c>
      <c r="O1835" t="s">
        <v>22</v>
      </c>
      <c r="P1835" s="2" t="s">
        <v>2367</v>
      </c>
      <c r="Q1835" s="2">
        <v>5</v>
      </c>
      <c r="R1835" s="2" t="s">
        <v>34</v>
      </c>
      <c r="S1835" s="2" t="str">
        <f t="shared" si="284"/>
        <v>Sangat Rendah</v>
      </c>
      <c r="T1835" s="2" t="str">
        <f t="shared" si="285"/>
        <v>FALSE</v>
      </c>
      <c r="U1835" s="2" t="str">
        <f t="shared" si="286"/>
        <v>FALSE</v>
      </c>
      <c r="V1835" s="2" t="b">
        <f t="shared" si="287"/>
        <v>0</v>
      </c>
      <c r="W1835" s="2" t="b">
        <f t="shared" si="288"/>
        <v>1</v>
      </c>
      <c r="X1835" s="2" t="b">
        <f t="shared" si="289"/>
        <v>0</v>
      </c>
    </row>
    <row r="1836" spans="1:24" ht="10.5" customHeight="1">
      <c r="A1836" s="2" t="s">
        <v>2190</v>
      </c>
      <c r="B1836" s="3">
        <v>46007.623449074083</v>
      </c>
      <c r="C1836" s="2" t="s">
        <v>441</v>
      </c>
      <c r="D1836" s="2" t="s">
        <v>108</v>
      </c>
      <c r="E1836" s="2" t="s">
        <v>27</v>
      </c>
      <c r="F1836" s="4">
        <v>15000</v>
      </c>
      <c r="G1836" s="5">
        <v>0.6</v>
      </c>
      <c r="H1836" s="6">
        <v>0</v>
      </c>
      <c r="I1836" s="7">
        <f t="shared" si="280"/>
        <v>9000</v>
      </c>
      <c r="J1836" s="7">
        <f t="shared" si="281"/>
        <v>0</v>
      </c>
      <c r="K1836" s="7">
        <f t="shared" si="282"/>
        <v>9000</v>
      </c>
      <c r="L1836" s="4">
        <v>72000</v>
      </c>
      <c r="M1836" s="7">
        <f t="shared" si="283"/>
        <v>81000</v>
      </c>
      <c r="N1836" s="2" t="s">
        <v>28</v>
      </c>
      <c r="O1836" t="s">
        <v>22</v>
      </c>
      <c r="P1836" s="2" t="s">
        <v>2370</v>
      </c>
      <c r="Q1836" s="2">
        <v>4</v>
      </c>
      <c r="R1836" s="2" t="s">
        <v>23</v>
      </c>
      <c r="S1836" s="2" t="str">
        <f t="shared" si="284"/>
        <v>Rendah</v>
      </c>
      <c r="T1836" s="2" t="str">
        <f t="shared" si="285"/>
        <v>FALSE</v>
      </c>
      <c r="U1836" s="2" t="str">
        <f t="shared" si="286"/>
        <v>FALSE</v>
      </c>
      <c r="V1836" s="2" t="b">
        <f t="shared" si="287"/>
        <v>0</v>
      </c>
      <c r="W1836" s="2" t="b">
        <f t="shared" si="288"/>
        <v>0</v>
      </c>
      <c r="X1836" s="2" t="b">
        <f t="shared" si="289"/>
        <v>0</v>
      </c>
    </row>
    <row r="1837" spans="1:24" ht="10.5" customHeight="1">
      <c r="A1837" s="2" t="s">
        <v>2191</v>
      </c>
      <c r="B1837" s="3">
        <v>46007.640046296299</v>
      </c>
      <c r="C1837" s="2" t="s">
        <v>458</v>
      </c>
      <c r="D1837" s="2" t="s">
        <v>153</v>
      </c>
      <c r="E1837" s="2" t="s">
        <v>170</v>
      </c>
      <c r="F1837" s="4">
        <v>12000</v>
      </c>
      <c r="G1837" s="5">
        <v>1.1000000000000001</v>
      </c>
      <c r="H1837" s="6">
        <v>0</v>
      </c>
      <c r="I1837" s="7">
        <f t="shared" si="280"/>
        <v>13200.000000000002</v>
      </c>
      <c r="J1837" s="7">
        <f t="shared" si="281"/>
        <v>0</v>
      </c>
      <c r="K1837" s="7">
        <f t="shared" si="282"/>
        <v>13200.000000000002</v>
      </c>
      <c r="L1837" s="4">
        <v>50000</v>
      </c>
      <c r="M1837" s="7">
        <f t="shared" si="283"/>
        <v>63200</v>
      </c>
      <c r="N1837" s="2" t="s">
        <v>58</v>
      </c>
      <c r="O1837" t="s">
        <v>2107</v>
      </c>
      <c r="P1837" s="2" t="s">
        <v>2366</v>
      </c>
      <c r="Q1837" s="2">
        <v>5</v>
      </c>
      <c r="R1837" s="2" t="s">
        <v>23</v>
      </c>
      <c r="S1837" s="2" t="str">
        <f t="shared" si="284"/>
        <v>Rendah</v>
      </c>
      <c r="T1837" s="2" t="str">
        <f t="shared" si="285"/>
        <v>FALSE</v>
      </c>
      <c r="U1837" s="2" t="str">
        <f t="shared" si="286"/>
        <v>FALSE</v>
      </c>
      <c r="V1837" s="2" t="b">
        <f t="shared" si="287"/>
        <v>0</v>
      </c>
      <c r="W1837" s="2" t="b">
        <f t="shared" si="288"/>
        <v>0</v>
      </c>
      <c r="X1837" s="2" t="b">
        <f t="shared" si="289"/>
        <v>0</v>
      </c>
    </row>
    <row r="1838" spans="1:24" ht="10.5" customHeight="1">
      <c r="A1838" s="2" t="s">
        <v>2192</v>
      </c>
      <c r="B1838" s="3">
        <v>46007.707280092603</v>
      </c>
      <c r="C1838" s="2" t="s">
        <v>975</v>
      </c>
      <c r="D1838" s="2" t="s">
        <v>48</v>
      </c>
      <c r="E1838" s="2" t="s">
        <v>53</v>
      </c>
      <c r="F1838" s="4">
        <v>14000</v>
      </c>
      <c r="G1838" s="5">
        <v>1.9</v>
      </c>
      <c r="H1838" s="6">
        <v>0</v>
      </c>
      <c r="I1838" s="7">
        <f t="shared" si="280"/>
        <v>26600</v>
      </c>
      <c r="J1838" s="7">
        <f t="shared" si="281"/>
        <v>0</v>
      </c>
      <c r="K1838" s="7">
        <f t="shared" si="282"/>
        <v>26600</v>
      </c>
      <c r="L1838" s="4">
        <v>18000</v>
      </c>
      <c r="M1838" s="7">
        <f t="shared" si="283"/>
        <v>44600</v>
      </c>
      <c r="N1838" s="2" t="s">
        <v>28</v>
      </c>
      <c r="O1838" t="s">
        <v>2107</v>
      </c>
      <c r="P1838" s="2" t="s">
        <v>2370</v>
      </c>
      <c r="Q1838" s="2">
        <v>2</v>
      </c>
      <c r="R1838" s="2" t="s">
        <v>23</v>
      </c>
      <c r="S1838" s="2" t="str">
        <f t="shared" si="284"/>
        <v>Sangat Rendah</v>
      </c>
      <c r="T1838" s="2" t="str">
        <f t="shared" si="285"/>
        <v>FALSE</v>
      </c>
      <c r="U1838" s="2" t="str">
        <f t="shared" si="286"/>
        <v>FALSE</v>
      </c>
      <c r="V1838" s="2" t="b">
        <f t="shared" si="287"/>
        <v>0</v>
      </c>
      <c r="W1838" s="2" t="b">
        <f t="shared" si="288"/>
        <v>0</v>
      </c>
      <c r="X1838" s="2" t="b">
        <f t="shared" si="289"/>
        <v>1</v>
      </c>
    </row>
    <row r="1839" spans="1:24" ht="10.5" customHeight="1">
      <c r="A1839" s="2" t="s">
        <v>2193</v>
      </c>
      <c r="B1839" s="3">
        <v>46008.409675925926</v>
      </c>
      <c r="C1839" s="2" t="s">
        <v>1747</v>
      </c>
      <c r="D1839" s="2" t="s">
        <v>68</v>
      </c>
      <c r="E1839" s="2" t="s">
        <v>49</v>
      </c>
      <c r="F1839" s="4">
        <v>26000</v>
      </c>
      <c r="G1839" s="5">
        <v>1.4</v>
      </c>
      <c r="H1839" s="6">
        <v>0</v>
      </c>
      <c r="I1839" s="7">
        <f t="shared" si="280"/>
        <v>36400</v>
      </c>
      <c r="J1839" s="7">
        <f t="shared" si="281"/>
        <v>0</v>
      </c>
      <c r="K1839" s="7">
        <f t="shared" si="282"/>
        <v>36400</v>
      </c>
      <c r="L1839" s="4">
        <v>87000</v>
      </c>
      <c r="M1839" s="7">
        <f t="shared" si="283"/>
        <v>123400</v>
      </c>
      <c r="N1839" s="2" t="s">
        <v>58</v>
      </c>
      <c r="O1839" t="s">
        <v>2107</v>
      </c>
      <c r="P1839" s="2" t="s">
        <v>2365</v>
      </c>
      <c r="Q1839" s="2">
        <v>4</v>
      </c>
      <c r="R1839" s="2" t="s">
        <v>34</v>
      </c>
      <c r="S1839" s="2" t="str">
        <f t="shared" si="284"/>
        <v>Standar</v>
      </c>
      <c r="T1839" s="2" t="str">
        <f t="shared" si="285"/>
        <v>FALSE</v>
      </c>
      <c r="U1839" s="2" t="str">
        <f t="shared" si="286"/>
        <v>FALSE</v>
      </c>
      <c r="V1839" s="2" t="b">
        <f t="shared" si="287"/>
        <v>0</v>
      </c>
      <c r="W1839" s="2" t="b">
        <f t="shared" si="288"/>
        <v>0</v>
      </c>
      <c r="X1839" s="2" t="b">
        <f t="shared" si="289"/>
        <v>0</v>
      </c>
    </row>
    <row r="1840" spans="1:24" ht="10.5" customHeight="1">
      <c r="A1840" s="2" t="s">
        <v>2194</v>
      </c>
      <c r="B1840" s="3">
        <v>46008.452152777783</v>
      </c>
      <c r="C1840" s="2" t="s">
        <v>846</v>
      </c>
      <c r="D1840" s="2" t="s">
        <v>235</v>
      </c>
      <c r="E1840" s="2" t="s">
        <v>143</v>
      </c>
      <c r="F1840" s="4">
        <v>10000</v>
      </c>
      <c r="G1840" s="5">
        <v>0.2</v>
      </c>
      <c r="H1840" s="6">
        <v>0</v>
      </c>
      <c r="I1840" s="7">
        <f t="shared" si="280"/>
        <v>2000</v>
      </c>
      <c r="J1840" s="7">
        <f t="shared" si="281"/>
        <v>0</v>
      </c>
      <c r="K1840" s="7">
        <f t="shared" si="282"/>
        <v>2000</v>
      </c>
      <c r="L1840" s="4">
        <v>80000</v>
      </c>
      <c r="M1840" s="7">
        <f t="shared" si="283"/>
        <v>82000</v>
      </c>
      <c r="N1840" s="2" t="s">
        <v>33</v>
      </c>
      <c r="O1840" t="s">
        <v>22</v>
      </c>
      <c r="P1840" s="2" t="s">
        <v>2368</v>
      </c>
      <c r="Q1840" s="2">
        <v>4</v>
      </c>
      <c r="R1840" s="2" t="s">
        <v>23</v>
      </c>
      <c r="S1840" s="2" t="str">
        <f t="shared" si="284"/>
        <v>Rendah</v>
      </c>
      <c r="T1840" s="2" t="str">
        <f t="shared" si="285"/>
        <v>FALSE</v>
      </c>
      <c r="U1840" s="2" t="str">
        <f t="shared" si="286"/>
        <v>TRUE</v>
      </c>
      <c r="V1840" s="2" t="b">
        <f t="shared" si="287"/>
        <v>0</v>
      </c>
      <c r="W1840" s="2" t="b">
        <f t="shared" si="288"/>
        <v>0</v>
      </c>
      <c r="X1840" s="2" t="b">
        <f t="shared" si="289"/>
        <v>0</v>
      </c>
    </row>
    <row r="1841" spans="1:24" ht="10.5" customHeight="1">
      <c r="A1841" s="2" t="s">
        <v>2194</v>
      </c>
      <c r="B1841" s="3">
        <v>46008.452152777783</v>
      </c>
      <c r="C1841" s="2" t="s">
        <v>846</v>
      </c>
      <c r="D1841" s="2" t="s">
        <v>235</v>
      </c>
      <c r="E1841" s="2" t="s">
        <v>49</v>
      </c>
      <c r="F1841" s="4">
        <v>26000</v>
      </c>
      <c r="G1841" s="5">
        <v>0.4</v>
      </c>
      <c r="H1841" s="6">
        <v>0</v>
      </c>
      <c r="I1841" s="7">
        <f t="shared" si="280"/>
        <v>10400</v>
      </c>
      <c r="J1841" s="7">
        <f t="shared" si="281"/>
        <v>0</v>
      </c>
      <c r="K1841" s="7">
        <f t="shared" si="282"/>
        <v>10400</v>
      </c>
      <c r="L1841" s="4">
        <v>0</v>
      </c>
      <c r="M1841" s="7">
        <f t="shared" si="283"/>
        <v>10400</v>
      </c>
      <c r="N1841" s="2" t="s">
        <v>33</v>
      </c>
      <c r="O1841" t="s">
        <v>22</v>
      </c>
      <c r="P1841" s="2" t="s">
        <v>2368</v>
      </c>
      <c r="Q1841" s="2">
        <v>4</v>
      </c>
      <c r="R1841" s="2" t="s">
        <v>23</v>
      </c>
      <c r="S1841" s="2" t="str">
        <f t="shared" si="284"/>
        <v>Sangat Rendah</v>
      </c>
      <c r="T1841" s="2" t="str">
        <f t="shared" si="285"/>
        <v>FALSE</v>
      </c>
      <c r="U1841" s="2" t="str">
        <f t="shared" si="286"/>
        <v>FALSE</v>
      </c>
      <c r="V1841" s="2" t="b">
        <f t="shared" si="287"/>
        <v>0</v>
      </c>
      <c r="W1841" s="2" t="b">
        <f t="shared" si="288"/>
        <v>0</v>
      </c>
      <c r="X1841" s="2" t="b">
        <f t="shared" si="289"/>
        <v>1</v>
      </c>
    </row>
    <row r="1842" spans="1:24" ht="10.5" customHeight="1">
      <c r="A1842" s="2" t="s">
        <v>2195</v>
      </c>
      <c r="B1842" s="3">
        <v>46009.686909722222</v>
      </c>
      <c r="C1842" s="2" t="s">
        <v>301</v>
      </c>
      <c r="D1842" s="2" t="s">
        <v>108</v>
      </c>
      <c r="E1842" s="2" t="s">
        <v>49</v>
      </c>
      <c r="F1842" s="4">
        <v>26000</v>
      </c>
      <c r="G1842" s="5">
        <v>1.6</v>
      </c>
      <c r="H1842" s="6">
        <v>0</v>
      </c>
      <c r="I1842" s="7">
        <f t="shared" si="280"/>
        <v>41600</v>
      </c>
      <c r="J1842" s="7">
        <f t="shared" si="281"/>
        <v>0</v>
      </c>
      <c r="K1842" s="7">
        <f t="shared" si="282"/>
        <v>41600</v>
      </c>
      <c r="L1842" s="4">
        <v>72000</v>
      </c>
      <c r="M1842" s="7">
        <f t="shared" si="283"/>
        <v>113600</v>
      </c>
      <c r="N1842" s="2" t="s">
        <v>58</v>
      </c>
      <c r="O1842" t="s">
        <v>22</v>
      </c>
      <c r="P1842" s="2" t="s">
        <v>2366</v>
      </c>
      <c r="Q1842" s="2">
        <v>1</v>
      </c>
      <c r="R1842" s="2" t="s">
        <v>23</v>
      </c>
      <c r="S1842" s="2" t="str">
        <f t="shared" si="284"/>
        <v>Standar</v>
      </c>
      <c r="T1842" s="2" t="str">
        <f t="shared" si="285"/>
        <v>FALSE</v>
      </c>
      <c r="U1842" s="2" t="str">
        <f t="shared" si="286"/>
        <v>FALSE</v>
      </c>
      <c r="V1842" s="2" t="b">
        <f t="shared" si="287"/>
        <v>0</v>
      </c>
      <c r="W1842" s="2" t="b">
        <f t="shared" si="288"/>
        <v>0</v>
      </c>
      <c r="X1842" s="2" t="b">
        <f t="shared" si="289"/>
        <v>0</v>
      </c>
    </row>
    <row r="1843" spans="1:24" ht="10.5" customHeight="1">
      <c r="A1843" s="2" t="s">
        <v>2196</v>
      </c>
      <c r="B1843" s="3">
        <v>46010.578773148147</v>
      </c>
      <c r="C1843" s="2" t="s">
        <v>25</v>
      </c>
      <c r="D1843" s="2" t="s">
        <v>26</v>
      </c>
      <c r="E1843" s="2" t="s">
        <v>41</v>
      </c>
      <c r="F1843" s="4">
        <v>40000</v>
      </c>
      <c r="G1843" s="5">
        <v>0.6</v>
      </c>
      <c r="H1843" s="6">
        <v>0</v>
      </c>
      <c r="I1843" s="7">
        <f t="shared" si="280"/>
        <v>24000</v>
      </c>
      <c r="J1843" s="7">
        <f t="shared" si="281"/>
        <v>0</v>
      </c>
      <c r="K1843" s="7">
        <f t="shared" si="282"/>
        <v>24000</v>
      </c>
      <c r="L1843" s="4">
        <v>17000</v>
      </c>
      <c r="M1843" s="7">
        <f t="shared" si="283"/>
        <v>41000</v>
      </c>
      <c r="N1843" s="2" t="s">
        <v>58</v>
      </c>
      <c r="O1843" t="s">
        <v>22</v>
      </c>
      <c r="P1843" s="2" t="s">
        <v>2365</v>
      </c>
      <c r="Q1843" s="2">
        <v>5</v>
      </c>
      <c r="R1843" s="2" t="s">
        <v>23</v>
      </c>
      <c r="S1843" s="2" t="str">
        <f t="shared" si="284"/>
        <v>Sangat Rendah</v>
      </c>
      <c r="T1843" s="2" t="str">
        <f t="shared" si="285"/>
        <v>FALSE</v>
      </c>
      <c r="U1843" s="2" t="str">
        <f t="shared" si="286"/>
        <v>FALSE</v>
      </c>
      <c r="V1843" s="2" t="b">
        <f t="shared" si="287"/>
        <v>0</v>
      </c>
      <c r="W1843" s="2" t="b">
        <f t="shared" si="288"/>
        <v>0</v>
      </c>
      <c r="X1843" s="2" t="b">
        <f t="shared" si="289"/>
        <v>1</v>
      </c>
    </row>
    <row r="1844" spans="1:24" ht="10.5" customHeight="1">
      <c r="A1844" s="2" t="s">
        <v>2197</v>
      </c>
      <c r="B1844" s="3">
        <v>46011.286666666667</v>
      </c>
      <c r="C1844" s="2" t="s">
        <v>1877</v>
      </c>
      <c r="D1844" s="2" t="s">
        <v>229</v>
      </c>
      <c r="E1844" s="2" t="s">
        <v>35</v>
      </c>
      <c r="F1844" s="4">
        <v>13500</v>
      </c>
      <c r="G1844" s="5">
        <v>2.1</v>
      </c>
      <c r="H1844" s="6">
        <v>0</v>
      </c>
      <c r="I1844" s="7">
        <f t="shared" si="280"/>
        <v>28350</v>
      </c>
      <c r="J1844" s="7">
        <f t="shared" si="281"/>
        <v>0</v>
      </c>
      <c r="K1844" s="7">
        <f t="shared" si="282"/>
        <v>28350</v>
      </c>
      <c r="L1844" s="4">
        <v>28000</v>
      </c>
      <c r="M1844" s="7">
        <f t="shared" si="283"/>
        <v>56350</v>
      </c>
      <c r="N1844" s="2" t="s">
        <v>21</v>
      </c>
      <c r="O1844" t="s">
        <v>22</v>
      </c>
      <c r="P1844" s="2" t="s">
        <v>2366</v>
      </c>
      <c r="Q1844" s="2">
        <v>1</v>
      </c>
      <c r="R1844" s="2" t="s">
        <v>23</v>
      </c>
      <c r="S1844" s="2" t="str">
        <f t="shared" si="284"/>
        <v>Rendah</v>
      </c>
      <c r="T1844" s="2" t="str">
        <f t="shared" si="285"/>
        <v>FALSE</v>
      </c>
      <c r="U1844" s="2" t="str">
        <f t="shared" si="286"/>
        <v>FALSE</v>
      </c>
      <c r="V1844" s="2" t="b">
        <f t="shared" si="287"/>
        <v>0</v>
      </c>
      <c r="W1844" s="2" t="b">
        <f t="shared" si="288"/>
        <v>0</v>
      </c>
      <c r="X1844" s="2" t="b">
        <f t="shared" si="289"/>
        <v>0</v>
      </c>
    </row>
    <row r="1845" spans="1:24" ht="10.5" customHeight="1">
      <c r="A1845" s="2" t="s">
        <v>2198</v>
      </c>
      <c r="B1845" s="3">
        <v>46011.516828703701</v>
      </c>
      <c r="C1845" s="2" t="s">
        <v>145</v>
      </c>
      <c r="D1845" s="2" t="s">
        <v>84</v>
      </c>
      <c r="E1845" s="2" t="s">
        <v>57</v>
      </c>
      <c r="F1845" s="4">
        <v>17500</v>
      </c>
      <c r="G1845" s="5">
        <v>3.4</v>
      </c>
      <c r="H1845" s="6">
        <v>0</v>
      </c>
      <c r="I1845" s="7">
        <f t="shared" si="280"/>
        <v>59500</v>
      </c>
      <c r="J1845" s="7">
        <f t="shared" si="281"/>
        <v>0</v>
      </c>
      <c r="K1845" s="7">
        <f t="shared" si="282"/>
        <v>59500</v>
      </c>
      <c r="L1845" s="4">
        <v>30000</v>
      </c>
      <c r="M1845" s="7">
        <f t="shared" si="283"/>
        <v>89500</v>
      </c>
      <c r="N1845" s="2" t="s">
        <v>58</v>
      </c>
      <c r="O1845" t="s">
        <v>2107</v>
      </c>
      <c r="P1845" s="2" t="s">
        <v>2367</v>
      </c>
      <c r="Q1845" s="2">
        <v>5</v>
      </c>
      <c r="R1845" s="2" t="s">
        <v>23</v>
      </c>
      <c r="S1845" s="2" t="str">
        <f t="shared" si="284"/>
        <v>Rendah</v>
      </c>
      <c r="T1845" s="2" t="str">
        <f t="shared" si="285"/>
        <v>FALSE</v>
      </c>
      <c r="U1845" s="2" t="str">
        <f t="shared" si="286"/>
        <v>FALSE</v>
      </c>
      <c r="V1845" s="2" t="b">
        <f t="shared" si="287"/>
        <v>0</v>
      </c>
      <c r="W1845" s="2" t="b">
        <f t="shared" si="288"/>
        <v>1</v>
      </c>
      <c r="X1845" s="2" t="b">
        <f t="shared" si="289"/>
        <v>0</v>
      </c>
    </row>
    <row r="1846" spans="1:24" ht="10.5" customHeight="1">
      <c r="A1846" s="2" t="s">
        <v>2199</v>
      </c>
      <c r="B1846" s="3">
        <v>46012.444004629629</v>
      </c>
      <c r="C1846" s="2" t="s">
        <v>209</v>
      </c>
      <c r="D1846" s="2" t="s">
        <v>160</v>
      </c>
      <c r="E1846" s="2" t="s">
        <v>20</v>
      </c>
      <c r="F1846" s="4">
        <v>10000</v>
      </c>
      <c r="G1846" s="5">
        <v>1.7</v>
      </c>
      <c r="H1846" s="6">
        <v>0</v>
      </c>
      <c r="I1846" s="7">
        <f t="shared" si="280"/>
        <v>17000</v>
      </c>
      <c r="J1846" s="7">
        <f t="shared" si="281"/>
        <v>0</v>
      </c>
      <c r="K1846" s="7">
        <f t="shared" si="282"/>
        <v>17000</v>
      </c>
      <c r="L1846" s="4">
        <v>46000</v>
      </c>
      <c r="M1846" s="7">
        <f t="shared" si="283"/>
        <v>63000</v>
      </c>
      <c r="N1846" s="2" t="s">
        <v>21</v>
      </c>
      <c r="O1846" t="s">
        <v>22</v>
      </c>
      <c r="P1846" s="2" t="s">
        <v>2370</v>
      </c>
      <c r="Q1846" s="2">
        <v>5</v>
      </c>
      <c r="R1846" s="2" t="s">
        <v>23</v>
      </c>
      <c r="S1846" s="2" t="str">
        <f t="shared" si="284"/>
        <v>Rendah</v>
      </c>
      <c r="T1846" s="2" t="str">
        <f t="shared" si="285"/>
        <v>FALSE</v>
      </c>
      <c r="U1846" s="2" t="str">
        <f t="shared" si="286"/>
        <v>FALSE</v>
      </c>
      <c r="V1846" s="2" t="b">
        <f t="shared" si="287"/>
        <v>0</v>
      </c>
      <c r="W1846" s="2" t="b">
        <f t="shared" si="288"/>
        <v>0</v>
      </c>
      <c r="X1846" s="2" t="b">
        <f t="shared" si="289"/>
        <v>0</v>
      </c>
    </row>
    <row r="1847" spans="1:24" ht="10.5" customHeight="1">
      <c r="A1847" s="2" t="s">
        <v>2200</v>
      </c>
      <c r="B1847" s="3">
        <v>46013.498460648138</v>
      </c>
      <c r="C1847" s="2" t="s">
        <v>73</v>
      </c>
      <c r="D1847" s="2" t="s">
        <v>74</v>
      </c>
      <c r="E1847" s="2" t="s">
        <v>57</v>
      </c>
      <c r="F1847" s="4">
        <v>17500</v>
      </c>
      <c r="G1847" s="5">
        <v>2.7</v>
      </c>
      <c r="H1847" s="6">
        <v>0</v>
      </c>
      <c r="I1847" s="7">
        <f t="shared" si="280"/>
        <v>47250</v>
      </c>
      <c r="J1847" s="7">
        <f t="shared" si="281"/>
        <v>0</v>
      </c>
      <c r="K1847" s="7">
        <f t="shared" si="282"/>
        <v>47250</v>
      </c>
      <c r="L1847" s="4">
        <v>74000</v>
      </c>
      <c r="M1847" s="7">
        <f t="shared" si="283"/>
        <v>121250</v>
      </c>
      <c r="N1847" s="2" t="s">
        <v>21</v>
      </c>
      <c r="O1847" t="s">
        <v>2107</v>
      </c>
      <c r="P1847" s="2" t="s">
        <v>2370</v>
      </c>
      <c r="Q1847" s="2">
        <v>1</v>
      </c>
      <c r="R1847" s="2" t="s">
        <v>23</v>
      </c>
      <c r="S1847" s="2" t="str">
        <f t="shared" si="284"/>
        <v>Standar</v>
      </c>
      <c r="T1847" s="2" t="str">
        <f t="shared" si="285"/>
        <v>FALSE</v>
      </c>
      <c r="U1847" s="2" t="str">
        <f t="shared" si="286"/>
        <v>FALSE</v>
      </c>
      <c r="V1847" s="2" t="b">
        <f t="shared" si="287"/>
        <v>0</v>
      </c>
      <c r="W1847" s="2" t="b">
        <f t="shared" si="288"/>
        <v>0</v>
      </c>
      <c r="X1847" s="2" t="b">
        <f t="shared" si="289"/>
        <v>0</v>
      </c>
    </row>
    <row r="1848" spans="1:24" ht="10.5" customHeight="1">
      <c r="A1848" s="2" t="s">
        <v>2201</v>
      </c>
      <c r="B1848" s="3">
        <v>46013.789097222223</v>
      </c>
      <c r="C1848" s="2" t="s">
        <v>2202</v>
      </c>
      <c r="D1848" s="2" t="s">
        <v>118</v>
      </c>
      <c r="E1848" s="2" t="s">
        <v>65</v>
      </c>
      <c r="F1848" s="4">
        <v>46000</v>
      </c>
      <c r="G1848" s="5">
        <v>0.9</v>
      </c>
      <c r="H1848" s="6">
        <v>0</v>
      </c>
      <c r="I1848" s="7">
        <f t="shared" si="280"/>
        <v>41400</v>
      </c>
      <c r="J1848" s="7">
        <f t="shared" si="281"/>
        <v>0</v>
      </c>
      <c r="K1848" s="7">
        <f t="shared" si="282"/>
        <v>41400</v>
      </c>
      <c r="L1848" s="4">
        <v>84000</v>
      </c>
      <c r="M1848" s="7">
        <f t="shared" si="283"/>
        <v>125400</v>
      </c>
      <c r="N1848" s="2" t="s">
        <v>21</v>
      </c>
      <c r="O1848" t="s">
        <v>22</v>
      </c>
      <c r="P1848" s="2" t="s">
        <v>2370</v>
      </c>
      <c r="Q1848" s="2">
        <v>1</v>
      </c>
      <c r="R1848" s="2" t="s">
        <v>23</v>
      </c>
      <c r="S1848" s="2" t="str">
        <f t="shared" si="284"/>
        <v>Standar</v>
      </c>
      <c r="T1848" s="2" t="str">
        <f t="shared" si="285"/>
        <v>FALSE</v>
      </c>
      <c r="U1848" s="2" t="str">
        <f t="shared" si="286"/>
        <v>FALSE</v>
      </c>
      <c r="V1848" s="2" t="b">
        <f t="shared" si="287"/>
        <v>0</v>
      </c>
      <c r="W1848" s="2" t="b">
        <f t="shared" si="288"/>
        <v>0</v>
      </c>
      <c r="X1848" s="2" t="b">
        <f t="shared" si="289"/>
        <v>0</v>
      </c>
    </row>
    <row r="1849" spans="1:24" ht="10.5" customHeight="1">
      <c r="A1849" s="2" t="s">
        <v>2203</v>
      </c>
      <c r="B1849" s="3">
        <v>46013.798784722218</v>
      </c>
      <c r="C1849" s="2" t="s">
        <v>91</v>
      </c>
      <c r="D1849" s="2" t="s">
        <v>61</v>
      </c>
      <c r="E1849" s="2" t="s">
        <v>20</v>
      </c>
      <c r="F1849" s="4">
        <v>10000</v>
      </c>
      <c r="G1849" s="5">
        <v>0.8</v>
      </c>
      <c r="H1849" s="6">
        <v>0</v>
      </c>
      <c r="I1849" s="7">
        <f t="shared" si="280"/>
        <v>8000</v>
      </c>
      <c r="J1849" s="7">
        <f t="shared" si="281"/>
        <v>0</v>
      </c>
      <c r="K1849" s="7">
        <f t="shared" si="282"/>
        <v>8000</v>
      </c>
      <c r="L1849" s="4">
        <v>59000</v>
      </c>
      <c r="M1849" s="7">
        <f t="shared" si="283"/>
        <v>67000</v>
      </c>
      <c r="N1849" s="2" t="s">
        <v>33</v>
      </c>
      <c r="O1849" t="s">
        <v>2110</v>
      </c>
      <c r="P1849" s="2" t="s">
        <v>2365</v>
      </c>
      <c r="Q1849" s="2">
        <v>1</v>
      </c>
      <c r="R1849" s="2" t="s">
        <v>23</v>
      </c>
      <c r="S1849" s="2" t="str">
        <f t="shared" si="284"/>
        <v>Rendah</v>
      </c>
      <c r="T1849" s="2" t="str">
        <f t="shared" si="285"/>
        <v>FALSE</v>
      </c>
      <c r="U1849" s="2" t="str">
        <f t="shared" si="286"/>
        <v>FALSE</v>
      </c>
      <c r="V1849" s="2" t="b">
        <f t="shared" si="287"/>
        <v>0</v>
      </c>
      <c r="W1849" s="2" t="b">
        <f t="shared" si="288"/>
        <v>0</v>
      </c>
      <c r="X1849" s="2" t="b">
        <f t="shared" si="289"/>
        <v>0</v>
      </c>
    </row>
    <row r="1850" spans="1:24" ht="10.5" customHeight="1">
      <c r="A1850" s="2" t="s">
        <v>2204</v>
      </c>
      <c r="B1850" s="3">
        <v>46014.430196759262</v>
      </c>
      <c r="C1850" s="2" t="s">
        <v>313</v>
      </c>
      <c r="D1850" s="2" t="s">
        <v>94</v>
      </c>
      <c r="E1850" s="2" t="s">
        <v>32</v>
      </c>
      <c r="F1850" s="4">
        <v>20000</v>
      </c>
      <c r="G1850" s="5">
        <v>3.7</v>
      </c>
      <c r="H1850" s="6">
        <v>0</v>
      </c>
      <c r="I1850" s="7">
        <f t="shared" si="280"/>
        <v>74000</v>
      </c>
      <c r="J1850" s="7">
        <f t="shared" si="281"/>
        <v>0</v>
      </c>
      <c r="K1850" s="7">
        <f t="shared" si="282"/>
        <v>74000</v>
      </c>
      <c r="L1850" s="4">
        <v>85000</v>
      </c>
      <c r="M1850" s="7">
        <f t="shared" si="283"/>
        <v>159000</v>
      </c>
      <c r="N1850" s="2" t="s">
        <v>21</v>
      </c>
      <c r="O1850" t="s">
        <v>2107</v>
      </c>
      <c r="P1850" s="2" t="s">
        <v>2365</v>
      </c>
      <c r="Q1850" s="2">
        <v>2</v>
      </c>
      <c r="R1850" s="2" t="s">
        <v>23</v>
      </c>
      <c r="S1850" s="2" t="str">
        <f t="shared" si="284"/>
        <v>Tinggi</v>
      </c>
      <c r="T1850" s="2" t="str">
        <f t="shared" si="285"/>
        <v>FALSE</v>
      </c>
      <c r="U1850" s="2" t="str">
        <f t="shared" si="286"/>
        <v>TRUE</v>
      </c>
      <c r="V1850" s="2" t="b">
        <f t="shared" si="287"/>
        <v>0</v>
      </c>
      <c r="W1850" s="2" t="b">
        <f t="shared" si="288"/>
        <v>0</v>
      </c>
      <c r="X1850" s="2" t="b">
        <f t="shared" si="289"/>
        <v>0</v>
      </c>
    </row>
    <row r="1851" spans="1:24" ht="10.5" customHeight="1">
      <c r="A1851" s="2" t="s">
        <v>2205</v>
      </c>
      <c r="B1851" s="3">
        <v>46014.470185185193</v>
      </c>
      <c r="C1851" s="2" t="s">
        <v>1283</v>
      </c>
      <c r="D1851" s="2" t="s">
        <v>40</v>
      </c>
      <c r="E1851" s="2" t="s">
        <v>80</v>
      </c>
      <c r="F1851" s="4">
        <v>15000</v>
      </c>
      <c r="G1851" s="5">
        <v>1.2</v>
      </c>
      <c r="H1851" s="6">
        <v>0</v>
      </c>
      <c r="I1851" s="7">
        <f t="shared" si="280"/>
        <v>18000</v>
      </c>
      <c r="J1851" s="7">
        <f t="shared" si="281"/>
        <v>0</v>
      </c>
      <c r="K1851" s="7">
        <f t="shared" si="282"/>
        <v>18000</v>
      </c>
      <c r="L1851" s="4">
        <v>93000</v>
      </c>
      <c r="M1851" s="7">
        <f t="shared" si="283"/>
        <v>111000</v>
      </c>
      <c r="N1851" s="2" t="s">
        <v>28</v>
      </c>
      <c r="O1851" t="s">
        <v>22</v>
      </c>
      <c r="P1851" s="2" t="s">
        <v>2367</v>
      </c>
      <c r="Q1851" s="2">
        <v>5</v>
      </c>
      <c r="R1851" s="2" t="s">
        <v>23</v>
      </c>
      <c r="S1851" s="2" t="str">
        <f t="shared" si="284"/>
        <v>Standar</v>
      </c>
      <c r="T1851" s="2" t="str">
        <f t="shared" si="285"/>
        <v>FALSE</v>
      </c>
      <c r="U1851" s="2" t="str">
        <f t="shared" si="286"/>
        <v>FALSE</v>
      </c>
      <c r="V1851" s="2" t="b">
        <f t="shared" si="287"/>
        <v>0</v>
      </c>
      <c r="W1851" s="2" t="b">
        <f t="shared" si="288"/>
        <v>1</v>
      </c>
      <c r="X1851" s="2" t="b">
        <f t="shared" si="289"/>
        <v>0</v>
      </c>
    </row>
    <row r="1852" spans="1:24" ht="10.5" customHeight="1">
      <c r="A1852" s="2" t="s">
        <v>2206</v>
      </c>
      <c r="B1852" s="3">
        <v>46014.596886574072</v>
      </c>
      <c r="C1852" s="2" t="s">
        <v>473</v>
      </c>
      <c r="D1852" s="2" t="s">
        <v>160</v>
      </c>
      <c r="E1852" s="2" t="s">
        <v>75</v>
      </c>
      <c r="F1852" s="4">
        <v>45000</v>
      </c>
      <c r="G1852" s="5">
        <v>2</v>
      </c>
      <c r="H1852" s="6">
        <v>0</v>
      </c>
      <c r="I1852" s="7">
        <f t="shared" si="280"/>
        <v>90000</v>
      </c>
      <c r="J1852" s="7">
        <f t="shared" si="281"/>
        <v>0</v>
      </c>
      <c r="K1852" s="7">
        <f t="shared" si="282"/>
        <v>90000</v>
      </c>
      <c r="L1852" s="4">
        <v>46000</v>
      </c>
      <c r="M1852" s="7">
        <f t="shared" si="283"/>
        <v>136000</v>
      </c>
      <c r="N1852" s="2" t="s">
        <v>33</v>
      </c>
      <c r="O1852" t="s">
        <v>22</v>
      </c>
      <c r="P1852" s="2" t="s">
        <v>2366</v>
      </c>
      <c r="Q1852" s="2">
        <v>5</v>
      </c>
      <c r="R1852" s="2" t="s">
        <v>23</v>
      </c>
      <c r="S1852" s="2" t="str">
        <f t="shared" si="284"/>
        <v>Standar</v>
      </c>
      <c r="T1852" s="2" t="str">
        <f t="shared" si="285"/>
        <v>FALSE</v>
      </c>
      <c r="U1852" s="2" t="str">
        <f t="shared" si="286"/>
        <v>FALSE</v>
      </c>
      <c r="V1852" s="2" t="b">
        <f t="shared" si="287"/>
        <v>0</v>
      </c>
      <c r="W1852" s="2" t="b">
        <f t="shared" si="288"/>
        <v>0</v>
      </c>
      <c r="X1852" s="2" t="b">
        <f t="shared" si="289"/>
        <v>0</v>
      </c>
    </row>
    <row r="1853" spans="1:24" ht="10.5" customHeight="1">
      <c r="A1853" s="2" t="s">
        <v>2207</v>
      </c>
      <c r="B1853" s="3">
        <v>46014.64130787037</v>
      </c>
      <c r="C1853" s="2" t="s">
        <v>719</v>
      </c>
      <c r="D1853" s="2" t="s">
        <v>68</v>
      </c>
      <c r="E1853" s="2" t="s">
        <v>20</v>
      </c>
      <c r="F1853" s="4">
        <v>10000</v>
      </c>
      <c r="G1853" s="5">
        <v>1.7</v>
      </c>
      <c r="H1853" s="6">
        <v>0</v>
      </c>
      <c r="I1853" s="7">
        <f t="shared" si="280"/>
        <v>17000</v>
      </c>
      <c r="J1853" s="7">
        <f t="shared" si="281"/>
        <v>0</v>
      </c>
      <c r="K1853" s="7">
        <f t="shared" si="282"/>
        <v>17000</v>
      </c>
      <c r="L1853" s="4">
        <v>87000</v>
      </c>
      <c r="M1853" s="7">
        <f t="shared" si="283"/>
        <v>104000</v>
      </c>
      <c r="N1853" s="2" t="s">
        <v>28</v>
      </c>
      <c r="O1853" t="s">
        <v>22</v>
      </c>
      <c r="P1853" s="2" t="s">
        <v>2368</v>
      </c>
      <c r="Q1853" s="2">
        <v>1</v>
      </c>
      <c r="R1853" s="2" t="s">
        <v>23</v>
      </c>
      <c r="S1853" s="2" t="str">
        <f t="shared" si="284"/>
        <v>Standar</v>
      </c>
      <c r="T1853" s="2" t="str">
        <f t="shared" si="285"/>
        <v>FALSE</v>
      </c>
      <c r="U1853" s="2" t="str">
        <f t="shared" si="286"/>
        <v>FALSE</v>
      </c>
      <c r="V1853" s="2" t="b">
        <f t="shared" si="287"/>
        <v>0</v>
      </c>
      <c r="W1853" s="2" t="b">
        <f t="shared" si="288"/>
        <v>0</v>
      </c>
      <c r="X1853" s="2" t="b">
        <f t="shared" si="289"/>
        <v>0</v>
      </c>
    </row>
    <row r="1854" spans="1:24" ht="10.5" customHeight="1">
      <c r="A1854" s="2" t="s">
        <v>2207</v>
      </c>
      <c r="B1854" s="3">
        <v>46014.64130787037</v>
      </c>
      <c r="C1854" s="2" t="s">
        <v>719</v>
      </c>
      <c r="D1854" s="2" t="s">
        <v>68</v>
      </c>
      <c r="E1854" s="2" t="s">
        <v>190</v>
      </c>
      <c r="F1854" s="4">
        <v>15500</v>
      </c>
      <c r="G1854" s="5">
        <v>0.6</v>
      </c>
      <c r="H1854" s="6">
        <v>0</v>
      </c>
      <c r="I1854" s="7">
        <f t="shared" si="280"/>
        <v>9300</v>
      </c>
      <c r="J1854" s="7">
        <f t="shared" si="281"/>
        <v>0</v>
      </c>
      <c r="K1854" s="7">
        <f t="shared" si="282"/>
        <v>9300</v>
      </c>
      <c r="L1854" s="4">
        <v>0</v>
      </c>
      <c r="M1854" s="7">
        <f t="shared" si="283"/>
        <v>9300</v>
      </c>
      <c r="N1854" s="2" t="s">
        <v>28</v>
      </c>
      <c r="O1854" t="s">
        <v>22</v>
      </c>
      <c r="P1854" s="2" t="s">
        <v>2368</v>
      </c>
      <c r="Q1854" s="2">
        <v>1</v>
      </c>
      <c r="R1854" s="2" t="s">
        <v>23</v>
      </c>
      <c r="S1854" s="2" t="str">
        <f t="shared" si="284"/>
        <v>Sangat Rendah</v>
      </c>
      <c r="T1854" s="2" t="str">
        <f t="shared" si="285"/>
        <v>FALSE</v>
      </c>
      <c r="U1854" s="2" t="str">
        <f t="shared" si="286"/>
        <v>FALSE</v>
      </c>
      <c r="V1854" s="2" t="b">
        <f t="shared" si="287"/>
        <v>0</v>
      </c>
      <c r="W1854" s="2" t="b">
        <f t="shared" si="288"/>
        <v>0</v>
      </c>
      <c r="X1854" s="2" t="b">
        <f t="shared" si="289"/>
        <v>1</v>
      </c>
    </row>
    <row r="1855" spans="1:24" ht="10.5" customHeight="1">
      <c r="A1855" s="2" t="s">
        <v>2208</v>
      </c>
      <c r="B1855" s="3">
        <v>46014.783634259264</v>
      </c>
      <c r="C1855" s="2" t="s">
        <v>175</v>
      </c>
      <c r="D1855" s="2" t="s">
        <v>94</v>
      </c>
      <c r="E1855" s="2" t="s">
        <v>95</v>
      </c>
      <c r="F1855" s="4">
        <v>9500</v>
      </c>
      <c r="G1855" s="5">
        <v>1.9</v>
      </c>
      <c r="H1855" s="6">
        <v>0</v>
      </c>
      <c r="I1855" s="7">
        <f t="shared" si="280"/>
        <v>18050</v>
      </c>
      <c r="J1855" s="7">
        <f t="shared" si="281"/>
        <v>0</v>
      </c>
      <c r="K1855" s="7">
        <f t="shared" si="282"/>
        <v>18050</v>
      </c>
      <c r="L1855" s="4">
        <v>85000</v>
      </c>
      <c r="M1855" s="7">
        <f t="shared" si="283"/>
        <v>103050</v>
      </c>
      <c r="N1855" s="2" t="s">
        <v>58</v>
      </c>
      <c r="O1855" t="s">
        <v>22</v>
      </c>
      <c r="P1855" s="2" t="s">
        <v>2365</v>
      </c>
      <c r="Q1855" s="2">
        <v>3</v>
      </c>
      <c r="R1855" s="2" t="s">
        <v>23</v>
      </c>
      <c r="S1855" s="2" t="str">
        <f t="shared" si="284"/>
        <v>Standar</v>
      </c>
      <c r="T1855" s="2" t="str">
        <f t="shared" si="285"/>
        <v>FALSE</v>
      </c>
      <c r="U1855" s="2" t="str">
        <f t="shared" si="286"/>
        <v>FALSE</v>
      </c>
      <c r="V1855" s="2" t="b">
        <f t="shared" si="287"/>
        <v>0</v>
      </c>
      <c r="W1855" s="2" t="b">
        <f t="shared" si="288"/>
        <v>0</v>
      </c>
      <c r="X1855" s="2" t="b">
        <f t="shared" si="289"/>
        <v>0</v>
      </c>
    </row>
    <row r="1856" spans="1:24" ht="10.5" customHeight="1">
      <c r="A1856" s="2" t="s">
        <v>2209</v>
      </c>
      <c r="B1856" s="3">
        <v>46015.44158564815</v>
      </c>
      <c r="C1856" s="2" t="s">
        <v>1969</v>
      </c>
      <c r="D1856" s="2" t="s">
        <v>94</v>
      </c>
      <c r="E1856" s="2" t="s">
        <v>35</v>
      </c>
      <c r="F1856" s="4">
        <v>13500</v>
      </c>
      <c r="G1856" s="5">
        <v>2.6</v>
      </c>
      <c r="H1856" s="6">
        <v>0</v>
      </c>
      <c r="I1856" s="7">
        <f t="shared" si="280"/>
        <v>35100</v>
      </c>
      <c r="J1856" s="7">
        <f t="shared" si="281"/>
        <v>0</v>
      </c>
      <c r="K1856" s="7">
        <f t="shared" si="282"/>
        <v>35100</v>
      </c>
      <c r="L1856" s="4">
        <v>85000</v>
      </c>
      <c r="M1856" s="7">
        <f t="shared" si="283"/>
        <v>120100</v>
      </c>
      <c r="N1856" s="2" t="s">
        <v>28</v>
      </c>
      <c r="O1856" t="s">
        <v>2110</v>
      </c>
      <c r="P1856" s="2" t="s">
        <v>2370</v>
      </c>
      <c r="Q1856" s="2">
        <v>5</v>
      </c>
      <c r="R1856" s="2" t="s">
        <v>23</v>
      </c>
      <c r="S1856" s="2" t="str">
        <f t="shared" si="284"/>
        <v>Standar</v>
      </c>
      <c r="T1856" s="2" t="str">
        <f t="shared" si="285"/>
        <v>FALSE</v>
      </c>
      <c r="U1856" s="2" t="str">
        <f t="shared" si="286"/>
        <v>FALSE</v>
      </c>
      <c r="V1856" s="2" t="b">
        <f t="shared" si="287"/>
        <v>0</v>
      </c>
      <c r="W1856" s="2" t="b">
        <f t="shared" si="288"/>
        <v>0</v>
      </c>
      <c r="X1856" s="2" t="b">
        <f t="shared" si="289"/>
        <v>0</v>
      </c>
    </row>
    <row r="1857" spans="1:24" ht="10.5" customHeight="1">
      <c r="A1857" s="2" t="s">
        <v>2210</v>
      </c>
      <c r="B1857" s="3">
        <v>46016.010497685187</v>
      </c>
      <c r="C1857" s="2" t="s">
        <v>908</v>
      </c>
      <c r="D1857" s="2" t="s">
        <v>286</v>
      </c>
      <c r="E1857" s="2" t="s">
        <v>182</v>
      </c>
      <c r="F1857" s="4">
        <v>11000</v>
      </c>
      <c r="G1857" s="5">
        <v>0.8</v>
      </c>
      <c r="H1857" s="6">
        <v>5</v>
      </c>
      <c r="I1857" s="7">
        <f t="shared" si="280"/>
        <v>8800</v>
      </c>
      <c r="J1857" s="7">
        <f t="shared" si="281"/>
        <v>440</v>
      </c>
      <c r="K1857" s="7">
        <f t="shared" si="282"/>
        <v>8360</v>
      </c>
      <c r="L1857" s="4">
        <v>79000</v>
      </c>
      <c r="M1857" s="7">
        <f t="shared" si="283"/>
        <v>87360</v>
      </c>
      <c r="N1857" s="2" t="s">
        <v>21</v>
      </c>
      <c r="O1857" t="s">
        <v>22</v>
      </c>
      <c r="P1857" s="2" t="s">
        <v>2366</v>
      </c>
      <c r="Q1857" s="2">
        <v>4</v>
      </c>
      <c r="R1857" s="2" t="s">
        <v>23</v>
      </c>
      <c r="S1857" s="2" t="str">
        <f t="shared" si="284"/>
        <v>Rendah</v>
      </c>
      <c r="T1857" s="2" t="str">
        <f t="shared" si="285"/>
        <v>FALSE</v>
      </c>
      <c r="U1857" s="2" t="str">
        <f t="shared" si="286"/>
        <v>FALSE</v>
      </c>
      <c r="V1857" s="2" t="b">
        <f t="shared" si="287"/>
        <v>0</v>
      </c>
      <c r="W1857" s="2" t="b">
        <f t="shared" si="288"/>
        <v>0</v>
      </c>
      <c r="X1857" s="2" t="b">
        <f t="shared" si="289"/>
        <v>0</v>
      </c>
    </row>
    <row r="1858" spans="1:24" ht="10.5" customHeight="1">
      <c r="A1858" s="2" t="s">
        <v>2211</v>
      </c>
      <c r="B1858" s="3">
        <v>46016.04859953704</v>
      </c>
      <c r="C1858" s="2" t="s">
        <v>120</v>
      </c>
      <c r="D1858" s="2" t="s">
        <v>94</v>
      </c>
      <c r="E1858" s="2" t="s">
        <v>170</v>
      </c>
      <c r="F1858" s="4">
        <v>12000</v>
      </c>
      <c r="G1858" s="5">
        <v>1.4</v>
      </c>
      <c r="H1858" s="6">
        <v>5</v>
      </c>
      <c r="I1858" s="7">
        <f t="shared" si="280"/>
        <v>16800</v>
      </c>
      <c r="J1858" s="7">
        <f t="shared" si="281"/>
        <v>840</v>
      </c>
      <c r="K1858" s="7">
        <f t="shared" si="282"/>
        <v>15960</v>
      </c>
      <c r="L1858" s="4">
        <v>85000</v>
      </c>
      <c r="M1858" s="7">
        <f t="shared" si="283"/>
        <v>100960</v>
      </c>
      <c r="N1858" s="2" t="s">
        <v>28</v>
      </c>
      <c r="O1858" t="s">
        <v>22</v>
      </c>
      <c r="P1858" s="2" t="s">
        <v>2365</v>
      </c>
      <c r="Q1858" s="2">
        <v>4</v>
      </c>
      <c r="R1858" s="2" t="s">
        <v>34</v>
      </c>
      <c r="S1858" s="2" t="str">
        <f t="shared" si="284"/>
        <v>Standar</v>
      </c>
      <c r="T1858" s="2" t="str">
        <f t="shared" si="285"/>
        <v>FALSE</v>
      </c>
      <c r="U1858" s="2" t="str">
        <f t="shared" si="286"/>
        <v>FALSE</v>
      </c>
      <c r="V1858" s="2" t="b">
        <f t="shared" si="287"/>
        <v>0</v>
      </c>
      <c r="W1858" s="2" t="b">
        <f t="shared" si="288"/>
        <v>0</v>
      </c>
      <c r="X1858" s="2" t="b">
        <f t="shared" si="289"/>
        <v>0</v>
      </c>
    </row>
    <row r="1859" spans="1:24" ht="10.5" customHeight="1">
      <c r="A1859" s="2" t="s">
        <v>2211</v>
      </c>
      <c r="B1859" s="3">
        <v>46016.04859953704</v>
      </c>
      <c r="C1859" s="2" t="s">
        <v>120</v>
      </c>
      <c r="D1859" s="2" t="s">
        <v>94</v>
      </c>
      <c r="E1859" s="2" t="s">
        <v>182</v>
      </c>
      <c r="F1859" s="4">
        <v>11000</v>
      </c>
      <c r="G1859" s="5">
        <v>1.7</v>
      </c>
      <c r="H1859" s="6">
        <v>5</v>
      </c>
      <c r="I1859" s="7">
        <f t="shared" si="280"/>
        <v>18700</v>
      </c>
      <c r="J1859" s="7">
        <f t="shared" si="281"/>
        <v>935</v>
      </c>
      <c r="K1859" s="7">
        <f t="shared" si="282"/>
        <v>17765</v>
      </c>
      <c r="L1859" s="4">
        <v>0</v>
      </c>
      <c r="M1859" s="7">
        <f t="shared" si="283"/>
        <v>17765</v>
      </c>
      <c r="N1859" s="2" t="s">
        <v>28</v>
      </c>
      <c r="O1859" t="s">
        <v>22</v>
      </c>
      <c r="P1859" s="2" t="s">
        <v>2365</v>
      </c>
      <c r="Q1859" s="2">
        <v>4</v>
      </c>
      <c r="R1859" s="2" t="s">
        <v>34</v>
      </c>
      <c r="S1859" s="2" t="str">
        <f t="shared" si="284"/>
        <v>Sangat Rendah</v>
      </c>
      <c r="T1859" s="2" t="str">
        <f t="shared" si="285"/>
        <v>FALSE</v>
      </c>
      <c r="U1859" s="2" t="str">
        <f t="shared" si="286"/>
        <v>FALSE</v>
      </c>
      <c r="V1859" s="2" t="b">
        <f t="shared" si="287"/>
        <v>0</v>
      </c>
      <c r="W1859" s="2" t="b">
        <f t="shared" si="288"/>
        <v>0</v>
      </c>
      <c r="X1859" s="2" t="b">
        <f t="shared" si="289"/>
        <v>0</v>
      </c>
    </row>
    <row r="1860" spans="1:24" ht="10.5" customHeight="1">
      <c r="A1860" s="2" t="s">
        <v>2212</v>
      </c>
      <c r="B1860" s="3">
        <v>46016.063657407409</v>
      </c>
      <c r="C1860" s="2" t="s">
        <v>527</v>
      </c>
      <c r="D1860" s="2" t="s">
        <v>52</v>
      </c>
      <c r="E1860" s="2" t="s">
        <v>49</v>
      </c>
      <c r="F1860" s="4">
        <v>26000</v>
      </c>
      <c r="G1860" s="5">
        <v>0.7</v>
      </c>
      <c r="H1860" s="6">
        <v>5</v>
      </c>
      <c r="I1860" s="7">
        <f t="shared" ref="I1860:I1923" si="290">F1860*G1860</f>
        <v>18200</v>
      </c>
      <c r="J1860" s="7">
        <f t="shared" ref="J1860:J1923" si="291">I1860*(H1860/100)</f>
        <v>910</v>
      </c>
      <c r="K1860" s="7">
        <f t="shared" ref="K1860:K1923" si="292">I1860-J1860</f>
        <v>17290</v>
      </c>
      <c r="L1860" s="4">
        <v>80000</v>
      </c>
      <c r="M1860" s="7">
        <f t="shared" ref="M1860:M1923" si="293">K1860+L1860</f>
        <v>97290</v>
      </c>
      <c r="N1860" s="2" t="s">
        <v>33</v>
      </c>
      <c r="O1860" t="s">
        <v>115</v>
      </c>
      <c r="P1860" s="2" t="s">
        <v>2366</v>
      </c>
      <c r="Q1860" s="2">
        <v>2</v>
      </c>
      <c r="R1860" s="2" t="s">
        <v>34</v>
      </c>
      <c r="S1860" s="2" t="str">
        <f t="shared" ref="S1860:S1923" si="294">IF(M1860&lt;=50000,"Sangat Rendah",IF(M1860&lt;=100000,"Rendah",IF(M1860&lt;=150000,"Standar",IF(M1860&lt;=200000,"Tinggi","Sangat Tinggi"))))</f>
        <v>Rendah</v>
      </c>
      <c r="T1860" s="2" t="str">
        <f t="shared" ref="T1860:T1923" si="295">IF(AND(S1860="Rendah",D1860="Yogyakarta"),"TRUE","FALSE")</f>
        <v>FALSE</v>
      </c>
      <c r="U1860" s="2" t="str">
        <f t="shared" ref="U1860:U1923" si="296">IF(OR(S1860="Tinggi",E1860="Bayam"),"TRUE","FALSE")</f>
        <v>FALSE</v>
      </c>
      <c r="V1860" s="2" t="b">
        <f t="shared" ref="V1860:V1923" si="297">IF(AND(S1860="Standar",N1860="Transef Bank"),TRUE,FALSE)</f>
        <v>0</v>
      </c>
      <c r="W1860" s="2" t="b">
        <f t="shared" ref="W1860:W1923" si="298">IF(OR(S1860="Sangat Tinggi",P1860="FoodMart"),TRUE,FALSE)</f>
        <v>0</v>
      </c>
      <c r="X1860" s="2" t="b">
        <f t="shared" ref="X1860:X1923" si="299">IF(AND(S1860="Sangat Rendah",R1860="Perempuan"),TRUE,FALSE)</f>
        <v>0</v>
      </c>
    </row>
    <row r="1861" spans="1:24" ht="10.5" customHeight="1">
      <c r="A1861" s="2" t="s">
        <v>2213</v>
      </c>
      <c r="B1861" s="3">
        <v>46016.082337962973</v>
      </c>
      <c r="C1861" s="2" t="s">
        <v>454</v>
      </c>
      <c r="D1861" s="2" t="s">
        <v>286</v>
      </c>
      <c r="E1861" s="2" t="s">
        <v>20</v>
      </c>
      <c r="F1861" s="4">
        <v>10000</v>
      </c>
      <c r="G1861" s="5">
        <v>1.1000000000000001</v>
      </c>
      <c r="H1861" s="6">
        <v>5</v>
      </c>
      <c r="I1861" s="7">
        <f t="shared" si="290"/>
        <v>11000</v>
      </c>
      <c r="J1861" s="7">
        <f t="shared" si="291"/>
        <v>550</v>
      </c>
      <c r="K1861" s="7">
        <f t="shared" si="292"/>
        <v>10450</v>
      </c>
      <c r="L1861" s="4">
        <v>79000</v>
      </c>
      <c r="M1861" s="7">
        <f t="shared" si="293"/>
        <v>89450</v>
      </c>
      <c r="N1861" s="2" t="s">
        <v>58</v>
      </c>
      <c r="O1861" t="s">
        <v>22</v>
      </c>
      <c r="P1861" s="2" t="s">
        <v>2370</v>
      </c>
      <c r="Q1861" s="2">
        <v>3</v>
      </c>
      <c r="R1861" s="2" t="s">
        <v>34</v>
      </c>
      <c r="S1861" s="2" t="str">
        <f t="shared" si="294"/>
        <v>Rendah</v>
      </c>
      <c r="T1861" s="2" t="str">
        <f t="shared" si="295"/>
        <v>FALSE</v>
      </c>
      <c r="U1861" s="2" t="str">
        <f t="shared" si="296"/>
        <v>FALSE</v>
      </c>
      <c r="V1861" s="2" t="b">
        <f t="shared" si="297"/>
        <v>0</v>
      </c>
      <c r="W1861" s="2" t="b">
        <f t="shared" si="298"/>
        <v>0</v>
      </c>
      <c r="X1861" s="2" t="b">
        <f t="shared" si="299"/>
        <v>0</v>
      </c>
    </row>
    <row r="1862" spans="1:24" ht="10.5" customHeight="1">
      <c r="A1862" s="2" t="s">
        <v>2214</v>
      </c>
      <c r="B1862" s="3">
        <v>46016.101631944453</v>
      </c>
      <c r="C1862" s="2" t="s">
        <v>355</v>
      </c>
      <c r="D1862" s="2" t="s">
        <v>56</v>
      </c>
      <c r="E1862" s="2" t="s">
        <v>75</v>
      </c>
      <c r="F1862" s="4">
        <v>45000</v>
      </c>
      <c r="G1862" s="5">
        <v>1.6</v>
      </c>
      <c r="H1862" s="6">
        <v>5</v>
      </c>
      <c r="I1862" s="7">
        <f t="shared" si="290"/>
        <v>72000</v>
      </c>
      <c r="J1862" s="7">
        <f t="shared" si="291"/>
        <v>3600</v>
      </c>
      <c r="K1862" s="7">
        <f t="shared" si="292"/>
        <v>68400</v>
      </c>
      <c r="L1862" s="4">
        <v>26000</v>
      </c>
      <c r="M1862" s="7">
        <f t="shared" si="293"/>
        <v>94400</v>
      </c>
      <c r="N1862" s="2" t="s">
        <v>21</v>
      </c>
      <c r="O1862" t="s">
        <v>2110</v>
      </c>
      <c r="P1862" s="2" t="s">
        <v>2367</v>
      </c>
      <c r="Q1862" s="2">
        <v>2</v>
      </c>
      <c r="R1862" s="2" t="s">
        <v>23</v>
      </c>
      <c r="S1862" s="2" t="str">
        <f t="shared" si="294"/>
        <v>Rendah</v>
      </c>
      <c r="T1862" s="2" t="str">
        <f t="shared" si="295"/>
        <v>FALSE</v>
      </c>
      <c r="U1862" s="2" t="str">
        <f t="shared" si="296"/>
        <v>FALSE</v>
      </c>
      <c r="V1862" s="2" t="b">
        <f t="shared" si="297"/>
        <v>0</v>
      </c>
      <c r="W1862" s="2" t="b">
        <f t="shared" si="298"/>
        <v>1</v>
      </c>
      <c r="X1862" s="2" t="b">
        <f t="shared" si="299"/>
        <v>0</v>
      </c>
    </row>
    <row r="1863" spans="1:24" ht="10.5" customHeight="1">
      <c r="A1863" s="2" t="s">
        <v>2215</v>
      </c>
      <c r="B1863" s="3">
        <v>46016.102384259262</v>
      </c>
      <c r="C1863" s="2" t="s">
        <v>244</v>
      </c>
      <c r="D1863" s="2" t="s">
        <v>56</v>
      </c>
      <c r="E1863" s="2" t="s">
        <v>190</v>
      </c>
      <c r="F1863" s="4">
        <v>15500</v>
      </c>
      <c r="G1863" s="5">
        <v>0.3</v>
      </c>
      <c r="H1863" s="6">
        <v>5</v>
      </c>
      <c r="I1863" s="7">
        <f t="shared" si="290"/>
        <v>4650</v>
      </c>
      <c r="J1863" s="7">
        <f t="shared" si="291"/>
        <v>232.5</v>
      </c>
      <c r="K1863" s="7">
        <f t="shared" si="292"/>
        <v>4417.5</v>
      </c>
      <c r="L1863" s="4">
        <v>26000</v>
      </c>
      <c r="M1863" s="7">
        <f t="shared" si="293"/>
        <v>30417.5</v>
      </c>
      <c r="N1863" s="2" t="s">
        <v>28</v>
      </c>
      <c r="O1863" t="s">
        <v>22</v>
      </c>
      <c r="P1863" s="2" t="s">
        <v>2366</v>
      </c>
      <c r="Q1863" s="2">
        <v>2</v>
      </c>
      <c r="R1863" s="2" t="s">
        <v>23</v>
      </c>
      <c r="S1863" s="2" t="str">
        <f t="shared" si="294"/>
        <v>Sangat Rendah</v>
      </c>
      <c r="T1863" s="2" t="str">
        <f t="shared" si="295"/>
        <v>FALSE</v>
      </c>
      <c r="U1863" s="2" t="str">
        <f t="shared" si="296"/>
        <v>FALSE</v>
      </c>
      <c r="V1863" s="2" t="b">
        <f t="shared" si="297"/>
        <v>0</v>
      </c>
      <c r="W1863" s="2" t="b">
        <f t="shared" si="298"/>
        <v>0</v>
      </c>
      <c r="X1863" s="2" t="b">
        <f t="shared" si="299"/>
        <v>1</v>
      </c>
    </row>
    <row r="1864" spans="1:24" ht="10.5" customHeight="1">
      <c r="A1864" s="2" t="s">
        <v>2216</v>
      </c>
      <c r="B1864" s="3">
        <v>46016.124699074076</v>
      </c>
      <c r="C1864" s="2" t="s">
        <v>1614</v>
      </c>
      <c r="D1864" s="2" t="s">
        <v>31</v>
      </c>
      <c r="E1864" s="2" t="s">
        <v>95</v>
      </c>
      <c r="F1864" s="4">
        <v>9500</v>
      </c>
      <c r="G1864" s="5">
        <v>1.6</v>
      </c>
      <c r="H1864" s="6">
        <v>5</v>
      </c>
      <c r="I1864" s="7">
        <f t="shared" si="290"/>
        <v>15200</v>
      </c>
      <c r="J1864" s="7">
        <f t="shared" si="291"/>
        <v>760</v>
      </c>
      <c r="K1864" s="7">
        <f t="shared" si="292"/>
        <v>14440</v>
      </c>
      <c r="L1864" s="4">
        <v>76000</v>
      </c>
      <c r="M1864" s="7">
        <f t="shared" si="293"/>
        <v>90440</v>
      </c>
      <c r="N1864" s="2" t="s">
        <v>58</v>
      </c>
      <c r="O1864" t="s">
        <v>22</v>
      </c>
      <c r="P1864" s="2" t="s">
        <v>2368</v>
      </c>
      <c r="Q1864" s="2">
        <v>2</v>
      </c>
      <c r="R1864" s="2" t="s">
        <v>23</v>
      </c>
      <c r="S1864" s="2" t="str">
        <f t="shared" si="294"/>
        <v>Rendah</v>
      </c>
      <c r="T1864" s="2" t="str">
        <f t="shared" si="295"/>
        <v>FALSE</v>
      </c>
      <c r="U1864" s="2" t="str">
        <f t="shared" si="296"/>
        <v>FALSE</v>
      </c>
      <c r="V1864" s="2" t="b">
        <f t="shared" si="297"/>
        <v>0</v>
      </c>
      <c r="W1864" s="2" t="b">
        <f t="shared" si="298"/>
        <v>0</v>
      </c>
      <c r="X1864" s="2" t="b">
        <f t="shared" si="299"/>
        <v>0</v>
      </c>
    </row>
    <row r="1865" spans="1:24" ht="10.5" customHeight="1">
      <c r="A1865" s="2" t="s">
        <v>2217</v>
      </c>
      <c r="B1865" s="3">
        <v>46016.285787037043</v>
      </c>
      <c r="C1865" s="2" t="s">
        <v>67</v>
      </c>
      <c r="D1865" s="2" t="s">
        <v>68</v>
      </c>
      <c r="E1865" s="2" t="s">
        <v>45</v>
      </c>
      <c r="F1865" s="4">
        <v>10500</v>
      </c>
      <c r="G1865" s="5">
        <v>1.7</v>
      </c>
      <c r="H1865" s="6">
        <v>5</v>
      </c>
      <c r="I1865" s="7">
        <f t="shared" si="290"/>
        <v>17850</v>
      </c>
      <c r="J1865" s="7">
        <f t="shared" si="291"/>
        <v>892.5</v>
      </c>
      <c r="K1865" s="7">
        <f t="shared" si="292"/>
        <v>16957.5</v>
      </c>
      <c r="L1865" s="4">
        <v>87000</v>
      </c>
      <c r="M1865" s="7">
        <f t="shared" si="293"/>
        <v>103957.5</v>
      </c>
      <c r="N1865" s="2" t="s">
        <v>58</v>
      </c>
      <c r="O1865" t="s">
        <v>2110</v>
      </c>
      <c r="P1865" s="2" t="s">
        <v>2366</v>
      </c>
      <c r="Q1865" s="2">
        <v>5</v>
      </c>
      <c r="R1865" s="2" t="s">
        <v>23</v>
      </c>
      <c r="S1865" s="2" t="str">
        <f t="shared" si="294"/>
        <v>Standar</v>
      </c>
      <c r="T1865" s="2" t="str">
        <f t="shared" si="295"/>
        <v>FALSE</v>
      </c>
      <c r="U1865" s="2" t="str">
        <f t="shared" si="296"/>
        <v>FALSE</v>
      </c>
      <c r="V1865" s="2" t="b">
        <f t="shared" si="297"/>
        <v>0</v>
      </c>
      <c r="W1865" s="2" t="b">
        <f t="shared" si="298"/>
        <v>0</v>
      </c>
      <c r="X1865" s="2" t="b">
        <f t="shared" si="299"/>
        <v>0</v>
      </c>
    </row>
    <row r="1866" spans="1:24" ht="10.5" customHeight="1">
      <c r="A1866" s="2" t="s">
        <v>2218</v>
      </c>
      <c r="B1866" s="3">
        <v>46016.328622685192</v>
      </c>
      <c r="C1866" s="2" t="s">
        <v>323</v>
      </c>
      <c r="D1866" s="2" t="s">
        <v>98</v>
      </c>
      <c r="E1866" s="2" t="s">
        <v>20</v>
      </c>
      <c r="F1866" s="4">
        <v>10000</v>
      </c>
      <c r="G1866" s="5">
        <v>1.7</v>
      </c>
      <c r="H1866" s="6">
        <v>5</v>
      </c>
      <c r="I1866" s="7">
        <f t="shared" si="290"/>
        <v>17000</v>
      </c>
      <c r="J1866" s="7">
        <f t="shared" si="291"/>
        <v>850</v>
      </c>
      <c r="K1866" s="7">
        <f t="shared" si="292"/>
        <v>16150</v>
      </c>
      <c r="L1866" s="4">
        <v>97000</v>
      </c>
      <c r="M1866" s="7">
        <f t="shared" si="293"/>
        <v>113150</v>
      </c>
      <c r="N1866" s="2" t="s">
        <v>28</v>
      </c>
      <c r="O1866" t="s">
        <v>2107</v>
      </c>
      <c r="P1866" s="2" t="s">
        <v>2366</v>
      </c>
      <c r="Q1866" s="2">
        <v>4</v>
      </c>
      <c r="R1866" s="2" t="s">
        <v>34</v>
      </c>
      <c r="S1866" s="2" t="str">
        <f t="shared" si="294"/>
        <v>Standar</v>
      </c>
      <c r="T1866" s="2" t="str">
        <f t="shared" si="295"/>
        <v>FALSE</v>
      </c>
      <c r="U1866" s="2" t="str">
        <f t="shared" si="296"/>
        <v>FALSE</v>
      </c>
      <c r="V1866" s="2" t="b">
        <f t="shared" si="297"/>
        <v>0</v>
      </c>
      <c r="W1866" s="2" t="b">
        <f t="shared" si="298"/>
        <v>0</v>
      </c>
      <c r="X1866" s="2" t="b">
        <f t="shared" si="299"/>
        <v>0</v>
      </c>
    </row>
    <row r="1867" spans="1:24" ht="10.5" customHeight="1">
      <c r="A1867" s="2" t="s">
        <v>2219</v>
      </c>
      <c r="B1867" s="3">
        <v>46016.333449074067</v>
      </c>
      <c r="C1867" s="2" t="s">
        <v>1520</v>
      </c>
      <c r="D1867" s="2" t="s">
        <v>114</v>
      </c>
      <c r="E1867" s="2" t="s">
        <v>41</v>
      </c>
      <c r="F1867" s="4">
        <v>40000</v>
      </c>
      <c r="G1867" s="5">
        <v>1.4</v>
      </c>
      <c r="H1867" s="6">
        <v>5</v>
      </c>
      <c r="I1867" s="7">
        <f t="shared" si="290"/>
        <v>56000</v>
      </c>
      <c r="J1867" s="7">
        <f t="shared" si="291"/>
        <v>2800</v>
      </c>
      <c r="K1867" s="7">
        <f t="shared" si="292"/>
        <v>53200</v>
      </c>
      <c r="L1867" s="4">
        <v>78000</v>
      </c>
      <c r="M1867" s="7">
        <f t="shared" si="293"/>
        <v>131200</v>
      </c>
      <c r="N1867" s="2" t="s">
        <v>21</v>
      </c>
      <c r="O1867" t="s">
        <v>22</v>
      </c>
      <c r="P1867" s="2" t="s">
        <v>2367</v>
      </c>
      <c r="Q1867" s="2">
        <v>3</v>
      </c>
      <c r="R1867" s="2" t="s">
        <v>23</v>
      </c>
      <c r="S1867" s="2" t="str">
        <f t="shared" si="294"/>
        <v>Standar</v>
      </c>
      <c r="T1867" s="2" t="str">
        <f t="shared" si="295"/>
        <v>FALSE</v>
      </c>
      <c r="U1867" s="2" t="str">
        <f t="shared" si="296"/>
        <v>FALSE</v>
      </c>
      <c r="V1867" s="2" t="b">
        <f t="shared" si="297"/>
        <v>0</v>
      </c>
      <c r="W1867" s="2" t="b">
        <f t="shared" si="298"/>
        <v>1</v>
      </c>
      <c r="X1867" s="2" t="b">
        <f t="shared" si="299"/>
        <v>0</v>
      </c>
    </row>
    <row r="1868" spans="1:24" ht="10.5" customHeight="1">
      <c r="A1868" s="2" t="s">
        <v>2220</v>
      </c>
      <c r="B1868" s="3">
        <v>46016.363541666673</v>
      </c>
      <c r="C1868" s="2" t="s">
        <v>263</v>
      </c>
      <c r="D1868" s="2" t="s">
        <v>185</v>
      </c>
      <c r="E1868" s="2" t="s">
        <v>45</v>
      </c>
      <c r="F1868" s="4">
        <v>10500</v>
      </c>
      <c r="G1868" s="5">
        <v>3.7</v>
      </c>
      <c r="H1868" s="6">
        <v>5</v>
      </c>
      <c r="I1868" s="7">
        <f t="shared" si="290"/>
        <v>38850</v>
      </c>
      <c r="J1868" s="7">
        <f t="shared" si="291"/>
        <v>1942.5</v>
      </c>
      <c r="K1868" s="7">
        <f t="shared" si="292"/>
        <v>36907.5</v>
      </c>
      <c r="L1868" s="4">
        <v>87000</v>
      </c>
      <c r="M1868" s="7">
        <f t="shared" si="293"/>
        <v>123907.5</v>
      </c>
      <c r="N1868" s="2" t="s">
        <v>33</v>
      </c>
      <c r="O1868" t="s">
        <v>22</v>
      </c>
      <c r="P1868" s="2" t="s">
        <v>2366</v>
      </c>
      <c r="Q1868" s="2">
        <v>5</v>
      </c>
      <c r="R1868" s="2" t="s">
        <v>23</v>
      </c>
      <c r="S1868" s="2" t="str">
        <f t="shared" si="294"/>
        <v>Standar</v>
      </c>
      <c r="T1868" s="2" t="str">
        <f t="shared" si="295"/>
        <v>FALSE</v>
      </c>
      <c r="U1868" s="2" t="str">
        <f t="shared" si="296"/>
        <v>FALSE</v>
      </c>
      <c r="V1868" s="2" t="b">
        <f t="shared" si="297"/>
        <v>0</v>
      </c>
      <c r="W1868" s="2" t="b">
        <f t="shared" si="298"/>
        <v>0</v>
      </c>
      <c r="X1868" s="2" t="b">
        <f t="shared" si="299"/>
        <v>0</v>
      </c>
    </row>
    <row r="1869" spans="1:24" ht="10.5" customHeight="1">
      <c r="A1869" s="2" t="s">
        <v>2221</v>
      </c>
      <c r="B1869" s="3">
        <v>46016.390590277777</v>
      </c>
      <c r="C1869" s="2" t="s">
        <v>443</v>
      </c>
      <c r="D1869" s="2" t="s">
        <v>26</v>
      </c>
      <c r="E1869" s="2" t="s">
        <v>41</v>
      </c>
      <c r="F1869" s="4">
        <v>40000</v>
      </c>
      <c r="G1869" s="5">
        <v>0.9</v>
      </c>
      <c r="H1869" s="6">
        <v>5</v>
      </c>
      <c r="I1869" s="7">
        <f t="shared" si="290"/>
        <v>36000</v>
      </c>
      <c r="J1869" s="7">
        <f t="shared" si="291"/>
        <v>1800</v>
      </c>
      <c r="K1869" s="7">
        <f t="shared" si="292"/>
        <v>34200</v>
      </c>
      <c r="L1869" s="4">
        <v>17000</v>
      </c>
      <c r="M1869" s="7">
        <f t="shared" si="293"/>
        <v>51200</v>
      </c>
      <c r="N1869" s="2" t="s">
        <v>33</v>
      </c>
      <c r="O1869" t="s">
        <v>2107</v>
      </c>
      <c r="P1869" s="2" t="s">
        <v>2367</v>
      </c>
      <c r="Q1869" s="2">
        <v>1</v>
      </c>
      <c r="R1869" s="2" t="s">
        <v>34</v>
      </c>
      <c r="S1869" s="2" t="str">
        <f t="shared" si="294"/>
        <v>Rendah</v>
      </c>
      <c r="T1869" s="2" t="str">
        <f t="shared" si="295"/>
        <v>FALSE</v>
      </c>
      <c r="U1869" s="2" t="str">
        <f t="shared" si="296"/>
        <v>FALSE</v>
      </c>
      <c r="V1869" s="2" t="b">
        <f t="shared" si="297"/>
        <v>0</v>
      </c>
      <c r="W1869" s="2" t="b">
        <f t="shared" si="298"/>
        <v>1</v>
      </c>
      <c r="X1869" s="2" t="b">
        <f t="shared" si="299"/>
        <v>0</v>
      </c>
    </row>
    <row r="1870" spans="1:24" ht="10.5" customHeight="1">
      <c r="A1870" s="2" t="s">
        <v>2222</v>
      </c>
      <c r="B1870" s="3">
        <v>46016.394375000003</v>
      </c>
      <c r="C1870" s="2" t="s">
        <v>774</v>
      </c>
      <c r="D1870" s="2" t="s">
        <v>108</v>
      </c>
      <c r="E1870" s="2" t="s">
        <v>41</v>
      </c>
      <c r="F1870" s="4">
        <v>40000</v>
      </c>
      <c r="G1870" s="5">
        <v>0.2</v>
      </c>
      <c r="H1870" s="6">
        <v>5</v>
      </c>
      <c r="I1870" s="7">
        <f t="shared" si="290"/>
        <v>8000</v>
      </c>
      <c r="J1870" s="7">
        <f t="shared" si="291"/>
        <v>400</v>
      </c>
      <c r="K1870" s="7">
        <f t="shared" si="292"/>
        <v>7600</v>
      </c>
      <c r="L1870" s="4">
        <v>72000</v>
      </c>
      <c r="M1870" s="7">
        <f t="shared" si="293"/>
        <v>79600</v>
      </c>
      <c r="N1870" s="2" t="s">
        <v>28</v>
      </c>
      <c r="O1870" t="s">
        <v>2107</v>
      </c>
      <c r="P1870" s="2" t="s">
        <v>2370</v>
      </c>
      <c r="Q1870" s="2">
        <v>2</v>
      </c>
      <c r="R1870" s="2" t="s">
        <v>23</v>
      </c>
      <c r="S1870" s="2" t="str">
        <f t="shared" si="294"/>
        <v>Rendah</v>
      </c>
      <c r="T1870" s="2" t="str">
        <f t="shared" si="295"/>
        <v>FALSE</v>
      </c>
      <c r="U1870" s="2" t="str">
        <f t="shared" si="296"/>
        <v>FALSE</v>
      </c>
      <c r="V1870" s="2" t="b">
        <f t="shared" si="297"/>
        <v>0</v>
      </c>
      <c r="W1870" s="2" t="b">
        <f t="shared" si="298"/>
        <v>0</v>
      </c>
      <c r="X1870" s="2" t="b">
        <f t="shared" si="299"/>
        <v>0</v>
      </c>
    </row>
    <row r="1871" spans="1:24" ht="10.5" customHeight="1">
      <c r="A1871" s="2" t="s">
        <v>2223</v>
      </c>
      <c r="B1871" s="3">
        <v>46016.399247685193</v>
      </c>
      <c r="C1871" s="2" t="s">
        <v>625</v>
      </c>
      <c r="D1871" s="2" t="s">
        <v>94</v>
      </c>
      <c r="E1871" s="2" t="s">
        <v>57</v>
      </c>
      <c r="F1871" s="4">
        <v>17500</v>
      </c>
      <c r="G1871" s="5">
        <v>2.7</v>
      </c>
      <c r="H1871" s="6">
        <v>5</v>
      </c>
      <c r="I1871" s="7">
        <f t="shared" si="290"/>
        <v>47250</v>
      </c>
      <c r="J1871" s="7">
        <f t="shared" si="291"/>
        <v>2362.5</v>
      </c>
      <c r="K1871" s="7">
        <f t="shared" si="292"/>
        <v>44887.5</v>
      </c>
      <c r="L1871" s="4">
        <v>85000</v>
      </c>
      <c r="M1871" s="7">
        <f t="shared" si="293"/>
        <v>129887.5</v>
      </c>
      <c r="N1871" s="2" t="s">
        <v>28</v>
      </c>
      <c r="O1871" t="s">
        <v>2110</v>
      </c>
      <c r="P1871" s="2" t="s">
        <v>2366</v>
      </c>
      <c r="Q1871" s="2">
        <v>3</v>
      </c>
      <c r="R1871" s="2" t="s">
        <v>23</v>
      </c>
      <c r="S1871" s="2" t="str">
        <f t="shared" si="294"/>
        <v>Standar</v>
      </c>
      <c r="T1871" s="2" t="str">
        <f t="shared" si="295"/>
        <v>FALSE</v>
      </c>
      <c r="U1871" s="2" t="str">
        <f t="shared" si="296"/>
        <v>FALSE</v>
      </c>
      <c r="V1871" s="2" t="b">
        <f t="shared" si="297"/>
        <v>0</v>
      </c>
      <c r="W1871" s="2" t="b">
        <f t="shared" si="298"/>
        <v>0</v>
      </c>
      <c r="X1871" s="2" t="b">
        <f t="shared" si="299"/>
        <v>0</v>
      </c>
    </row>
    <row r="1872" spans="1:24" ht="10.5" customHeight="1">
      <c r="A1872" s="2" t="s">
        <v>2224</v>
      </c>
      <c r="B1872" s="3">
        <v>46016.402650462973</v>
      </c>
      <c r="C1872" s="2" t="s">
        <v>1112</v>
      </c>
      <c r="D1872" s="2" t="s">
        <v>31</v>
      </c>
      <c r="E1872" s="2" t="s">
        <v>80</v>
      </c>
      <c r="F1872" s="4">
        <v>15000</v>
      </c>
      <c r="G1872" s="5">
        <v>1.5</v>
      </c>
      <c r="H1872" s="6">
        <v>5</v>
      </c>
      <c r="I1872" s="7">
        <f t="shared" si="290"/>
        <v>22500</v>
      </c>
      <c r="J1872" s="7">
        <f t="shared" si="291"/>
        <v>1125</v>
      </c>
      <c r="K1872" s="7">
        <f t="shared" si="292"/>
        <v>21375</v>
      </c>
      <c r="L1872" s="4">
        <v>76000</v>
      </c>
      <c r="M1872" s="7">
        <f t="shared" si="293"/>
        <v>97375</v>
      </c>
      <c r="N1872" s="2" t="s">
        <v>33</v>
      </c>
      <c r="O1872" t="s">
        <v>115</v>
      </c>
      <c r="P1872" s="2" t="s">
        <v>2365</v>
      </c>
      <c r="Q1872" s="2">
        <v>5</v>
      </c>
      <c r="R1872" s="2" t="s">
        <v>23</v>
      </c>
      <c r="S1872" s="2" t="str">
        <f t="shared" si="294"/>
        <v>Rendah</v>
      </c>
      <c r="T1872" s="2" t="str">
        <f t="shared" si="295"/>
        <v>FALSE</v>
      </c>
      <c r="U1872" s="2" t="str">
        <f t="shared" si="296"/>
        <v>FALSE</v>
      </c>
      <c r="V1872" s="2" t="b">
        <f t="shared" si="297"/>
        <v>0</v>
      </c>
      <c r="W1872" s="2" t="b">
        <f t="shared" si="298"/>
        <v>0</v>
      </c>
      <c r="X1872" s="2" t="b">
        <f t="shared" si="299"/>
        <v>0</v>
      </c>
    </row>
    <row r="1873" spans="1:24" ht="10.5" customHeight="1">
      <c r="A1873" s="2" t="s">
        <v>2225</v>
      </c>
      <c r="B1873" s="3">
        <v>46016.453356481477</v>
      </c>
      <c r="C1873" s="2" t="s">
        <v>867</v>
      </c>
      <c r="D1873" s="2" t="s">
        <v>98</v>
      </c>
      <c r="E1873" s="2" t="s">
        <v>102</v>
      </c>
      <c r="F1873" s="4">
        <v>55000</v>
      </c>
      <c r="G1873" s="5">
        <v>0.7</v>
      </c>
      <c r="H1873" s="6">
        <v>5</v>
      </c>
      <c r="I1873" s="7">
        <f t="shared" si="290"/>
        <v>38500</v>
      </c>
      <c r="J1873" s="7">
        <f t="shared" si="291"/>
        <v>1925</v>
      </c>
      <c r="K1873" s="7">
        <f t="shared" si="292"/>
        <v>36575</v>
      </c>
      <c r="L1873" s="4">
        <v>97000</v>
      </c>
      <c r="M1873" s="7">
        <f t="shared" si="293"/>
        <v>133575</v>
      </c>
      <c r="N1873" s="2" t="s">
        <v>58</v>
      </c>
      <c r="O1873" t="s">
        <v>22</v>
      </c>
      <c r="P1873" s="2" t="s">
        <v>2366</v>
      </c>
      <c r="Q1873" s="2">
        <v>3</v>
      </c>
      <c r="R1873" s="2" t="s">
        <v>23</v>
      </c>
      <c r="S1873" s="2" t="str">
        <f t="shared" si="294"/>
        <v>Standar</v>
      </c>
      <c r="T1873" s="2" t="str">
        <f t="shared" si="295"/>
        <v>FALSE</v>
      </c>
      <c r="U1873" s="2" t="str">
        <f t="shared" si="296"/>
        <v>FALSE</v>
      </c>
      <c r="V1873" s="2" t="b">
        <f t="shared" si="297"/>
        <v>0</v>
      </c>
      <c r="W1873" s="2" t="b">
        <f t="shared" si="298"/>
        <v>0</v>
      </c>
      <c r="X1873" s="2" t="b">
        <f t="shared" si="299"/>
        <v>0</v>
      </c>
    </row>
    <row r="1874" spans="1:24" ht="10.5" customHeight="1">
      <c r="A1874" s="2" t="s">
        <v>2226</v>
      </c>
      <c r="B1874" s="3">
        <v>46016.467187499999</v>
      </c>
      <c r="C1874" s="2" t="s">
        <v>712</v>
      </c>
      <c r="D1874" s="2" t="s">
        <v>52</v>
      </c>
      <c r="E1874" s="2" t="s">
        <v>170</v>
      </c>
      <c r="F1874" s="4">
        <v>12000</v>
      </c>
      <c r="G1874" s="5">
        <v>1.4</v>
      </c>
      <c r="H1874" s="6">
        <v>5</v>
      </c>
      <c r="I1874" s="7">
        <f t="shared" si="290"/>
        <v>16800</v>
      </c>
      <c r="J1874" s="7">
        <f t="shared" si="291"/>
        <v>840</v>
      </c>
      <c r="K1874" s="7">
        <f t="shared" si="292"/>
        <v>15960</v>
      </c>
      <c r="L1874" s="4">
        <v>80000</v>
      </c>
      <c r="M1874" s="7">
        <f t="shared" si="293"/>
        <v>95960</v>
      </c>
      <c r="N1874" s="2" t="s">
        <v>33</v>
      </c>
      <c r="O1874" t="s">
        <v>2107</v>
      </c>
      <c r="P1874" s="2" t="s">
        <v>2366</v>
      </c>
      <c r="Q1874" s="2">
        <v>5</v>
      </c>
      <c r="R1874" s="2" t="s">
        <v>23</v>
      </c>
      <c r="S1874" s="2" t="str">
        <f t="shared" si="294"/>
        <v>Rendah</v>
      </c>
      <c r="T1874" s="2" t="str">
        <f t="shared" si="295"/>
        <v>FALSE</v>
      </c>
      <c r="U1874" s="2" t="str">
        <f t="shared" si="296"/>
        <v>FALSE</v>
      </c>
      <c r="V1874" s="2" t="b">
        <f t="shared" si="297"/>
        <v>0</v>
      </c>
      <c r="W1874" s="2" t="b">
        <f t="shared" si="298"/>
        <v>0</v>
      </c>
      <c r="X1874" s="2" t="b">
        <f t="shared" si="299"/>
        <v>0</v>
      </c>
    </row>
    <row r="1875" spans="1:24" ht="10.5" customHeight="1">
      <c r="A1875" s="2" t="s">
        <v>2227</v>
      </c>
      <c r="B1875" s="3">
        <v>46016.469548611109</v>
      </c>
      <c r="C1875" s="2" t="s">
        <v>18</v>
      </c>
      <c r="D1875" s="2" t="s">
        <v>19</v>
      </c>
      <c r="E1875" s="2" t="s">
        <v>57</v>
      </c>
      <c r="F1875" s="4">
        <v>17500</v>
      </c>
      <c r="G1875" s="5">
        <v>4.0999999999999996</v>
      </c>
      <c r="H1875" s="6">
        <v>5</v>
      </c>
      <c r="I1875" s="7">
        <f t="shared" si="290"/>
        <v>71750</v>
      </c>
      <c r="J1875" s="7">
        <f t="shared" si="291"/>
        <v>3587.5</v>
      </c>
      <c r="K1875" s="7">
        <f t="shared" si="292"/>
        <v>68162.5</v>
      </c>
      <c r="L1875" s="4">
        <v>15000</v>
      </c>
      <c r="M1875" s="7">
        <f t="shared" si="293"/>
        <v>83162.5</v>
      </c>
      <c r="N1875" s="2" t="s">
        <v>33</v>
      </c>
      <c r="O1875" t="s">
        <v>2110</v>
      </c>
      <c r="P1875" s="2" t="s">
        <v>2368</v>
      </c>
      <c r="Q1875" s="2">
        <v>2</v>
      </c>
      <c r="R1875" s="2" t="s">
        <v>23</v>
      </c>
      <c r="S1875" s="2" t="str">
        <f t="shared" si="294"/>
        <v>Rendah</v>
      </c>
      <c r="T1875" s="2" t="str">
        <f t="shared" si="295"/>
        <v>FALSE</v>
      </c>
      <c r="U1875" s="2" t="str">
        <f t="shared" si="296"/>
        <v>FALSE</v>
      </c>
      <c r="V1875" s="2" t="b">
        <f t="shared" si="297"/>
        <v>0</v>
      </c>
      <c r="W1875" s="2" t="b">
        <f t="shared" si="298"/>
        <v>0</v>
      </c>
      <c r="X1875" s="2" t="b">
        <f t="shared" si="299"/>
        <v>0</v>
      </c>
    </row>
    <row r="1876" spans="1:24" ht="10.5" customHeight="1">
      <c r="A1876" s="2" t="s">
        <v>2228</v>
      </c>
      <c r="B1876" s="3">
        <v>46016.482094907413</v>
      </c>
      <c r="C1876" s="2" t="s">
        <v>325</v>
      </c>
      <c r="D1876" s="2" t="s">
        <v>74</v>
      </c>
      <c r="E1876" s="2" t="s">
        <v>41</v>
      </c>
      <c r="F1876" s="4">
        <v>40000</v>
      </c>
      <c r="G1876" s="5">
        <v>0.2</v>
      </c>
      <c r="H1876" s="6">
        <v>5</v>
      </c>
      <c r="I1876" s="7">
        <f t="shared" si="290"/>
        <v>8000</v>
      </c>
      <c r="J1876" s="7">
        <f t="shared" si="291"/>
        <v>400</v>
      </c>
      <c r="K1876" s="7">
        <f t="shared" si="292"/>
        <v>7600</v>
      </c>
      <c r="L1876" s="4">
        <v>74000</v>
      </c>
      <c r="M1876" s="7">
        <f t="shared" si="293"/>
        <v>81600</v>
      </c>
      <c r="N1876" s="2" t="s">
        <v>28</v>
      </c>
      <c r="O1876" t="s">
        <v>22</v>
      </c>
      <c r="P1876" s="2" t="s">
        <v>2368</v>
      </c>
      <c r="Q1876" s="2">
        <v>1</v>
      </c>
      <c r="R1876" s="2" t="s">
        <v>34</v>
      </c>
      <c r="S1876" s="2" t="str">
        <f t="shared" si="294"/>
        <v>Rendah</v>
      </c>
      <c r="T1876" s="2" t="str">
        <f t="shared" si="295"/>
        <v>FALSE</v>
      </c>
      <c r="U1876" s="2" t="str">
        <f t="shared" si="296"/>
        <v>FALSE</v>
      </c>
      <c r="V1876" s="2" t="b">
        <f t="shared" si="297"/>
        <v>0</v>
      </c>
      <c r="W1876" s="2" t="b">
        <f t="shared" si="298"/>
        <v>0</v>
      </c>
      <c r="X1876" s="2" t="b">
        <f t="shared" si="299"/>
        <v>0</v>
      </c>
    </row>
    <row r="1877" spans="1:24" ht="10.5" customHeight="1">
      <c r="A1877" s="2" t="s">
        <v>2229</v>
      </c>
      <c r="B1877" s="3">
        <v>46016.492164351846</v>
      </c>
      <c r="C1877" s="2" t="s">
        <v>234</v>
      </c>
      <c r="D1877" s="2" t="s">
        <v>235</v>
      </c>
      <c r="E1877" s="2" t="s">
        <v>57</v>
      </c>
      <c r="F1877" s="4">
        <v>17500</v>
      </c>
      <c r="G1877" s="5">
        <v>2.7</v>
      </c>
      <c r="H1877" s="6">
        <v>5</v>
      </c>
      <c r="I1877" s="7">
        <f t="shared" si="290"/>
        <v>47250</v>
      </c>
      <c r="J1877" s="7">
        <f t="shared" si="291"/>
        <v>2362.5</v>
      </c>
      <c r="K1877" s="7">
        <f t="shared" si="292"/>
        <v>44887.5</v>
      </c>
      <c r="L1877" s="4">
        <v>80000</v>
      </c>
      <c r="M1877" s="7">
        <f t="shared" si="293"/>
        <v>124887.5</v>
      </c>
      <c r="N1877" s="2" t="s">
        <v>21</v>
      </c>
      <c r="O1877" t="s">
        <v>2110</v>
      </c>
      <c r="P1877" s="2" t="s">
        <v>2366</v>
      </c>
      <c r="Q1877" s="2">
        <v>1</v>
      </c>
      <c r="R1877" s="2" t="s">
        <v>34</v>
      </c>
      <c r="S1877" s="2" t="str">
        <f t="shared" si="294"/>
        <v>Standar</v>
      </c>
      <c r="T1877" s="2" t="str">
        <f t="shared" si="295"/>
        <v>FALSE</v>
      </c>
      <c r="U1877" s="2" t="str">
        <f t="shared" si="296"/>
        <v>FALSE</v>
      </c>
      <c r="V1877" s="2" t="b">
        <f t="shared" si="297"/>
        <v>0</v>
      </c>
      <c r="W1877" s="2" t="b">
        <f t="shared" si="298"/>
        <v>0</v>
      </c>
      <c r="X1877" s="2" t="b">
        <f t="shared" si="299"/>
        <v>0</v>
      </c>
    </row>
    <row r="1878" spans="1:24" ht="10.5" customHeight="1">
      <c r="A1878" s="2" t="s">
        <v>2230</v>
      </c>
      <c r="B1878" s="3">
        <v>46016.50440972222</v>
      </c>
      <c r="C1878" s="2" t="s">
        <v>671</v>
      </c>
      <c r="D1878" s="2" t="s">
        <v>252</v>
      </c>
      <c r="E1878" s="2" t="s">
        <v>102</v>
      </c>
      <c r="F1878" s="4">
        <v>55000</v>
      </c>
      <c r="G1878" s="5">
        <v>0.4</v>
      </c>
      <c r="H1878" s="6">
        <v>5</v>
      </c>
      <c r="I1878" s="7">
        <f t="shared" si="290"/>
        <v>22000</v>
      </c>
      <c r="J1878" s="7">
        <f t="shared" si="291"/>
        <v>1100</v>
      </c>
      <c r="K1878" s="7">
        <f t="shared" si="292"/>
        <v>20900</v>
      </c>
      <c r="L1878" s="4">
        <v>18000</v>
      </c>
      <c r="M1878" s="7">
        <f t="shared" si="293"/>
        <v>38900</v>
      </c>
      <c r="N1878" s="2" t="s">
        <v>58</v>
      </c>
      <c r="O1878" t="s">
        <v>2110</v>
      </c>
      <c r="P1878" s="2" t="s">
        <v>2365</v>
      </c>
      <c r="Q1878" s="2">
        <v>1</v>
      </c>
      <c r="R1878" s="2" t="s">
        <v>23</v>
      </c>
      <c r="S1878" s="2" t="str">
        <f t="shared" si="294"/>
        <v>Sangat Rendah</v>
      </c>
      <c r="T1878" s="2" t="str">
        <f t="shared" si="295"/>
        <v>FALSE</v>
      </c>
      <c r="U1878" s="2" t="str">
        <f t="shared" si="296"/>
        <v>FALSE</v>
      </c>
      <c r="V1878" s="2" t="b">
        <f t="shared" si="297"/>
        <v>0</v>
      </c>
      <c r="W1878" s="2" t="b">
        <f t="shared" si="298"/>
        <v>0</v>
      </c>
      <c r="X1878" s="2" t="b">
        <f t="shared" si="299"/>
        <v>1</v>
      </c>
    </row>
    <row r="1879" spans="1:24" ht="10.5" customHeight="1">
      <c r="A1879" s="2" t="s">
        <v>2231</v>
      </c>
      <c r="B1879" s="3">
        <v>46016.518090277779</v>
      </c>
      <c r="C1879" s="2" t="s">
        <v>237</v>
      </c>
      <c r="D1879" s="2" t="s">
        <v>229</v>
      </c>
      <c r="E1879" s="2" t="s">
        <v>35</v>
      </c>
      <c r="F1879" s="4">
        <v>13500</v>
      </c>
      <c r="G1879" s="5">
        <v>0.8</v>
      </c>
      <c r="H1879" s="6">
        <v>5</v>
      </c>
      <c r="I1879" s="7">
        <f t="shared" si="290"/>
        <v>10800</v>
      </c>
      <c r="J1879" s="7">
        <f t="shared" si="291"/>
        <v>540</v>
      </c>
      <c r="K1879" s="7">
        <f t="shared" si="292"/>
        <v>10260</v>
      </c>
      <c r="L1879" s="4">
        <v>28000</v>
      </c>
      <c r="M1879" s="7">
        <f t="shared" si="293"/>
        <v>38260</v>
      </c>
      <c r="N1879" s="2" t="s">
        <v>28</v>
      </c>
      <c r="O1879" t="s">
        <v>22</v>
      </c>
      <c r="P1879" s="2" t="s">
        <v>2367</v>
      </c>
      <c r="Q1879" s="2">
        <v>2</v>
      </c>
      <c r="R1879" s="2" t="s">
        <v>23</v>
      </c>
      <c r="S1879" s="2" t="str">
        <f t="shared" si="294"/>
        <v>Sangat Rendah</v>
      </c>
      <c r="T1879" s="2" t="str">
        <f t="shared" si="295"/>
        <v>FALSE</v>
      </c>
      <c r="U1879" s="2" t="str">
        <f t="shared" si="296"/>
        <v>FALSE</v>
      </c>
      <c r="V1879" s="2" t="b">
        <f t="shared" si="297"/>
        <v>0</v>
      </c>
      <c r="W1879" s="2" t="b">
        <f t="shared" si="298"/>
        <v>1</v>
      </c>
      <c r="X1879" s="2" t="b">
        <f t="shared" si="299"/>
        <v>1</v>
      </c>
    </row>
    <row r="1880" spans="1:24" ht="10.5" customHeight="1">
      <c r="A1880" s="2" t="s">
        <v>2232</v>
      </c>
      <c r="B1880" s="3">
        <v>46016.54283564815</v>
      </c>
      <c r="C1880" s="2" t="s">
        <v>1169</v>
      </c>
      <c r="D1880" s="2" t="s">
        <v>160</v>
      </c>
      <c r="E1880" s="2" t="s">
        <v>65</v>
      </c>
      <c r="F1880" s="4">
        <v>46000</v>
      </c>
      <c r="G1880" s="5">
        <v>1.5</v>
      </c>
      <c r="H1880" s="6">
        <v>5</v>
      </c>
      <c r="I1880" s="7">
        <f t="shared" si="290"/>
        <v>69000</v>
      </c>
      <c r="J1880" s="7">
        <f t="shared" si="291"/>
        <v>3450</v>
      </c>
      <c r="K1880" s="7">
        <f t="shared" si="292"/>
        <v>65550</v>
      </c>
      <c r="L1880" s="4">
        <v>46000</v>
      </c>
      <c r="M1880" s="7">
        <f t="shared" si="293"/>
        <v>111550</v>
      </c>
      <c r="N1880" s="2" t="s">
        <v>33</v>
      </c>
      <c r="O1880" t="s">
        <v>2110</v>
      </c>
      <c r="P1880" s="2" t="s">
        <v>2368</v>
      </c>
      <c r="Q1880" s="2">
        <v>2</v>
      </c>
      <c r="R1880" s="2" t="s">
        <v>23</v>
      </c>
      <c r="S1880" s="2" t="str">
        <f t="shared" si="294"/>
        <v>Standar</v>
      </c>
      <c r="T1880" s="2" t="str">
        <f t="shared" si="295"/>
        <v>FALSE</v>
      </c>
      <c r="U1880" s="2" t="str">
        <f t="shared" si="296"/>
        <v>FALSE</v>
      </c>
      <c r="V1880" s="2" t="b">
        <f t="shared" si="297"/>
        <v>0</v>
      </c>
      <c r="W1880" s="2" t="b">
        <f t="shared" si="298"/>
        <v>0</v>
      </c>
      <c r="X1880" s="2" t="b">
        <f t="shared" si="299"/>
        <v>0</v>
      </c>
    </row>
    <row r="1881" spans="1:24" ht="10.5" customHeight="1">
      <c r="A1881" s="2" t="s">
        <v>2233</v>
      </c>
      <c r="B1881" s="3">
        <v>46016.54959490741</v>
      </c>
      <c r="C1881" s="2" t="s">
        <v>379</v>
      </c>
      <c r="D1881" s="2" t="s">
        <v>173</v>
      </c>
      <c r="E1881" s="2" t="s">
        <v>190</v>
      </c>
      <c r="F1881" s="4">
        <v>15500</v>
      </c>
      <c r="G1881" s="5">
        <v>0.3</v>
      </c>
      <c r="H1881" s="6">
        <v>5</v>
      </c>
      <c r="I1881" s="7">
        <f t="shared" si="290"/>
        <v>4650</v>
      </c>
      <c r="J1881" s="7">
        <f t="shared" si="291"/>
        <v>232.5</v>
      </c>
      <c r="K1881" s="7">
        <f t="shared" si="292"/>
        <v>4417.5</v>
      </c>
      <c r="L1881" s="4">
        <v>48000</v>
      </c>
      <c r="M1881" s="7">
        <f t="shared" si="293"/>
        <v>52417.5</v>
      </c>
      <c r="N1881" s="2" t="s">
        <v>33</v>
      </c>
      <c r="O1881" t="s">
        <v>2110</v>
      </c>
      <c r="P1881" s="2" t="s">
        <v>2368</v>
      </c>
      <c r="Q1881" s="2">
        <v>1</v>
      </c>
      <c r="R1881" s="2" t="s">
        <v>23</v>
      </c>
      <c r="S1881" s="2" t="str">
        <f t="shared" si="294"/>
        <v>Rendah</v>
      </c>
      <c r="T1881" s="2" t="str">
        <f t="shared" si="295"/>
        <v>FALSE</v>
      </c>
      <c r="U1881" s="2" t="str">
        <f t="shared" si="296"/>
        <v>FALSE</v>
      </c>
      <c r="V1881" s="2" t="b">
        <f t="shared" si="297"/>
        <v>0</v>
      </c>
      <c r="W1881" s="2" t="b">
        <f t="shared" si="298"/>
        <v>0</v>
      </c>
      <c r="X1881" s="2" t="b">
        <f t="shared" si="299"/>
        <v>0</v>
      </c>
    </row>
    <row r="1882" spans="1:24" ht="10.5" customHeight="1">
      <c r="A1882" s="2" t="s">
        <v>2234</v>
      </c>
      <c r="B1882" s="3">
        <v>46016.553842592592</v>
      </c>
      <c r="C1882" s="2" t="s">
        <v>145</v>
      </c>
      <c r="D1882" s="2" t="s">
        <v>84</v>
      </c>
      <c r="E1882" s="2" t="s">
        <v>102</v>
      </c>
      <c r="F1882" s="4">
        <v>55000</v>
      </c>
      <c r="G1882" s="5">
        <v>0.6</v>
      </c>
      <c r="H1882" s="6">
        <v>5</v>
      </c>
      <c r="I1882" s="7">
        <f t="shared" si="290"/>
        <v>33000</v>
      </c>
      <c r="J1882" s="7">
        <f t="shared" si="291"/>
        <v>1650</v>
      </c>
      <c r="K1882" s="7">
        <f t="shared" si="292"/>
        <v>31350</v>
      </c>
      <c r="L1882" s="4">
        <v>30000</v>
      </c>
      <c r="M1882" s="7">
        <f t="shared" si="293"/>
        <v>61350</v>
      </c>
      <c r="N1882" s="2" t="s">
        <v>33</v>
      </c>
      <c r="O1882" t="s">
        <v>69</v>
      </c>
      <c r="P1882" s="2" t="s">
        <v>2366</v>
      </c>
      <c r="Q1882" s="2">
        <v>2</v>
      </c>
      <c r="R1882" s="2" t="s">
        <v>23</v>
      </c>
      <c r="S1882" s="2" t="str">
        <f t="shared" si="294"/>
        <v>Rendah</v>
      </c>
      <c r="T1882" s="2" t="str">
        <f t="shared" si="295"/>
        <v>FALSE</v>
      </c>
      <c r="U1882" s="2" t="str">
        <f t="shared" si="296"/>
        <v>FALSE</v>
      </c>
      <c r="V1882" s="2" t="b">
        <f t="shared" si="297"/>
        <v>0</v>
      </c>
      <c r="W1882" s="2" t="b">
        <f t="shared" si="298"/>
        <v>0</v>
      </c>
      <c r="X1882" s="2" t="b">
        <f t="shared" si="299"/>
        <v>0</v>
      </c>
    </row>
    <row r="1883" spans="1:24" ht="10.5" customHeight="1">
      <c r="A1883" s="2" t="s">
        <v>2235</v>
      </c>
      <c r="B1883" s="3">
        <v>46016.566412037027</v>
      </c>
      <c r="C1883" s="2" t="s">
        <v>1798</v>
      </c>
      <c r="D1883" s="2" t="s">
        <v>74</v>
      </c>
      <c r="E1883" s="2" t="s">
        <v>182</v>
      </c>
      <c r="F1883" s="4">
        <v>11000</v>
      </c>
      <c r="G1883" s="5">
        <v>0.7</v>
      </c>
      <c r="H1883" s="6">
        <v>5</v>
      </c>
      <c r="I1883" s="7">
        <f t="shared" si="290"/>
        <v>7699.9999999999991</v>
      </c>
      <c r="J1883" s="7">
        <f t="shared" si="291"/>
        <v>385</v>
      </c>
      <c r="K1883" s="7">
        <f t="shared" si="292"/>
        <v>7314.9999999999991</v>
      </c>
      <c r="L1883" s="4">
        <v>74000</v>
      </c>
      <c r="M1883" s="7">
        <f t="shared" si="293"/>
        <v>81315</v>
      </c>
      <c r="N1883" s="2" t="s">
        <v>33</v>
      </c>
      <c r="O1883" t="s">
        <v>2107</v>
      </c>
      <c r="P1883" s="2" t="s">
        <v>2367</v>
      </c>
      <c r="Q1883" s="2">
        <v>3</v>
      </c>
      <c r="R1883" s="2" t="s">
        <v>23</v>
      </c>
      <c r="S1883" s="2" t="str">
        <f t="shared" si="294"/>
        <v>Rendah</v>
      </c>
      <c r="T1883" s="2" t="str">
        <f t="shared" si="295"/>
        <v>FALSE</v>
      </c>
      <c r="U1883" s="2" t="str">
        <f t="shared" si="296"/>
        <v>FALSE</v>
      </c>
      <c r="V1883" s="2" t="b">
        <f t="shared" si="297"/>
        <v>0</v>
      </c>
      <c r="W1883" s="2" t="b">
        <f t="shared" si="298"/>
        <v>1</v>
      </c>
      <c r="X1883" s="2" t="b">
        <f t="shared" si="299"/>
        <v>0</v>
      </c>
    </row>
    <row r="1884" spans="1:24" ht="10.5" customHeight="1">
      <c r="A1884" s="2" t="s">
        <v>2236</v>
      </c>
      <c r="B1884" s="3">
        <v>46016.579467592594</v>
      </c>
      <c r="C1884" s="2" t="s">
        <v>292</v>
      </c>
      <c r="D1884" s="2" t="s">
        <v>68</v>
      </c>
      <c r="E1884" s="2" t="s">
        <v>190</v>
      </c>
      <c r="F1884" s="4">
        <v>15500</v>
      </c>
      <c r="G1884" s="5">
        <v>0.4</v>
      </c>
      <c r="H1884" s="6">
        <v>5</v>
      </c>
      <c r="I1884" s="7">
        <f t="shared" si="290"/>
        <v>6200</v>
      </c>
      <c r="J1884" s="7">
        <f t="shared" si="291"/>
        <v>310</v>
      </c>
      <c r="K1884" s="7">
        <f t="shared" si="292"/>
        <v>5890</v>
      </c>
      <c r="L1884" s="4">
        <v>87000</v>
      </c>
      <c r="M1884" s="7">
        <f t="shared" si="293"/>
        <v>92890</v>
      </c>
      <c r="N1884" s="2" t="s">
        <v>58</v>
      </c>
      <c r="O1884" t="s">
        <v>2107</v>
      </c>
      <c r="P1884" s="2" t="s">
        <v>2365</v>
      </c>
      <c r="Q1884" s="2">
        <v>2</v>
      </c>
      <c r="R1884" s="2" t="s">
        <v>23</v>
      </c>
      <c r="S1884" s="2" t="str">
        <f t="shared" si="294"/>
        <v>Rendah</v>
      </c>
      <c r="T1884" s="2" t="str">
        <f t="shared" si="295"/>
        <v>FALSE</v>
      </c>
      <c r="U1884" s="2" t="str">
        <f t="shared" si="296"/>
        <v>FALSE</v>
      </c>
      <c r="V1884" s="2" t="b">
        <f t="shared" si="297"/>
        <v>0</v>
      </c>
      <c r="W1884" s="2" t="b">
        <f t="shared" si="298"/>
        <v>0</v>
      </c>
      <c r="X1884" s="2" t="b">
        <f t="shared" si="299"/>
        <v>0</v>
      </c>
    </row>
    <row r="1885" spans="1:24" ht="10.5" customHeight="1">
      <c r="A1885" s="2" t="s">
        <v>2237</v>
      </c>
      <c r="B1885" s="3">
        <v>46016.611030092587</v>
      </c>
      <c r="C1885" s="2" t="s">
        <v>394</v>
      </c>
      <c r="D1885" s="2" t="s">
        <v>167</v>
      </c>
      <c r="E1885" s="2" t="s">
        <v>53</v>
      </c>
      <c r="F1885" s="4">
        <v>14000</v>
      </c>
      <c r="G1885" s="5">
        <v>0.5</v>
      </c>
      <c r="H1885" s="6">
        <v>5</v>
      </c>
      <c r="I1885" s="7">
        <f t="shared" si="290"/>
        <v>7000</v>
      </c>
      <c r="J1885" s="7">
        <f t="shared" si="291"/>
        <v>350</v>
      </c>
      <c r="K1885" s="7">
        <f t="shared" si="292"/>
        <v>6650</v>
      </c>
      <c r="L1885" s="4">
        <v>56000</v>
      </c>
      <c r="M1885" s="7">
        <f t="shared" si="293"/>
        <v>62650</v>
      </c>
      <c r="N1885" s="2" t="s">
        <v>33</v>
      </c>
      <c r="O1885" t="s">
        <v>69</v>
      </c>
      <c r="P1885" s="2" t="s">
        <v>2367</v>
      </c>
      <c r="Q1885" s="2">
        <v>4</v>
      </c>
      <c r="R1885" s="2" t="s">
        <v>34</v>
      </c>
      <c r="S1885" s="2" t="str">
        <f t="shared" si="294"/>
        <v>Rendah</v>
      </c>
      <c r="T1885" s="2" t="str">
        <f t="shared" si="295"/>
        <v>FALSE</v>
      </c>
      <c r="U1885" s="2" t="str">
        <f t="shared" si="296"/>
        <v>FALSE</v>
      </c>
      <c r="V1885" s="2" t="b">
        <f t="shared" si="297"/>
        <v>0</v>
      </c>
      <c r="W1885" s="2" t="b">
        <f t="shared" si="298"/>
        <v>1</v>
      </c>
      <c r="X1885" s="2" t="b">
        <f t="shared" si="299"/>
        <v>0</v>
      </c>
    </row>
    <row r="1886" spans="1:24" ht="10.5" customHeight="1">
      <c r="A1886" s="2" t="s">
        <v>2237</v>
      </c>
      <c r="B1886" s="3">
        <v>46016.611030092587</v>
      </c>
      <c r="C1886" s="2" t="s">
        <v>394</v>
      </c>
      <c r="D1886" s="2" t="s">
        <v>167</v>
      </c>
      <c r="E1886" s="2" t="s">
        <v>80</v>
      </c>
      <c r="F1886" s="4">
        <v>15000</v>
      </c>
      <c r="G1886" s="5">
        <v>1</v>
      </c>
      <c r="H1886" s="6">
        <v>5</v>
      </c>
      <c r="I1886" s="7">
        <f t="shared" si="290"/>
        <v>15000</v>
      </c>
      <c r="J1886" s="7">
        <f t="shared" si="291"/>
        <v>750</v>
      </c>
      <c r="K1886" s="7">
        <f t="shared" si="292"/>
        <v>14250</v>
      </c>
      <c r="L1886" s="4">
        <v>0</v>
      </c>
      <c r="M1886" s="7">
        <f t="shared" si="293"/>
        <v>14250</v>
      </c>
      <c r="N1886" s="2" t="s">
        <v>33</v>
      </c>
      <c r="O1886" t="s">
        <v>69</v>
      </c>
      <c r="P1886" s="2" t="s">
        <v>2367</v>
      </c>
      <c r="Q1886" s="2">
        <v>4</v>
      </c>
      <c r="R1886" s="2" t="s">
        <v>34</v>
      </c>
      <c r="S1886" s="2" t="str">
        <f t="shared" si="294"/>
        <v>Sangat Rendah</v>
      </c>
      <c r="T1886" s="2" t="str">
        <f t="shared" si="295"/>
        <v>FALSE</v>
      </c>
      <c r="U1886" s="2" t="str">
        <f t="shared" si="296"/>
        <v>FALSE</v>
      </c>
      <c r="V1886" s="2" t="b">
        <f t="shared" si="297"/>
        <v>0</v>
      </c>
      <c r="W1886" s="2" t="b">
        <f t="shared" si="298"/>
        <v>1</v>
      </c>
      <c r="X1886" s="2" t="b">
        <f t="shared" si="299"/>
        <v>0</v>
      </c>
    </row>
    <row r="1887" spans="1:24" ht="10.5" customHeight="1">
      <c r="A1887" s="2" t="s">
        <v>2238</v>
      </c>
      <c r="B1887" s="3">
        <v>46016.646701388891</v>
      </c>
      <c r="C1887" s="2" t="s">
        <v>371</v>
      </c>
      <c r="D1887" s="2" t="s">
        <v>94</v>
      </c>
      <c r="E1887" s="2" t="s">
        <v>53</v>
      </c>
      <c r="F1887" s="4">
        <v>14000</v>
      </c>
      <c r="G1887" s="5">
        <v>0.9</v>
      </c>
      <c r="H1887" s="6">
        <v>5</v>
      </c>
      <c r="I1887" s="7">
        <f t="shared" si="290"/>
        <v>12600</v>
      </c>
      <c r="J1887" s="7">
        <f t="shared" si="291"/>
        <v>630</v>
      </c>
      <c r="K1887" s="7">
        <f t="shared" si="292"/>
        <v>11970</v>
      </c>
      <c r="L1887" s="4">
        <v>85000</v>
      </c>
      <c r="M1887" s="7">
        <f t="shared" si="293"/>
        <v>96970</v>
      </c>
      <c r="N1887" s="2" t="s">
        <v>33</v>
      </c>
      <c r="O1887" t="s">
        <v>22</v>
      </c>
      <c r="P1887" s="2" t="s">
        <v>2368</v>
      </c>
      <c r="Q1887" s="2">
        <v>3</v>
      </c>
      <c r="R1887" s="2" t="s">
        <v>23</v>
      </c>
      <c r="S1887" s="2" t="str">
        <f t="shared" si="294"/>
        <v>Rendah</v>
      </c>
      <c r="T1887" s="2" t="str">
        <f t="shared" si="295"/>
        <v>FALSE</v>
      </c>
      <c r="U1887" s="2" t="str">
        <f t="shared" si="296"/>
        <v>FALSE</v>
      </c>
      <c r="V1887" s="2" t="b">
        <f t="shared" si="297"/>
        <v>0</v>
      </c>
      <c r="W1887" s="2" t="b">
        <f t="shared" si="298"/>
        <v>0</v>
      </c>
      <c r="X1887" s="2" t="b">
        <f t="shared" si="299"/>
        <v>0</v>
      </c>
    </row>
    <row r="1888" spans="1:24" ht="10.5" customHeight="1">
      <c r="A1888" s="2" t="s">
        <v>2239</v>
      </c>
      <c r="B1888" s="3">
        <v>46016.649270833332</v>
      </c>
      <c r="C1888" s="2" t="s">
        <v>2202</v>
      </c>
      <c r="D1888" s="2" t="s">
        <v>118</v>
      </c>
      <c r="E1888" s="2" t="s">
        <v>80</v>
      </c>
      <c r="F1888" s="4">
        <v>15000</v>
      </c>
      <c r="G1888" s="5">
        <v>2</v>
      </c>
      <c r="H1888" s="6">
        <v>5</v>
      </c>
      <c r="I1888" s="7">
        <f t="shared" si="290"/>
        <v>30000</v>
      </c>
      <c r="J1888" s="7">
        <f t="shared" si="291"/>
        <v>1500</v>
      </c>
      <c r="K1888" s="7">
        <f t="shared" si="292"/>
        <v>28500</v>
      </c>
      <c r="L1888" s="4">
        <v>84000</v>
      </c>
      <c r="M1888" s="7">
        <f t="shared" si="293"/>
        <v>112500</v>
      </c>
      <c r="N1888" s="2" t="s">
        <v>58</v>
      </c>
      <c r="O1888" t="s">
        <v>22</v>
      </c>
      <c r="P1888" s="2" t="s">
        <v>2366</v>
      </c>
      <c r="Q1888" s="2">
        <v>5</v>
      </c>
      <c r="R1888" s="2" t="s">
        <v>23</v>
      </c>
      <c r="S1888" s="2" t="str">
        <f t="shared" si="294"/>
        <v>Standar</v>
      </c>
      <c r="T1888" s="2" t="str">
        <f t="shared" si="295"/>
        <v>FALSE</v>
      </c>
      <c r="U1888" s="2" t="str">
        <f t="shared" si="296"/>
        <v>FALSE</v>
      </c>
      <c r="V1888" s="2" t="b">
        <f t="shared" si="297"/>
        <v>0</v>
      </c>
      <c r="W1888" s="2" t="b">
        <f t="shared" si="298"/>
        <v>0</v>
      </c>
      <c r="X1888" s="2" t="b">
        <f t="shared" si="299"/>
        <v>0</v>
      </c>
    </row>
    <row r="1889" spans="1:24" ht="10.5" customHeight="1">
      <c r="A1889" s="2" t="s">
        <v>2240</v>
      </c>
      <c r="B1889" s="3">
        <v>46016.652604166673</v>
      </c>
      <c r="C1889" s="2" t="s">
        <v>107</v>
      </c>
      <c r="D1889" s="2" t="s">
        <v>108</v>
      </c>
      <c r="E1889" s="2" t="s">
        <v>57</v>
      </c>
      <c r="F1889" s="4">
        <v>17500</v>
      </c>
      <c r="G1889" s="5">
        <v>1.9</v>
      </c>
      <c r="H1889" s="6">
        <v>5</v>
      </c>
      <c r="I1889" s="7">
        <f t="shared" si="290"/>
        <v>33250</v>
      </c>
      <c r="J1889" s="7">
        <f t="shared" si="291"/>
        <v>1662.5</v>
      </c>
      <c r="K1889" s="7">
        <f t="shared" si="292"/>
        <v>31587.5</v>
      </c>
      <c r="L1889" s="4">
        <v>72000</v>
      </c>
      <c r="M1889" s="7">
        <f t="shared" si="293"/>
        <v>103587.5</v>
      </c>
      <c r="N1889" s="2" t="s">
        <v>58</v>
      </c>
      <c r="O1889" t="s">
        <v>2110</v>
      </c>
      <c r="P1889" s="2" t="s">
        <v>2366</v>
      </c>
      <c r="Q1889" s="2">
        <v>2</v>
      </c>
      <c r="R1889" s="2" t="s">
        <v>23</v>
      </c>
      <c r="S1889" s="2" t="str">
        <f t="shared" si="294"/>
        <v>Standar</v>
      </c>
      <c r="T1889" s="2" t="str">
        <f t="shared" si="295"/>
        <v>FALSE</v>
      </c>
      <c r="U1889" s="2" t="str">
        <f t="shared" si="296"/>
        <v>FALSE</v>
      </c>
      <c r="V1889" s="2" t="b">
        <f t="shared" si="297"/>
        <v>0</v>
      </c>
      <c r="W1889" s="2" t="b">
        <f t="shared" si="298"/>
        <v>0</v>
      </c>
      <c r="X1889" s="2" t="b">
        <f t="shared" si="299"/>
        <v>0</v>
      </c>
    </row>
    <row r="1890" spans="1:24" ht="10.5" customHeight="1">
      <c r="A1890" s="2" t="s">
        <v>2241</v>
      </c>
      <c r="B1890" s="3">
        <v>46016.70140046296</v>
      </c>
      <c r="C1890" s="2" t="s">
        <v>824</v>
      </c>
      <c r="D1890" s="2" t="s">
        <v>167</v>
      </c>
      <c r="E1890" s="2" t="s">
        <v>161</v>
      </c>
      <c r="F1890" s="4">
        <v>115000</v>
      </c>
      <c r="G1890" s="5">
        <v>0.7</v>
      </c>
      <c r="H1890" s="6">
        <v>5</v>
      </c>
      <c r="I1890" s="7">
        <f t="shared" si="290"/>
        <v>80500</v>
      </c>
      <c r="J1890" s="7">
        <f t="shared" si="291"/>
        <v>4025</v>
      </c>
      <c r="K1890" s="7">
        <f t="shared" si="292"/>
        <v>76475</v>
      </c>
      <c r="L1890" s="4">
        <v>56000</v>
      </c>
      <c r="M1890" s="7">
        <f t="shared" si="293"/>
        <v>132475</v>
      </c>
      <c r="N1890" s="2" t="s">
        <v>33</v>
      </c>
      <c r="O1890" t="s">
        <v>2107</v>
      </c>
      <c r="P1890" s="2" t="s">
        <v>2367</v>
      </c>
      <c r="Q1890" s="2">
        <v>4</v>
      </c>
      <c r="R1890" s="2" t="s">
        <v>34</v>
      </c>
      <c r="S1890" s="2" t="str">
        <f t="shared" si="294"/>
        <v>Standar</v>
      </c>
      <c r="T1890" s="2" t="str">
        <f t="shared" si="295"/>
        <v>FALSE</v>
      </c>
      <c r="U1890" s="2" t="str">
        <f t="shared" si="296"/>
        <v>FALSE</v>
      </c>
      <c r="V1890" s="2" t="b">
        <f t="shared" si="297"/>
        <v>0</v>
      </c>
      <c r="W1890" s="2" t="b">
        <f t="shared" si="298"/>
        <v>1</v>
      </c>
      <c r="X1890" s="2" t="b">
        <f t="shared" si="299"/>
        <v>0</v>
      </c>
    </row>
    <row r="1891" spans="1:24" ht="10.5" customHeight="1">
      <c r="A1891" s="2" t="s">
        <v>2242</v>
      </c>
      <c r="B1891" s="3">
        <v>46016.740798611107</v>
      </c>
      <c r="C1891" s="2" t="s">
        <v>572</v>
      </c>
      <c r="D1891" s="2" t="s">
        <v>425</v>
      </c>
      <c r="E1891" s="2" t="s">
        <v>41</v>
      </c>
      <c r="F1891" s="4">
        <v>40000</v>
      </c>
      <c r="G1891" s="5">
        <v>1</v>
      </c>
      <c r="H1891" s="6">
        <v>5</v>
      </c>
      <c r="I1891" s="7">
        <f t="shared" si="290"/>
        <v>40000</v>
      </c>
      <c r="J1891" s="7">
        <f t="shared" si="291"/>
        <v>2000</v>
      </c>
      <c r="K1891" s="7">
        <f t="shared" si="292"/>
        <v>38000</v>
      </c>
      <c r="L1891" s="4">
        <v>67000</v>
      </c>
      <c r="M1891" s="7">
        <f t="shared" si="293"/>
        <v>105000</v>
      </c>
      <c r="N1891" s="2" t="s">
        <v>58</v>
      </c>
      <c r="O1891" t="s">
        <v>2107</v>
      </c>
      <c r="P1891" s="2" t="s">
        <v>2370</v>
      </c>
      <c r="Q1891" s="2">
        <v>1</v>
      </c>
      <c r="R1891" s="2" t="s">
        <v>23</v>
      </c>
      <c r="S1891" s="2" t="str">
        <f t="shared" si="294"/>
        <v>Standar</v>
      </c>
      <c r="T1891" s="2" t="str">
        <f t="shared" si="295"/>
        <v>FALSE</v>
      </c>
      <c r="U1891" s="2" t="str">
        <f t="shared" si="296"/>
        <v>FALSE</v>
      </c>
      <c r="V1891" s="2" t="b">
        <f t="shared" si="297"/>
        <v>0</v>
      </c>
      <c r="W1891" s="2" t="b">
        <f t="shared" si="298"/>
        <v>0</v>
      </c>
      <c r="X1891" s="2" t="b">
        <f t="shared" si="299"/>
        <v>0</v>
      </c>
    </row>
    <row r="1892" spans="1:24" ht="10.5" customHeight="1">
      <c r="A1892" s="2" t="s">
        <v>2243</v>
      </c>
      <c r="B1892" s="3">
        <v>46016.786585648151</v>
      </c>
      <c r="C1892" s="2" t="s">
        <v>560</v>
      </c>
      <c r="D1892" s="2" t="s">
        <v>74</v>
      </c>
      <c r="E1892" s="2" t="s">
        <v>32</v>
      </c>
      <c r="F1892" s="4">
        <v>20000</v>
      </c>
      <c r="G1892" s="5">
        <v>2.4</v>
      </c>
      <c r="H1892" s="6">
        <v>5</v>
      </c>
      <c r="I1892" s="7">
        <f t="shared" si="290"/>
        <v>48000</v>
      </c>
      <c r="J1892" s="7">
        <f t="shared" si="291"/>
        <v>2400</v>
      </c>
      <c r="K1892" s="7">
        <f t="shared" si="292"/>
        <v>45600</v>
      </c>
      <c r="L1892" s="4">
        <v>74000</v>
      </c>
      <c r="M1892" s="7">
        <f t="shared" si="293"/>
        <v>119600</v>
      </c>
      <c r="N1892" s="2" t="s">
        <v>28</v>
      </c>
      <c r="O1892" t="s">
        <v>2110</v>
      </c>
      <c r="P1892" s="2" t="s">
        <v>2367</v>
      </c>
      <c r="Q1892" s="2">
        <v>1</v>
      </c>
      <c r="R1892" s="2" t="s">
        <v>23</v>
      </c>
      <c r="S1892" s="2" t="str">
        <f t="shared" si="294"/>
        <v>Standar</v>
      </c>
      <c r="T1892" s="2" t="str">
        <f t="shared" si="295"/>
        <v>FALSE</v>
      </c>
      <c r="U1892" s="2" t="str">
        <f t="shared" si="296"/>
        <v>FALSE</v>
      </c>
      <c r="V1892" s="2" t="b">
        <f t="shared" si="297"/>
        <v>0</v>
      </c>
      <c r="W1892" s="2" t="b">
        <f t="shared" si="298"/>
        <v>1</v>
      </c>
      <c r="X1892" s="2" t="b">
        <f t="shared" si="299"/>
        <v>0</v>
      </c>
    </row>
    <row r="1893" spans="1:24" ht="10.5" customHeight="1">
      <c r="A1893" s="2" t="s">
        <v>2244</v>
      </c>
      <c r="B1893" s="3">
        <v>46016.79</v>
      </c>
      <c r="C1893" s="2" t="s">
        <v>539</v>
      </c>
      <c r="D1893" s="2" t="s">
        <v>98</v>
      </c>
      <c r="E1893" s="2" t="s">
        <v>75</v>
      </c>
      <c r="F1893" s="4">
        <v>45000</v>
      </c>
      <c r="G1893" s="5">
        <v>1.7</v>
      </c>
      <c r="H1893" s="6">
        <v>5</v>
      </c>
      <c r="I1893" s="7">
        <f t="shared" si="290"/>
        <v>76500</v>
      </c>
      <c r="J1893" s="7">
        <f t="shared" si="291"/>
        <v>3825</v>
      </c>
      <c r="K1893" s="7">
        <f t="shared" si="292"/>
        <v>72675</v>
      </c>
      <c r="L1893" s="4">
        <v>97000</v>
      </c>
      <c r="M1893" s="7">
        <f t="shared" si="293"/>
        <v>169675</v>
      </c>
      <c r="N1893" s="2" t="s">
        <v>28</v>
      </c>
      <c r="O1893" t="s">
        <v>22</v>
      </c>
      <c r="P1893" s="2" t="s">
        <v>2366</v>
      </c>
      <c r="Q1893" s="2">
        <v>4</v>
      </c>
      <c r="R1893" s="2" t="s">
        <v>23</v>
      </c>
      <c r="S1893" s="2" t="str">
        <f t="shared" si="294"/>
        <v>Tinggi</v>
      </c>
      <c r="T1893" s="2" t="str">
        <f t="shared" si="295"/>
        <v>FALSE</v>
      </c>
      <c r="U1893" s="2" t="str">
        <f t="shared" si="296"/>
        <v>TRUE</v>
      </c>
      <c r="V1893" s="2" t="b">
        <f t="shared" si="297"/>
        <v>0</v>
      </c>
      <c r="W1893" s="2" t="b">
        <f t="shared" si="298"/>
        <v>0</v>
      </c>
      <c r="X1893" s="2" t="b">
        <f t="shared" si="299"/>
        <v>0</v>
      </c>
    </row>
    <row r="1894" spans="1:24" ht="10.5" customHeight="1">
      <c r="A1894" s="2" t="s">
        <v>2245</v>
      </c>
      <c r="B1894" s="3">
        <v>46016.798645833333</v>
      </c>
      <c r="C1894" s="2" t="s">
        <v>175</v>
      </c>
      <c r="D1894" s="2" t="s">
        <v>94</v>
      </c>
      <c r="E1894" s="2" t="s">
        <v>161</v>
      </c>
      <c r="F1894" s="4">
        <v>115000</v>
      </c>
      <c r="G1894" s="5">
        <v>0.8</v>
      </c>
      <c r="H1894" s="6">
        <v>5</v>
      </c>
      <c r="I1894" s="7">
        <f t="shared" si="290"/>
        <v>92000</v>
      </c>
      <c r="J1894" s="7">
        <f t="shared" si="291"/>
        <v>4600</v>
      </c>
      <c r="K1894" s="7">
        <f t="shared" si="292"/>
        <v>87400</v>
      </c>
      <c r="L1894" s="4">
        <v>85000</v>
      </c>
      <c r="M1894" s="7">
        <f t="shared" si="293"/>
        <v>172400</v>
      </c>
      <c r="N1894" s="2" t="s">
        <v>28</v>
      </c>
      <c r="O1894" t="s">
        <v>2110</v>
      </c>
      <c r="P1894" s="2" t="s">
        <v>2368</v>
      </c>
      <c r="Q1894" s="2">
        <v>1</v>
      </c>
      <c r="R1894" s="2" t="s">
        <v>23</v>
      </c>
      <c r="S1894" s="2" t="str">
        <f t="shared" si="294"/>
        <v>Tinggi</v>
      </c>
      <c r="T1894" s="2" t="str">
        <f t="shared" si="295"/>
        <v>FALSE</v>
      </c>
      <c r="U1894" s="2" t="str">
        <f t="shared" si="296"/>
        <v>TRUE</v>
      </c>
      <c r="V1894" s="2" t="b">
        <f t="shared" si="297"/>
        <v>0</v>
      </c>
      <c r="W1894" s="2" t="b">
        <f t="shared" si="298"/>
        <v>0</v>
      </c>
      <c r="X1894" s="2" t="b">
        <f t="shared" si="299"/>
        <v>0</v>
      </c>
    </row>
    <row r="1895" spans="1:24" ht="10.5" customHeight="1">
      <c r="A1895" s="2" t="s">
        <v>2246</v>
      </c>
      <c r="B1895" s="3">
        <v>46016.869826388887</v>
      </c>
      <c r="C1895" s="2" t="s">
        <v>311</v>
      </c>
      <c r="D1895" s="2" t="s">
        <v>74</v>
      </c>
      <c r="E1895" s="2" t="s">
        <v>170</v>
      </c>
      <c r="F1895" s="4">
        <v>12000</v>
      </c>
      <c r="G1895" s="5">
        <v>0.6</v>
      </c>
      <c r="H1895" s="6">
        <v>5</v>
      </c>
      <c r="I1895" s="7">
        <f t="shared" si="290"/>
        <v>7200</v>
      </c>
      <c r="J1895" s="7">
        <f t="shared" si="291"/>
        <v>360</v>
      </c>
      <c r="K1895" s="7">
        <f t="shared" si="292"/>
        <v>6840</v>
      </c>
      <c r="L1895" s="4">
        <v>74000</v>
      </c>
      <c r="M1895" s="7">
        <f t="shared" si="293"/>
        <v>80840</v>
      </c>
      <c r="N1895" s="2" t="s">
        <v>58</v>
      </c>
      <c r="O1895" t="s">
        <v>2110</v>
      </c>
      <c r="P1895" s="2" t="s">
        <v>2365</v>
      </c>
      <c r="Q1895" s="2">
        <v>3</v>
      </c>
      <c r="R1895" s="2" t="s">
        <v>23</v>
      </c>
      <c r="S1895" s="2" t="str">
        <f t="shared" si="294"/>
        <v>Rendah</v>
      </c>
      <c r="T1895" s="2" t="str">
        <f t="shared" si="295"/>
        <v>FALSE</v>
      </c>
      <c r="U1895" s="2" t="str">
        <f t="shared" si="296"/>
        <v>FALSE</v>
      </c>
      <c r="V1895" s="2" t="b">
        <f t="shared" si="297"/>
        <v>0</v>
      </c>
      <c r="W1895" s="2" t="b">
        <f t="shared" si="298"/>
        <v>0</v>
      </c>
      <c r="X1895" s="2" t="b">
        <f t="shared" si="299"/>
        <v>0</v>
      </c>
    </row>
    <row r="1896" spans="1:24" ht="10.5" customHeight="1">
      <c r="A1896" s="2" t="s">
        <v>2247</v>
      </c>
      <c r="B1896" s="3">
        <v>46016.892939814818</v>
      </c>
      <c r="C1896" s="2" t="s">
        <v>1386</v>
      </c>
      <c r="D1896" s="2" t="s">
        <v>425</v>
      </c>
      <c r="E1896" s="2" t="s">
        <v>143</v>
      </c>
      <c r="F1896" s="4">
        <v>10000</v>
      </c>
      <c r="G1896" s="5">
        <v>0.4</v>
      </c>
      <c r="H1896" s="6">
        <v>5</v>
      </c>
      <c r="I1896" s="7">
        <f t="shared" si="290"/>
        <v>4000</v>
      </c>
      <c r="J1896" s="7">
        <f t="shared" si="291"/>
        <v>200</v>
      </c>
      <c r="K1896" s="7">
        <f t="shared" si="292"/>
        <v>3800</v>
      </c>
      <c r="L1896" s="4">
        <v>67000</v>
      </c>
      <c r="M1896" s="7">
        <f t="shared" si="293"/>
        <v>70800</v>
      </c>
      <c r="N1896" s="2" t="s">
        <v>58</v>
      </c>
      <c r="O1896" t="s">
        <v>22</v>
      </c>
      <c r="P1896" s="2" t="s">
        <v>2365</v>
      </c>
      <c r="Q1896" s="2">
        <v>3</v>
      </c>
      <c r="R1896" s="2" t="s">
        <v>23</v>
      </c>
      <c r="S1896" s="2" t="str">
        <f t="shared" si="294"/>
        <v>Rendah</v>
      </c>
      <c r="T1896" s="2" t="str">
        <f t="shared" si="295"/>
        <v>FALSE</v>
      </c>
      <c r="U1896" s="2" t="str">
        <f t="shared" si="296"/>
        <v>TRUE</v>
      </c>
      <c r="V1896" s="2" t="b">
        <f t="shared" si="297"/>
        <v>0</v>
      </c>
      <c r="W1896" s="2" t="b">
        <f t="shared" si="298"/>
        <v>0</v>
      </c>
      <c r="X1896" s="2" t="b">
        <f t="shared" si="299"/>
        <v>0</v>
      </c>
    </row>
    <row r="1897" spans="1:24" ht="10.5" customHeight="1">
      <c r="A1897" s="2" t="s">
        <v>2248</v>
      </c>
      <c r="B1897" s="3">
        <v>46016.898402777777</v>
      </c>
      <c r="C1897" s="2" t="s">
        <v>142</v>
      </c>
      <c r="D1897" s="2" t="s">
        <v>94</v>
      </c>
      <c r="E1897" s="2" t="s">
        <v>182</v>
      </c>
      <c r="F1897" s="4">
        <v>11000</v>
      </c>
      <c r="G1897" s="5">
        <v>1.5</v>
      </c>
      <c r="H1897" s="6">
        <v>5</v>
      </c>
      <c r="I1897" s="7">
        <f t="shared" si="290"/>
        <v>16500</v>
      </c>
      <c r="J1897" s="7">
        <f t="shared" si="291"/>
        <v>825</v>
      </c>
      <c r="K1897" s="7">
        <f t="shared" si="292"/>
        <v>15675</v>
      </c>
      <c r="L1897" s="4">
        <v>85000</v>
      </c>
      <c r="M1897" s="7">
        <f t="shared" si="293"/>
        <v>100675</v>
      </c>
      <c r="N1897" s="2" t="s">
        <v>33</v>
      </c>
      <c r="O1897" t="s">
        <v>2110</v>
      </c>
      <c r="P1897" s="2" t="s">
        <v>2366</v>
      </c>
      <c r="Q1897" s="2">
        <v>4</v>
      </c>
      <c r="R1897" s="2" t="s">
        <v>34</v>
      </c>
      <c r="S1897" s="2" t="str">
        <f t="shared" si="294"/>
        <v>Standar</v>
      </c>
      <c r="T1897" s="2" t="str">
        <f t="shared" si="295"/>
        <v>FALSE</v>
      </c>
      <c r="U1897" s="2" t="str">
        <f t="shared" si="296"/>
        <v>FALSE</v>
      </c>
      <c r="V1897" s="2" t="b">
        <f t="shared" si="297"/>
        <v>0</v>
      </c>
      <c r="W1897" s="2" t="b">
        <f t="shared" si="298"/>
        <v>0</v>
      </c>
      <c r="X1897" s="2" t="b">
        <f t="shared" si="299"/>
        <v>0</v>
      </c>
    </row>
    <row r="1898" spans="1:24" ht="10.5" customHeight="1">
      <c r="A1898" s="2" t="s">
        <v>2249</v>
      </c>
      <c r="B1898" s="3">
        <v>46016.910451388889</v>
      </c>
      <c r="C1898" s="2" t="s">
        <v>500</v>
      </c>
      <c r="D1898" s="2" t="s">
        <v>87</v>
      </c>
      <c r="E1898" s="2" t="s">
        <v>143</v>
      </c>
      <c r="F1898" s="4">
        <v>10000</v>
      </c>
      <c r="G1898" s="5">
        <v>1.4</v>
      </c>
      <c r="H1898" s="6">
        <v>5</v>
      </c>
      <c r="I1898" s="7">
        <f t="shared" si="290"/>
        <v>14000</v>
      </c>
      <c r="J1898" s="7">
        <f t="shared" si="291"/>
        <v>700</v>
      </c>
      <c r="K1898" s="7">
        <f t="shared" si="292"/>
        <v>13300</v>
      </c>
      <c r="L1898" s="4">
        <v>49000</v>
      </c>
      <c r="M1898" s="7">
        <f t="shared" si="293"/>
        <v>62300</v>
      </c>
      <c r="N1898" s="2" t="s">
        <v>28</v>
      </c>
      <c r="O1898" t="s">
        <v>22</v>
      </c>
      <c r="P1898" s="2" t="s">
        <v>2368</v>
      </c>
      <c r="Q1898" s="2">
        <v>5</v>
      </c>
      <c r="R1898" s="2" t="s">
        <v>23</v>
      </c>
      <c r="S1898" s="2" t="str">
        <f t="shared" si="294"/>
        <v>Rendah</v>
      </c>
      <c r="T1898" s="2" t="str">
        <f t="shared" si="295"/>
        <v>FALSE</v>
      </c>
      <c r="U1898" s="2" t="str">
        <f t="shared" si="296"/>
        <v>TRUE</v>
      </c>
      <c r="V1898" s="2" t="b">
        <f t="shared" si="297"/>
        <v>0</v>
      </c>
      <c r="W1898" s="2" t="b">
        <f t="shared" si="298"/>
        <v>0</v>
      </c>
      <c r="X1898" s="2" t="b">
        <f t="shared" si="299"/>
        <v>0</v>
      </c>
    </row>
    <row r="1899" spans="1:24" ht="10.5" customHeight="1">
      <c r="A1899" s="2" t="s">
        <v>2250</v>
      </c>
      <c r="B1899" s="3">
        <v>46016.930185185192</v>
      </c>
      <c r="C1899" s="2" t="s">
        <v>1313</v>
      </c>
      <c r="D1899" s="2" t="s">
        <v>68</v>
      </c>
      <c r="E1899" s="2" t="s">
        <v>49</v>
      </c>
      <c r="F1899" s="4">
        <v>26000</v>
      </c>
      <c r="G1899" s="5">
        <v>0.6</v>
      </c>
      <c r="H1899" s="6">
        <v>5</v>
      </c>
      <c r="I1899" s="7">
        <f t="shared" si="290"/>
        <v>15600</v>
      </c>
      <c r="J1899" s="7">
        <f t="shared" si="291"/>
        <v>780</v>
      </c>
      <c r="K1899" s="7">
        <f t="shared" si="292"/>
        <v>14820</v>
      </c>
      <c r="L1899" s="4">
        <v>87000</v>
      </c>
      <c r="M1899" s="7">
        <f t="shared" si="293"/>
        <v>101820</v>
      </c>
      <c r="N1899" s="2" t="s">
        <v>28</v>
      </c>
      <c r="O1899" t="s">
        <v>2107</v>
      </c>
      <c r="P1899" s="2" t="s">
        <v>2368</v>
      </c>
      <c r="Q1899" s="2">
        <v>2</v>
      </c>
      <c r="R1899" s="2" t="s">
        <v>23</v>
      </c>
      <c r="S1899" s="2" t="str">
        <f t="shared" si="294"/>
        <v>Standar</v>
      </c>
      <c r="T1899" s="2" t="str">
        <f t="shared" si="295"/>
        <v>FALSE</v>
      </c>
      <c r="U1899" s="2" t="str">
        <f t="shared" si="296"/>
        <v>FALSE</v>
      </c>
      <c r="V1899" s="2" t="b">
        <f t="shared" si="297"/>
        <v>0</v>
      </c>
      <c r="W1899" s="2" t="b">
        <f t="shared" si="298"/>
        <v>0</v>
      </c>
      <c r="X1899" s="2" t="b">
        <f t="shared" si="299"/>
        <v>0</v>
      </c>
    </row>
    <row r="1900" spans="1:24" ht="10.5" customHeight="1">
      <c r="A1900" s="2" t="s">
        <v>2251</v>
      </c>
      <c r="B1900" s="3">
        <v>46016.951562499999</v>
      </c>
      <c r="C1900" s="2" t="s">
        <v>86</v>
      </c>
      <c r="D1900" s="2" t="s">
        <v>87</v>
      </c>
      <c r="E1900" s="2" t="s">
        <v>35</v>
      </c>
      <c r="F1900" s="4">
        <v>13500</v>
      </c>
      <c r="G1900" s="5">
        <v>1.2</v>
      </c>
      <c r="H1900" s="6">
        <v>5</v>
      </c>
      <c r="I1900" s="7">
        <f t="shared" si="290"/>
        <v>16200</v>
      </c>
      <c r="J1900" s="7">
        <f t="shared" si="291"/>
        <v>810</v>
      </c>
      <c r="K1900" s="7">
        <f t="shared" si="292"/>
        <v>15390</v>
      </c>
      <c r="L1900" s="4">
        <v>49000</v>
      </c>
      <c r="M1900" s="7">
        <f t="shared" si="293"/>
        <v>64390</v>
      </c>
      <c r="N1900" s="2" t="s">
        <v>28</v>
      </c>
      <c r="O1900" t="s">
        <v>2110</v>
      </c>
      <c r="P1900" s="2" t="s">
        <v>2370</v>
      </c>
      <c r="Q1900" s="2">
        <v>2</v>
      </c>
      <c r="R1900" s="2" t="s">
        <v>23</v>
      </c>
      <c r="S1900" s="2" t="str">
        <f t="shared" si="294"/>
        <v>Rendah</v>
      </c>
      <c r="T1900" s="2" t="str">
        <f t="shared" si="295"/>
        <v>FALSE</v>
      </c>
      <c r="U1900" s="2" t="str">
        <f t="shared" si="296"/>
        <v>FALSE</v>
      </c>
      <c r="V1900" s="2" t="b">
        <f t="shared" si="297"/>
        <v>0</v>
      </c>
      <c r="W1900" s="2" t="b">
        <f t="shared" si="298"/>
        <v>0</v>
      </c>
      <c r="X1900" s="2" t="b">
        <f t="shared" si="299"/>
        <v>0</v>
      </c>
    </row>
    <row r="1901" spans="1:24" ht="10.5" customHeight="1">
      <c r="A1901" s="2" t="s">
        <v>2252</v>
      </c>
      <c r="B1901" s="3">
        <v>46016.965763888889</v>
      </c>
      <c r="C1901" s="2" t="s">
        <v>384</v>
      </c>
      <c r="D1901" s="2" t="s">
        <v>48</v>
      </c>
      <c r="E1901" s="2" t="s">
        <v>57</v>
      </c>
      <c r="F1901" s="4">
        <v>17500</v>
      </c>
      <c r="G1901" s="5">
        <v>3.9</v>
      </c>
      <c r="H1901" s="6">
        <v>5</v>
      </c>
      <c r="I1901" s="7">
        <f t="shared" si="290"/>
        <v>68250</v>
      </c>
      <c r="J1901" s="7">
        <f t="shared" si="291"/>
        <v>3412.5</v>
      </c>
      <c r="K1901" s="7">
        <f t="shared" si="292"/>
        <v>64837.5</v>
      </c>
      <c r="L1901" s="4">
        <v>18000</v>
      </c>
      <c r="M1901" s="7">
        <f t="shared" si="293"/>
        <v>82837.5</v>
      </c>
      <c r="N1901" s="2" t="s">
        <v>33</v>
      </c>
      <c r="O1901" t="s">
        <v>22</v>
      </c>
      <c r="P1901" s="2" t="s">
        <v>2368</v>
      </c>
      <c r="Q1901" s="2">
        <v>3</v>
      </c>
      <c r="R1901" s="2" t="s">
        <v>23</v>
      </c>
      <c r="S1901" s="2" t="str">
        <f t="shared" si="294"/>
        <v>Rendah</v>
      </c>
      <c r="T1901" s="2" t="str">
        <f t="shared" si="295"/>
        <v>FALSE</v>
      </c>
      <c r="U1901" s="2" t="str">
        <f t="shared" si="296"/>
        <v>FALSE</v>
      </c>
      <c r="V1901" s="2" t="b">
        <f t="shared" si="297"/>
        <v>0</v>
      </c>
      <c r="W1901" s="2" t="b">
        <f t="shared" si="298"/>
        <v>0</v>
      </c>
      <c r="X1901" s="2" t="b">
        <f t="shared" si="299"/>
        <v>0</v>
      </c>
    </row>
    <row r="1902" spans="1:24" ht="10.5" customHeight="1">
      <c r="A1902" s="2" t="s">
        <v>2253</v>
      </c>
      <c r="B1902" s="3">
        <v>46017.103668981479</v>
      </c>
      <c r="C1902" s="2" t="s">
        <v>975</v>
      </c>
      <c r="D1902" s="2" t="s">
        <v>48</v>
      </c>
      <c r="E1902" s="2" t="s">
        <v>161</v>
      </c>
      <c r="F1902" s="4">
        <v>115000</v>
      </c>
      <c r="G1902" s="5">
        <v>0.6</v>
      </c>
      <c r="H1902" s="6">
        <v>0</v>
      </c>
      <c r="I1902" s="7">
        <f t="shared" si="290"/>
        <v>69000</v>
      </c>
      <c r="J1902" s="7">
        <f t="shared" si="291"/>
        <v>0</v>
      </c>
      <c r="K1902" s="7">
        <f t="shared" si="292"/>
        <v>69000</v>
      </c>
      <c r="L1902" s="4">
        <v>18000</v>
      </c>
      <c r="M1902" s="7">
        <f t="shared" si="293"/>
        <v>87000</v>
      </c>
      <c r="N1902" s="2" t="s">
        <v>28</v>
      </c>
      <c r="O1902" t="s">
        <v>115</v>
      </c>
      <c r="P1902" s="2" t="s">
        <v>2365</v>
      </c>
      <c r="Q1902" s="2">
        <v>1</v>
      </c>
      <c r="R1902" s="2" t="s">
        <v>23</v>
      </c>
      <c r="S1902" s="2" t="str">
        <f t="shared" si="294"/>
        <v>Rendah</v>
      </c>
      <c r="T1902" s="2" t="str">
        <f t="shared" si="295"/>
        <v>FALSE</v>
      </c>
      <c r="U1902" s="2" t="str">
        <f t="shared" si="296"/>
        <v>FALSE</v>
      </c>
      <c r="V1902" s="2" t="b">
        <f t="shared" si="297"/>
        <v>0</v>
      </c>
      <c r="W1902" s="2" t="b">
        <f t="shared" si="298"/>
        <v>0</v>
      </c>
      <c r="X1902" s="2" t="b">
        <f t="shared" si="299"/>
        <v>0</v>
      </c>
    </row>
    <row r="1903" spans="1:24" ht="10.5" customHeight="1">
      <c r="A1903" s="2" t="s">
        <v>2254</v>
      </c>
      <c r="B1903" s="3">
        <v>46017.128194444442</v>
      </c>
      <c r="C1903" s="2" t="s">
        <v>415</v>
      </c>
      <c r="D1903" s="2" t="s">
        <v>40</v>
      </c>
      <c r="E1903" s="2" t="s">
        <v>102</v>
      </c>
      <c r="F1903" s="4">
        <v>55000</v>
      </c>
      <c r="G1903" s="5">
        <v>0.4</v>
      </c>
      <c r="H1903" s="6">
        <v>0</v>
      </c>
      <c r="I1903" s="7">
        <f t="shared" si="290"/>
        <v>22000</v>
      </c>
      <c r="J1903" s="7">
        <f t="shared" si="291"/>
        <v>0</v>
      </c>
      <c r="K1903" s="7">
        <f t="shared" si="292"/>
        <v>22000</v>
      </c>
      <c r="L1903" s="4">
        <v>93000</v>
      </c>
      <c r="M1903" s="7">
        <f t="shared" si="293"/>
        <v>115000</v>
      </c>
      <c r="N1903" s="2" t="s">
        <v>28</v>
      </c>
      <c r="O1903" t="s">
        <v>22</v>
      </c>
      <c r="P1903" s="2" t="s">
        <v>2368</v>
      </c>
      <c r="Q1903" s="2">
        <v>1</v>
      </c>
      <c r="R1903" s="2" t="s">
        <v>34</v>
      </c>
      <c r="S1903" s="2" t="str">
        <f t="shared" si="294"/>
        <v>Standar</v>
      </c>
      <c r="T1903" s="2" t="str">
        <f t="shared" si="295"/>
        <v>FALSE</v>
      </c>
      <c r="U1903" s="2" t="str">
        <f t="shared" si="296"/>
        <v>FALSE</v>
      </c>
      <c r="V1903" s="2" t="b">
        <f t="shared" si="297"/>
        <v>0</v>
      </c>
      <c r="W1903" s="2" t="b">
        <f t="shared" si="298"/>
        <v>0</v>
      </c>
      <c r="X1903" s="2" t="b">
        <f t="shared" si="299"/>
        <v>0</v>
      </c>
    </row>
    <row r="1904" spans="1:24" ht="10.5" customHeight="1">
      <c r="A1904" s="2" t="s">
        <v>2255</v>
      </c>
      <c r="B1904" s="3">
        <v>46017.181620370371</v>
      </c>
      <c r="C1904" s="2" t="s">
        <v>181</v>
      </c>
      <c r="D1904" s="2" t="s">
        <v>98</v>
      </c>
      <c r="E1904" s="2" t="s">
        <v>143</v>
      </c>
      <c r="F1904" s="4">
        <v>10000</v>
      </c>
      <c r="G1904" s="5">
        <v>0.5</v>
      </c>
      <c r="H1904" s="6">
        <v>0</v>
      </c>
      <c r="I1904" s="7">
        <f t="shared" si="290"/>
        <v>5000</v>
      </c>
      <c r="J1904" s="7">
        <f t="shared" si="291"/>
        <v>0</v>
      </c>
      <c r="K1904" s="7">
        <f t="shared" si="292"/>
        <v>5000</v>
      </c>
      <c r="L1904" s="4">
        <v>97000</v>
      </c>
      <c r="M1904" s="7">
        <f t="shared" si="293"/>
        <v>102000</v>
      </c>
      <c r="N1904" s="2" t="s">
        <v>28</v>
      </c>
      <c r="O1904" t="s">
        <v>22</v>
      </c>
      <c r="P1904" s="2" t="s">
        <v>2367</v>
      </c>
      <c r="Q1904" s="2">
        <v>1</v>
      </c>
      <c r="R1904" s="2" t="s">
        <v>23</v>
      </c>
      <c r="S1904" s="2" t="str">
        <f t="shared" si="294"/>
        <v>Standar</v>
      </c>
      <c r="T1904" s="2" t="str">
        <f t="shared" si="295"/>
        <v>FALSE</v>
      </c>
      <c r="U1904" s="2" t="str">
        <f t="shared" si="296"/>
        <v>TRUE</v>
      </c>
      <c r="V1904" s="2" t="b">
        <f t="shared" si="297"/>
        <v>0</v>
      </c>
      <c r="W1904" s="2" t="b">
        <f t="shared" si="298"/>
        <v>1</v>
      </c>
      <c r="X1904" s="2" t="b">
        <f t="shared" si="299"/>
        <v>0</v>
      </c>
    </row>
    <row r="1905" spans="1:24" ht="10.5" customHeight="1">
      <c r="A1905" s="2" t="s">
        <v>2255</v>
      </c>
      <c r="B1905" s="3">
        <v>46017.181620370371</v>
      </c>
      <c r="C1905" s="2" t="s">
        <v>181</v>
      </c>
      <c r="D1905" s="2" t="s">
        <v>98</v>
      </c>
      <c r="E1905" s="2" t="s">
        <v>35</v>
      </c>
      <c r="F1905" s="4">
        <v>13500</v>
      </c>
      <c r="G1905" s="5">
        <v>2.9</v>
      </c>
      <c r="H1905" s="6">
        <v>0</v>
      </c>
      <c r="I1905" s="7">
        <f t="shared" si="290"/>
        <v>39150</v>
      </c>
      <c r="J1905" s="7">
        <f t="shared" si="291"/>
        <v>0</v>
      </c>
      <c r="K1905" s="7">
        <f t="shared" si="292"/>
        <v>39150</v>
      </c>
      <c r="L1905" s="4">
        <v>0</v>
      </c>
      <c r="M1905" s="7">
        <f t="shared" si="293"/>
        <v>39150</v>
      </c>
      <c r="N1905" s="2" t="s">
        <v>28</v>
      </c>
      <c r="O1905" t="s">
        <v>22</v>
      </c>
      <c r="P1905" s="2" t="s">
        <v>2367</v>
      </c>
      <c r="Q1905" s="2">
        <v>1</v>
      </c>
      <c r="R1905" s="2" t="s">
        <v>23</v>
      </c>
      <c r="S1905" s="2" t="str">
        <f t="shared" si="294"/>
        <v>Sangat Rendah</v>
      </c>
      <c r="T1905" s="2" t="str">
        <f t="shared" si="295"/>
        <v>FALSE</v>
      </c>
      <c r="U1905" s="2" t="str">
        <f t="shared" si="296"/>
        <v>FALSE</v>
      </c>
      <c r="V1905" s="2" t="b">
        <f t="shared" si="297"/>
        <v>0</v>
      </c>
      <c r="W1905" s="2" t="b">
        <f t="shared" si="298"/>
        <v>1</v>
      </c>
      <c r="X1905" s="2" t="b">
        <f t="shared" si="299"/>
        <v>1</v>
      </c>
    </row>
    <row r="1906" spans="1:24" ht="10.5" customHeight="1">
      <c r="A1906" s="2" t="s">
        <v>2256</v>
      </c>
      <c r="B1906" s="3">
        <v>46017.315162037034</v>
      </c>
      <c r="C1906" s="2" t="s">
        <v>213</v>
      </c>
      <c r="D1906" s="2" t="s">
        <v>44</v>
      </c>
      <c r="E1906" s="2" t="s">
        <v>35</v>
      </c>
      <c r="F1906" s="4">
        <v>13500</v>
      </c>
      <c r="G1906" s="5">
        <v>2.9</v>
      </c>
      <c r="H1906" s="6">
        <v>0</v>
      </c>
      <c r="I1906" s="7">
        <f t="shared" si="290"/>
        <v>39150</v>
      </c>
      <c r="J1906" s="7">
        <f t="shared" si="291"/>
        <v>0</v>
      </c>
      <c r="K1906" s="7">
        <f t="shared" si="292"/>
        <v>39150</v>
      </c>
      <c r="L1906" s="4">
        <v>43000</v>
      </c>
      <c r="M1906" s="7">
        <f t="shared" si="293"/>
        <v>82150</v>
      </c>
      <c r="N1906" s="2" t="s">
        <v>21</v>
      </c>
      <c r="O1906" t="s">
        <v>2110</v>
      </c>
      <c r="P1906" s="2" t="s">
        <v>2370</v>
      </c>
      <c r="Q1906" s="2">
        <v>2</v>
      </c>
      <c r="R1906" s="2" t="s">
        <v>23</v>
      </c>
      <c r="S1906" s="2" t="str">
        <f t="shared" si="294"/>
        <v>Rendah</v>
      </c>
      <c r="T1906" s="2" t="str">
        <f t="shared" si="295"/>
        <v>FALSE</v>
      </c>
      <c r="U1906" s="2" t="str">
        <f t="shared" si="296"/>
        <v>FALSE</v>
      </c>
      <c r="V1906" s="2" t="b">
        <f t="shared" si="297"/>
        <v>0</v>
      </c>
      <c r="W1906" s="2" t="b">
        <f t="shared" si="298"/>
        <v>0</v>
      </c>
      <c r="X1906" s="2" t="b">
        <f t="shared" si="299"/>
        <v>0</v>
      </c>
    </row>
    <row r="1907" spans="1:24" ht="10.5" customHeight="1">
      <c r="A1907" s="2" t="s">
        <v>2257</v>
      </c>
      <c r="B1907" s="3">
        <v>46017.370682870373</v>
      </c>
      <c r="C1907" s="2" t="s">
        <v>1025</v>
      </c>
      <c r="D1907" s="2" t="s">
        <v>61</v>
      </c>
      <c r="E1907" s="2" t="s">
        <v>32</v>
      </c>
      <c r="F1907" s="4">
        <v>20000</v>
      </c>
      <c r="G1907" s="5">
        <v>0.5</v>
      </c>
      <c r="H1907" s="6">
        <v>0</v>
      </c>
      <c r="I1907" s="7">
        <f t="shared" si="290"/>
        <v>10000</v>
      </c>
      <c r="J1907" s="7">
        <f t="shared" si="291"/>
        <v>0</v>
      </c>
      <c r="K1907" s="7">
        <f t="shared" si="292"/>
        <v>10000</v>
      </c>
      <c r="L1907" s="4">
        <v>59000</v>
      </c>
      <c r="M1907" s="7">
        <f t="shared" si="293"/>
        <v>69000</v>
      </c>
      <c r="N1907" s="2" t="s">
        <v>21</v>
      </c>
      <c r="O1907" t="s">
        <v>2110</v>
      </c>
      <c r="P1907" s="2" t="s">
        <v>2370</v>
      </c>
      <c r="Q1907" s="2">
        <v>2</v>
      </c>
      <c r="R1907" s="2" t="s">
        <v>23</v>
      </c>
      <c r="S1907" s="2" t="str">
        <f t="shared" si="294"/>
        <v>Rendah</v>
      </c>
      <c r="T1907" s="2" t="str">
        <f t="shared" si="295"/>
        <v>FALSE</v>
      </c>
      <c r="U1907" s="2" t="str">
        <f t="shared" si="296"/>
        <v>FALSE</v>
      </c>
      <c r="V1907" s="2" t="b">
        <f t="shared" si="297"/>
        <v>0</v>
      </c>
      <c r="W1907" s="2" t="b">
        <f t="shared" si="298"/>
        <v>0</v>
      </c>
      <c r="X1907" s="2" t="b">
        <f t="shared" si="299"/>
        <v>0</v>
      </c>
    </row>
    <row r="1908" spans="1:24" ht="10.5" customHeight="1">
      <c r="A1908" s="2" t="s">
        <v>2258</v>
      </c>
      <c r="B1908" s="3">
        <v>46017.466041666667</v>
      </c>
      <c r="C1908" s="2" t="s">
        <v>47</v>
      </c>
      <c r="D1908" s="2" t="s">
        <v>48</v>
      </c>
      <c r="E1908" s="2" t="s">
        <v>102</v>
      </c>
      <c r="F1908" s="4">
        <v>55000</v>
      </c>
      <c r="G1908" s="5">
        <v>0.4</v>
      </c>
      <c r="H1908" s="6">
        <v>0</v>
      </c>
      <c r="I1908" s="7">
        <f t="shared" si="290"/>
        <v>22000</v>
      </c>
      <c r="J1908" s="7">
        <f t="shared" si="291"/>
        <v>0</v>
      </c>
      <c r="K1908" s="7">
        <f t="shared" si="292"/>
        <v>22000</v>
      </c>
      <c r="L1908" s="4">
        <v>18000</v>
      </c>
      <c r="M1908" s="7">
        <f t="shared" si="293"/>
        <v>40000</v>
      </c>
      <c r="N1908" s="2" t="s">
        <v>21</v>
      </c>
      <c r="O1908" t="s">
        <v>22</v>
      </c>
      <c r="P1908" s="2" t="s">
        <v>2366</v>
      </c>
      <c r="Q1908" s="2">
        <v>5</v>
      </c>
      <c r="R1908" s="2" t="s">
        <v>23</v>
      </c>
      <c r="S1908" s="2" t="str">
        <f t="shared" si="294"/>
        <v>Sangat Rendah</v>
      </c>
      <c r="T1908" s="2" t="str">
        <f t="shared" si="295"/>
        <v>FALSE</v>
      </c>
      <c r="U1908" s="2" t="str">
        <f t="shared" si="296"/>
        <v>FALSE</v>
      </c>
      <c r="V1908" s="2" t="b">
        <f t="shared" si="297"/>
        <v>0</v>
      </c>
      <c r="W1908" s="2" t="b">
        <f t="shared" si="298"/>
        <v>0</v>
      </c>
      <c r="X1908" s="2" t="b">
        <f t="shared" si="299"/>
        <v>1</v>
      </c>
    </row>
    <row r="1909" spans="1:24" ht="10.5" customHeight="1">
      <c r="A1909" s="2" t="s">
        <v>2259</v>
      </c>
      <c r="B1909" s="3">
        <v>46017.499421296299</v>
      </c>
      <c r="C1909" s="2" t="s">
        <v>605</v>
      </c>
      <c r="D1909" s="2" t="s">
        <v>84</v>
      </c>
      <c r="E1909" s="2" t="s">
        <v>57</v>
      </c>
      <c r="F1909" s="4">
        <v>17500</v>
      </c>
      <c r="G1909" s="5">
        <v>3.5</v>
      </c>
      <c r="H1909" s="6">
        <v>0</v>
      </c>
      <c r="I1909" s="7">
        <f t="shared" si="290"/>
        <v>61250</v>
      </c>
      <c r="J1909" s="7">
        <f t="shared" si="291"/>
        <v>0</v>
      </c>
      <c r="K1909" s="7">
        <f t="shared" si="292"/>
        <v>61250</v>
      </c>
      <c r="L1909" s="4">
        <v>30000</v>
      </c>
      <c r="M1909" s="7">
        <f t="shared" si="293"/>
        <v>91250</v>
      </c>
      <c r="N1909" s="2" t="s">
        <v>58</v>
      </c>
      <c r="O1909" t="s">
        <v>22</v>
      </c>
      <c r="P1909" s="2" t="s">
        <v>2368</v>
      </c>
      <c r="Q1909" s="2">
        <v>3</v>
      </c>
      <c r="R1909" s="2" t="s">
        <v>23</v>
      </c>
      <c r="S1909" s="2" t="str">
        <f t="shared" si="294"/>
        <v>Rendah</v>
      </c>
      <c r="T1909" s="2" t="str">
        <f t="shared" si="295"/>
        <v>FALSE</v>
      </c>
      <c r="U1909" s="2" t="str">
        <f t="shared" si="296"/>
        <v>FALSE</v>
      </c>
      <c r="V1909" s="2" t="b">
        <f t="shared" si="297"/>
        <v>0</v>
      </c>
      <c r="W1909" s="2" t="b">
        <f t="shared" si="298"/>
        <v>0</v>
      </c>
      <c r="X1909" s="2" t="b">
        <f t="shared" si="299"/>
        <v>0</v>
      </c>
    </row>
    <row r="1910" spans="1:24" ht="10.5" customHeight="1">
      <c r="A1910" s="2" t="s">
        <v>2260</v>
      </c>
      <c r="B1910" s="3">
        <v>46017.504988425928</v>
      </c>
      <c r="C1910" s="2" t="s">
        <v>275</v>
      </c>
      <c r="D1910" s="2" t="s">
        <v>19</v>
      </c>
      <c r="E1910" s="2" t="s">
        <v>75</v>
      </c>
      <c r="F1910" s="4">
        <v>45000</v>
      </c>
      <c r="G1910" s="5">
        <v>0.4</v>
      </c>
      <c r="H1910" s="6">
        <v>0</v>
      </c>
      <c r="I1910" s="7">
        <f t="shared" si="290"/>
        <v>18000</v>
      </c>
      <c r="J1910" s="7">
        <f t="shared" si="291"/>
        <v>0</v>
      </c>
      <c r="K1910" s="7">
        <f t="shared" si="292"/>
        <v>18000</v>
      </c>
      <c r="L1910" s="4">
        <v>15000</v>
      </c>
      <c r="M1910" s="7">
        <f t="shared" si="293"/>
        <v>33000</v>
      </c>
      <c r="N1910" s="2" t="s">
        <v>33</v>
      </c>
      <c r="O1910" t="s">
        <v>22</v>
      </c>
      <c r="P1910" s="2" t="s">
        <v>2366</v>
      </c>
      <c r="Q1910" s="2">
        <v>1</v>
      </c>
      <c r="R1910" s="2" t="s">
        <v>34</v>
      </c>
      <c r="S1910" s="2" t="str">
        <f t="shared" si="294"/>
        <v>Sangat Rendah</v>
      </c>
      <c r="T1910" s="2" t="str">
        <f t="shared" si="295"/>
        <v>FALSE</v>
      </c>
      <c r="U1910" s="2" t="str">
        <f t="shared" si="296"/>
        <v>FALSE</v>
      </c>
      <c r="V1910" s="2" t="b">
        <f t="shared" si="297"/>
        <v>0</v>
      </c>
      <c r="W1910" s="2" t="b">
        <f t="shared" si="298"/>
        <v>0</v>
      </c>
      <c r="X1910" s="2" t="b">
        <f t="shared" si="299"/>
        <v>0</v>
      </c>
    </row>
    <row r="1911" spans="1:24" ht="10.5" customHeight="1">
      <c r="A1911" s="2" t="s">
        <v>2261</v>
      </c>
      <c r="B1911" s="3">
        <v>46017.649108796293</v>
      </c>
      <c r="C1911" s="2" t="s">
        <v>1331</v>
      </c>
      <c r="D1911" s="2" t="s">
        <v>98</v>
      </c>
      <c r="E1911" s="2" t="s">
        <v>161</v>
      </c>
      <c r="F1911" s="4">
        <v>115000</v>
      </c>
      <c r="G1911" s="5">
        <v>0.6</v>
      </c>
      <c r="H1911" s="6">
        <v>0</v>
      </c>
      <c r="I1911" s="7">
        <f t="shared" si="290"/>
        <v>69000</v>
      </c>
      <c r="J1911" s="7">
        <f t="shared" si="291"/>
        <v>0</v>
      </c>
      <c r="K1911" s="7">
        <f t="shared" si="292"/>
        <v>69000</v>
      </c>
      <c r="L1911" s="4">
        <v>97000</v>
      </c>
      <c r="M1911" s="7">
        <f t="shared" si="293"/>
        <v>166000</v>
      </c>
      <c r="N1911" s="2" t="s">
        <v>21</v>
      </c>
      <c r="O1911" t="s">
        <v>2107</v>
      </c>
      <c r="P1911" s="2" t="s">
        <v>2366</v>
      </c>
      <c r="Q1911" s="2">
        <v>1</v>
      </c>
      <c r="R1911" s="2" t="s">
        <v>34</v>
      </c>
      <c r="S1911" s="2" t="str">
        <f t="shared" si="294"/>
        <v>Tinggi</v>
      </c>
      <c r="T1911" s="2" t="str">
        <f t="shared" si="295"/>
        <v>FALSE</v>
      </c>
      <c r="U1911" s="2" t="str">
        <f t="shared" si="296"/>
        <v>TRUE</v>
      </c>
      <c r="V1911" s="2" t="b">
        <f t="shared" si="297"/>
        <v>0</v>
      </c>
      <c r="W1911" s="2" t="b">
        <f t="shared" si="298"/>
        <v>0</v>
      </c>
      <c r="X1911" s="2" t="b">
        <f t="shared" si="299"/>
        <v>0</v>
      </c>
    </row>
    <row r="1912" spans="1:24" ht="10.5" customHeight="1">
      <c r="A1912" s="2" t="s">
        <v>2262</v>
      </c>
      <c r="B1912" s="3">
        <v>46017.655775462961</v>
      </c>
      <c r="C1912" s="2" t="s">
        <v>358</v>
      </c>
      <c r="D1912" s="2" t="s">
        <v>105</v>
      </c>
      <c r="E1912" s="2" t="s">
        <v>170</v>
      </c>
      <c r="F1912" s="4">
        <v>12000</v>
      </c>
      <c r="G1912" s="5">
        <v>0.9</v>
      </c>
      <c r="H1912" s="6">
        <v>0</v>
      </c>
      <c r="I1912" s="7">
        <f t="shared" si="290"/>
        <v>10800</v>
      </c>
      <c r="J1912" s="7">
        <f t="shared" si="291"/>
        <v>0</v>
      </c>
      <c r="K1912" s="7">
        <f t="shared" si="292"/>
        <v>10800</v>
      </c>
      <c r="L1912" s="4">
        <v>18000</v>
      </c>
      <c r="M1912" s="7">
        <f t="shared" si="293"/>
        <v>28800</v>
      </c>
      <c r="N1912" s="2" t="s">
        <v>28</v>
      </c>
      <c r="O1912" t="s">
        <v>2110</v>
      </c>
      <c r="P1912" s="2" t="s">
        <v>2365</v>
      </c>
      <c r="Q1912" s="2">
        <v>1</v>
      </c>
      <c r="R1912" s="2" t="s">
        <v>34</v>
      </c>
      <c r="S1912" s="2" t="str">
        <f t="shared" si="294"/>
        <v>Sangat Rendah</v>
      </c>
      <c r="T1912" s="2" t="str">
        <f t="shared" si="295"/>
        <v>FALSE</v>
      </c>
      <c r="U1912" s="2" t="str">
        <f t="shared" si="296"/>
        <v>FALSE</v>
      </c>
      <c r="V1912" s="2" t="b">
        <f t="shared" si="297"/>
        <v>0</v>
      </c>
      <c r="W1912" s="2" t="b">
        <f t="shared" si="298"/>
        <v>0</v>
      </c>
      <c r="X1912" s="2" t="b">
        <f t="shared" si="299"/>
        <v>0</v>
      </c>
    </row>
    <row r="1913" spans="1:24" ht="10.5" customHeight="1">
      <c r="A1913" s="2" t="s">
        <v>2263</v>
      </c>
      <c r="B1913" s="3">
        <v>46017.692094907397</v>
      </c>
      <c r="C1913" s="2" t="s">
        <v>107</v>
      </c>
      <c r="D1913" s="2" t="s">
        <v>108</v>
      </c>
      <c r="E1913" s="2" t="s">
        <v>102</v>
      </c>
      <c r="F1913" s="4">
        <v>55000</v>
      </c>
      <c r="G1913" s="5">
        <v>0.5</v>
      </c>
      <c r="H1913" s="6">
        <v>0</v>
      </c>
      <c r="I1913" s="7">
        <f t="shared" si="290"/>
        <v>27500</v>
      </c>
      <c r="J1913" s="7">
        <f t="shared" si="291"/>
        <v>0</v>
      </c>
      <c r="K1913" s="7">
        <f t="shared" si="292"/>
        <v>27500</v>
      </c>
      <c r="L1913" s="4">
        <v>72000</v>
      </c>
      <c r="M1913" s="7">
        <f t="shared" si="293"/>
        <v>99500</v>
      </c>
      <c r="N1913" s="2" t="s">
        <v>58</v>
      </c>
      <c r="O1913" t="s">
        <v>2110</v>
      </c>
      <c r="P1913" s="2" t="s">
        <v>2368</v>
      </c>
      <c r="Q1913" s="2">
        <v>4</v>
      </c>
      <c r="R1913" s="2" t="s">
        <v>23</v>
      </c>
      <c r="S1913" s="2" t="str">
        <f t="shared" si="294"/>
        <v>Rendah</v>
      </c>
      <c r="T1913" s="2" t="str">
        <f t="shared" si="295"/>
        <v>FALSE</v>
      </c>
      <c r="U1913" s="2" t="str">
        <f t="shared" si="296"/>
        <v>FALSE</v>
      </c>
      <c r="V1913" s="2" t="b">
        <f t="shared" si="297"/>
        <v>0</v>
      </c>
      <c r="W1913" s="2" t="b">
        <f t="shared" si="298"/>
        <v>0</v>
      </c>
      <c r="X1913" s="2" t="b">
        <f t="shared" si="299"/>
        <v>0</v>
      </c>
    </row>
    <row r="1914" spans="1:24" ht="10.5" customHeight="1">
      <c r="A1914" s="2" t="s">
        <v>2264</v>
      </c>
      <c r="B1914" s="3">
        <v>46017.705729166657</v>
      </c>
      <c r="C1914" s="2" t="s">
        <v>716</v>
      </c>
      <c r="D1914" s="2" t="s">
        <v>48</v>
      </c>
      <c r="E1914" s="2" t="s">
        <v>102</v>
      </c>
      <c r="F1914" s="4">
        <v>55000</v>
      </c>
      <c r="G1914" s="5">
        <v>0.4</v>
      </c>
      <c r="H1914" s="6">
        <v>0</v>
      </c>
      <c r="I1914" s="7">
        <f t="shared" si="290"/>
        <v>22000</v>
      </c>
      <c r="J1914" s="7">
        <f t="shared" si="291"/>
        <v>0</v>
      </c>
      <c r="K1914" s="7">
        <f t="shared" si="292"/>
        <v>22000</v>
      </c>
      <c r="L1914" s="4">
        <v>18000</v>
      </c>
      <c r="M1914" s="7">
        <f t="shared" si="293"/>
        <v>40000</v>
      </c>
      <c r="N1914" s="2" t="s">
        <v>58</v>
      </c>
      <c r="O1914" t="s">
        <v>2110</v>
      </c>
      <c r="P1914" s="2" t="s">
        <v>2365</v>
      </c>
      <c r="Q1914" s="2">
        <v>4</v>
      </c>
      <c r="R1914" s="2" t="s">
        <v>34</v>
      </c>
      <c r="S1914" s="2" t="str">
        <f t="shared" si="294"/>
        <v>Sangat Rendah</v>
      </c>
      <c r="T1914" s="2" t="str">
        <f t="shared" si="295"/>
        <v>FALSE</v>
      </c>
      <c r="U1914" s="2" t="str">
        <f t="shared" si="296"/>
        <v>FALSE</v>
      </c>
      <c r="V1914" s="2" t="b">
        <f t="shared" si="297"/>
        <v>0</v>
      </c>
      <c r="W1914" s="2" t="b">
        <f t="shared" si="298"/>
        <v>0</v>
      </c>
      <c r="X1914" s="2" t="b">
        <f t="shared" si="299"/>
        <v>0</v>
      </c>
    </row>
    <row r="1915" spans="1:24" ht="10.5" customHeight="1">
      <c r="A1915" s="2" t="s">
        <v>2265</v>
      </c>
      <c r="B1915" s="3">
        <v>46017.748877314807</v>
      </c>
      <c r="C1915" s="2" t="s">
        <v>701</v>
      </c>
      <c r="D1915" s="2" t="s">
        <v>167</v>
      </c>
      <c r="E1915" s="2" t="s">
        <v>80</v>
      </c>
      <c r="F1915" s="4">
        <v>15000</v>
      </c>
      <c r="G1915" s="5">
        <v>1.1000000000000001</v>
      </c>
      <c r="H1915" s="6">
        <v>0</v>
      </c>
      <c r="I1915" s="7">
        <f t="shared" si="290"/>
        <v>16500</v>
      </c>
      <c r="J1915" s="7">
        <f t="shared" si="291"/>
        <v>0</v>
      </c>
      <c r="K1915" s="7">
        <f t="shared" si="292"/>
        <v>16500</v>
      </c>
      <c r="L1915" s="4">
        <v>56000</v>
      </c>
      <c r="M1915" s="7">
        <f t="shared" si="293"/>
        <v>72500</v>
      </c>
      <c r="N1915" s="2" t="s">
        <v>33</v>
      </c>
      <c r="O1915" t="s">
        <v>2110</v>
      </c>
      <c r="P1915" s="2" t="s">
        <v>2365</v>
      </c>
      <c r="Q1915" s="2">
        <v>5</v>
      </c>
      <c r="R1915" s="2" t="s">
        <v>23</v>
      </c>
      <c r="S1915" s="2" t="str">
        <f t="shared" si="294"/>
        <v>Rendah</v>
      </c>
      <c r="T1915" s="2" t="str">
        <f t="shared" si="295"/>
        <v>FALSE</v>
      </c>
      <c r="U1915" s="2" t="str">
        <f t="shared" si="296"/>
        <v>FALSE</v>
      </c>
      <c r="V1915" s="2" t="b">
        <f t="shared" si="297"/>
        <v>0</v>
      </c>
      <c r="W1915" s="2" t="b">
        <f t="shared" si="298"/>
        <v>0</v>
      </c>
      <c r="X1915" s="2" t="b">
        <f t="shared" si="299"/>
        <v>0</v>
      </c>
    </row>
    <row r="1916" spans="1:24" ht="10.5" customHeight="1">
      <c r="A1916" s="2" t="s">
        <v>2266</v>
      </c>
      <c r="B1916" s="3">
        <v>46017.954317129632</v>
      </c>
      <c r="C1916" s="2" t="s">
        <v>537</v>
      </c>
      <c r="D1916" s="2" t="s">
        <v>111</v>
      </c>
      <c r="E1916" s="2" t="s">
        <v>99</v>
      </c>
      <c r="F1916" s="4">
        <v>10000</v>
      </c>
      <c r="G1916" s="5">
        <v>0.3</v>
      </c>
      <c r="H1916" s="6">
        <v>0</v>
      </c>
      <c r="I1916" s="7">
        <f t="shared" si="290"/>
        <v>3000</v>
      </c>
      <c r="J1916" s="7">
        <f t="shared" si="291"/>
        <v>0</v>
      </c>
      <c r="K1916" s="7">
        <f t="shared" si="292"/>
        <v>3000</v>
      </c>
      <c r="L1916" s="4">
        <v>0</v>
      </c>
      <c r="M1916" s="7">
        <f t="shared" si="293"/>
        <v>3000</v>
      </c>
      <c r="N1916" s="2" t="s">
        <v>28</v>
      </c>
      <c r="O1916" t="s">
        <v>2107</v>
      </c>
      <c r="P1916" s="2" t="s">
        <v>2368</v>
      </c>
      <c r="Q1916" s="2">
        <v>3</v>
      </c>
      <c r="R1916" s="2" t="s">
        <v>34</v>
      </c>
      <c r="S1916" s="2" t="str">
        <f t="shared" si="294"/>
        <v>Sangat Rendah</v>
      </c>
      <c r="T1916" s="2" t="str">
        <f t="shared" si="295"/>
        <v>FALSE</v>
      </c>
      <c r="U1916" s="2" t="str">
        <f t="shared" si="296"/>
        <v>FALSE</v>
      </c>
      <c r="V1916" s="2" t="b">
        <f t="shared" si="297"/>
        <v>0</v>
      </c>
      <c r="W1916" s="2" t="b">
        <f t="shared" si="298"/>
        <v>0</v>
      </c>
      <c r="X1916" s="2" t="b">
        <f t="shared" si="299"/>
        <v>0</v>
      </c>
    </row>
    <row r="1917" spans="1:24" ht="10.5" customHeight="1">
      <c r="A1917" s="2" t="s">
        <v>2267</v>
      </c>
      <c r="B1917" s="3">
        <v>46018.009722222218</v>
      </c>
      <c r="C1917" s="2" t="s">
        <v>449</v>
      </c>
      <c r="D1917" s="2" t="s">
        <v>56</v>
      </c>
      <c r="E1917" s="2" t="s">
        <v>75</v>
      </c>
      <c r="F1917" s="4">
        <v>45000</v>
      </c>
      <c r="G1917" s="5">
        <v>1.5</v>
      </c>
      <c r="H1917" s="6">
        <v>0</v>
      </c>
      <c r="I1917" s="7">
        <f t="shared" si="290"/>
        <v>67500</v>
      </c>
      <c r="J1917" s="7">
        <f t="shared" si="291"/>
        <v>0</v>
      </c>
      <c r="K1917" s="7">
        <f t="shared" si="292"/>
        <v>67500</v>
      </c>
      <c r="L1917" s="4">
        <v>26000</v>
      </c>
      <c r="M1917" s="7">
        <f t="shared" si="293"/>
        <v>93500</v>
      </c>
      <c r="N1917" s="2" t="s">
        <v>58</v>
      </c>
      <c r="O1917" t="s">
        <v>69</v>
      </c>
      <c r="P1917" s="2" t="s">
        <v>2370</v>
      </c>
      <c r="Q1917" s="2">
        <v>4</v>
      </c>
      <c r="R1917" s="2" t="s">
        <v>23</v>
      </c>
      <c r="S1917" s="2" t="str">
        <f t="shared" si="294"/>
        <v>Rendah</v>
      </c>
      <c r="T1917" s="2" t="str">
        <f t="shared" si="295"/>
        <v>FALSE</v>
      </c>
      <c r="U1917" s="2" t="str">
        <f t="shared" si="296"/>
        <v>FALSE</v>
      </c>
      <c r="V1917" s="2" t="b">
        <f t="shared" si="297"/>
        <v>0</v>
      </c>
      <c r="W1917" s="2" t="b">
        <f t="shared" si="298"/>
        <v>0</v>
      </c>
      <c r="X1917" s="2" t="b">
        <f t="shared" si="299"/>
        <v>0</v>
      </c>
    </row>
    <row r="1918" spans="1:24" ht="10.5" customHeight="1">
      <c r="A1918" s="2" t="s">
        <v>2268</v>
      </c>
      <c r="B1918" s="3">
        <v>46018.114756944437</v>
      </c>
      <c r="C1918" s="2" t="s">
        <v>149</v>
      </c>
      <c r="D1918" s="2" t="s">
        <v>150</v>
      </c>
      <c r="E1918" s="2" t="s">
        <v>32</v>
      </c>
      <c r="F1918" s="4">
        <v>20000</v>
      </c>
      <c r="G1918" s="5">
        <v>2.2999999999999998</v>
      </c>
      <c r="H1918" s="6">
        <v>0</v>
      </c>
      <c r="I1918" s="7">
        <f t="shared" si="290"/>
        <v>46000</v>
      </c>
      <c r="J1918" s="7">
        <f t="shared" si="291"/>
        <v>0</v>
      </c>
      <c r="K1918" s="7">
        <f t="shared" si="292"/>
        <v>46000</v>
      </c>
      <c r="L1918" s="4">
        <v>68000</v>
      </c>
      <c r="M1918" s="7">
        <f t="shared" si="293"/>
        <v>114000</v>
      </c>
      <c r="N1918" s="2" t="s">
        <v>28</v>
      </c>
      <c r="O1918" t="s">
        <v>22</v>
      </c>
      <c r="P1918" s="2" t="s">
        <v>2366</v>
      </c>
      <c r="Q1918" s="2">
        <v>2</v>
      </c>
      <c r="R1918" s="2" t="s">
        <v>23</v>
      </c>
      <c r="S1918" s="2" t="str">
        <f t="shared" si="294"/>
        <v>Standar</v>
      </c>
      <c r="T1918" s="2" t="str">
        <f t="shared" si="295"/>
        <v>FALSE</v>
      </c>
      <c r="U1918" s="2" t="str">
        <f t="shared" si="296"/>
        <v>FALSE</v>
      </c>
      <c r="V1918" s="2" t="b">
        <f t="shared" si="297"/>
        <v>0</v>
      </c>
      <c r="W1918" s="2" t="b">
        <f t="shared" si="298"/>
        <v>0</v>
      </c>
      <c r="X1918" s="2" t="b">
        <f t="shared" si="299"/>
        <v>0</v>
      </c>
    </row>
    <row r="1919" spans="1:24" ht="10.5" customHeight="1">
      <c r="A1919" s="2" t="s">
        <v>2269</v>
      </c>
      <c r="B1919" s="3">
        <v>46018.364918981482</v>
      </c>
      <c r="C1919" s="2" t="s">
        <v>139</v>
      </c>
      <c r="D1919" s="2" t="s">
        <v>140</v>
      </c>
      <c r="E1919" s="2" t="s">
        <v>99</v>
      </c>
      <c r="F1919" s="4">
        <v>10000</v>
      </c>
      <c r="G1919" s="5">
        <v>1</v>
      </c>
      <c r="H1919" s="6">
        <v>0</v>
      </c>
      <c r="I1919" s="7">
        <f t="shared" si="290"/>
        <v>10000</v>
      </c>
      <c r="J1919" s="7">
        <f t="shared" si="291"/>
        <v>0</v>
      </c>
      <c r="K1919" s="7">
        <f t="shared" si="292"/>
        <v>10000</v>
      </c>
      <c r="L1919" s="4">
        <v>55000</v>
      </c>
      <c r="M1919" s="7">
        <f t="shared" si="293"/>
        <v>65000</v>
      </c>
      <c r="N1919" s="2" t="s">
        <v>33</v>
      </c>
      <c r="O1919" t="s">
        <v>2110</v>
      </c>
      <c r="P1919" s="2" t="s">
        <v>2368</v>
      </c>
      <c r="Q1919" s="2">
        <v>1</v>
      </c>
      <c r="R1919" s="2" t="s">
        <v>34</v>
      </c>
      <c r="S1919" s="2" t="str">
        <f t="shared" si="294"/>
        <v>Rendah</v>
      </c>
      <c r="T1919" s="2" t="str">
        <f t="shared" si="295"/>
        <v>FALSE</v>
      </c>
      <c r="U1919" s="2" t="str">
        <f t="shared" si="296"/>
        <v>FALSE</v>
      </c>
      <c r="V1919" s="2" t="b">
        <f t="shared" si="297"/>
        <v>0</v>
      </c>
      <c r="W1919" s="2" t="b">
        <f t="shared" si="298"/>
        <v>0</v>
      </c>
      <c r="X1919" s="2" t="b">
        <f t="shared" si="299"/>
        <v>0</v>
      </c>
    </row>
    <row r="1920" spans="1:24" ht="10.5" customHeight="1">
      <c r="A1920" s="2" t="s">
        <v>2270</v>
      </c>
      <c r="B1920" s="3">
        <v>46018.412430555552</v>
      </c>
      <c r="C1920" s="2" t="s">
        <v>1136</v>
      </c>
      <c r="D1920" s="2" t="s">
        <v>108</v>
      </c>
      <c r="E1920" s="2" t="s">
        <v>99</v>
      </c>
      <c r="F1920" s="4">
        <v>10000</v>
      </c>
      <c r="G1920" s="5">
        <v>0.9</v>
      </c>
      <c r="H1920" s="6">
        <v>0</v>
      </c>
      <c r="I1920" s="7">
        <f t="shared" si="290"/>
        <v>9000</v>
      </c>
      <c r="J1920" s="7">
        <f t="shared" si="291"/>
        <v>0</v>
      </c>
      <c r="K1920" s="7">
        <f t="shared" si="292"/>
        <v>9000</v>
      </c>
      <c r="L1920" s="4">
        <v>72000</v>
      </c>
      <c r="M1920" s="7">
        <f t="shared" si="293"/>
        <v>81000</v>
      </c>
      <c r="N1920" s="2" t="s">
        <v>33</v>
      </c>
      <c r="O1920" t="s">
        <v>115</v>
      </c>
      <c r="P1920" s="2" t="s">
        <v>2365</v>
      </c>
      <c r="Q1920" s="2">
        <v>4</v>
      </c>
      <c r="R1920" s="2" t="s">
        <v>23</v>
      </c>
      <c r="S1920" s="2" t="str">
        <f t="shared" si="294"/>
        <v>Rendah</v>
      </c>
      <c r="T1920" s="2" t="str">
        <f t="shared" si="295"/>
        <v>FALSE</v>
      </c>
      <c r="U1920" s="2" t="str">
        <f t="shared" si="296"/>
        <v>FALSE</v>
      </c>
      <c r="V1920" s="2" t="b">
        <f t="shared" si="297"/>
        <v>0</v>
      </c>
      <c r="W1920" s="2" t="b">
        <f t="shared" si="298"/>
        <v>0</v>
      </c>
      <c r="X1920" s="2" t="b">
        <f t="shared" si="299"/>
        <v>0</v>
      </c>
    </row>
    <row r="1921" spans="1:24" ht="10.5" customHeight="1">
      <c r="A1921" s="2" t="s">
        <v>2271</v>
      </c>
      <c r="B1921" s="3">
        <v>46018.421435185177</v>
      </c>
      <c r="C1921" s="2" t="s">
        <v>456</v>
      </c>
      <c r="D1921" s="2" t="s">
        <v>123</v>
      </c>
      <c r="E1921" s="2" t="s">
        <v>99</v>
      </c>
      <c r="F1921" s="4">
        <v>10000</v>
      </c>
      <c r="G1921" s="5">
        <v>0.8</v>
      </c>
      <c r="H1921" s="6">
        <v>0</v>
      </c>
      <c r="I1921" s="7">
        <f t="shared" si="290"/>
        <v>8000</v>
      </c>
      <c r="J1921" s="7">
        <f t="shared" si="291"/>
        <v>0</v>
      </c>
      <c r="K1921" s="7">
        <f t="shared" si="292"/>
        <v>8000</v>
      </c>
      <c r="L1921" s="4">
        <v>59000</v>
      </c>
      <c r="M1921" s="7">
        <f t="shared" si="293"/>
        <v>67000</v>
      </c>
      <c r="N1921" s="2" t="s">
        <v>28</v>
      </c>
      <c r="O1921" t="s">
        <v>2110</v>
      </c>
      <c r="P1921" s="2" t="s">
        <v>2368</v>
      </c>
      <c r="Q1921" s="2">
        <v>3</v>
      </c>
      <c r="R1921" s="2" t="s">
        <v>23</v>
      </c>
      <c r="S1921" s="2" t="str">
        <f t="shared" si="294"/>
        <v>Rendah</v>
      </c>
      <c r="T1921" s="2" t="str">
        <f t="shared" si="295"/>
        <v>FALSE</v>
      </c>
      <c r="U1921" s="2" t="str">
        <f t="shared" si="296"/>
        <v>FALSE</v>
      </c>
      <c r="V1921" s="2" t="b">
        <f t="shared" si="297"/>
        <v>0</v>
      </c>
      <c r="W1921" s="2" t="b">
        <f t="shared" si="298"/>
        <v>0</v>
      </c>
      <c r="X1921" s="2" t="b">
        <f t="shared" si="299"/>
        <v>0</v>
      </c>
    </row>
    <row r="1922" spans="1:24" ht="10.5" customHeight="1">
      <c r="A1922" s="2" t="s">
        <v>2272</v>
      </c>
      <c r="B1922" s="3">
        <v>46018.494756944441</v>
      </c>
      <c r="C1922" s="2" t="s">
        <v>572</v>
      </c>
      <c r="D1922" s="2" t="s">
        <v>425</v>
      </c>
      <c r="E1922" s="2" t="s">
        <v>65</v>
      </c>
      <c r="F1922" s="4">
        <v>46000</v>
      </c>
      <c r="G1922" s="5">
        <v>1.5</v>
      </c>
      <c r="H1922" s="6">
        <v>0</v>
      </c>
      <c r="I1922" s="7">
        <f t="shared" si="290"/>
        <v>69000</v>
      </c>
      <c r="J1922" s="7">
        <f t="shared" si="291"/>
        <v>0</v>
      </c>
      <c r="K1922" s="7">
        <f t="shared" si="292"/>
        <v>69000</v>
      </c>
      <c r="L1922" s="4">
        <v>67000</v>
      </c>
      <c r="M1922" s="7">
        <f t="shared" si="293"/>
        <v>136000</v>
      </c>
      <c r="N1922" s="2" t="s">
        <v>28</v>
      </c>
      <c r="O1922" t="s">
        <v>115</v>
      </c>
      <c r="P1922" s="2" t="s">
        <v>2368</v>
      </c>
      <c r="Q1922" s="2">
        <v>3</v>
      </c>
      <c r="R1922" s="2" t="s">
        <v>23</v>
      </c>
      <c r="S1922" s="2" t="str">
        <f t="shared" si="294"/>
        <v>Standar</v>
      </c>
      <c r="T1922" s="2" t="str">
        <f t="shared" si="295"/>
        <v>FALSE</v>
      </c>
      <c r="U1922" s="2" t="str">
        <f t="shared" si="296"/>
        <v>FALSE</v>
      </c>
      <c r="V1922" s="2" t="b">
        <f t="shared" si="297"/>
        <v>0</v>
      </c>
      <c r="W1922" s="2" t="b">
        <f t="shared" si="298"/>
        <v>0</v>
      </c>
      <c r="X1922" s="2" t="b">
        <f t="shared" si="299"/>
        <v>0</v>
      </c>
    </row>
    <row r="1923" spans="1:24" ht="10.5" customHeight="1">
      <c r="A1923" s="2" t="s">
        <v>2273</v>
      </c>
      <c r="B1923" s="3">
        <v>46018.500810185193</v>
      </c>
      <c r="C1923" s="2" t="s">
        <v>277</v>
      </c>
      <c r="D1923" s="2" t="s">
        <v>252</v>
      </c>
      <c r="E1923" s="2" t="s">
        <v>102</v>
      </c>
      <c r="F1923" s="4">
        <v>55000</v>
      </c>
      <c r="G1923" s="5">
        <v>1</v>
      </c>
      <c r="H1923" s="6">
        <v>0</v>
      </c>
      <c r="I1923" s="7">
        <f t="shared" si="290"/>
        <v>55000</v>
      </c>
      <c r="J1923" s="7">
        <f t="shared" si="291"/>
        <v>0</v>
      </c>
      <c r="K1923" s="7">
        <f t="shared" si="292"/>
        <v>55000</v>
      </c>
      <c r="L1923" s="4">
        <v>18000</v>
      </c>
      <c r="M1923" s="7">
        <f t="shared" si="293"/>
        <v>73000</v>
      </c>
      <c r="N1923" s="2" t="s">
        <v>33</v>
      </c>
      <c r="O1923" t="s">
        <v>2110</v>
      </c>
      <c r="P1923" s="2" t="s">
        <v>2370</v>
      </c>
      <c r="Q1923" s="2">
        <v>5</v>
      </c>
      <c r="R1923" s="2" t="s">
        <v>23</v>
      </c>
      <c r="S1923" s="2" t="str">
        <f t="shared" si="294"/>
        <v>Rendah</v>
      </c>
      <c r="T1923" s="2" t="str">
        <f t="shared" si="295"/>
        <v>FALSE</v>
      </c>
      <c r="U1923" s="2" t="str">
        <f t="shared" si="296"/>
        <v>FALSE</v>
      </c>
      <c r="V1923" s="2" t="b">
        <f t="shared" si="297"/>
        <v>0</v>
      </c>
      <c r="W1923" s="2" t="b">
        <f t="shared" si="298"/>
        <v>0</v>
      </c>
      <c r="X1923" s="2" t="b">
        <f t="shared" si="299"/>
        <v>0</v>
      </c>
    </row>
    <row r="1924" spans="1:24" ht="10.5" customHeight="1">
      <c r="A1924" s="2" t="s">
        <v>2274</v>
      </c>
      <c r="B1924" s="3">
        <v>46018.506724537037</v>
      </c>
      <c r="C1924" s="2" t="s">
        <v>762</v>
      </c>
      <c r="D1924" s="2" t="s">
        <v>105</v>
      </c>
      <c r="E1924" s="2" t="s">
        <v>75</v>
      </c>
      <c r="F1924" s="4">
        <v>45000</v>
      </c>
      <c r="G1924" s="5">
        <v>2.4</v>
      </c>
      <c r="H1924" s="6">
        <v>0</v>
      </c>
      <c r="I1924" s="7">
        <f t="shared" ref="I1924:I1987" si="300">F1924*G1924</f>
        <v>108000</v>
      </c>
      <c r="J1924" s="7">
        <f t="shared" ref="J1924:J1987" si="301">I1924*(H1924/100)</f>
        <v>0</v>
      </c>
      <c r="K1924" s="7">
        <f t="shared" ref="K1924:K1987" si="302">I1924-J1924</f>
        <v>108000</v>
      </c>
      <c r="L1924" s="4">
        <v>18000</v>
      </c>
      <c r="M1924" s="7">
        <f t="shared" ref="M1924:M1987" si="303">K1924+L1924</f>
        <v>126000</v>
      </c>
      <c r="N1924" s="2" t="s">
        <v>28</v>
      </c>
      <c r="O1924" t="s">
        <v>22</v>
      </c>
      <c r="P1924" s="2" t="s">
        <v>2368</v>
      </c>
      <c r="Q1924" s="2">
        <v>4</v>
      </c>
      <c r="R1924" s="2" t="s">
        <v>23</v>
      </c>
      <c r="S1924" s="2" t="str">
        <f t="shared" ref="S1924:S1987" si="304">IF(M1924&lt;=50000,"Sangat Rendah",IF(M1924&lt;=100000,"Rendah",IF(M1924&lt;=150000,"Standar",IF(M1924&lt;=200000,"Tinggi","Sangat Tinggi"))))</f>
        <v>Standar</v>
      </c>
      <c r="T1924" s="2" t="str">
        <f t="shared" ref="T1924:T1987" si="305">IF(AND(S1924="Rendah",D1924="Yogyakarta"),"TRUE","FALSE")</f>
        <v>FALSE</v>
      </c>
      <c r="U1924" s="2" t="str">
        <f t="shared" ref="U1924:U1987" si="306">IF(OR(S1924="Tinggi",E1924="Bayam"),"TRUE","FALSE")</f>
        <v>FALSE</v>
      </c>
      <c r="V1924" s="2" t="b">
        <f t="shared" ref="V1924:V1987" si="307">IF(AND(S1924="Standar",N1924="Transef Bank"),TRUE,FALSE)</f>
        <v>0</v>
      </c>
      <c r="W1924" s="2" t="b">
        <f t="shared" ref="W1924:W1987" si="308">IF(OR(S1924="Sangat Tinggi",P1924="FoodMart"),TRUE,FALSE)</f>
        <v>0</v>
      </c>
      <c r="X1924" s="2" t="b">
        <f t="shared" ref="X1924:X1987" si="309">IF(AND(S1924="Sangat Rendah",R1924="Perempuan"),TRUE,FALSE)</f>
        <v>0</v>
      </c>
    </row>
    <row r="1925" spans="1:24" ht="10.5" customHeight="1">
      <c r="A1925" s="2" t="s">
        <v>2275</v>
      </c>
      <c r="B1925" s="3">
        <v>46018.531354166669</v>
      </c>
      <c r="C1925" s="2" t="s">
        <v>248</v>
      </c>
      <c r="D1925" s="2" t="s">
        <v>40</v>
      </c>
      <c r="E1925" s="2" t="s">
        <v>161</v>
      </c>
      <c r="F1925" s="4">
        <v>115000</v>
      </c>
      <c r="G1925" s="5">
        <v>0.3</v>
      </c>
      <c r="H1925" s="6">
        <v>0</v>
      </c>
      <c r="I1925" s="7">
        <f t="shared" si="300"/>
        <v>34500</v>
      </c>
      <c r="J1925" s="7">
        <f t="shared" si="301"/>
        <v>0</v>
      </c>
      <c r="K1925" s="7">
        <f t="shared" si="302"/>
        <v>34500</v>
      </c>
      <c r="L1925" s="4">
        <v>93000</v>
      </c>
      <c r="M1925" s="7">
        <f t="shared" si="303"/>
        <v>127500</v>
      </c>
      <c r="N1925" s="2" t="s">
        <v>58</v>
      </c>
      <c r="O1925" t="s">
        <v>2107</v>
      </c>
      <c r="P1925" s="2" t="s">
        <v>2366</v>
      </c>
      <c r="Q1925" s="2">
        <v>4</v>
      </c>
      <c r="R1925" s="2" t="s">
        <v>23</v>
      </c>
      <c r="S1925" s="2" t="str">
        <f t="shared" si="304"/>
        <v>Standar</v>
      </c>
      <c r="T1925" s="2" t="str">
        <f t="shared" si="305"/>
        <v>FALSE</v>
      </c>
      <c r="U1925" s="2" t="str">
        <f t="shared" si="306"/>
        <v>FALSE</v>
      </c>
      <c r="V1925" s="2" t="b">
        <f t="shared" si="307"/>
        <v>0</v>
      </c>
      <c r="W1925" s="2" t="b">
        <f t="shared" si="308"/>
        <v>0</v>
      </c>
      <c r="X1925" s="2" t="b">
        <f t="shared" si="309"/>
        <v>0</v>
      </c>
    </row>
    <row r="1926" spans="1:24" ht="10.5" customHeight="1">
      <c r="A1926" s="2" t="s">
        <v>2276</v>
      </c>
      <c r="B1926" s="3">
        <v>46018.610763888893</v>
      </c>
      <c r="C1926" s="2" t="s">
        <v>1311</v>
      </c>
      <c r="D1926" s="2" t="s">
        <v>105</v>
      </c>
      <c r="E1926" s="2" t="s">
        <v>65</v>
      </c>
      <c r="F1926" s="4">
        <v>46000</v>
      </c>
      <c r="G1926" s="5">
        <v>1.2</v>
      </c>
      <c r="H1926" s="6">
        <v>0</v>
      </c>
      <c r="I1926" s="7">
        <f t="shared" si="300"/>
        <v>55200</v>
      </c>
      <c r="J1926" s="7">
        <f t="shared" si="301"/>
        <v>0</v>
      </c>
      <c r="K1926" s="7">
        <f t="shared" si="302"/>
        <v>55200</v>
      </c>
      <c r="L1926" s="4">
        <v>18000</v>
      </c>
      <c r="M1926" s="7">
        <f t="shared" si="303"/>
        <v>73200</v>
      </c>
      <c r="N1926" s="2" t="s">
        <v>58</v>
      </c>
      <c r="O1926" t="s">
        <v>22</v>
      </c>
      <c r="P1926" s="2" t="s">
        <v>2365</v>
      </c>
      <c r="Q1926" s="2">
        <v>1</v>
      </c>
      <c r="R1926" s="2" t="s">
        <v>23</v>
      </c>
      <c r="S1926" s="2" t="str">
        <f t="shared" si="304"/>
        <v>Rendah</v>
      </c>
      <c r="T1926" s="2" t="str">
        <f t="shared" si="305"/>
        <v>FALSE</v>
      </c>
      <c r="U1926" s="2" t="str">
        <f t="shared" si="306"/>
        <v>FALSE</v>
      </c>
      <c r="V1926" s="2" t="b">
        <f t="shared" si="307"/>
        <v>0</v>
      </c>
      <c r="W1926" s="2" t="b">
        <f t="shared" si="308"/>
        <v>0</v>
      </c>
      <c r="X1926" s="2" t="b">
        <f t="shared" si="309"/>
        <v>0</v>
      </c>
    </row>
    <row r="1927" spans="1:24" ht="10.5" customHeight="1">
      <c r="A1927" s="2" t="s">
        <v>2277</v>
      </c>
      <c r="B1927" s="3">
        <v>46018.634143518517</v>
      </c>
      <c r="C1927" s="2" t="s">
        <v>110</v>
      </c>
      <c r="D1927" s="2" t="s">
        <v>111</v>
      </c>
      <c r="E1927" s="2" t="s">
        <v>53</v>
      </c>
      <c r="F1927" s="4">
        <v>14000</v>
      </c>
      <c r="G1927" s="5">
        <v>0.9</v>
      </c>
      <c r="H1927" s="6">
        <v>0</v>
      </c>
      <c r="I1927" s="7">
        <f t="shared" si="300"/>
        <v>12600</v>
      </c>
      <c r="J1927" s="7">
        <f t="shared" si="301"/>
        <v>0</v>
      </c>
      <c r="K1927" s="7">
        <f t="shared" si="302"/>
        <v>12600</v>
      </c>
      <c r="L1927" s="4">
        <v>0</v>
      </c>
      <c r="M1927" s="7">
        <f t="shared" si="303"/>
        <v>12600</v>
      </c>
      <c r="N1927" s="2" t="s">
        <v>28</v>
      </c>
      <c r="O1927" t="s">
        <v>2110</v>
      </c>
      <c r="P1927" s="2" t="s">
        <v>2370</v>
      </c>
      <c r="Q1927" s="2">
        <v>1</v>
      </c>
      <c r="R1927" s="2" t="s">
        <v>23</v>
      </c>
      <c r="S1927" s="2" t="str">
        <f t="shared" si="304"/>
        <v>Sangat Rendah</v>
      </c>
      <c r="T1927" s="2" t="str">
        <f t="shared" si="305"/>
        <v>FALSE</v>
      </c>
      <c r="U1927" s="2" t="str">
        <f t="shared" si="306"/>
        <v>FALSE</v>
      </c>
      <c r="V1927" s="2" t="b">
        <f t="shared" si="307"/>
        <v>0</v>
      </c>
      <c r="W1927" s="2" t="b">
        <f t="shared" si="308"/>
        <v>0</v>
      </c>
      <c r="X1927" s="2" t="b">
        <f t="shared" si="309"/>
        <v>1</v>
      </c>
    </row>
    <row r="1928" spans="1:24" ht="10.5" customHeight="1">
      <c r="A1928" s="2" t="s">
        <v>2278</v>
      </c>
      <c r="B1928" s="3">
        <v>46018.674675925933</v>
      </c>
      <c r="C1928" s="2" t="s">
        <v>753</v>
      </c>
      <c r="D1928" s="2" t="s">
        <v>68</v>
      </c>
      <c r="E1928" s="2" t="s">
        <v>35</v>
      </c>
      <c r="F1928" s="4">
        <v>13500</v>
      </c>
      <c r="G1928" s="5">
        <v>1.4</v>
      </c>
      <c r="H1928" s="6">
        <v>0</v>
      </c>
      <c r="I1928" s="7">
        <f t="shared" si="300"/>
        <v>18900</v>
      </c>
      <c r="J1928" s="7">
        <f t="shared" si="301"/>
        <v>0</v>
      </c>
      <c r="K1928" s="7">
        <f t="shared" si="302"/>
        <v>18900</v>
      </c>
      <c r="L1928" s="4">
        <v>87000</v>
      </c>
      <c r="M1928" s="7">
        <f t="shared" si="303"/>
        <v>105900</v>
      </c>
      <c r="N1928" s="2" t="s">
        <v>28</v>
      </c>
      <c r="O1928" t="s">
        <v>22</v>
      </c>
      <c r="P1928" s="2" t="s">
        <v>2365</v>
      </c>
      <c r="Q1928" s="2">
        <v>3</v>
      </c>
      <c r="R1928" s="2" t="s">
        <v>23</v>
      </c>
      <c r="S1928" s="2" t="str">
        <f t="shared" si="304"/>
        <v>Standar</v>
      </c>
      <c r="T1928" s="2" t="str">
        <f t="shared" si="305"/>
        <v>FALSE</v>
      </c>
      <c r="U1928" s="2" t="str">
        <f t="shared" si="306"/>
        <v>FALSE</v>
      </c>
      <c r="V1928" s="2" t="b">
        <f t="shared" si="307"/>
        <v>0</v>
      </c>
      <c r="W1928" s="2" t="b">
        <f t="shared" si="308"/>
        <v>0</v>
      </c>
      <c r="X1928" s="2" t="b">
        <f t="shared" si="309"/>
        <v>0</v>
      </c>
    </row>
    <row r="1929" spans="1:24" ht="10.5" customHeight="1">
      <c r="A1929" s="2" t="s">
        <v>2279</v>
      </c>
      <c r="B1929" s="3">
        <v>46018.753796296303</v>
      </c>
      <c r="C1929" s="2" t="s">
        <v>616</v>
      </c>
      <c r="D1929" s="2" t="s">
        <v>286</v>
      </c>
      <c r="E1929" s="2" t="s">
        <v>27</v>
      </c>
      <c r="F1929" s="4">
        <v>15000</v>
      </c>
      <c r="G1929" s="5">
        <v>0.3</v>
      </c>
      <c r="H1929" s="6">
        <v>0</v>
      </c>
      <c r="I1929" s="7">
        <f t="shared" si="300"/>
        <v>4500</v>
      </c>
      <c r="J1929" s="7">
        <f t="shared" si="301"/>
        <v>0</v>
      </c>
      <c r="K1929" s="7">
        <f t="shared" si="302"/>
        <v>4500</v>
      </c>
      <c r="L1929" s="4">
        <v>79000</v>
      </c>
      <c r="M1929" s="7">
        <f t="shared" si="303"/>
        <v>83500</v>
      </c>
      <c r="N1929" s="2" t="s">
        <v>21</v>
      </c>
      <c r="O1929" t="s">
        <v>2110</v>
      </c>
      <c r="P1929" s="2" t="s">
        <v>2365</v>
      </c>
      <c r="Q1929" s="2">
        <v>5</v>
      </c>
      <c r="R1929" s="2" t="s">
        <v>23</v>
      </c>
      <c r="S1929" s="2" t="str">
        <f t="shared" si="304"/>
        <v>Rendah</v>
      </c>
      <c r="T1929" s="2" t="str">
        <f t="shared" si="305"/>
        <v>FALSE</v>
      </c>
      <c r="U1929" s="2" t="str">
        <f t="shared" si="306"/>
        <v>FALSE</v>
      </c>
      <c r="V1929" s="2" t="b">
        <f t="shared" si="307"/>
        <v>0</v>
      </c>
      <c r="W1929" s="2" t="b">
        <f t="shared" si="308"/>
        <v>0</v>
      </c>
      <c r="X1929" s="2" t="b">
        <f t="shared" si="309"/>
        <v>0</v>
      </c>
    </row>
    <row r="1930" spans="1:24" ht="10.5" customHeight="1">
      <c r="A1930" s="2" t="s">
        <v>2280</v>
      </c>
      <c r="B1930" s="3">
        <v>46018.790821759263</v>
      </c>
      <c r="C1930" s="2" t="s">
        <v>394</v>
      </c>
      <c r="D1930" s="2" t="s">
        <v>167</v>
      </c>
      <c r="E1930" s="2" t="s">
        <v>80</v>
      </c>
      <c r="F1930" s="4">
        <v>15000</v>
      </c>
      <c r="G1930" s="5">
        <v>1.2</v>
      </c>
      <c r="H1930" s="6">
        <v>0</v>
      </c>
      <c r="I1930" s="7">
        <f t="shared" si="300"/>
        <v>18000</v>
      </c>
      <c r="J1930" s="7">
        <f t="shared" si="301"/>
        <v>0</v>
      </c>
      <c r="K1930" s="7">
        <f t="shared" si="302"/>
        <v>18000</v>
      </c>
      <c r="L1930" s="4">
        <v>56000</v>
      </c>
      <c r="M1930" s="7">
        <f t="shared" si="303"/>
        <v>74000</v>
      </c>
      <c r="N1930" s="2" t="s">
        <v>21</v>
      </c>
      <c r="O1930" t="s">
        <v>22</v>
      </c>
      <c r="P1930" s="2" t="s">
        <v>2368</v>
      </c>
      <c r="Q1930" s="2">
        <v>4</v>
      </c>
      <c r="R1930" s="2" t="s">
        <v>34</v>
      </c>
      <c r="S1930" s="2" t="str">
        <f t="shared" si="304"/>
        <v>Rendah</v>
      </c>
      <c r="T1930" s="2" t="str">
        <f t="shared" si="305"/>
        <v>FALSE</v>
      </c>
      <c r="U1930" s="2" t="str">
        <f t="shared" si="306"/>
        <v>FALSE</v>
      </c>
      <c r="V1930" s="2" t="b">
        <f t="shared" si="307"/>
        <v>0</v>
      </c>
      <c r="W1930" s="2" t="b">
        <f t="shared" si="308"/>
        <v>0</v>
      </c>
      <c r="X1930" s="2" t="b">
        <f t="shared" si="309"/>
        <v>0</v>
      </c>
    </row>
    <row r="1931" spans="1:24" ht="10.5" customHeight="1">
      <c r="A1931" s="2" t="s">
        <v>2281</v>
      </c>
      <c r="B1931" s="3">
        <v>46018.883831018517</v>
      </c>
      <c r="C1931" s="2" t="s">
        <v>605</v>
      </c>
      <c r="D1931" s="2" t="s">
        <v>84</v>
      </c>
      <c r="E1931" s="2" t="s">
        <v>170</v>
      </c>
      <c r="F1931" s="4">
        <v>12000</v>
      </c>
      <c r="G1931" s="5">
        <v>1.2</v>
      </c>
      <c r="H1931" s="6">
        <v>0</v>
      </c>
      <c r="I1931" s="7">
        <f t="shared" si="300"/>
        <v>14400</v>
      </c>
      <c r="J1931" s="7">
        <f t="shared" si="301"/>
        <v>0</v>
      </c>
      <c r="K1931" s="7">
        <f t="shared" si="302"/>
        <v>14400</v>
      </c>
      <c r="L1931" s="4">
        <v>30000</v>
      </c>
      <c r="M1931" s="7">
        <f t="shared" si="303"/>
        <v>44400</v>
      </c>
      <c r="N1931" s="2" t="s">
        <v>28</v>
      </c>
      <c r="O1931" t="s">
        <v>22</v>
      </c>
      <c r="P1931" s="2" t="s">
        <v>2367</v>
      </c>
      <c r="Q1931" s="2">
        <v>4</v>
      </c>
      <c r="R1931" s="2" t="s">
        <v>23</v>
      </c>
      <c r="S1931" s="2" t="str">
        <f t="shared" si="304"/>
        <v>Sangat Rendah</v>
      </c>
      <c r="T1931" s="2" t="str">
        <f t="shared" si="305"/>
        <v>FALSE</v>
      </c>
      <c r="U1931" s="2" t="str">
        <f t="shared" si="306"/>
        <v>FALSE</v>
      </c>
      <c r="V1931" s="2" t="b">
        <f t="shared" si="307"/>
        <v>0</v>
      </c>
      <c r="W1931" s="2" t="b">
        <f t="shared" si="308"/>
        <v>1</v>
      </c>
      <c r="X1931" s="2" t="b">
        <f t="shared" si="309"/>
        <v>1</v>
      </c>
    </row>
    <row r="1932" spans="1:24" ht="10.5" customHeight="1">
      <c r="A1932" s="2" t="s">
        <v>2282</v>
      </c>
      <c r="B1932" s="3">
        <v>46019.009826388887</v>
      </c>
      <c r="C1932" s="2" t="s">
        <v>543</v>
      </c>
      <c r="D1932" s="2" t="s">
        <v>98</v>
      </c>
      <c r="E1932" s="2" t="s">
        <v>57</v>
      </c>
      <c r="F1932" s="4">
        <v>17500</v>
      </c>
      <c r="G1932" s="5">
        <v>3.3</v>
      </c>
      <c r="H1932" s="6">
        <v>0</v>
      </c>
      <c r="I1932" s="7">
        <f t="shared" si="300"/>
        <v>57750</v>
      </c>
      <c r="J1932" s="7">
        <f t="shared" si="301"/>
        <v>0</v>
      </c>
      <c r="K1932" s="7">
        <f t="shared" si="302"/>
        <v>57750</v>
      </c>
      <c r="L1932" s="4">
        <v>97000</v>
      </c>
      <c r="M1932" s="7">
        <f t="shared" si="303"/>
        <v>154750</v>
      </c>
      <c r="N1932" s="2" t="s">
        <v>28</v>
      </c>
      <c r="O1932" t="s">
        <v>115</v>
      </c>
      <c r="P1932" s="2" t="s">
        <v>2370</v>
      </c>
      <c r="Q1932" s="2">
        <v>1</v>
      </c>
      <c r="R1932" s="2" t="s">
        <v>23</v>
      </c>
      <c r="S1932" s="2" t="str">
        <f t="shared" si="304"/>
        <v>Tinggi</v>
      </c>
      <c r="T1932" s="2" t="str">
        <f t="shared" si="305"/>
        <v>FALSE</v>
      </c>
      <c r="U1932" s="2" t="str">
        <f t="shared" si="306"/>
        <v>TRUE</v>
      </c>
      <c r="V1932" s="2" t="b">
        <f t="shared" si="307"/>
        <v>0</v>
      </c>
      <c r="W1932" s="2" t="b">
        <f t="shared" si="308"/>
        <v>0</v>
      </c>
      <c r="X1932" s="2" t="b">
        <f t="shared" si="309"/>
        <v>0</v>
      </c>
    </row>
    <row r="1933" spans="1:24" ht="10.5" customHeight="1">
      <c r="A1933" s="2" t="s">
        <v>2283</v>
      </c>
      <c r="B1933" s="3">
        <v>46019.052708333344</v>
      </c>
      <c r="C1933" s="2" t="s">
        <v>515</v>
      </c>
      <c r="D1933" s="2" t="s">
        <v>87</v>
      </c>
      <c r="E1933" s="2" t="s">
        <v>170</v>
      </c>
      <c r="F1933" s="4">
        <v>12000</v>
      </c>
      <c r="G1933" s="5">
        <v>1</v>
      </c>
      <c r="H1933" s="6">
        <v>0</v>
      </c>
      <c r="I1933" s="7">
        <f t="shared" si="300"/>
        <v>12000</v>
      </c>
      <c r="J1933" s="7">
        <f t="shared" si="301"/>
        <v>0</v>
      </c>
      <c r="K1933" s="7">
        <f t="shared" si="302"/>
        <v>12000</v>
      </c>
      <c r="L1933" s="4">
        <v>49000</v>
      </c>
      <c r="M1933" s="7">
        <f t="shared" si="303"/>
        <v>61000</v>
      </c>
      <c r="N1933" s="2" t="s">
        <v>58</v>
      </c>
      <c r="O1933" t="s">
        <v>22</v>
      </c>
      <c r="P1933" s="2" t="s">
        <v>2365</v>
      </c>
      <c r="Q1933" s="2">
        <v>1</v>
      </c>
      <c r="R1933" s="2" t="s">
        <v>23</v>
      </c>
      <c r="S1933" s="2" t="str">
        <f t="shared" si="304"/>
        <v>Rendah</v>
      </c>
      <c r="T1933" s="2" t="str">
        <f t="shared" si="305"/>
        <v>FALSE</v>
      </c>
      <c r="U1933" s="2" t="str">
        <f t="shared" si="306"/>
        <v>FALSE</v>
      </c>
      <c r="V1933" s="2" t="b">
        <f t="shared" si="307"/>
        <v>0</v>
      </c>
      <c r="W1933" s="2" t="b">
        <f t="shared" si="308"/>
        <v>0</v>
      </c>
      <c r="X1933" s="2" t="b">
        <f t="shared" si="309"/>
        <v>0</v>
      </c>
    </row>
    <row r="1934" spans="1:24" ht="10.5" customHeight="1">
      <c r="A1934" s="2" t="s">
        <v>2284</v>
      </c>
      <c r="B1934" s="3">
        <v>46019.064768518518</v>
      </c>
      <c r="C1934" s="2" t="s">
        <v>792</v>
      </c>
      <c r="D1934" s="2" t="s">
        <v>118</v>
      </c>
      <c r="E1934" s="2" t="s">
        <v>75</v>
      </c>
      <c r="F1934" s="4">
        <v>45000</v>
      </c>
      <c r="G1934" s="5">
        <v>0.8</v>
      </c>
      <c r="H1934" s="6">
        <v>0</v>
      </c>
      <c r="I1934" s="7">
        <f t="shared" si="300"/>
        <v>36000</v>
      </c>
      <c r="J1934" s="7">
        <f t="shared" si="301"/>
        <v>0</v>
      </c>
      <c r="K1934" s="7">
        <f t="shared" si="302"/>
        <v>36000</v>
      </c>
      <c r="L1934" s="4">
        <v>84000</v>
      </c>
      <c r="M1934" s="7">
        <f t="shared" si="303"/>
        <v>120000</v>
      </c>
      <c r="N1934" s="2" t="s">
        <v>28</v>
      </c>
      <c r="O1934" t="s">
        <v>2110</v>
      </c>
      <c r="P1934" s="2" t="s">
        <v>2365</v>
      </c>
      <c r="Q1934" s="2">
        <v>2</v>
      </c>
      <c r="R1934" s="2" t="s">
        <v>23</v>
      </c>
      <c r="S1934" s="2" t="str">
        <f t="shared" si="304"/>
        <v>Standar</v>
      </c>
      <c r="T1934" s="2" t="str">
        <f t="shared" si="305"/>
        <v>FALSE</v>
      </c>
      <c r="U1934" s="2" t="str">
        <f t="shared" si="306"/>
        <v>FALSE</v>
      </c>
      <c r="V1934" s="2" t="b">
        <f t="shared" si="307"/>
        <v>0</v>
      </c>
      <c r="W1934" s="2" t="b">
        <f t="shared" si="308"/>
        <v>0</v>
      </c>
      <c r="X1934" s="2" t="b">
        <f t="shared" si="309"/>
        <v>0</v>
      </c>
    </row>
    <row r="1935" spans="1:24" ht="10.5" customHeight="1">
      <c r="A1935" s="2" t="s">
        <v>2285</v>
      </c>
      <c r="B1935" s="3">
        <v>46019.202557870369</v>
      </c>
      <c r="C1935" s="2" t="s">
        <v>447</v>
      </c>
      <c r="D1935" s="2" t="s">
        <v>74</v>
      </c>
      <c r="E1935" s="2" t="s">
        <v>102</v>
      </c>
      <c r="F1935" s="4">
        <v>55000</v>
      </c>
      <c r="G1935" s="5">
        <v>1</v>
      </c>
      <c r="H1935" s="6">
        <v>0</v>
      </c>
      <c r="I1935" s="7">
        <f t="shared" si="300"/>
        <v>55000</v>
      </c>
      <c r="J1935" s="7">
        <f t="shared" si="301"/>
        <v>0</v>
      </c>
      <c r="K1935" s="7">
        <f t="shared" si="302"/>
        <v>55000</v>
      </c>
      <c r="L1935" s="4">
        <v>74000</v>
      </c>
      <c r="M1935" s="7">
        <f t="shared" si="303"/>
        <v>129000</v>
      </c>
      <c r="N1935" s="2" t="s">
        <v>21</v>
      </c>
      <c r="O1935" t="s">
        <v>22</v>
      </c>
      <c r="P1935" s="2" t="s">
        <v>2365</v>
      </c>
      <c r="Q1935" s="2">
        <v>2</v>
      </c>
      <c r="R1935" s="2" t="s">
        <v>23</v>
      </c>
      <c r="S1935" s="2" t="str">
        <f t="shared" si="304"/>
        <v>Standar</v>
      </c>
      <c r="T1935" s="2" t="str">
        <f t="shared" si="305"/>
        <v>FALSE</v>
      </c>
      <c r="U1935" s="2" t="str">
        <f t="shared" si="306"/>
        <v>FALSE</v>
      </c>
      <c r="V1935" s="2" t="b">
        <f t="shared" si="307"/>
        <v>0</v>
      </c>
      <c r="W1935" s="2" t="b">
        <f t="shared" si="308"/>
        <v>0</v>
      </c>
      <c r="X1935" s="2" t="b">
        <f t="shared" si="309"/>
        <v>0</v>
      </c>
    </row>
    <row r="1936" spans="1:24" ht="10.5" customHeight="1">
      <c r="A1936" s="2" t="s">
        <v>2286</v>
      </c>
      <c r="B1936" s="3">
        <v>46019.37740740741</v>
      </c>
      <c r="C1936" s="2" t="s">
        <v>1499</v>
      </c>
      <c r="D1936" s="2" t="s">
        <v>114</v>
      </c>
      <c r="E1936" s="2" t="s">
        <v>32</v>
      </c>
      <c r="F1936" s="4">
        <v>20000</v>
      </c>
      <c r="G1936" s="5">
        <v>1.3</v>
      </c>
      <c r="H1936" s="6">
        <v>0</v>
      </c>
      <c r="I1936" s="7">
        <f t="shared" si="300"/>
        <v>26000</v>
      </c>
      <c r="J1936" s="7">
        <f t="shared" si="301"/>
        <v>0</v>
      </c>
      <c r="K1936" s="7">
        <f t="shared" si="302"/>
        <v>26000</v>
      </c>
      <c r="L1936" s="4">
        <v>78000</v>
      </c>
      <c r="M1936" s="7">
        <f t="shared" si="303"/>
        <v>104000</v>
      </c>
      <c r="N1936" s="2" t="s">
        <v>58</v>
      </c>
      <c r="O1936" t="s">
        <v>2107</v>
      </c>
      <c r="P1936" s="2" t="s">
        <v>2367</v>
      </c>
      <c r="Q1936" s="2">
        <v>2</v>
      </c>
      <c r="R1936" s="2" t="s">
        <v>23</v>
      </c>
      <c r="S1936" s="2" t="str">
        <f t="shared" si="304"/>
        <v>Standar</v>
      </c>
      <c r="T1936" s="2" t="str">
        <f t="shared" si="305"/>
        <v>FALSE</v>
      </c>
      <c r="U1936" s="2" t="str">
        <f t="shared" si="306"/>
        <v>FALSE</v>
      </c>
      <c r="V1936" s="2" t="b">
        <f t="shared" si="307"/>
        <v>0</v>
      </c>
      <c r="W1936" s="2" t="b">
        <f t="shared" si="308"/>
        <v>1</v>
      </c>
      <c r="X1936" s="2" t="b">
        <f t="shared" si="309"/>
        <v>0</v>
      </c>
    </row>
    <row r="1937" spans="1:24" ht="10.5" customHeight="1">
      <c r="A1937" s="2" t="s">
        <v>2287</v>
      </c>
      <c r="B1937" s="3">
        <v>46019.379641203697</v>
      </c>
      <c r="C1937" s="2" t="s">
        <v>130</v>
      </c>
      <c r="D1937" s="2" t="s">
        <v>84</v>
      </c>
      <c r="E1937" s="2" t="s">
        <v>80</v>
      </c>
      <c r="F1937" s="4">
        <v>15000</v>
      </c>
      <c r="G1937" s="5">
        <v>1.1000000000000001</v>
      </c>
      <c r="H1937" s="6">
        <v>0</v>
      </c>
      <c r="I1937" s="7">
        <f t="shared" si="300"/>
        <v>16500</v>
      </c>
      <c r="J1937" s="7">
        <f t="shared" si="301"/>
        <v>0</v>
      </c>
      <c r="K1937" s="7">
        <f t="shared" si="302"/>
        <v>16500</v>
      </c>
      <c r="L1937" s="4">
        <v>30000</v>
      </c>
      <c r="M1937" s="7">
        <f t="shared" si="303"/>
        <v>46500</v>
      </c>
      <c r="N1937" s="2" t="s">
        <v>58</v>
      </c>
      <c r="O1937" t="s">
        <v>22</v>
      </c>
      <c r="P1937" s="2" t="s">
        <v>2368</v>
      </c>
      <c r="Q1937" s="2">
        <v>3</v>
      </c>
      <c r="R1937" s="2" t="s">
        <v>23</v>
      </c>
      <c r="S1937" s="2" t="str">
        <f t="shared" si="304"/>
        <v>Sangat Rendah</v>
      </c>
      <c r="T1937" s="2" t="str">
        <f t="shared" si="305"/>
        <v>FALSE</v>
      </c>
      <c r="U1937" s="2" t="str">
        <f t="shared" si="306"/>
        <v>FALSE</v>
      </c>
      <c r="V1937" s="2" t="b">
        <f t="shared" si="307"/>
        <v>0</v>
      </c>
      <c r="W1937" s="2" t="b">
        <f t="shared" si="308"/>
        <v>0</v>
      </c>
      <c r="X1937" s="2" t="b">
        <f t="shared" si="309"/>
        <v>1</v>
      </c>
    </row>
    <row r="1938" spans="1:24" ht="10.5" customHeight="1">
      <c r="A1938" s="2" t="s">
        <v>2288</v>
      </c>
      <c r="B1938" s="3">
        <v>46019.42559027778</v>
      </c>
      <c r="C1938" s="2" t="s">
        <v>51</v>
      </c>
      <c r="D1938" s="2" t="s">
        <v>52</v>
      </c>
      <c r="E1938" s="2" t="s">
        <v>170</v>
      </c>
      <c r="F1938" s="4">
        <v>12000</v>
      </c>
      <c r="G1938" s="5">
        <v>0.5</v>
      </c>
      <c r="H1938" s="6">
        <v>0</v>
      </c>
      <c r="I1938" s="7">
        <f t="shared" si="300"/>
        <v>6000</v>
      </c>
      <c r="J1938" s="7">
        <f t="shared" si="301"/>
        <v>0</v>
      </c>
      <c r="K1938" s="7">
        <f t="shared" si="302"/>
        <v>6000</v>
      </c>
      <c r="L1938" s="4">
        <v>80000</v>
      </c>
      <c r="M1938" s="7">
        <f t="shared" si="303"/>
        <v>86000</v>
      </c>
      <c r="N1938" s="2" t="s">
        <v>33</v>
      </c>
      <c r="O1938" t="s">
        <v>2107</v>
      </c>
      <c r="P1938" s="2" t="s">
        <v>2368</v>
      </c>
      <c r="Q1938" s="2">
        <v>2</v>
      </c>
      <c r="R1938" s="2" t="s">
        <v>23</v>
      </c>
      <c r="S1938" s="2" t="str">
        <f t="shared" si="304"/>
        <v>Rendah</v>
      </c>
      <c r="T1938" s="2" t="str">
        <f t="shared" si="305"/>
        <v>FALSE</v>
      </c>
      <c r="U1938" s="2" t="str">
        <f t="shared" si="306"/>
        <v>FALSE</v>
      </c>
      <c r="V1938" s="2" t="b">
        <f t="shared" si="307"/>
        <v>0</v>
      </c>
      <c r="W1938" s="2" t="b">
        <f t="shared" si="308"/>
        <v>0</v>
      </c>
      <c r="X1938" s="2" t="b">
        <f t="shared" si="309"/>
        <v>0</v>
      </c>
    </row>
    <row r="1939" spans="1:24" ht="10.5" customHeight="1">
      <c r="A1939" s="2" t="s">
        <v>2289</v>
      </c>
      <c r="B1939" s="3">
        <v>46019.453159722223</v>
      </c>
      <c r="C1939" s="2" t="s">
        <v>1043</v>
      </c>
      <c r="D1939" s="2" t="s">
        <v>74</v>
      </c>
      <c r="E1939" s="2" t="s">
        <v>41</v>
      </c>
      <c r="F1939" s="4">
        <v>40000</v>
      </c>
      <c r="G1939" s="5">
        <v>0.9</v>
      </c>
      <c r="H1939" s="6">
        <v>0</v>
      </c>
      <c r="I1939" s="7">
        <f t="shared" si="300"/>
        <v>36000</v>
      </c>
      <c r="J1939" s="7">
        <f t="shared" si="301"/>
        <v>0</v>
      </c>
      <c r="K1939" s="7">
        <f t="shared" si="302"/>
        <v>36000</v>
      </c>
      <c r="L1939" s="4">
        <v>74000</v>
      </c>
      <c r="M1939" s="7">
        <f t="shared" si="303"/>
        <v>110000</v>
      </c>
      <c r="N1939" s="2" t="s">
        <v>58</v>
      </c>
      <c r="O1939" t="s">
        <v>2110</v>
      </c>
      <c r="P1939" s="2" t="s">
        <v>2368</v>
      </c>
      <c r="Q1939" s="2">
        <v>3</v>
      </c>
      <c r="R1939" s="2" t="s">
        <v>23</v>
      </c>
      <c r="S1939" s="2" t="str">
        <f t="shared" si="304"/>
        <v>Standar</v>
      </c>
      <c r="T1939" s="2" t="str">
        <f t="shared" si="305"/>
        <v>FALSE</v>
      </c>
      <c r="U1939" s="2" t="str">
        <f t="shared" si="306"/>
        <v>FALSE</v>
      </c>
      <c r="V1939" s="2" t="b">
        <f t="shared" si="307"/>
        <v>0</v>
      </c>
      <c r="W1939" s="2" t="b">
        <f t="shared" si="308"/>
        <v>0</v>
      </c>
      <c r="X1939" s="2" t="b">
        <f t="shared" si="309"/>
        <v>0</v>
      </c>
    </row>
    <row r="1940" spans="1:24" ht="10.5" customHeight="1">
      <c r="A1940" s="2" t="s">
        <v>2290</v>
      </c>
      <c r="B1940" s="3">
        <v>46019.531145833331</v>
      </c>
      <c r="C1940" s="2" t="s">
        <v>458</v>
      </c>
      <c r="D1940" s="2" t="s">
        <v>153</v>
      </c>
      <c r="E1940" s="2" t="s">
        <v>65</v>
      </c>
      <c r="F1940" s="4">
        <v>46000</v>
      </c>
      <c r="G1940" s="5">
        <v>1</v>
      </c>
      <c r="H1940" s="6">
        <v>0</v>
      </c>
      <c r="I1940" s="7">
        <f t="shared" si="300"/>
        <v>46000</v>
      </c>
      <c r="J1940" s="7">
        <f t="shared" si="301"/>
        <v>0</v>
      </c>
      <c r="K1940" s="7">
        <f t="shared" si="302"/>
        <v>46000</v>
      </c>
      <c r="L1940" s="4">
        <v>50000</v>
      </c>
      <c r="M1940" s="7">
        <f t="shared" si="303"/>
        <v>96000</v>
      </c>
      <c r="N1940" s="2" t="s">
        <v>21</v>
      </c>
      <c r="O1940" t="s">
        <v>22</v>
      </c>
      <c r="P1940" s="2" t="s">
        <v>2367</v>
      </c>
      <c r="Q1940" s="2">
        <v>1</v>
      </c>
      <c r="R1940" s="2" t="s">
        <v>23</v>
      </c>
      <c r="S1940" s="2" t="str">
        <f t="shared" si="304"/>
        <v>Rendah</v>
      </c>
      <c r="T1940" s="2" t="str">
        <f t="shared" si="305"/>
        <v>FALSE</v>
      </c>
      <c r="U1940" s="2" t="str">
        <f t="shared" si="306"/>
        <v>FALSE</v>
      </c>
      <c r="V1940" s="2" t="b">
        <f t="shared" si="307"/>
        <v>0</v>
      </c>
      <c r="W1940" s="2" t="b">
        <f t="shared" si="308"/>
        <v>1</v>
      </c>
      <c r="X1940" s="2" t="b">
        <f t="shared" si="309"/>
        <v>0</v>
      </c>
    </row>
    <row r="1941" spans="1:24" ht="10.5" customHeight="1">
      <c r="A1941" s="2" t="s">
        <v>2291</v>
      </c>
      <c r="B1941" s="3">
        <v>46019.562083333331</v>
      </c>
      <c r="C1941" s="2" t="s">
        <v>1969</v>
      </c>
      <c r="D1941" s="2" t="s">
        <v>94</v>
      </c>
      <c r="E1941" s="2" t="s">
        <v>75</v>
      </c>
      <c r="F1941" s="4">
        <v>45000</v>
      </c>
      <c r="G1941" s="5">
        <v>1.1000000000000001</v>
      </c>
      <c r="H1941" s="6">
        <v>0</v>
      </c>
      <c r="I1941" s="7">
        <f t="shared" si="300"/>
        <v>49500.000000000007</v>
      </c>
      <c r="J1941" s="7">
        <f t="shared" si="301"/>
        <v>0</v>
      </c>
      <c r="K1941" s="7">
        <f t="shared" si="302"/>
        <v>49500.000000000007</v>
      </c>
      <c r="L1941" s="4">
        <v>85000</v>
      </c>
      <c r="M1941" s="7">
        <f t="shared" si="303"/>
        <v>134500</v>
      </c>
      <c r="N1941" s="2" t="s">
        <v>58</v>
      </c>
      <c r="O1941" t="s">
        <v>22</v>
      </c>
      <c r="P1941" s="2" t="s">
        <v>2367</v>
      </c>
      <c r="Q1941" s="2">
        <v>1</v>
      </c>
      <c r="R1941" s="2" t="s">
        <v>23</v>
      </c>
      <c r="S1941" s="2" t="str">
        <f t="shared" si="304"/>
        <v>Standar</v>
      </c>
      <c r="T1941" s="2" t="str">
        <f t="shared" si="305"/>
        <v>FALSE</v>
      </c>
      <c r="U1941" s="2" t="str">
        <f t="shared" si="306"/>
        <v>FALSE</v>
      </c>
      <c r="V1941" s="2" t="b">
        <f t="shared" si="307"/>
        <v>0</v>
      </c>
      <c r="W1941" s="2" t="b">
        <f t="shared" si="308"/>
        <v>1</v>
      </c>
      <c r="X1941" s="2" t="b">
        <f t="shared" si="309"/>
        <v>0</v>
      </c>
    </row>
    <row r="1942" spans="1:24" ht="10.5" customHeight="1">
      <c r="A1942" s="2" t="s">
        <v>2292</v>
      </c>
      <c r="B1942" s="3">
        <v>46019.59752314815</v>
      </c>
      <c r="C1942" s="2" t="s">
        <v>181</v>
      </c>
      <c r="D1942" s="2" t="s">
        <v>98</v>
      </c>
      <c r="E1942" s="2" t="s">
        <v>190</v>
      </c>
      <c r="F1942" s="4">
        <v>15500</v>
      </c>
      <c r="G1942" s="5">
        <v>0.2</v>
      </c>
      <c r="H1942" s="6">
        <v>0</v>
      </c>
      <c r="I1942" s="7">
        <f t="shared" si="300"/>
        <v>3100</v>
      </c>
      <c r="J1942" s="7">
        <f t="shared" si="301"/>
        <v>0</v>
      </c>
      <c r="K1942" s="7">
        <f t="shared" si="302"/>
        <v>3100</v>
      </c>
      <c r="L1942" s="4">
        <v>97000</v>
      </c>
      <c r="M1942" s="7">
        <f t="shared" si="303"/>
        <v>100100</v>
      </c>
      <c r="N1942" s="2" t="s">
        <v>21</v>
      </c>
      <c r="O1942" t="s">
        <v>22</v>
      </c>
      <c r="P1942" s="2" t="s">
        <v>2367</v>
      </c>
      <c r="Q1942" s="2">
        <v>1</v>
      </c>
      <c r="R1942" s="2" t="s">
        <v>23</v>
      </c>
      <c r="S1942" s="2" t="str">
        <f t="shared" si="304"/>
        <v>Standar</v>
      </c>
      <c r="T1942" s="2" t="str">
        <f t="shared" si="305"/>
        <v>FALSE</v>
      </c>
      <c r="U1942" s="2" t="str">
        <f t="shared" si="306"/>
        <v>FALSE</v>
      </c>
      <c r="V1942" s="2" t="b">
        <f t="shared" si="307"/>
        <v>0</v>
      </c>
      <c r="W1942" s="2" t="b">
        <f t="shared" si="308"/>
        <v>1</v>
      </c>
      <c r="X1942" s="2" t="b">
        <f t="shared" si="309"/>
        <v>0</v>
      </c>
    </row>
    <row r="1943" spans="1:24" ht="10.5" customHeight="1">
      <c r="A1943" s="2" t="s">
        <v>2293</v>
      </c>
      <c r="B1943" s="3">
        <v>46019.632222222222</v>
      </c>
      <c r="C1943" s="2" t="s">
        <v>762</v>
      </c>
      <c r="D1943" s="2" t="s">
        <v>105</v>
      </c>
      <c r="E1943" s="2" t="s">
        <v>65</v>
      </c>
      <c r="F1943" s="4">
        <v>46000</v>
      </c>
      <c r="G1943" s="5">
        <v>1.3</v>
      </c>
      <c r="H1943" s="6">
        <v>0</v>
      </c>
      <c r="I1943" s="7">
        <f t="shared" si="300"/>
        <v>59800</v>
      </c>
      <c r="J1943" s="7">
        <f t="shared" si="301"/>
        <v>0</v>
      </c>
      <c r="K1943" s="7">
        <f t="shared" si="302"/>
        <v>59800</v>
      </c>
      <c r="L1943" s="4">
        <v>18000</v>
      </c>
      <c r="M1943" s="7">
        <f t="shared" si="303"/>
        <v>77800</v>
      </c>
      <c r="N1943" s="2" t="s">
        <v>21</v>
      </c>
      <c r="O1943" t="s">
        <v>2107</v>
      </c>
      <c r="P1943" s="2" t="s">
        <v>2366</v>
      </c>
      <c r="Q1943" s="2">
        <v>2</v>
      </c>
      <c r="R1943" s="2" t="s">
        <v>23</v>
      </c>
      <c r="S1943" s="2" t="str">
        <f t="shared" si="304"/>
        <v>Rendah</v>
      </c>
      <c r="T1943" s="2" t="str">
        <f t="shared" si="305"/>
        <v>FALSE</v>
      </c>
      <c r="U1943" s="2" t="str">
        <f t="shared" si="306"/>
        <v>FALSE</v>
      </c>
      <c r="V1943" s="2" t="b">
        <f t="shared" si="307"/>
        <v>0</v>
      </c>
      <c r="W1943" s="2" t="b">
        <f t="shared" si="308"/>
        <v>0</v>
      </c>
      <c r="X1943" s="2" t="b">
        <f t="shared" si="309"/>
        <v>0</v>
      </c>
    </row>
    <row r="1944" spans="1:24" ht="10.5" customHeight="1">
      <c r="A1944" s="2" t="s">
        <v>2294</v>
      </c>
      <c r="B1944" s="3">
        <v>46019.689571759263</v>
      </c>
      <c r="C1944" s="2" t="s">
        <v>402</v>
      </c>
      <c r="D1944" s="2" t="s">
        <v>64</v>
      </c>
      <c r="E1944" s="2" t="s">
        <v>75</v>
      </c>
      <c r="F1944" s="4">
        <v>45000</v>
      </c>
      <c r="G1944" s="5">
        <v>2</v>
      </c>
      <c r="H1944" s="6">
        <v>0</v>
      </c>
      <c r="I1944" s="7">
        <f t="shared" si="300"/>
        <v>90000</v>
      </c>
      <c r="J1944" s="7">
        <f t="shared" si="301"/>
        <v>0</v>
      </c>
      <c r="K1944" s="7">
        <f t="shared" si="302"/>
        <v>90000</v>
      </c>
      <c r="L1944" s="4">
        <v>89000</v>
      </c>
      <c r="M1944" s="7">
        <f t="shared" si="303"/>
        <v>179000</v>
      </c>
      <c r="N1944" s="2" t="s">
        <v>21</v>
      </c>
      <c r="O1944" t="s">
        <v>22</v>
      </c>
      <c r="P1944" s="2" t="s">
        <v>2370</v>
      </c>
      <c r="Q1944" s="2">
        <v>4</v>
      </c>
      <c r="R1944" s="2" t="s">
        <v>23</v>
      </c>
      <c r="S1944" s="2" t="str">
        <f t="shared" si="304"/>
        <v>Tinggi</v>
      </c>
      <c r="T1944" s="2" t="str">
        <f t="shared" si="305"/>
        <v>FALSE</v>
      </c>
      <c r="U1944" s="2" t="str">
        <f t="shared" si="306"/>
        <v>TRUE</v>
      </c>
      <c r="V1944" s="2" t="b">
        <f t="shared" si="307"/>
        <v>0</v>
      </c>
      <c r="W1944" s="2" t="b">
        <f t="shared" si="308"/>
        <v>0</v>
      </c>
      <c r="X1944" s="2" t="b">
        <f t="shared" si="309"/>
        <v>0</v>
      </c>
    </row>
    <row r="1945" spans="1:24" ht="10.5" customHeight="1">
      <c r="A1945" s="2" t="s">
        <v>2295</v>
      </c>
      <c r="B1945" s="3">
        <v>46019.720069444447</v>
      </c>
      <c r="C1945" s="2" t="s">
        <v>37</v>
      </c>
      <c r="D1945" s="2" t="s">
        <v>26</v>
      </c>
      <c r="E1945" s="2" t="s">
        <v>20</v>
      </c>
      <c r="F1945" s="4">
        <v>10000</v>
      </c>
      <c r="G1945" s="5">
        <v>2.2000000000000002</v>
      </c>
      <c r="H1945" s="6">
        <v>0</v>
      </c>
      <c r="I1945" s="7">
        <f t="shared" si="300"/>
        <v>22000</v>
      </c>
      <c r="J1945" s="7">
        <f t="shared" si="301"/>
        <v>0</v>
      </c>
      <c r="K1945" s="7">
        <f t="shared" si="302"/>
        <v>22000</v>
      </c>
      <c r="L1945" s="4">
        <v>17000</v>
      </c>
      <c r="M1945" s="7">
        <f t="shared" si="303"/>
        <v>39000</v>
      </c>
      <c r="N1945" s="2" t="s">
        <v>33</v>
      </c>
      <c r="O1945" t="s">
        <v>22</v>
      </c>
      <c r="P1945" s="2" t="s">
        <v>2365</v>
      </c>
      <c r="Q1945" s="2">
        <v>2</v>
      </c>
      <c r="R1945" s="2" t="s">
        <v>23</v>
      </c>
      <c r="S1945" s="2" t="str">
        <f t="shared" si="304"/>
        <v>Sangat Rendah</v>
      </c>
      <c r="T1945" s="2" t="str">
        <f t="shared" si="305"/>
        <v>FALSE</v>
      </c>
      <c r="U1945" s="2" t="str">
        <f t="shared" si="306"/>
        <v>FALSE</v>
      </c>
      <c r="V1945" s="2" t="b">
        <f t="shared" si="307"/>
        <v>0</v>
      </c>
      <c r="W1945" s="2" t="b">
        <f t="shared" si="308"/>
        <v>0</v>
      </c>
      <c r="X1945" s="2" t="b">
        <f t="shared" si="309"/>
        <v>1</v>
      </c>
    </row>
    <row r="1946" spans="1:24" ht="10.5" customHeight="1">
      <c r="A1946" s="2" t="s">
        <v>2296</v>
      </c>
      <c r="B1946" s="3">
        <v>46019.72892361111</v>
      </c>
      <c r="C1946" s="2" t="s">
        <v>43</v>
      </c>
      <c r="D1946" s="2" t="s">
        <v>44</v>
      </c>
      <c r="E1946" s="2" t="s">
        <v>53</v>
      </c>
      <c r="F1946" s="4">
        <v>14000</v>
      </c>
      <c r="G1946" s="5">
        <v>0.6</v>
      </c>
      <c r="H1946" s="6">
        <v>0</v>
      </c>
      <c r="I1946" s="7">
        <f t="shared" si="300"/>
        <v>8400</v>
      </c>
      <c r="J1946" s="7">
        <f t="shared" si="301"/>
        <v>0</v>
      </c>
      <c r="K1946" s="7">
        <f t="shared" si="302"/>
        <v>8400</v>
      </c>
      <c r="L1946" s="4">
        <v>43000</v>
      </c>
      <c r="M1946" s="7">
        <f t="shared" si="303"/>
        <v>51400</v>
      </c>
      <c r="N1946" s="2" t="s">
        <v>58</v>
      </c>
      <c r="O1946" t="s">
        <v>22</v>
      </c>
      <c r="P1946" s="2" t="s">
        <v>2367</v>
      </c>
      <c r="Q1946" s="2">
        <v>1</v>
      </c>
      <c r="R1946" s="2" t="s">
        <v>23</v>
      </c>
      <c r="S1946" s="2" t="str">
        <f t="shared" si="304"/>
        <v>Rendah</v>
      </c>
      <c r="T1946" s="2" t="str">
        <f t="shared" si="305"/>
        <v>FALSE</v>
      </c>
      <c r="U1946" s="2" t="str">
        <f t="shared" si="306"/>
        <v>FALSE</v>
      </c>
      <c r="V1946" s="2" t="b">
        <f t="shared" si="307"/>
        <v>0</v>
      </c>
      <c r="W1946" s="2" t="b">
        <f t="shared" si="308"/>
        <v>1</v>
      </c>
      <c r="X1946" s="2" t="b">
        <f t="shared" si="309"/>
        <v>0</v>
      </c>
    </row>
    <row r="1947" spans="1:24" ht="10.5" customHeight="1">
      <c r="A1947" s="2" t="s">
        <v>2297</v>
      </c>
      <c r="B1947" s="3">
        <v>46019.899467592593</v>
      </c>
      <c r="C1947" s="2" t="s">
        <v>145</v>
      </c>
      <c r="D1947" s="2" t="s">
        <v>84</v>
      </c>
      <c r="E1947" s="2" t="s">
        <v>102</v>
      </c>
      <c r="F1947" s="4">
        <v>55000</v>
      </c>
      <c r="G1947" s="5">
        <v>0.4</v>
      </c>
      <c r="H1947" s="6">
        <v>0</v>
      </c>
      <c r="I1947" s="7">
        <f t="shared" si="300"/>
        <v>22000</v>
      </c>
      <c r="J1947" s="7">
        <f t="shared" si="301"/>
        <v>0</v>
      </c>
      <c r="K1947" s="7">
        <f t="shared" si="302"/>
        <v>22000</v>
      </c>
      <c r="L1947" s="4">
        <v>30000</v>
      </c>
      <c r="M1947" s="7">
        <f t="shared" si="303"/>
        <v>52000</v>
      </c>
      <c r="N1947" s="2" t="s">
        <v>28</v>
      </c>
      <c r="O1947" t="s">
        <v>22</v>
      </c>
      <c r="P1947" s="2" t="s">
        <v>2368</v>
      </c>
      <c r="Q1947" s="2">
        <v>4</v>
      </c>
      <c r="R1947" s="2" t="s">
        <v>23</v>
      </c>
      <c r="S1947" s="2" t="str">
        <f t="shared" si="304"/>
        <v>Rendah</v>
      </c>
      <c r="T1947" s="2" t="str">
        <f t="shared" si="305"/>
        <v>FALSE</v>
      </c>
      <c r="U1947" s="2" t="str">
        <f t="shared" si="306"/>
        <v>FALSE</v>
      </c>
      <c r="V1947" s="2" t="b">
        <f t="shared" si="307"/>
        <v>0</v>
      </c>
      <c r="W1947" s="2" t="b">
        <f t="shared" si="308"/>
        <v>0</v>
      </c>
      <c r="X1947" s="2" t="b">
        <f t="shared" si="309"/>
        <v>0</v>
      </c>
    </row>
    <row r="1948" spans="1:24" ht="10.5" customHeight="1">
      <c r="A1948" s="2" t="s">
        <v>2298</v>
      </c>
      <c r="B1948" s="3">
        <v>46019.907384259262</v>
      </c>
      <c r="C1948" s="2" t="s">
        <v>616</v>
      </c>
      <c r="D1948" s="2" t="s">
        <v>286</v>
      </c>
      <c r="E1948" s="2" t="s">
        <v>45</v>
      </c>
      <c r="F1948" s="4">
        <v>10500</v>
      </c>
      <c r="G1948" s="5">
        <v>1.7</v>
      </c>
      <c r="H1948" s="6">
        <v>0</v>
      </c>
      <c r="I1948" s="7">
        <f t="shared" si="300"/>
        <v>17850</v>
      </c>
      <c r="J1948" s="7">
        <f t="shared" si="301"/>
        <v>0</v>
      </c>
      <c r="K1948" s="7">
        <f t="shared" si="302"/>
        <v>17850</v>
      </c>
      <c r="L1948" s="4">
        <v>79000</v>
      </c>
      <c r="M1948" s="7">
        <f t="shared" si="303"/>
        <v>96850</v>
      </c>
      <c r="N1948" s="2" t="s">
        <v>21</v>
      </c>
      <c r="O1948" t="s">
        <v>2107</v>
      </c>
      <c r="P1948" s="2" t="s">
        <v>2366</v>
      </c>
      <c r="Q1948" s="2">
        <v>4</v>
      </c>
      <c r="R1948" s="2" t="s">
        <v>23</v>
      </c>
      <c r="S1948" s="2" t="str">
        <f t="shared" si="304"/>
        <v>Rendah</v>
      </c>
      <c r="T1948" s="2" t="str">
        <f t="shared" si="305"/>
        <v>FALSE</v>
      </c>
      <c r="U1948" s="2" t="str">
        <f t="shared" si="306"/>
        <v>FALSE</v>
      </c>
      <c r="V1948" s="2" t="b">
        <f t="shared" si="307"/>
        <v>0</v>
      </c>
      <c r="W1948" s="2" t="b">
        <f t="shared" si="308"/>
        <v>0</v>
      </c>
      <c r="X1948" s="2" t="b">
        <f t="shared" si="309"/>
        <v>0</v>
      </c>
    </row>
    <row r="1949" spans="1:24" ht="10.5" customHeight="1">
      <c r="A1949" s="2" t="s">
        <v>2299</v>
      </c>
      <c r="B1949" s="3">
        <v>46019.915879629632</v>
      </c>
      <c r="C1949" s="2" t="s">
        <v>1189</v>
      </c>
      <c r="D1949" s="2" t="s">
        <v>365</v>
      </c>
      <c r="E1949" s="2" t="s">
        <v>35</v>
      </c>
      <c r="F1949" s="4">
        <v>13500</v>
      </c>
      <c r="G1949" s="5">
        <v>1.9</v>
      </c>
      <c r="H1949" s="6">
        <v>0</v>
      </c>
      <c r="I1949" s="7">
        <f t="shared" si="300"/>
        <v>25650</v>
      </c>
      <c r="J1949" s="7">
        <f t="shared" si="301"/>
        <v>0</v>
      </c>
      <c r="K1949" s="7">
        <f t="shared" si="302"/>
        <v>25650</v>
      </c>
      <c r="L1949" s="4">
        <v>21000</v>
      </c>
      <c r="M1949" s="7">
        <f t="shared" si="303"/>
        <v>46650</v>
      </c>
      <c r="N1949" s="2" t="s">
        <v>21</v>
      </c>
      <c r="O1949" t="s">
        <v>2107</v>
      </c>
      <c r="P1949" s="2" t="s">
        <v>2368</v>
      </c>
      <c r="Q1949" s="2">
        <v>4</v>
      </c>
      <c r="R1949" s="2" t="s">
        <v>23</v>
      </c>
      <c r="S1949" s="2" t="str">
        <f t="shared" si="304"/>
        <v>Sangat Rendah</v>
      </c>
      <c r="T1949" s="2" t="str">
        <f t="shared" si="305"/>
        <v>FALSE</v>
      </c>
      <c r="U1949" s="2" t="str">
        <f t="shared" si="306"/>
        <v>FALSE</v>
      </c>
      <c r="V1949" s="2" t="b">
        <f t="shared" si="307"/>
        <v>0</v>
      </c>
      <c r="W1949" s="2" t="b">
        <f t="shared" si="308"/>
        <v>0</v>
      </c>
      <c r="X1949" s="2" t="b">
        <f t="shared" si="309"/>
        <v>1</v>
      </c>
    </row>
    <row r="1950" spans="1:24" ht="10.5" customHeight="1">
      <c r="A1950" s="2" t="s">
        <v>2300</v>
      </c>
      <c r="B1950" s="3">
        <v>46020.130891203713</v>
      </c>
      <c r="C1950" s="2" t="s">
        <v>505</v>
      </c>
      <c r="D1950" s="2" t="s">
        <v>173</v>
      </c>
      <c r="E1950" s="2" t="s">
        <v>32</v>
      </c>
      <c r="F1950" s="4">
        <v>20000</v>
      </c>
      <c r="G1950" s="5">
        <v>1.4</v>
      </c>
      <c r="H1950" s="6">
        <v>0</v>
      </c>
      <c r="I1950" s="7">
        <f t="shared" si="300"/>
        <v>28000</v>
      </c>
      <c r="J1950" s="7">
        <f t="shared" si="301"/>
        <v>0</v>
      </c>
      <c r="K1950" s="7">
        <f t="shared" si="302"/>
        <v>28000</v>
      </c>
      <c r="L1950" s="4">
        <v>48000</v>
      </c>
      <c r="M1950" s="7">
        <f t="shared" si="303"/>
        <v>76000</v>
      </c>
      <c r="N1950" s="2" t="s">
        <v>21</v>
      </c>
      <c r="O1950" t="s">
        <v>2107</v>
      </c>
      <c r="P1950" s="2" t="s">
        <v>2370</v>
      </c>
      <c r="Q1950" s="2">
        <v>3</v>
      </c>
      <c r="R1950" s="2" t="s">
        <v>23</v>
      </c>
      <c r="S1950" s="2" t="str">
        <f t="shared" si="304"/>
        <v>Rendah</v>
      </c>
      <c r="T1950" s="2" t="str">
        <f t="shared" si="305"/>
        <v>FALSE</v>
      </c>
      <c r="U1950" s="2" t="str">
        <f t="shared" si="306"/>
        <v>FALSE</v>
      </c>
      <c r="V1950" s="2" t="b">
        <f t="shared" si="307"/>
        <v>0</v>
      </c>
      <c r="W1950" s="2" t="b">
        <f t="shared" si="308"/>
        <v>0</v>
      </c>
      <c r="X1950" s="2" t="b">
        <f t="shared" si="309"/>
        <v>0</v>
      </c>
    </row>
    <row r="1951" spans="1:24" ht="10.5" customHeight="1">
      <c r="A1951" s="2" t="s">
        <v>2300</v>
      </c>
      <c r="B1951" s="3">
        <v>46020.130891203713</v>
      </c>
      <c r="C1951" s="2" t="s">
        <v>505</v>
      </c>
      <c r="D1951" s="2" t="s">
        <v>173</v>
      </c>
      <c r="E1951" s="2" t="s">
        <v>80</v>
      </c>
      <c r="F1951" s="4">
        <v>15000</v>
      </c>
      <c r="G1951" s="5">
        <v>0.8</v>
      </c>
      <c r="H1951" s="6">
        <v>0</v>
      </c>
      <c r="I1951" s="7">
        <f t="shared" si="300"/>
        <v>12000</v>
      </c>
      <c r="J1951" s="7">
        <f t="shared" si="301"/>
        <v>0</v>
      </c>
      <c r="K1951" s="7">
        <f t="shared" si="302"/>
        <v>12000</v>
      </c>
      <c r="L1951" s="4">
        <v>0</v>
      </c>
      <c r="M1951" s="7">
        <f t="shared" si="303"/>
        <v>12000</v>
      </c>
      <c r="N1951" s="2" t="s">
        <v>21</v>
      </c>
      <c r="O1951" t="s">
        <v>2107</v>
      </c>
      <c r="P1951" s="2" t="s">
        <v>2370</v>
      </c>
      <c r="Q1951" s="2">
        <v>3</v>
      </c>
      <c r="R1951" s="2" t="s">
        <v>23</v>
      </c>
      <c r="S1951" s="2" t="str">
        <f t="shared" si="304"/>
        <v>Sangat Rendah</v>
      </c>
      <c r="T1951" s="2" t="str">
        <f t="shared" si="305"/>
        <v>FALSE</v>
      </c>
      <c r="U1951" s="2" t="str">
        <f t="shared" si="306"/>
        <v>FALSE</v>
      </c>
      <c r="V1951" s="2" t="b">
        <f t="shared" si="307"/>
        <v>0</v>
      </c>
      <c r="W1951" s="2" t="b">
        <f t="shared" si="308"/>
        <v>0</v>
      </c>
      <c r="X1951" s="2" t="b">
        <f t="shared" si="309"/>
        <v>1</v>
      </c>
    </row>
    <row r="1952" spans="1:24" ht="10.5" customHeight="1">
      <c r="A1952" s="2" t="s">
        <v>2301</v>
      </c>
      <c r="B1952" s="3">
        <v>46020.213541666657</v>
      </c>
      <c r="C1952" s="2" t="s">
        <v>2087</v>
      </c>
      <c r="D1952" s="2" t="s">
        <v>48</v>
      </c>
      <c r="E1952" s="2" t="s">
        <v>170</v>
      </c>
      <c r="F1952" s="4">
        <v>12000</v>
      </c>
      <c r="G1952" s="5">
        <v>1.4</v>
      </c>
      <c r="H1952" s="6">
        <v>0</v>
      </c>
      <c r="I1952" s="7">
        <f t="shared" si="300"/>
        <v>16800</v>
      </c>
      <c r="J1952" s="7">
        <f t="shared" si="301"/>
        <v>0</v>
      </c>
      <c r="K1952" s="7">
        <f t="shared" si="302"/>
        <v>16800</v>
      </c>
      <c r="L1952" s="4">
        <v>18000</v>
      </c>
      <c r="M1952" s="7">
        <f t="shared" si="303"/>
        <v>34800</v>
      </c>
      <c r="N1952" s="2" t="s">
        <v>58</v>
      </c>
      <c r="O1952" t="s">
        <v>22</v>
      </c>
      <c r="P1952" s="2" t="s">
        <v>2368</v>
      </c>
      <c r="Q1952" s="2">
        <v>4</v>
      </c>
      <c r="R1952" s="2" t="s">
        <v>23</v>
      </c>
      <c r="S1952" s="2" t="str">
        <f t="shared" si="304"/>
        <v>Sangat Rendah</v>
      </c>
      <c r="T1952" s="2" t="str">
        <f t="shared" si="305"/>
        <v>FALSE</v>
      </c>
      <c r="U1952" s="2" t="str">
        <f t="shared" si="306"/>
        <v>FALSE</v>
      </c>
      <c r="V1952" s="2" t="b">
        <f t="shared" si="307"/>
        <v>0</v>
      </c>
      <c r="W1952" s="2" t="b">
        <f t="shared" si="308"/>
        <v>0</v>
      </c>
      <c r="X1952" s="2" t="b">
        <f t="shared" si="309"/>
        <v>1</v>
      </c>
    </row>
    <row r="1953" spans="1:24" ht="10.5" customHeight="1">
      <c r="A1953" s="2" t="s">
        <v>2302</v>
      </c>
      <c r="B1953" s="3">
        <v>46020.36010416667</v>
      </c>
      <c r="C1953" s="2" t="s">
        <v>304</v>
      </c>
      <c r="D1953" s="2" t="s">
        <v>105</v>
      </c>
      <c r="E1953" s="2" t="s">
        <v>102</v>
      </c>
      <c r="F1953" s="4">
        <v>55000</v>
      </c>
      <c r="G1953" s="5">
        <v>1.2</v>
      </c>
      <c r="H1953" s="6">
        <v>0</v>
      </c>
      <c r="I1953" s="7">
        <f t="shared" si="300"/>
        <v>66000</v>
      </c>
      <c r="J1953" s="7">
        <f t="shared" si="301"/>
        <v>0</v>
      </c>
      <c r="K1953" s="7">
        <f t="shared" si="302"/>
        <v>66000</v>
      </c>
      <c r="L1953" s="4">
        <v>18000</v>
      </c>
      <c r="M1953" s="7">
        <f t="shared" si="303"/>
        <v>84000</v>
      </c>
      <c r="N1953" s="2" t="s">
        <v>28</v>
      </c>
      <c r="O1953" t="s">
        <v>22</v>
      </c>
      <c r="P1953" s="2" t="s">
        <v>2366</v>
      </c>
      <c r="Q1953" s="2">
        <v>1</v>
      </c>
      <c r="R1953" s="2" t="s">
        <v>23</v>
      </c>
      <c r="S1953" s="2" t="str">
        <f t="shared" si="304"/>
        <v>Rendah</v>
      </c>
      <c r="T1953" s="2" t="str">
        <f t="shared" si="305"/>
        <v>FALSE</v>
      </c>
      <c r="U1953" s="2" t="str">
        <f t="shared" si="306"/>
        <v>FALSE</v>
      </c>
      <c r="V1953" s="2" t="b">
        <f t="shared" si="307"/>
        <v>0</v>
      </c>
      <c r="W1953" s="2" t="b">
        <f t="shared" si="308"/>
        <v>0</v>
      </c>
      <c r="X1953" s="2" t="b">
        <f t="shared" si="309"/>
        <v>0</v>
      </c>
    </row>
    <row r="1954" spans="1:24" ht="10.5" customHeight="1">
      <c r="A1954" s="2" t="s">
        <v>2303</v>
      </c>
      <c r="B1954" s="3">
        <v>46020.547488425917</v>
      </c>
      <c r="C1954" s="2" t="s">
        <v>157</v>
      </c>
      <c r="D1954" s="2" t="s">
        <v>40</v>
      </c>
      <c r="E1954" s="2" t="s">
        <v>57</v>
      </c>
      <c r="F1954" s="4">
        <v>17500</v>
      </c>
      <c r="G1954" s="5">
        <v>1.4</v>
      </c>
      <c r="H1954" s="6">
        <v>0</v>
      </c>
      <c r="I1954" s="7">
        <f t="shared" si="300"/>
        <v>24500</v>
      </c>
      <c r="J1954" s="7">
        <f t="shared" si="301"/>
        <v>0</v>
      </c>
      <c r="K1954" s="7">
        <f t="shared" si="302"/>
        <v>24500</v>
      </c>
      <c r="L1954" s="4">
        <v>93000</v>
      </c>
      <c r="M1954" s="7">
        <f t="shared" si="303"/>
        <v>117500</v>
      </c>
      <c r="N1954" s="2" t="s">
        <v>58</v>
      </c>
      <c r="O1954" t="s">
        <v>2107</v>
      </c>
      <c r="P1954" s="2" t="s">
        <v>2366</v>
      </c>
      <c r="Q1954" s="2">
        <v>3</v>
      </c>
      <c r="R1954" s="2" t="s">
        <v>23</v>
      </c>
      <c r="S1954" s="2" t="str">
        <f t="shared" si="304"/>
        <v>Standar</v>
      </c>
      <c r="T1954" s="2" t="str">
        <f t="shared" si="305"/>
        <v>FALSE</v>
      </c>
      <c r="U1954" s="2" t="str">
        <f t="shared" si="306"/>
        <v>FALSE</v>
      </c>
      <c r="V1954" s="2" t="b">
        <f t="shared" si="307"/>
        <v>0</v>
      </c>
      <c r="W1954" s="2" t="b">
        <f t="shared" si="308"/>
        <v>0</v>
      </c>
      <c r="X1954" s="2" t="b">
        <f t="shared" si="309"/>
        <v>0</v>
      </c>
    </row>
    <row r="1955" spans="1:24" ht="10.5" customHeight="1">
      <c r="A1955" s="2" t="s">
        <v>2304</v>
      </c>
      <c r="B1955" s="3">
        <v>46020.555648148147</v>
      </c>
      <c r="C1955" s="2" t="s">
        <v>1877</v>
      </c>
      <c r="D1955" s="2" t="s">
        <v>229</v>
      </c>
      <c r="E1955" s="2" t="s">
        <v>182</v>
      </c>
      <c r="F1955" s="4">
        <v>11000</v>
      </c>
      <c r="G1955" s="5">
        <v>2.2000000000000002</v>
      </c>
      <c r="H1955" s="6">
        <v>0</v>
      </c>
      <c r="I1955" s="7">
        <f t="shared" si="300"/>
        <v>24200.000000000004</v>
      </c>
      <c r="J1955" s="7">
        <f t="shared" si="301"/>
        <v>0</v>
      </c>
      <c r="K1955" s="7">
        <f t="shared" si="302"/>
        <v>24200.000000000004</v>
      </c>
      <c r="L1955" s="4">
        <v>28000</v>
      </c>
      <c r="M1955" s="7">
        <f t="shared" si="303"/>
        <v>52200</v>
      </c>
      <c r="N1955" s="2" t="s">
        <v>33</v>
      </c>
      <c r="O1955" t="s">
        <v>2107</v>
      </c>
      <c r="P1955" s="2" t="s">
        <v>2365</v>
      </c>
      <c r="Q1955" s="2">
        <v>3</v>
      </c>
      <c r="R1955" s="2" t="s">
        <v>23</v>
      </c>
      <c r="S1955" s="2" t="str">
        <f t="shared" si="304"/>
        <v>Rendah</v>
      </c>
      <c r="T1955" s="2" t="str">
        <f t="shared" si="305"/>
        <v>FALSE</v>
      </c>
      <c r="U1955" s="2" t="str">
        <f t="shared" si="306"/>
        <v>FALSE</v>
      </c>
      <c r="V1955" s="2" t="b">
        <f t="shared" si="307"/>
        <v>0</v>
      </c>
      <c r="W1955" s="2" t="b">
        <f t="shared" si="308"/>
        <v>0</v>
      </c>
      <c r="X1955" s="2" t="b">
        <f t="shared" si="309"/>
        <v>0</v>
      </c>
    </row>
    <row r="1956" spans="1:24" ht="10.5" customHeight="1">
      <c r="A1956" s="2" t="s">
        <v>2305</v>
      </c>
      <c r="B1956" s="3">
        <v>46020.555717592593</v>
      </c>
      <c r="C1956" s="2" t="s">
        <v>473</v>
      </c>
      <c r="D1956" s="2" t="s">
        <v>160</v>
      </c>
      <c r="E1956" s="2" t="s">
        <v>182</v>
      </c>
      <c r="F1956" s="4">
        <v>11000</v>
      </c>
      <c r="G1956" s="5">
        <v>0.6</v>
      </c>
      <c r="H1956" s="6">
        <v>0</v>
      </c>
      <c r="I1956" s="7">
        <f t="shared" si="300"/>
        <v>6600</v>
      </c>
      <c r="J1956" s="7">
        <f t="shared" si="301"/>
        <v>0</v>
      </c>
      <c r="K1956" s="7">
        <f t="shared" si="302"/>
        <v>6600</v>
      </c>
      <c r="L1956" s="4">
        <v>46000</v>
      </c>
      <c r="M1956" s="7">
        <f t="shared" si="303"/>
        <v>52600</v>
      </c>
      <c r="N1956" s="2" t="s">
        <v>28</v>
      </c>
      <c r="O1956" t="s">
        <v>2110</v>
      </c>
      <c r="P1956" s="2" t="s">
        <v>2368</v>
      </c>
      <c r="Q1956" s="2">
        <v>1</v>
      </c>
      <c r="R1956" s="2" t="s">
        <v>23</v>
      </c>
      <c r="S1956" s="2" t="str">
        <f t="shared" si="304"/>
        <v>Rendah</v>
      </c>
      <c r="T1956" s="2" t="str">
        <f t="shared" si="305"/>
        <v>FALSE</v>
      </c>
      <c r="U1956" s="2" t="str">
        <f t="shared" si="306"/>
        <v>FALSE</v>
      </c>
      <c r="V1956" s="2" t="b">
        <f t="shared" si="307"/>
        <v>0</v>
      </c>
      <c r="W1956" s="2" t="b">
        <f t="shared" si="308"/>
        <v>0</v>
      </c>
      <c r="X1956" s="2" t="b">
        <f t="shared" si="309"/>
        <v>0</v>
      </c>
    </row>
    <row r="1957" spans="1:24" ht="10.5" customHeight="1">
      <c r="A1957" s="2" t="s">
        <v>2306</v>
      </c>
      <c r="B1957" s="3">
        <v>46020.581006944441</v>
      </c>
      <c r="C1957" s="2" t="s">
        <v>463</v>
      </c>
      <c r="D1957" s="2" t="s">
        <v>114</v>
      </c>
      <c r="E1957" s="2" t="s">
        <v>161</v>
      </c>
      <c r="F1957" s="4">
        <v>115000</v>
      </c>
      <c r="G1957" s="5">
        <v>0.5</v>
      </c>
      <c r="H1957" s="6">
        <v>0</v>
      </c>
      <c r="I1957" s="7">
        <f t="shared" si="300"/>
        <v>57500</v>
      </c>
      <c r="J1957" s="7">
        <f t="shared" si="301"/>
        <v>0</v>
      </c>
      <c r="K1957" s="7">
        <f t="shared" si="302"/>
        <v>57500</v>
      </c>
      <c r="L1957" s="4">
        <v>78000</v>
      </c>
      <c r="M1957" s="7">
        <f t="shared" si="303"/>
        <v>135500</v>
      </c>
      <c r="N1957" s="2" t="s">
        <v>28</v>
      </c>
      <c r="O1957" t="s">
        <v>22</v>
      </c>
      <c r="P1957" s="2" t="s">
        <v>2367</v>
      </c>
      <c r="Q1957" s="2">
        <v>3</v>
      </c>
      <c r="R1957" s="2" t="s">
        <v>23</v>
      </c>
      <c r="S1957" s="2" t="str">
        <f t="shared" si="304"/>
        <v>Standar</v>
      </c>
      <c r="T1957" s="2" t="str">
        <f t="shared" si="305"/>
        <v>FALSE</v>
      </c>
      <c r="U1957" s="2" t="str">
        <f t="shared" si="306"/>
        <v>FALSE</v>
      </c>
      <c r="V1957" s="2" t="b">
        <f t="shared" si="307"/>
        <v>0</v>
      </c>
      <c r="W1957" s="2" t="b">
        <f t="shared" si="308"/>
        <v>1</v>
      </c>
      <c r="X1957" s="2" t="b">
        <f t="shared" si="309"/>
        <v>0</v>
      </c>
    </row>
    <row r="1958" spans="1:24" ht="10.5" customHeight="1">
      <c r="A1958" s="2" t="s">
        <v>2307</v>
      </c>
      <c r="B1958" s="3">
        <v>46020.602418981478</v>
      </c>
      <c r="C1958" s="2" t="s">
        <v>1227</v>
      </c>
      <c r="D1958" s="2" t="s">
        <v>84</v>
      </c>
      <c r="E1958" s="2" t="s">
        <v>102</v>
      </c>
      <c r="F1958" s="4">
        <v>55000</v>
      </c>
      <c r="G1958" s="5">
        <v>0.8</v>
      </c>
      <c r="H1958" s="6">
        <v>0</v>
      </c>
      <c r="I1958" s="7">
        <f t="shared" si="300"/>
        <v>44000</v>
      </c>
      <c r="J1958" s="7">
        <f t="shared" si="301"/>
        <v>0</v>
      </c>
      <c r="K1958" s="7">
        <f t="shared" si="302"/>
        <v>44000</v>
      </c>
      <c r="L1958" s="4">
        <v>30000</v>
      </c>
      <c r="M1958" s="7">
        <f t="shared" si="303"/>
        <v>74000</v>
      </c>
      <c r="N1958" s="2" t="s">
        <v>28</v>
      </c>
      <c r="O1958" t="s">
        <v>2110</v>
      </c>
      <c r="P1958" s="2" t="s">
        <v>2370</v>
      </c>
      <c r="Q1958" s="2">
        <v>5</v>
      </c>
      <c r="R1958" s="2" t="s">
        <v>23</v>
      </c>
      <c r="S1958" s="2" t="str">
        <f t="shared" si="304"/>
        <v>Rendah</v>
      </c>
      <c r="T1958" s="2" t="str">
        <f t="shared" si="305"/>
        <v>FALSE</v>
      </c>
      <c r="U1958" s="2" t="str">
        <f t="shared" si="306"/>
        <v>FALSE</v>
      </c>
      <c r="V1958" s="2" t="b">
        <f t="shared" si="307"/>
        <v>0</v>
      </c>
      <c r="W1958" s="2" t="b">
        <f t="shared" si="308"/>
        <v>0</v>
      </c>
      <c r="X1958" s="2" t="b">
        <f t="shared" si="309"/>
        <v>0</v>
      </c>
    </row>
    <row r="1959" spans="1:24" ht="10.5" customHeight="1">
      <c r="A1959" s="2" t="s">
        <v>2308</v>
      </c>
      <c r="B1959" s="3">
        <v>46020.644375000003</v>
      </c>
      <c r="C1959" s="2" t="s">
        <v>966</v>
      </c>
      <c r="D1959" s="2" t="s">
        <v>173</v>
      </c>
      <c r="E1959" s="2" t="s">
        <v>75</v>
      </c>
      <c r="F1959" s="4">
        <v>45000</v>
      </c>
      <c r="G1959" s="5">
        <v>1.5</v>
      </c>
      <c r="H1959" s="6">
        <v>0</v>
      </c>
      <c r="I1959" s="7">
        <f t="shared" si="300"/>
        <v>67500</v>
      </c>
      <c r="J1959" s="7">
        <f t="shared" si="301"/>
        <v>0</v>
      </c>
      <c r="K1959" s="7">
        <f t="shared" si="302"/>
        <v>67500</v>
      </c>
      <c r="L1959" s="4">
        <v>48000</v>
      </c>
      <c r="M1959" s="7">
        <f t="shared" si="303"/>
        <v>115500</v>
      </c>
      <c r="N1959" s="2" t="s">
        <v>58</v>
      </c>
      <c r="O1959" t="s">
        <v>22</v>
      </c>
      <c r="P1959" s="2" t="s">
        <v>2370</v>
      </c>
      <c r="Q1959" s="2">
        <v>1</v>
      </c>
      <c r="R1959" s="2" t="s">
        <v>23</v>
      </c>
      <c r="S1959" s="2" t="str">
        <f t="shared" si="304"/>
        <v>Standar</v>
      </c>
      <c r="T1959" s="2" t="str">
        <f t="shared" si="305"/>
        <v>FALSE</v>
      </c>
      <c r="U1959" s="2" t="str">
        <f t="shared" si="306"/>
        <v>FALSE</v>
      </c>
      <c r="V1959" s="2" t="b">
        <f t="shared" si="307"/>
        <v>0</v>
      </c>
      <c r="W1959" s="2" t="b">
        <f t="shared" si="308"/>
        <v>0</v>
      </c>
      <c r="X1959" s="2" t="b">
        <f t="shared" si="309"/>
        <v>0</v>
      </c>
    </row>
    <row r="1960" spans="1:24" ht="10.5" customHeight="1">
      <c r="A1960" s="2" t="s">
        <v>2309</v>
      </c>
      <c r="B1960" s="3">
        <v>46020.650104166663</v>
      </c>
      <c r="C1960" s="2" t="s">
        <v>784</v>
      </c>
      <c r="D1960" s="2" t="s">
        <v>56</v>
      </c>
      <c r="E1960" s="2" t="s">
        <v>41</v>
      </c>
      <c r="F1960" s="4">
        <v>40000</v>
      </c>
      <c r="G1960" s="5">
        <v>1</v>
      </c>
      <c r="H1960" s="6">
        <v>0</v>
      </c>
      <c r="I1960" s="7">
        <f t="shared" si="300"/>
        <v>40000</v>
      </c>
      <c r="J1960" s="7">
        <f t="shared" si="301"/>
        <v>0</v>
      </c>
      <c r="K1960" s="7">
        <f t="shared" si="302"/>
        <v>40000</v>
      </c>
      <c r="L1960" s="4">
        <v>26000</v>
      </c>
      <c r="M1960" s="7">
        <f t="shared" si="303"/>
        <v>66000</v>
      </c>
      <c r="N1960" s="2" t="s">
        <v>21</v>
      </c>
      <c r="O1960" t="s">
        <v>2107</v>
      </c>
      <c r="P1960" s="2" t="s">
        <v>2367</v>
      </c>
      <c r="Q1960" s="2">
        <v>4</v>
      </c>
      <c r="R1960" s="2" t="s">
        <v>34</v>
      </c>
      <c r="S1960" s="2" t="str">
        <f t="shared" si="304"/>
        <v>Rendah</v>
      </c>
      <c r="T1960" s="2" t="str">
        <f t="shared" si="305"/>
        <v>FALSE</v>
      </c>
      <c r="U1960" s="2" t="str">
        <f t="shared" si="306"/>
        <v>FALSE</v>
      </c>
      <c r="V1960" s="2" t="b">
        <f t="shared" si="307"/>
        <v>0</v>
      </c>
      <c r="W1960" s="2" t="b">
        <f t="shared" si="308"/>
        <v>1</v>
      </c>
      <c r="X1960" s="2" t="b">
        <f t="shared" si="309"/>
        <v>0</v>
      </c>
    </row>
    <row r="1961" spans="1:24" ht="10.5" customHeight="1">
      <c r="A1961" s="2" t="s">
        <v>2310</v>
      </c>
      <c r="B1961" s="3">
        <v>46020.665011574078</v>
      </c>
      <c r="C1961" s="2" t="s">
        <v>1784</v>
      </c>
      <c r="D1961" s="2" t="s">
        <v>185</v>
      </c>
      <c r="E1961" s="2" t="s">
        <v>53</v>
      </c>
      <c r="F1961" s="4">
        <v>14000</v>
      </c>
      <c r="G1961" s="5">
        <v>0.9</v>
      </c>
      <c r="H1961" s="6">
        <v>0</v>
      </c>
      <c r="I1961" s="7">
        <f t="shared" si="300"/>
        <v>12600</v>
      </c>
      <c r="J1961" s="7">
        <f t="shared" si="301"/>
        <v>0</v>
      </c>
      <c r="K1961" s="7">
        <f t="shared" si="302"/>
        <v>12600</v>
      </c>
      <c r="L1961" s="4">
        <v>87000</v>
      </c>
      <c r="M1961" s="7">
        <f t="shared" si="303"/>
        <v>99600</v>
      </c>
      <c r="N1961" s="2" t="s">
        <v>28</v>
      </c>
      <c r="O1961" t="s">
        <v>2110</v>
      </c>
      <c r="P1961" s="2" t="s">
        <v>2366</v>
      </c>
      <c r="Q1961" s="2">
        <v>4</v>
      </c>
      <c r="R1961" s="2" t="s">
        <v>34</v>
      </c>
      <c r="S1961" s="2" t="str">
        <f t="shared" si="304"/>
        <v>Rendah</v>
      </c>
      <c r="T1961" s="2" t="str">
        <f t="shared" si="305"/>
        <v>FALSE</v>
      </c>
      <c r="U1961" s="2" t="str">
        <f t="shared" si="306"/>
        <v>FALSE</v>
      </c>
      <c r="V1961" s="2" t="b">
        <f t="shared" si="307"/>
        <v>0</v>
      </c>
      <c r="W1961" s="2" t="b">
        <f t="shared" si="308"/>
        <v>0</v>
      </c>
      <c r="X1961" s="2" t="b">
        <f t="shared" si="309"/>
        <v>0</v>
      </c>
    </row>
    <row r="1962" spans="1:24" ht="10.5" customHeight="1">
      <c r="A1962" s="2" t="s">
        <v>2311</v>
      </c>
      <c r="B1962" s="3">
        <v>46020.68582175926</v>
      </c>
      <c r="C1962" s="2" t="s">
        <v>485</v>
      </c>
      <c r="D1962" s="2" t="s">
        <v>40</v>
      </c>
      <c r="E1962" s="2" t="s">
        <v>49</v>
      </c>
      <c r="F1962" s="4">
        <v>26000</v>
      </c>
      <c r="G1962" s="5">
        <v>1.6</v>
      </c>
      <c r="H1962" s="6">
        <v>0</v>
      </c>
      <c r="I1962" s="7">
        <f t="shared" si="300"/>
        <v>41600</v>
      </c>
      <c r="J1962" s="7">
        <f t="shared" si="301"/>
        <v>0</v>
      </c>
      <c r="K1962" s="7">
        <f t="shared" si="302"/>
        <v>41600</v>
      </c>
      <c r="L1962" s="4">
        <v>93000</v>
      </c>
      <c r="M1962" s="7">
        <f t="shared" si="303"/>
        <v>134600</v>
      </c>
      <c r="N1962" s="2" t="s">
        <v>28</v>
      </c>
      <c r="O1962" t="s">
        <v>2110</v>
      </c>
      <c r="P1962" s="2" t="s">
        <v>2366</v>
      </c>
      <c r="Q1962" s="2">
        <v>1</v>
      </c>
      <c r="R1962" s="2" t="s">
        <v>34</v>
      </c>
      <c r="S1962" s="2" t="str">
        <f t="shared" si="304"/>
        <v>Standar</v>
      </c>
      <c r="T1962" s="2" t="str">
        <f t="shared" si="305"/>
        <v>FALSE</v>
      </c>
      <c r="U1962" s="2" t="str">
        <f t="shared" si="306"/>
        <v>FALSE</v>
      </c>
      <c r="V1962" s="2" t="b">
        <f t="shared" si="307"/>
        <v>0</v>
      </c>
      <c r="W1962" s="2" t="b">
        <f t="shared" si="308"/>
        <v>0</v>
      </c>
      <c r="X1962" s="2" t="b">
        <f t="shared" si="309"/>
        <v>0</v>
      </c>
    </row>
    <row r="1963" spans="1:24" ht="10.5" customHeight="1">
      <c r="A1963" s="2" t="s">
        <v>2312</v>
      </c>
      <c r="B1963" s="3">
        <v>46020.712476851862</v>
      </c>
      <c r="C1963" s="2" t="s">
        <v>371</v>
      </c>
      <c r="D1963" s="2" t="s">
        <v>94</v>
      </c>
      <c r="E1963" s="2" t="s">
        <v>182</v>
      </c>
      <c r="F1963" s="4">
        <v>11000</v>
      </c>
      <c r="G1963" s="5">
        <v>1.8</v>
      </c>
      <c r="H1963" s="6">
        <v>0</v>
      </c>
      <c r="I1963" s="7">
        <f t="shared" si="300"/>
        <v>19800</v>
      </c>
      <c r="J1963" s="7">
        <f t="shared" si="301"/>
        <v>0</v>
      </c>
      <c r="K1963" s="7">
        <f t="shared" si="302"/>
        <v>19800</v>
      </c>
      <c r="L1963" s="4">
        <v>85000</v>
      </c>
      <c r="M1963" s="7">
        <f t="shared" si="303"/>
        <v>104800</v>
      </c>
      <c r="N1963" s="2" t="s">
        <v>28</v>
      </c>
      <c r="O1963" t="s">
        <v>22</v>
      </c>
      <c r="P1963" s="2" t="s">
        <v>2366</v>
      </c>
      <c r="Q1963" s="2">
        <v>1</v>
      </c>
      <c r="R1963" s="2" t="s">
        <v>23</v>
      </c>
      <c r="S1963" s="2" t="str">
        <f t="shared" si="304"/>
        <v>Standar</v>
      </c>
      <c r="T1963" s="2" t="str">
        <f t="shared" si="305"/>
        <v>FALSE</v>
      </c>
      <c r="U1963" s="2" t="str">
        <f t="shared" si="306"/>
        <v>FALSE</v>
      </c>
      <c r="V1963" s="2" t="b">
        <f t="shared" si="307"/>
        <v>0</v>
      </c>
      <c r="W1963" s="2" t="b">
        <f t="shared" si="308"/>
        <v>0</v>
      </c>
      <c r="X1963" s="2" t="b">
        <f t="shared" si="309"/>
        <v>0</v>
      </c>
    </row>
    <row r="1964" spans="1:24" ht="10.5" customHeight="1">
      <c r="A1964" s="2" t="s">
        <v>2313</v>
      </c>
      <c r="B1964" s="3">
        <v>46020.761284722219</v>
      </c>
      <c r="C1964" s="2" t="s">
        <v>139</v>
      </c>
      <c r="D1964" s="2" t="s">
        <v>140</v>
      </c>
      <c r="E1964" s="2" t="s">
        <v>27</v>
      </c>
      <c r="F1964" s="4">
        <v>15000</v>
      </c>
      <c r="G1964" s="5">
        <v>0.5</v>
      </c>
      <c r="H1964" s="6">
        <v>0</v>
      </c>
      <c r="I1964" s="7">
        <f t="shared" si="300"/>
        <v>7500</v>
      </c>
      <c r="J1964" s="7">
        <f t="shared" si="301"/>
        <v>0</v>
      </c>
      <c r="K1964" s="7">
        <f t="shared" si="302"/>
        <v>7500</v>
      </c>
      <c r="L1964" s="4">
        <v>55000</v>
      </c>
      <c r="M1964" s="7">
        <f t="shared" si="303"/>
        <v>62500</v>
      </c>
      <c r="N1964" s="2" t="s">
        <v>33</v>
      </c>
      <c r="O1964" t="s">
        <v>2110</v>
      </c>
      <c r="P1964" s="2" t="s">
        <v>2368</v>
      </c>
      <c r="Q1964" s="2">
        <v>5</v>
      </c>
      <c r="R1964" s="2" t="s">
        <v>34</v>
      </c>
      <c r="S1964" s="2" t="str">
        <f t="shared" si="304"/>
        <v>Rendah</v>
      </c>
      <c r="T1964" s="2" t="str">
        <f t="shared" si="305"/>
        <v>FALSE</v>
      </c>
      <c r="U1964" s="2" t="str">
        <f t="shared" si="306"/>
        <v>FALSE</v>
      </c>
      <c r="V1964" s="2" t="b">
        <f t="shared" si="307"/>
        <v>0</v>
      </c>
      <c r="W1964" s="2" t="b">
        <f t="shared" si="308"/>
        <v>0</v>
      </c>
      <c r="X1964" s="2" t="b">
        <f t="shared" si="309"/>
        <v>0</v>
      </c>
    </row>
    <row r="1965" spans="1:24" ht="10.5" customHeight="1">
      <c r="A1965" s="2" t="s">
        <v>2314</v>
      </c>
      <c r="B1965" s="3">
        <v>46021.009166666663</v>
      </c>
      <c r="C1965" s="2" t="s">
        <v>701</v>
      </c>
      <c r="D1965" s="2" t="s">
        <v>167</v>
      </c>
      <c r="E1965" s="2" t="s">
        <v>32</v>
      </c>
      <c r="F1965" s="4">
        <v>20000</v>
      </c>
      <c r="G1965" s="5">
        <v>2.9</v>
      </c>
      <c r="H1965" s="6">
        <v>0</v>
      </c>
      <c r="I1965" s="7">
        <f t="shared" si="300"/>
        <v>58000</v>
      </c>
      <c r="J1965" s="7">
        <f t="shared" si="301"/>
        <v>0</v>
      </c>
      <c r="K1965" s="7">
        <f t="shared" si="302"/>
        <v>58000</v>
      </c>
      <c r="L1965" s="4">
        <v>56000</v>
      </c>
      <c r="M1965" s="7">
        <f t="shared" si="303"/>
        <v>114000</v>
      </c>
      <c r="N1965" s="2" t="s">
        <v>33</v>
      </c>
      <c r="O1965" t="s">
        <v>22</v>
      </c>
      <c r="P1965" s="2" t="s">
        <v>2366</v>
      </c>
      <c r="Q1965" s="2">
        <v>2</v>
      </c>
      <c r="R1965" s="2" t="s">
        <v>23</v>
      </c>
      <c r="S1965" s="2" t="str">
        <f t="shared" si="304"/>
        <v>Standar</v>
      </c>
      <c r="T1965" s="2" t="str">
        <f t="shared" si="305"/>
        <v>FALSE</v>
      </c>
      <c r="U1965" s="2" t="str">
        <f t="shared" si="306"/>
        <v>FALSE</v>
      </c>
      <c r="V1965" s="2" t="b">
        <f t="shared" si="307"/>
        <v>0</v>
      </c>
      <c r="W1965" s="2" t="b">
        <f t="shared" si="308"/>
        <v>0</v>
      </c>
      <c r="X1965" s="2" t="b">
        <f t="shared" si="309"/>
        <v>0</v>
      </c>
    </row>
    <row r="1966" spans="1:24" ht="10.5" customHeight="1">
      <c r="A1966" s="2" t="s">
        <v>2315</v>
      </c>
      <c r="B1966" s="3">
        <v>46021.12636574074</v>
      </c>
      <c r="C1966" s="2" t="s">
        <v>574</v>
      </c>
      <c r="D1966" s="2" t="s">
        <v>84</v>
      </c>
      <c r="E1966" s="2" t="s">
        <v>75</v>
      </c>
      <c r="F1966" s="4">
        <v>45000</v>
      </c>
      <c r="G1966" s="5">
        <v>1.1000000000000001</v>
      </c>
      <c r="H1966" s="6">
        <v>0</v>
      </c>
      <c r="I1966" s="7">
        <f t="shared" si="300"/>
        <v>49500.000000000007</v>
      </c>
      <c r="J1966" s="7">
        <f t="shared" si="301"/>
        <v>0</v>
      </c>
      <c r="K1966" s="7">
        <f t="shared" si="302"/>
        <v>49500.000000000007</v>
      </c>
      <c r="L1966" s="4">
        <v>30000</v>
      </c>
      <c r="M1966" s="7">
        <f t="shared" si="303"/>
        <v>79500</v>
      </c>
      <c r="N1966" s="2" t="s">
        <v>21</v>
      </c>
      <c r="O1966" t="s">
        <v>115</v>
      </c>
      <c r="P1966" s="2" t="s">
        <v>2368</v>
      </c>
      <c r="Q1966" s="2">
        <v>4</v>
      </c>
      <c r="R1966" s="2" t="s">
        <v>23</v>
      </c>
      <c r="S1966" s="2" t="str">
        <f t="shared" si="304"/>
        <v>Rendah</v>
      </c>
      <c r="T1966" s="2" t="str">
        <f t="shared" si="305"/>
        <v>FALSE</v>
      </c>
      <c r="U1966" s="2" t="str">
        <f t="shared" si="306"/>
        <v>FALSE</v>
      </c>
      <c r="V1966" s="2" t="b">
        <f t="shared" si="307"/>
        <v>0</v>
      </c>
      <c r="W1966" s="2" t="b">
        <f t="shared" si="308"/>
        <v>0</v>
      </c>
      <c r="X1966" s="2" t="b">
        <f t="shared" si="309"/>
        <v>0</v>
      </c>
    </row>
    <row r="1967" spans="1:24" ht="10.5" customHeight="1">
      <c r="A1967" s="2" t="s">
        <v>2316</v>
      </c>
      <c r="B1967" s="3">
        <v>46021.302766203713</v>
      </c>
      <c r="C1967" s="2" t="s">
        <v>1150</v>
      </c>
      <c r="D1967" s="2" t="s">
        <v>87</v>
      </c>
      <c r="E1967" s="2" t="s">
        <v>80</v>
      </c>
      <c r="F1967" s="4">
        <v>15000</v>
      </c>
      <c r="G1967" s="5">
        <v>1.5</v>
      </c>
      <c r="H1967" s="6">
        <v>0</v>
      </c>
      <c r="I1967" s="7">
        <f t="shared" si="300"/>
        <v>22500</v>
      </c>
      <c r="J1967" s="7">
        <f t="shared" si="301"/>
        <v>0</v>
      </c>
      <c r="K1967" s="7">
        <f t="shared" si="302"/>
        <v>22500</v>
      </c>
      <c r="L1967" s="4">
        <v>49000</v>
      </c>
      <c r="M1967" s="7">
        <f t="shared" si="303"/>
        <v>71500</v>
      </c>
      <c r="N1967" s="2" t="s">
        <v>28</v>
      </c>
      <c r="O1967" t="s">
        <v>22</v>
      </c>
      <c r="P1967" s="2" t="s">
        <v>2370</v>
      </c>
      <c r="Q1967" s="2">
        <v>3</v>
      </c>
      <c r="R1967" s="2" t="s">
        <v>23</v>
      </c>
      <c r="S1967" s="2" t="str">
        <f t="shared" si="304"/>
        <v>Rendah</v>
      </c>
      <c r="T1967" s="2" t="str">
        <f t="shared" si="305"/>
        <v>FALSE</v>
      </c>
      <c r="U1967" s="2" t="str">
        <f t="shared" si="306"/>
        <v>FALSE</v>
      </c>
      <c r="V1967" s="2" t="b">
        <f t="shared" si="307"/>
        <v>0</v>
      </c>
      <c r="W1967" s="2" t="b">
        <f t="shared" si="308"/>
        <v>0</v>
      </c>
      <c r="X1967" s="2" t="b">
        <f t="shared" si="309"/>
        <v>0</v>
      </c>
    </row>
    <row r="1968" spans="1:24" ht="10.5" customHeight="1">
      <c r="A1968" s="2" t="s">
        <v>2317</v>
      </c>
      <c r="B1968" s="3">
        <v>46021.423518518517</v>
      </c>
      <c r="C1968" s="2" t="s">
        <v>712</v>
      </c>
      <c r="D1968" s="2" t="s">
        <v>52</v>
      </c>
      <c r="E1968" s="2" t="s">
        <v>35</v>
      </c>
      <c r="F1968" s="4">
        <v>13500</v>
      </c>
      <c r="G1968" s="5">
        <v>3</v>
      </c>
      <c r="H1968" s="6">
        <v>0</v>
      </c>
      <c r="I1968" s="7">
        <f t="shared" si="300"/>
        <v>40500</v>
      </c>
      <c r="J1968" s="7">
        <f t="shared" si="301"/>
        <v>0</v>
      </c>
      <c r="K1968" s="7">
        <f t="shared" si="302"/>
        <v>40500</v>
      </c>
      <c r="L1968" s="4">
        <v>80000</v>
      </c>
      <c r="M1968" s="7">
        <f t="shared" si="303"/>
        <v>120500</v>
      </c>
      <c r="N1968" s="2" t="s">
        <v>28</v>
      </c>
      <c r="O1968" t="s">
        <v>22</v>
      </c>
      <c r="P1968" s="2" t="s">
        <v>2370</v>
      </c>
      <c r="Q1968" s="2">
        <v>5</v>
      </c>
      <c r="R1968" s="2" t="s">
        <v>23</v>
      </c>
      <c r="S1968" s="2" t="str">
        <f t="shared" si="304"/>
        <v>Standar</v>
      </c>
      <c r="T1968" s="2" t="str">
        <f t="shared" si="305"/>
        <v>FALSE</v>
      </c>
      <c r="U1968" s="2" t="str">
        <f t="shared" si="306"/>
        <v>FALSE</v>
      </c>
      <c r="V1968" s="2" t="b">
        <f t="shared" si="307"/>
        <v>0</v>
      </c>
      <c r="W1968" s="2" t="b">
        <f t="shared" si="308"/>
        <v>0</v>
      </c>
      <c r="X1968" s="2" t="b">
        <f t="shared" si="309"/>
        <v>0</v>
      </c>
    </row>
    <row r="1969" spans="1:24" ht="10.5" customHeight="1">
      <c r="A1969" s="2" t="s">
        <v>2318</v>
      </c>
      <c r="B1969" s="3">
        <v>46021.432118055563</v>
      </c>
      <c r="C1969" s="2" t="s">
        <v>1118</v>
      </c>
      <c r="D1969" s="2" t="s">
        <v>105</v>
      </c>
      <c r="E1969" s="2" t="s">
        <v>49</v>
      </c>
      <c r="F1969" s="4">
        <v>26000</v>
      </c>
      <c r="G1969" s="5">
        <v>1.3</v>
      </c>
      <c r="H1969" s="6">
        <v>0</v>
      </c>
      <c r="I1969" s="7">
        <f t="shared" si="300"/>
        <v>33800</v>
      </c>
      <c r="J1969" s="7">
        <f t="shared" si="301"/>
        <v>0</v>
      </c>
      <c r="K1969" s="7">
        <f t="shared" si="302"/>
        <v>33800</v>
      </c>
      <c r="L1969" s="4">
        <v>18000</v>
      </c>
      <c r="M1969" s="7">
        <f t="shared" si="303"/>
        <v>51800</v>
      </c>
      <c r="N1969" s="2" t="s">
        <v>21</v>
      </c>
      <c r="O1969" t="s">
        <v>22</v>
      </c>
      <c r="P1969" s="2" t="s">
        <v>2370</v>
      </c>
      <c r="Q1969" s="2">
        <v>1</v>
      </c>
      <c r="R1969" s="2" t="s">
        <v>23</v>
      </c>
      <c r="S1969" s="2" t="str">
        <f t="shared" si="304"/>
        <v>Rendah</v>
      </c>
      <c r="T1969" s="2" t="str">
        <f t="shared" si="305"/>
        <v>FALSE</v>
      </c>
      <c r="U1969" s="2" t="str">
        <f t="shared" si="306"/>
        <v>FALSE</v>
      </c>
      <c r="V1969" s="2" t="b">
        <f t="shared" si="307"/>
        <v>0</v>
      </c>
      <c r="W1969" s="2" t="b">
        <f t="shared" si="308"/>
        <v>0</v>
      </c>
      <c r="X1969" s="2" t="b">
        <f t="shared" si="309"/>
        <v>0</v>
      </c>
    </row>
    <row r="1970" spans="1:24" ht="10.5" customHeight="1">
      <c r="A1970" s="2" t="s">
        <v>2319</v>
      </c>
      <c r="B1970" s="3">
        <v>46021.485682870371</v>
      </c>
      <c r="C1970" s="2" t="s">
        <v>289</v>
      </c>
      <c r="D1970" s="2" t="s">
        <v>153</v>
      </c>
      <c r="E1970" s="2" t="s">
        <v>41</v>
      </c>
      <c r="F1970" s="4">
        <v>40000</v>
      </c>
      <c r="G1970" s="5">
        <v>0.4</v>
      </c>
      <c r="H1970" s="6">
        <v>0</v>
      </c>
      <c r="I1970" s="7">
        <f t="shared" si="300"/>
        <v>16000</v>
      </c>
      <c r="J1970" s="7">
        <f t="shared" si="301"/>
        <v>0</v>
      </c>
      <c r="K1970" s="7">
        <f t="shared" si="302"/>
        <v>16000</v>
      </c>
      <c r="L1970" s="4">
        <v>50000</v>
      </c>
      <c r="M1970" s="7">
        <f t="shared" si="303"/>
        <v>66000</v>
      </c>
      <c r="N1970" s="2" t="s">
        <v>58</v>
      </c>
      <c r="O1970" t="s">
        <v>2110</v>
      </c>
      <c r="P1970" s="2" t="s">
        <v>2367</v>
      </c>
      <c r="Q1970" s="2">
        <v>4</v>
      </c>
      <c r="R1970" s="2" t="s">
        <v>23</v>
      </c>
      <c r="S1970" s="2" t="str">
        <f t="shared" si="304"/>
        <v>Rendah</v>
      </c>
      <c r="T1970" s="2" t="str">
        <f t="shared" si="305"/>
        <v>FALSE</v>
      </c>
      <c r="U1970" s="2" t="str">
        <f t="shared" si="306"/>
        <v>FALSE</v>
      </c>
      <c r="V1970" s="2" t="b">
        <f t="shared" si="307"/>
        <v>0</v>
      </c>
      <c r="W1970" s="2" t="b">
        <f t="shared" si="308"/>
        <v>1</v>
      </c>
      <c r="X1970" s="2" t="b">
        <f t="shared" si="309"/>
        <v>0</v>
      </c>
    </row>
    <row r="1971" spans="1:24" ht="10.5" customHeight="1">
      <c r="A1971" s="2" t="s">
        <v>2320</v>
      </c>
      <c r="B1971" s="3">
        <v>46021.506585648152</v>
      </c>
      <c r="C1971" s="2" t="s">
        <v>431</v>
      </c>
      <c r="D1971" s="2" t="s">
        <v>108</v>
      </c>
      <c r="E1971" s="2" t="s">
        <v>27</v>
      </c>
      <c r="F1971" s="4">
        <v>15000</v>
      </c>
      <c r="G1971" s="5">
        <v>1.4</v>
      </c>
      <c r="H1971" s="6">
        <v>0</v>
      </c>
      <c r="I1971" s="7">
        <f t="shared" si="300"/>
        <v>21000</v>
      </c>
      <c r="J1971" s="7">
        <f t="shared" si="301"/>
        <v>0</v>
      </c>
      <c r="K1971" s="7">
        <f t="shared" si="302"/>
        <v>21000</v>
      </c>
      <c r="L1971" s="4">
        <v>72000</v>
      </c>
      <c r="M1971" s="7">
        <f t="shared" si="303"/>
        <v>93000</v>
      </c>
      <c r="N1971" s="2" t="s">
        <v>58</v>
      </c>
      <c r="O1971" t="s">
        <v>22</v>
      </c>
      <c r="P1971" s="2" t="s">
        <v>2370</v>
      </c>
      <c r="Q1971" s="2">
        <v>1</v>
      </c>
      <c r="R1971" s="2" t="s">
        <v>34</v>
      </c>
      <c r="S1971" s="2" t="str">
        <f t="shared" si="304"/>
        <v>Rendah</v>
      </c>
      <c r="T1971" s="2" t="str">
        <f t="shared" si="305"/>
        <v>FALSE</v>
      </c>
      <c r="U1971" s="2" t="str">
        <f t="shared" si="306"/>
        <v>FALSE</v>
      </c>
      <c r="V1971" s="2" t="b">
        <f t="shared" si="307"/>
        <v>0</v>
      </c>
      <c r="W1971" s="2" t="b">
        <f t="shared" si="308"/>
        <v>0</v>
      </c>
      <c r="X1971" s="2" t="b">
        <f t="shared" si="309"/>
        <v>0</v>
      </c>
    </row>
    <row r="1972" spans="1:24" ht="10.5" customHeight="1">
      <c r="A1972" s="2" t="s">
        <v>2321</v>
      </c>
      <c r="B1972" s="3">
        <v>46021.535694444443</v>
      </c>
      <c r="C1972" s="2" t="s">
        <v>1015</v>
      </c>
      <c r="D1972" s="2" t="s">
        <v>111</v>
      </c>
      <c r="E1972" s="2" t="s">
        <v>20</v>
      </c>
      <c r="F1972" s="4">
        <v>10000</v>
      </c>
      <c r="G1972" s="5">
        <v>1.8</v>
      </c>
      <c r="H1972" s="6">
        <v>0</v>
      </c>
      <c r="I1972" s="7">
        <f t="shared" si="300"/>
        <v>18000</v>
      </c>
      <c r="J1972" s="7">
        <f t="shared" si="301"/>
        <v>0</v>
      </c>
      <c r="K1972" s="7">
        <f t="shared" si="302"/>
        <v>18000</v>
      </c>
      <c r="L1972" s="4">
        <v>0</v>
      </c>
      <c r="M1972" s="7">
        <f t="shared" si="303"/>
        <v>18000</v>
      </c>
      <c r="N1972" s="2" t="s">
        <v>21</v>
      </c>
      <c r="O1972" t="s">
        <v>22</v>
      </c>
      <c r="P1972" s="2" t="s">
        <v>2365</v>
      </c>
      <c r="Q1972" s="2">
        <v>2</v>
      </c>
      <c r="R1972" s="2" t="s">
        <v>23</v>
      </c>
      <c r="S1972" s="2" t="str">
        <f t="shared" si="304"/>
        <v>Sangat Rendah</v>
      </c>
      <c r="T1972" s="2" t="str">
        <f t="shared" si="305"/>
        <v>FALSE</v>
      </c>
      <c r="U1972" s="2" t="str">
        <f t="shared" si="306"/>
        <v>FALSE</v>
      </c>
      <c r="V1972" s="2" t="b">
        <f t="shared" si="307"/>
        <v>0</v>
      </c>
      <c r="W1972" s="2" t="b">
        <f t="shared" si="308"/>
        <v>0</v>
      </c>
      <c r="X1972" s="2" t="b">
        <f t="shared" si="309"/>
        <v>1</v>
      </c>
    </row>
    <row r="1973" spans="1:24" ht="10.5" customHeight="1">
      <c r="A1973" s="2" t="s">
        <v>2321</v>
      </c>
      <c r="B1973" s="3">
        <v>46021.535694444443</v>
      </c>
      <c r="C1973" s="2" t="s">
        <v>1015</v>
      </c>
      <c r="D1973" s="2" t="s">
        <v>111</v>
      </c>
      <c r="E1973" s="2" t="s">
        <v>45</v>
      </c>
      <c r="F1973" s="4">
        <v>10500</v>
      </c>
      <c r="G1973" s="5">
        <v>0.4</v>
      </c>
      <c r="H1973" s="6">
        <v>0</v>
      </c>
      <c r="I1973" s="7">
        <f t="shared" si="300"/>
        <v>4200</v>
      </c>
      <c r="J1973" s="7">
        <f t="shared" si="301"/>
        <v>0</v>
      </c>
      <c r="K1973" s="7">
        <f t="shared" si="302"/>
        <v>4200</v>
      </c>
      <c r="L1973" s="4">
        <v>0</v>
      </c>
      <c r="M1973" s="7">
        <f t="shared" si="303"/>
        <v>4200</v>
      </c>
      <c r="N1973" s="2" t="s">
        <v>21</v>
      </c>
      <c r="O1973" t="s">
        <v>22</v>
      </c>
      <c r="P1973" s="2" t="s">
        <v>2365</v>
      </c>
      <c r="Q1973" s="2">
        <v>2</v>
      </c>
      <c r="R1973" s="2" t="s">
        <v>23</v>
      </c>
      <c r="S1973" s="2" t="str">
        <f t="shared" si="304"/>
        <v>Sangat Rendah</v>
      </c>
      <c r="T1973" s="2" t="str">
        <f t="shared" si="305"/>
        <v>FALSE</v>
      </c>
      <c r="U1973" s="2" t="str">
        <f t="shared" si="306"/>
        <v>FALSE</v>
      </c>
      <c r="V1973" s="2" t="b">
        <f t="shared" si="307"/>
        <v>0</v>
      </c>
      <c r="W1973" s="2" t="b">
        <f t="shared" si="308"/>
        <v>0</v>
      </c>
      <c r="X1973" s="2" t="b">
        <f t="shared" si="309"/>
        <v>1</v>
      </c>
    </row>
    <row r="1974" spans="1:24" ht="10.5" customHeight="1">
      <c r="A1974" s="2" t="s">
        <v>2322</v>
      </c>
      <c r="B1974" s="3">
        <v>46021.537233796298</v>
      </c>
      <c r="C1974" s="2" t="s">
        <v>1063</v>
      </c>
      <c r="D1974" s="2" t="s">
        <v>26</v>
      </c>
      <c r="E1974" s="2" t="s">
        <v>143</v>
      </c>
      <c r="F1974" s="4">
        <v>10000</v>
      </c>
      <c r="G1974" s="5">
        <v>0.4</v>
      </c>
      <c r="H1974" s="6">
        <v>0</v>
      </c>
      <c r="I1974" s="7">
        <f t="shared" si="300"/>
        <v>4000</v>
      </c>
      <c r="J1974" s="7">
        <f t="shared" si="301"/>
        <v>0</v>
      </c>
      <c r="K1974" s="7">
        <f t="shared" si="302"/>
        <v>4000</v>
      </c>
      <c r="L1974" s="4">
        <v>17000</v>
      </c>
      <c r="M1974" s="7">
        <f t="shared" si="303"/>
        <v>21000</v>
      </c>
      <c r="N1974" s="2" t="s">
        <v>33</v>
      </c>
      <c r="O1974" t="s">
        <v>115</v>
      </c>
      <c r="P1974" s="2" t="s">
        <v>2368</v>
      </c>
      <c r="Q1974" s="2">
        <v>3</v>
      </c>
      <c r="R1974" s="2" t="s">
        <v>23</v>
      </c>
      <c r="S1974" s="2" t="str">
        <f t="shared" si="304"/>
        <v>Sangat Rendah</v>
      </c>
      <c r="T1974" s="2" t="str">
        <f t="shared" si="305"/>
        <v>FALSE</v>
      </c>
      <c r="U1974" s="2" t="str">
        <f t="shared" si="306"/>
        <v>TRUE</v>
      </c>
      <c r="V1974" s="2" t="b">
        <f t="shared" si="307"/>
        <v>0</v>
      </c>
      <c r="W1974" s="2" t="b">
        <f t="shared" si="308"/>
        <v>0</v>
      </c>
      <c r="X1974" s="2" t="b">
        <f t="shared" si="309"/>
        <v>1</v>
      </c>
    </row>
    <row r="1975" spans="1:24" ht="10.5" customHeight="1">
      <c r="A1975" s="2" t="s">
        <v>2323</v>
      </c>
      <c r="B1975" s="3">
        <v>46021.562951388893</v>
      </c>
      <c r="C1975" s="2" t="s">
        <v>371</v>
      </c>
      <c r="D1975" s="2" t="s">
        <v>94</v>
      </c>
      <c r="E1975" s="2" t="s">
        <v>182</v>
      </c>
      <c r="F1975" s="4">
        <v>11000</v>
      </c>
      <c r="G1975" s="5">
        <v>1.4</v>
      </c>
      <c r="H1975" s="6">
        <v>0</v>
      </c>
      <c r="I1975" s="7">
        <f t="shared" si="300"/>
        <v>15399.999999999998</v>
      </c>
      <c r="J1975" s="7">
        <f t="shared" si="301"/>
        <v>0</v>
      </c>
      <c r="K1975" s="7">
        <f t="shared" si="302"/>
        <v>15399.999999999998</v>
      </c>
      <c r="L1975" s="4">
        <v>85000</v>
      </c>
      <c r="M1975" s="7">
        <f t="shared" si="303"/>
        <v>100400</v>
      </c>
      <c r="N1975" s="2" t="s">
        <v>58</v>
      </c>
      <c r="O1975" t="s">
        <v>2110</v>
      </c>
      <c r="P1975" s="2" t="s">
        <v>2367</v>
      </c>
      <c r="Q1975" s="2">
        <v>4</v>
      </c>
      <c r="R1975" s="2" t="s">
        <v>23</v>
      </c>
      <c r="S1975" s="2" t="str">
        <f t="shared" si="304"/>
        <v>Standar</v>
      </c>
      <c r="T1975" s="2" t="str">
        <f t="shared" si="305"/>
        <v>FALSE</v>
      </c>
      <c r="U1975" s="2" t="str">
        <f t="shared" si="306"/>
        <v>FALSE</v>
      </c>
      <c r="V1975" s="2" t="b">
        <f t="shared" si="307"/>
        <v>0</v>
      </c>
      <c r="W1975" s="2" t="b">
        <f t="shared" si="308"/>
        <v>1</v>
      </c>
      <c r="X1975" s="2" t="b">
        <f t="shared" si="309"/>
        <v>0</v>
      </c>
    </row>
    <row r="1976" spans="1:24" ht="10.5" customHeight="1">
      <c r="A1976" s="2" t="s">
        <v>2324</v>
      </c>
      <c r="B1976" s="3">
        <v>46021.565370370372</v>
      </c>
      <c r="C1976" s="2" t="s">
        <v>595</v>
      </c>
      <c r="D1976" s="2" t="s">
        <v>140</v>
      </c>
      <c r="E1976" s="2" t="s">
        <v>75</v>
      </c>
      <c r="F1976" s="4">
        <v>45000</v>
      </c>
      <c r="G1976" s="5">
        <v>1.8</v>
      </c>
      <c r="H1976" s="6">
        <v>0</v>
      </c>
      <c r="I1976" s="7">
        <f t="shared" si="300"/>
        <v>81000</v>
      </c>
      <c r="J1976" s="7">
        <f t="shared" si="301"/>
        <v>0</v>
      </c>
      <c r="K1976" s="7">
        <f t="shared" si="302"/>
        <v>81000</v>
      </c>
      <c r="L1976" s="4">
        <v>55000</v>
      </c>
      <c r="M1976" s="7">
        <f t="shared" si="303"/>
        <v>136000</v>
      </c>
      <c r="N1976" s="2" t="s">
        <v>21</v>
      </c>
      <c r="O1976" t="s">
        <v>22</v>
      </c>
      <c r="P1976" s="2" t="s">
        <v>2367</v>
      </c>
      <c r="Q1976" s="2">
        <v>2</v>
      </c>
      <c r="R1976" s="2" t="s">
        <v>23</v>
      </c>
      <c r="S1976" s="2" t="str">
        <f t="shared" si="304"/>
        <v>Standar</v>
      </c>
      <c r="T1976" s="2" t="str">
        <f t="shared" si="305"/>
        <v>FALSE</v>
      </c>
      <c r="U1976" s="2" t="str">
        <f t="shared" si="306"/>
        <v>FALSE</v>
      </c>
      <c r="V1976" s="2" t="b">
        <f t="shared" si="307"/>
        <v>0</v>
      </c>
      <c r="W1976" s="2" t="b">
        <f t="shared" si="308"/>
        <v>1</v>
      </c>
      <c r="X1976" s="2" t="b">
        <f t="shared" si="309"/>
        <v>0</v>
      </c>
    </row>
    <row r="1977" spans="1:24" ht="10.5" customHeight="1">
      <c r="A1977" s="2" t="s">
        <v>2325</v>
      </c>
      <c r="B1977" s="3">
        <v>46021.572662037041</v>
      </c>
      <c r="C1977" s="2" t="s">
        <v>478</v>
      </c>
      <c r="D1977" s="2" t="s">
        <v>44</v>
      </c>
      <c r="E1977" s="2" t="s">
        <v>80</v>
      </c>
      <c r="F1977" s="4">
        <v>15000</v>
      </c>
      <c r="G1977" s="5">
        <v>2.7</v>
      </c>
      <c r="H1977" s="6">
        <v>0</v>
      </c>
      <c r="I1977" s="7">
        <f t="shared" si="300"/>
        <v>40500</v>
      </c>
      <c r="J1977" s="7">
        <f t="shared" si="301"/>
        <v>0</v>
      </c>
      <c r="K1977" s="7">
        <f t="shared" si="302"/>
        <v>40500</v>
      </c>
      <c r="L1977" s="4">
        <v>43000</v>
      </c>
      <c r="M1977" s="7">
        <f t="shared" si="303"/>
        <v>83500</v>
      </c>
      <c r="N1977" s="2" t="s">
        <v>58</v>
      </c>
      <c r="O1977" t="s">
        <v>22</v>
      </c>
      <c r="P1977" s="2" t="s">
        <v>2370</v>
      </c>
      <c r="Q1977" s="2">
        <v>5</v>
      </c>
      <c r="R1977" s="2" t="s">
        <v>23</v>
      </c>
      <c r="S1977" s="2" t="str">
        <f t="shared" si="304"/>
        <v>Rendah</v>
      </c>
      <c r="T1977" s="2" t="str">
        <f t="shared" si="305"/>
        <v>FALSE</v>
      </c>
      <c r="U1977" s="2" t="str">
        <f t="shared" si="306"/>
        <v>FALSE</v>
      </c>
      <c r="V1977" s="2" t="b">
        <f t="shared" si="307"/>
        <v>0</v>
      </c>
      <c r="W1977" s="2" t="b">
        <f t="shared" si="308"/>
        <v>0</v>
      </c>
      <c r="X1977" s="2" t="b">
        <f t="shared" si="309"/>
        <v>0</v>
      </c>
    </row>
    <row r="1978" spans="1:24" ht="10.5" customHeight="1">
      <c r="A1978" s="2" t="s">
        <v>2325</v>
      </c>
      <c r="B1978" s="3">
        <v>46021.572662037041</v>
      </c>
      <c r="C1978" s="2" t="s">
        <v>478</v>
      </c>
      <c r="D1978" s="2" t="s">
        <v>44</v>
      </c>
      <c r="E1978" s="2" t="s">
        <v>190</v>
      </c>
      <c r="F1978" s="4">
        <v>15500</v>
      </c>
      <c r="G1978" s="5">
        <v>0.4</v>
      </c>
      <c r="H1978" s="6">
        <v>0</v>
      </c>
      <c r="I1978" s="7">
        <f t="shared" si="300"/>
        <v>6200</v>
      </c>
      <c r="J1978" s="7">
        <f t="shared" si="301"/>
        <v>0</v>
      </c>
      <c r="K1978" s="7">
        <f t="shared" si="302"/>
        <v>6200</v>
      </c>
      <c r="L1978" s="4">
        <v>0</v>
      </c>
      <c r="M1978" s="7">
        <f t="shared" si="303"/>
        <v>6200</v>
      </c>
      <c r="N1978" s="2" t="s">
        <v>58</v>
      </c>
      <c r="O1978" t="s">
        <v>22</v>
      </c>
      <c r="P1978" s="2" t="s">
        <v>2370</v>
      </c>
      <c r="Q1978" s="2">
        <v>5</v>
      </c>
      <c r="R1978" s="2" t="s">
        <v>23</v>
      </c>
      <c r="S1978" s="2" t="str">
        <f t="shared" si="304"/>
        <v>Sangat Rendah</v>
      </c>
      <c r="T1978" s="2" t="str">
        <f t="shared" si="305"/>
        <v>FALSE</v>
      </c>
      <c r="U1978" s="2" t="str">
        <f t="shared" si="306"/>
        <v>FALSE</v>
      </c>
      <c r="V1978" s="2" t="b">
        <f t="shared" si="307"/>
        <v>0</v>
      </c>
      <c r="W1978" s="2" t="b">
        <f t="shared" si="308"/>
        <v>0</v>
      </c>
      <c r="X1978" s="2" t="b">
        <f t="shared" si="309"/>
        <v>1</v>
      </c>
    </row>
    <row r="1979" spans="1:24" ht="10.5" customHeight="1">
      <c r="A1979" s="2" t="s">
        <v>2326</v>
      </c>
      <c r="B1979" s="3">
        <v>46021.576319444437</v>
      </c>
      <c r="C1979" s="2" t="s">
        <v>295</v>
      </c>
      <c r="D1979" s="2" t="s">
        <v>133</v>
      </c>
      <c r="E1979" s="2" t="s">
        <v>161</v>
      </c>
      <c r="F1979" s="4">
        <v>115000</v>
      </c>
      <c r="G1979" s="5">
        <v>0.3</v>
      </c>
      <c r="H1979" s="6">
        <v>0</v>
      </c>
      <c r="I1979" s="7">
        <f t="shared" si="300"/>
        <v>34500</v>
      </c>
      <c r="J1979" s="7">
        <f t="shared" si="301"/>
        <v>0</v>
      </c>
      <c r="K1979" s="7">
        <f t="shared" si="302"/>
        <v>34500</v>
      </c>
      <c r="L1979" s="4">
        <v>50000</v>
      </c>
      <c r="M1979" s="7">
        <f t="shared" si="303"/>
        <v>84500</v>
      </c>
      <c r="N1979" s="2" t="s">
        <v>58</v>
      </c>
      <c r="O1979" t="s">
        <v>22</v>
      </c>
      <c r="P1979" s="2" t="s">
        <v>2370</v>
      </c>
      <c r="Q1979" s="2">
        <v>5</v>
      </c>
      <c r="R1979" s="2" t="s">
        <v>23</v>
      </c>
      <c r="S1979" s="2" t="str">
        <f t="shared" si="304"/>
        <v>Rendah</v>
      </c>
      <c r="T1979" s="2" t="str">
        <f t="shared" si="305"/>
        <v>FALSE</v>
      </c>
      <c r="U1979" s="2" t="str">
        <f t="shared" si="306"/>
        <v>FALSE</v>
      </c>
      <c r="V1979" s="2" t="b">
        <f t="shared" si="307"/>
        <v>0</v>
      </c>
      <c r="W1979" s="2" t="b">
        <f t="shared" si="308"/>
        <v>0</v>
      </c>
      <c r="X1979" s="2" t="b">
        <f t="shared" si="309"/>
        <v>0</v>
      </c>
    </row>
    <row r="1980" spans="1:24" ht="10.5" customHeight="1">
      <c r="A1980" s="2" t="s">
        <v>2327</v>
      </c>
      <c r="B1980" s="3">
        <v>46021.660057870373</v>
      </c>
      <c r="C1980" s="2" t="s">
        <v>289</v>
      </c>
      <c r="D1980" s="2" t="s">
        <v>153</v>
      </c>
      <c r="E1980" s="2" t="s">
        <v>95</v>
      </c>
      <c r="F1980" s="4">
        <v>9500</v>
      </c>
      <c r="G1980" s="5">
        <v>1.1000000000000001</v>
      </c>
      <c r="H1980" s="6">
        <v>0</v>
      </c>
      <c r="I1980" s="7">
        <f t="shared" si="300"/>
        <v>10450</v>
      </c>
      <c r="J1980" s="7">
        <f t="shared" si="301"/>
        <v>0</v>
      </c>
      <c r="K1980" s="7">
        <f t="shared" si="302"/>
        <v>10450</v>
      </c>
      <c r="L1980" s="4">
        <v>50000</v>
      </c>
      <c r="M1980" s="7">
        <f t="shared" si="303"/>
        <v>60450</v>
      </c>
      <c r="N1980" s="2" t="s">
        <v>33</v>
      </c>
      <c r="O1980" t="s">
        <v>2107</v>
      </c>
      <c r="P1980" s="2" t="s">
        <v>2366</v>
      </c>
      <c r="Q1980" s="2">
        <v>2</v>
      </c>
      <c r="R1980" s="2" t="s">
        <v>23</v>
      </c>
      <c r="S1980" s="2" t="str">
        <f t="shared" si="304"/>
        <v>Rendah</v>
      </c>
      <c r="T1980" s="2" t="str">
        <f t="shared" si="305"/>
        <v>FALSE</v>
      </c>
      <c r="U1980" s="2" t="str">
        <f t="shared" si="306"/>
        <v>FALSE</v>
      </c>
      <c r="V1980" s="2" t="b">
        <f t="shared" si="307"/>
        <v>0</v>
      </c>
      <c r="W1980" s="2" t="b">
        <f t="shared" si="308"/>
        <v>0</v>
      </c>
      <c r="X1980" s="2" t="b">
        <f t="shared" si="309"/>
        <v>0</v>
      </c>
    </row>
    <row r="1981" spans="1:24" ht="10.5" customHeight="1">
      <c r="A1981" s="2" t="s">
        <v>2328</v>
      </c>
      <c r="B1981" s="3">
        <v>46021.666620370372</v>
      </c>
      <c r="C1981" s="2" t="s">
        <v>890</v>
      </c>
      <c r="D1981" s="2" t="s">
        <v>26</v>
      </c>
      <c r="E1981" s="2" t="s">
        <v>99</v>
      </c>
      <c r="F1981" s="4">
        <v>10000</v>
      </c>
      <c r="G1981" s="5">
        <v>0.5</v>
      </c>
      <c r="H1981" s="6">
        <v>0</v>
      </c>
      <c r="I1981" s="7">
        <f t="shared" si="300"/>
        <v>5000</v>
      </c>
      <c r="J1981" s="7">
        <f t="shared" si="301"/>
        <v>0</v>
      </c>
      <c r="K1981" s="7">
        <f t="shared" si="302"/>
        <v>5000</v>
      </c>
      <c r="L1981" s="4">
        <v>17000</v>
      </c>
      <c r="M1981" s="7">
        <f t="shared" si="303"/>
        <v>22000</v>
      </c>
      <c r="N1981" s="2" t="s">
        <v>58</v>
      </c>
      <c r="O1981" t="s">
        <v>22</v>
      </c>
      <c r="P1981" s="2" t="s">
        <v>2366</v>
      </c>
      <c r="Q1981" s="2">
        <v>4</v>
      </c>
      <c r="R1981" s="2" t="s">
        <v>23</v>
      </c>
      <c r="S1981" s="2" t="str">
        <f t="shared" si="304"/>
        <v>Sangat Rendah</v>
      </c>
      <c r="T1981" s="2" t="str">
        <f t="shared" si="305"/>
        <v>FALSE</v>
      </c>
      <c r="U1981" s="2" t="str">
        <f t="shared" si="306"/>
        <v>FALSE</v>
      </c>
      <c r="V1981" s="2" t="b">
        <f t="shared" si="307"/>
        <v>0</v>
      </c>
      <c r="W1981" s="2" t="b">
        <f t="shared" si="308"/>
        <v>0</v>
      </c>
      <c r="X1981" s="2" t="b">
        <f t="shared" si="309"/>
        <v>1</v>
      </c>
    </row>
    <row r="1982" spans="1:24" ht="10.5" customHeight="1">
      <c r="A1982" s="2" t="s">
        <v>2329</v>
      </c>
      <c r="B1982" s="3">
        <v>46021.672789351847</v>
      </c>
      <c r="C1982" s="2" t="s">
        <v>1023</v>
      </c>
      <c r="D1982" s="2" t="s">
        <v>114</v>
      </c>
      <c r="E1982" s="2" t="s">
        <v>95</v>
      </c>
      <c r="F1982" s="4">
        <v>9500</v>
      </c>
      <c r="G1982" s="5">
        <v>1.5</v>
      </c>
      <c r="H1982" s="6">
        <v>0</v>
      </c>
      <c r="I1982" s="7">
        <f t="shared" si="300"/>
        <v>14250</v>
      </c>
      <c r="J1982" s="7">
        <f t="shared" si="301"/>
        <v>0</v>
      </c>
      <c r="K1982" s="7">
        <f t="shared" si="302"/>
        <v>14250</v>
      </c>
      <c r="L1982" s="4">
        <v>78000</v>
      </c>
      <c r="M1982" s="7">
        <f t="shared" si="303"/>
        <v>92250</v>
      </c>
      <c r="N1982" s="2" t="s">
        <v>28</v>
      </c>
      <c r="O1982" t="s">
        <v>22</v>
      </c>
      <c r="P1982" s="2" t="s">
        <v>2367</v>
      </c>
      <c r="Q1982" s="2">
        <v>2</v>
      </c>
      <c r="R1982" s="2" t="s">
        <v>23</v>
      </c>
      <c r="S1982" s="2" t="str">
        <f t="shared" si="304"/>
        <v>Rendah</v>
      </c>
      <c r="T1982" s="2" t="str">
        <f t="shared" si="305"/>
        <v>TRUE</v>
      </c>
      <c r="U1982" s="2" t="str">
        <f t="shared" si="306"/>
        <v>FALSE</v>
      </c>
      <c r="V1982" s="2" t="b">
        <f t="shared" si="307"/>
        <v>0</v>
      </c>
      <c r="W1982" s="2" t="b">
        <f t="shared" si="308"/>
        <v>1</v>
      </c>
      <c r="X1982" s="2" t="b">
        <f t="shared" si="309"/>
        <v>0</v>
      </c>
    </row>
    <row r="1983" spans="1:24" ht="10.5" customHeight="1">
      <c r="A1983" s="2" t="s">
        <v>2330</v>
      </c>
      <c r="B1983" s="3">
        <v>46021.730462962973</v>
      </c>
      <c r="C1983" s="2" t="s">
        <v>881</v>
      </c>
      <c r="D1983" s="2" t="s">
        <v>118</v>
      </c>
      <c r="E1983" s="2" t="s">
        <v>75</v>
      </c>
      <c r="F1983" s="4">
        <v>45000</v>
      </c>
      <c r="G1983" s="5">
        <v>1.5</v>
      </c>
      <c r="H1983" s="6">
        <v>0</v>
      </c>
      <c r="I1983" s="7">
        <f t="shared" si="300"/>
        <v>67500</v>
      </c>
      <c r="J1983" s="7">
        <f t="shared" si="301"/>
        <v>0</v>
      </c>
      <c r="K1983" s="7">
        <f t="shared" si="302"/>
        <v>67500</v>
      </c>
      <c r="L1983" s="4">
        <v>84000</v>
      </c>
      <c r="M1983" s="7">
        <f t="shared" si="303"/>
        <v>151500</v>
      </c>
      <c r="N1983" s="2" t="s">
        <v>21</v>
      </c>
      <c r="O1983" t="s">
        <v>22</v>
      </c>
      <c r="P1983" s="2" t="s">
        <v>2367</v>
      </c>
      <c r="Q1983" s="2">
        <v>5</v>
      </c>
      <c r="R1983" s="2" t="s">
        <v>34</v>
      </c>
      <c r="S1983" s="2" t="str">
        <f t="shared" si="304"/>
        <v>Tinggi</v>
      </c>
      <c r="T1983" s="2" t="str">
        <f t="shared" si="305"/>
        <v>FALSE</v>
      </c>
      <c r="U1983" s="2" t="str">
        <f t="shared" si="306"/>
        <v>TRUE</v>
      </c>
      <c r="V1983" s="2" t="b">
        <f t="shared" si="307"/>
        <v>0</v>
      </c>
      <c r="W1983" s="2" t="b">
        <f t="shared" si="308"/>
        <v>1</v>
      </c>
      <c r="X1983" s="2" t="b">
        <f t="shared" si="309"/>
        <v>0</v>
      </c>
    </row>
    <row r="1984" spans="1:24" ht="10.5" customHeight="1">
      <c r="A1984" s="2" t="s">
        <v>2330</v>
      </c>
      <c r="B1984" s="3">
        <v>46021.730462962973</v>
      </c>
      <c r="C1984" s="2" t="s">
        <v>881</v>
      </c>
      <c r="D1984" s="2" t="s">
        <v>118</v>
      </c>
      <c r="E1984" s="2" t="s">
        <v>170</v>
      </c>
      <c r="F1984" s="4">
        <v>12000</v>
      </c>
      <c r="G1984" s="5">
        <v>0.3</v>
      </c>
      <c r="H1984" s="6">
        <v>0</v>
      </c>
      <c r="I1984" s="7">
        <f t="shared" si="300"/>
        <v>3600</v>
      </c>
      <c r="J1984" s="7">
        <f t="shared" si="301"/>
        <v>0</v>
      </c>
      <c r="K1984" s="7">
        <f t="shared" si="302"/>
        <v>3600</v>
      </c>
      <c r="L1984" s="4">
        <v>0</v>
      </c>
      <c r="M1984" s="7">
        <f t="shared" si="303"/>
        <v>3600</v>
      </c>
      <c r="N1984" s="2" t="s">
        <v>21</v>
      </c>
      <c r="O1984" t="s">
        <v>22</v>
      </c>
      <c r="P1984" s="2" t="s">
        <v>2367</v>
      </c>
      <c r="Q1984" s="2">
        <v>5</v>
      </c>
      <c r="R1984" s="2" t="s">
        <v>34</v>
      </c>
      <c r="S1984" s="2" t="str">
        <f t="shared" si="304"/>
        <v>Sangat Rendah</v>
      </c>
      <c r="T1984" s="2" t="str">
        <f t="shared" si="305"/>
        <v>FALSE</v>
      </c>
      <c r="U1984" s="2" t="str">
        <f t="shared" si="306"/>
        <v>FALSE</v>
      </c>
      <c r="V1984" s="2" t="b">
        <f t="shared" si="307"/>
        <v>0</v>
      </c>
      <c r="W1984" s="2" t="b">
        <f t="shared" si="308"/>
        <v>1</v>
      </c>
      <c r="X1984" s="2" t="b">
        <f t="shared" si="309"/>
        <v>0</v>
      </c>
    </row>
    <row r="1985" spans="1:24" ht="10.5" customHeight="1">
      <c r="A1985" s="2" t="s">
        <v>2331</v>
      </c>
      <c r="B1985" s="3">
        <v>46022.043530092589</v>
      </c>
      <c r="C1985" s="2" t="s">
        <v>722</v>
      </c>
      <c r="D1985" s="2" t="s">
        <v>160</v>
      </c>
      <c r="E1985" s="2" t="s">
        <v>20</v>
      </c>
      <c r="F1985" s="4">
        <v>10000</v>
      </c>
      <c r="G1985" s="5">
        <v>1.9</v>
      </c>
      <c r="H1985" s="6">
        <v>0</v>
      </c>
      <c r="I1985" s="7">
        <f t="shared" si="300"/>
        <v>19000</v>
      </c>
      <c r="J1985" s="7">
        <f t="shared" si="301"/>
        <v>0</v>
      </c>
      <c r="K1985" s="7">
        <f t="shared" si="302"/>
        <v>19000</v>
      </c>
      <c r="L1985" s="4">
        <v>46000</v>
      </c>
      <c r="M1985" s="7">
        <f t="shared" si="303"/>
        <v>65000</v>
      </c>
      <c r="N1985" s="2" t="s">
        <v>33</v>
      </c>
      <c r="O1985" t="s">
        <v>22</v>
      </c>
      <c r="P1985" s="2" t="s">
        <v>2368</v>
      </c>
      <c r="Q1985" s="2">
        <v>3</v>
      </c>
      <c r="R1985" s="2" t="s">
        <v>23</v>
      </c>
      <c r="S1985" s="2" t="str">
        <f t="shared" si="304"/>
        <v>Rendah</v>
      </c>
      <c r="T1985" s="2" t="str">
        <f t="shared" si="305"/>
        <v>FALSE</v>
      </c>
      <c r="U1985" s="2" t="str">
        <f t="shared" si="306"/>
        <v>FALSE</v>
      </c>
      <c r="V1985" s="2" t="b">
        <f t="shared" si="307"/>
        <v>0</v>
      </c>
      <c r="W1985" s="2" t="b">
        <f t="shared" si="308"/>
        <v>0</v>
      </c>
      <c r="X1985" s="2" t="b">
        <f t="shared" si="309"/>
        <v>0</v>
      </c>
    </row>
    <row r="1986" spans="1:24" ht="10.5" customHeight="1">
      <c r="A1986" s="2" t="s">
        <v>2331</v>
      </c>
      <c r="B1986" s="3">
        <v>46022.043530092589</v>
      </c>
      <c r="C1986" s="2" t="s">
        <v>722</v>
      </c>
      <c r="D1986" s="2" t="s">
        <v>160</v>
      </c>
      <c r="E1986" s="2" t="s">
        <v>53</v>
      </c>
      <c r="F1986" s="4">
        <v>14000</v>
      </c>
      <c r="G1986" s="5">
        <v>1</v>
      </c>
      <c r="H1986" s="6">
        <v>0</v>
      </c>
      <c r="I1986" s="7">
        <f t="shared" si="300"/>
        <v>14000</v>
      </c>
      <c r="J1986" s="7">
        <f t="shared" si="301"/>
        <v>0</v>
      </c>
      <c r="K1986" s="7">
        <f t="shared" si="302"/>
        <v>14000</v>
      </c>
      <c r="L1986" s="4">
        <v>0</v>
      </c>
      <c r="M1986" s="7">
        <f t="shared" si="303"/>
        <v>14000</v>
      </c>
      <c r="N1986" s="2" t="s">
        <v>33</v>
      </c>
      <c r="O1986" t="s">
        <v>22</v>
      </c>
      <c r="P1986" s="2" t="s">
        <v>2368</v>
      </c>
      <c r="Q1986" s="2">
        <v>3</v>
      </c>
      <c r="R1986" s="2" t="s">
        <v>23</v>
      </c>
      <c r="S1986" s="2" t="str">
        <f t="shared" si="304"/>
        <v>Sangat Rendah</v>
      </c>
      <c r="T1986" s="2" t="str">
        <f t="shared" si="305"/>
        <v>FALSE</v>
      </c>
      <c r="U1986" s="2" t="str">
        <f t="shared" si="306"/>
        <v>FALSE</v>
      </c>
      <c r="V1986" s="2" t="b">
        <f t="shared" si="307"/>
        <v>0</v>
      </c>
      <c r="W1986" s="2" t="b">
        <f t="shared" si="308"/>
        <v>0</v>
      </c>
      <c r="X1986" s="2" t="b">
        <f t="shared" si="309"/>
        <v>1</v>
      </c>
    </row>
    <row r="1987" spans="1:24" ht="10.5" customHeight="1">
      <c r="A1987" s="2" t="s">
        <v>2332</v>
      </c>
      <c r="B1987" s="3">
        <v>46022.057175925933</v>
      </c>
      <c r="C1987" s="2" t="s">
        <v>1126</v>
      </c>
      <c r="D1987" s="2" t="s">
        <v>185</v>
      </c>
      <c r="E1987" s="2" t="s">
        <v>190</v>
      </c>
      <c r="F1987" s="4">
        <v>15500</v>
      </c>
      <c r="G1987" s="5">
        <v>0.3</v>
      </c>
      <c r="H1987" s="6">
        <v>0</v>
      </c>
      <c r="I1987" s="7">
        <f t="shared" si="300"/>
        <v>4650</v>
      </c>
      <c r="J1987" s="7">
        <f t="shared" si="301"/>
        <v>0</v>
      </c>
      <c r="K1987" s="7">
        <f t="shared" si="302"/>
        <v>4650</v>
      </c>
      <c r="L1987" s="4">
        <v>87000</v>
      </c>
      <c r="M1987" s="7">
        <f t="shared" si="303"/>
        <v>91650</v>
      </c>
      <c r="N1987" s="2" t="s">
        <v>58</v>
      </c>
      <c r="O1987" t="s">
        <v>22</v>
      </c>
      <c r="P1987" s="2" t="s">
        <v>2366</v>
      </c>
      <c r="Q1987" s="2">
        <v>2</v>
      </c>
      <c r="R1987" s="2" t="s">
        <v>23</v>
      </c>
      <c r="S1987" s="2" t="str">
        <f t="shared" si="304"/>
        <v>Rendah</v>
      </c>
      <c r="T1987" s="2" t="str">
        <f t="shared" si="305"/>
        <v>FALSE</v>
      </c>
      <c r="U1987" s="2" t="str">
        <f t="shared" si="306"/>
        <v>FALSE</v>
      </c>
      <c r="V1987" s="2" t="b">
        <f t="shared" si="307"/>
        <v>0</v>
      </c>
      <c r="W1987" s="2" t="b">
        <f t="shared" si="308"/>
        <v>0</v>
      </c>
      <c r="X1987" s="2" t="b">
        <f t="shared" si="309"/>
        <v>0</v>
      </c>
    </row>
    <row r="1988" spans="1:24" ht="10.5" customHeight="1">
      <c r="A1988" s="2" t="s">
        <v>2333</v>
      </c>
      <c r="B1988" s="3">
        <v>46022.163263888891</v>
      </c>
      <c r="C1988" s="2" t="s">
        <v>599</v>
      </c>
      <c r="D1988" s="2" t="s">
        <v>74</v>
      </c>
      <c r="E1988" s="2" t="s">
        <v>75</v>
      </c>
      <c r="F1988" s="4">
        <v>45000</v>
      </c>
      <c r="G1988" s="5">
        <v>1.1000000000000001</v>
      </c>
      <c r="H1988" s="6">
        <v>0</v>
      </c>
      <c r="I1988" s="7">
        <f t="shared" ref="I1988:I2003" si="310">F1988*G1988</f>
        <v>49500.000000000007</v>
      </c>
      <c r="J1988" s="7">
        <f t="shared" ref="J1988:J2003" si="311">I1988*(H1988/100)</f>
        <v>0</v>
      </c>
      <c r="K1988" s="7">
        <f t="shared" ref="K1988:K2003" si="312">I1988-J1988</f>
        <v>49500.000000000007</v>
      </c>
      <c r="L1988" s="4">
        <v>74000</v>
      </c>
      <c r="M1988" s="7">
        <f t="shared" ref="M1988:M2003" si="313">K1988+L1988</f>
        <v>123500</v>
      </c>
      <c r="N1988" s="2" t="s">
        <v>58</v>
      </c>
      <c r="O1988" t="s">
        <v>22</v>
      </c>
      <c r="P1988" s="2" t="s">
        <v>2366</v>
      </c>
      <c r="Q1988" s="2">
        <v>5</v>
      </c>
      <c r="R1988" s="2" t="s">
        <v>23</v>
      </c>
      <c r="S1988" s="2" t="str">
        <f t="shared" ref="S1988:S2003" si="314">IF(M1988&lt;=50000,"Sangat Rendah",IF(M1988&lt;=100000,"Rendah",IF(M1988&lt;=150000,"Standar",IF(M1988&lt;=200000,"Tinggi","Sangat Tinggi"))))</f>
        <v>Standar</v>
      </c>
      <c r="T1988" s="2" t="str">
        <f t="shared" ref="T1988:T2003" si="315">IF(AND(S1988="Rendah",D1988="Yogyakarta"),"TRUE","FALSE")</f>
        <v>FALSE</v>
      </c>
      <c r="U1988" s="2" t="str">
        <f t="shared" ref="U1988:U2003" si="316">IF(OR(S1988="Tinggi",E1988="Bayam"),"TRUE","FALSE")</f>
        <v>FALSE</v>
      </c>
      <c r="V1988" s="2" t="b">
        <f t="shared" ref="V1988:V2003" si="317">IF(AND(S1988="Standar",N1988="Transef Bank"),TRUE,FALSE)</f>
        <v>0</v>
      </c>
      <c r="W1988" s="2" t="b">
        <f t="shared" ref="W1988:W2003" si="318">IF(OR(S1988="Sangat Tinggi",P1988="FoodMart"),TRUE,FALSE)</f>
        <v>0</v>
      </c>
      <c r="X1988" s="2" t="b">
        <f t="shared" ref="X1988:X2003" si="319">IF(AND(S1988="Sangat Rendah",R1988="Perempuan"),TRUE,FALSE)</f>
        <v>0</v>
      </c>
    </row>
    <row r="1989" spans="1:24" ht="10.5" customHeight="1">
      <c r="A1989" s="2" t="s">
        <v>2334</v>
      </c>
      <c r="B1989" s="3">
        <v>46022.207118055558</v>
      </c>
      <c r="C1989" s="2" t="s">
        <v>1012</v>
      </c>
      <c r="D1989" s="2" t="s">
        <v>167</v>
      </c>
      <c r="E1989" s="2" t="s">
        <v>75</v>
      </c>
      <c r="F1989" s="4">
        <v>45000</v>
      </c>
      <c r="G1989" s="5">
        <v>1</v>
      </c>
      <c r="H1989" s="6">
        <v>0</v>
      </c>
      <c r="I1989" s="7">
        <f t="shared" si="310"/>
        <v>45000</v>
      </c>
      <c r="J1989" s="7">
        <f t="shared" si="311"/>
        <v>0</v>
      </c>
      <c r="K1989" s="7">
        <f t="shared" si="312"/>
        <v>45000</v>
      </c>
      <c r="L1989" s="4">
        <v>56000</v>
      </c>
      <c r="M1989" s="7">
        <f t="shared" si="313"/>
        <v>101000</v>
      </c>
      <c r="N1989" s="2" t="s">
        <v>58</v>
      </c>
      <c r="O1989" t="s">
        <v>2110</v>
      </c>
      <c r="P1989" s="2" t="s">
        <v>2365</v>
      </c>
      <c r="Q1989" s="2">
        <v>5</v>
      </c>
      <c r="R1989" s="2" t="s">
        <v>23</v>
      </c>
      <c r="S1989" s="2" t="str">
        <f t="shared" si="314"/>
        <v>Standar</v>
      </c>
      <c r="T1989" s="2" t="str">
        <f t="shared" si="315"/>
        <v>FALSE</v>
      </c>
      <c r="U1989" s="2" t="str">
        <f t="shared" si="316"/>
        <v>FALSE</v>
      </c>
      <c r="V1989" s="2" t="b">
        <f t="shared" si="317"/>
        <v>0</v>
      </c>
      <c r="W1989" s="2" t="b">
        <f t="shared" si="318"/>
        <v>0</v>
      </c>
      <c r="X1989" s="2" t="b">
        <f t="shared" si="319"/>
        <v>0</v>
      </c>
    </row>
    <row r="1990" spans="1:24" ht="10.5" customHeight="1">
      <c r="A1990" s="2" t="s">
        <v>2335</v>
      </c>
      <c r="B1990" s="3">
        <v>46022.331504629627</v>
      </c>
      <c r="C1990" s="2" t="s">
        <v>2202</v>
      </c>
      <c r="D1990" s="2" t="s">
        <v>118</v>
      </c>
      <c r="E1990" s="2" t="s">
        <v>80</v>
      </c>
      <c r="F1990" s="4">
        <v>15000</v>
      </c>
      <c r="G1990" s="5">
        <v>0.8</v>
      </c>
      <c r="H1990" s="6">
        <v>0</v>
      </c>
      <c r="I1990" s="7">
        <f t="shared" si="310"/>
        <v>12000</v>
      </c>
      <c r="J1990" s="7">
        <f t="shared" si="311"/>
        <v>0</v>
      </c>
      <c r="K1990" s="7">
        <f t="shared" si="312"/>
        <v>12000</v>
      </c>
      <c r="L1990" s="4">
        <v>84000</v>
      </c>
      <c r="M1990" s="7">
        <f t="shared" si="313"/>
        <v>96000</v>
      </c>
      <c r="N1990" s="2" t="s">
        <v>33</v>
      </c>
      <c r="O1990" t="s">
        <v>22</v>
      </c>
      <c r="P1990" s="2" t="s">
        <v>2368</v>
      </c>
      <c r="Q1990" s="2">
        <v>1</v>
      </c>
      <c r="R1990" s="2" t="s">
        <v>23</v>
      </c>
      <c r="S1990" s="2" t="str">
        <f t="shared" si="314"/>
        <v>Rendah</v>
      </c>
      <c r="T1990" s="2" t="str">
        <f t="shared" si="315"/>
        <v>FALSE</v>
      </c>
      <c r="U1990" s="2" t="str">
        <f t="shared" si="316"/>
        <v>FALSE</v>
      </c>
      <c r="V1990" s="2" t="b">
        <f t="shared" si="317"/>
        <v>0</v>
      </c>
      <c r="W1990" s="2" t="b">
        <f t="shared" si="318"/>
        <v>0</v>
      </c>
      <c r="X1990" s="2" t="b">
        <f t="shared" si="319"/>
        <v>0</v>
      </c>
    </row>
    <row r="1991" spans="1:24" ht="10.5" customHeight="1">
      <c r="A1991" s="2" t="s">
        <v>2336</v>
      </c>
      <c r="B1991" s="3">
        <v>46022.41983796296</v>
      </c>
      <c r="C1991" s="2" t="s">
        <v>1040</v>
      </c>
      <c r="D1991" s="2" t="s">
        <v>84</v>
      </c>
      <c r="E1991" s="2" t="s">
        <v>27</v>
      </c>
      <c r="F1991" s="4">
        <v>15000</v>
      </c>
      <c r="G1991" s="5">
        <v>0.4</v>
      </c>
      <c r="H1991" s="6">
        <v>0</v>
      </c>
      <c r="I1991" s="7">
        <f t="shared" si="310"/>
        <v>6000</v>
      </c>
      <c r="J1991" s="7">
        <f t="shared" si="311"/>
        <v>0</v>
      </c>
      <c r="K1991" s="7">
        <f t="shared" si="312"/>
        <v>6000</v>
      </c>
      <c r="L1991" s="4">
        <v>30000</v>
      </c>
      <c r="M1991" s="7">
        <f t="shared" si="313"/>
        <v>36000</v>
      </c>
      <c r="N1991" s="2" t="s">
        <v>21</v>
      </c>
      <c r="O1991" t="s">
        <v>22</v>
      </c>
      <c r="P1991" s="2" t="s">
        <v>2365</v>
      </c>
      <c r="Q1991" s="2">
        <v>1</v>
      </c>
      <c r="R1991" s="2" t="s">
        <v>23</v>
      </c>
      <c r="S1991" s="2" t="str">
        <f t="shared" si="314"/>
        <v>Sangat Rendah</v>
      </c>
      <c r="T1991" s="2" t="str">
        <f t="shared" si="315"/>
        <v>FALSE</v>
      </c>
      <c r="U1991" s="2" t="str">
        <f t="shared" si="316"/>
        <v>FALSE</v>
      </c>
      <c r="V1991" s="2" t="b">
        <f t="shared" si="317"/>
        <v>0</v>
      </c>
      <c r="W1991" s="2" t="b">
        <f t="shared" si="318"/>
        <v>0</v>
      </c>
      <c r="X1991" s="2" t="b">
        <f t="shared" si="319"/>
        <v>1</v>
      </c>
    </row>
    <row r="1992" spans="1:24" ht="10.5" customHeight="1">
      <c r="A1992" s="2" t="s">
        <v>2337</v>
      </c>
      <c r="B1992" s="3">
        <v>46022.441678240742</v>
      </c>
      <c r="C1992" s="2" t="s">
        <v>644</v>
      </c>
      <c r="D1992" s="2" t="s">
        <v>365</v>
      </c>
      <c r="E1992" s="2" t="s">
        <v>35</v>
      </c>
      <c r="F1992" s="4">
        <v>13500</v>
      </c>
      <c r="G1992" s="5">
        <v>3</v>
      </c>
      <c r="H1992" s="6">
        <v>0</v>
      </c>
      <c r="I1992" s="7">
        <f t="shared" si="310"/>
        <v>40500</v>
      </c>
      <c r="J1992" s="7">
        <f t="shared" si="311"/>
        <v>0</v>
      </c>
      <c r="K1992" s="7">
        <f t="shared" si="312"/>
        <v>40500</v>
      </c>
      <c r="L1992" s="4">
        <v>21000</v>
      </c>
      <c r="M1992" s="7">
        <f t="shared" si="313"/>
        <v>61500</v>
      </c>
      <c r="N1992" s="2" t="s">
        <v>58</v>
      </c>
      <c r="O1992" t="s">
        <v>2110</v>
      </c>
      <c r="P1992" s="2" t="s">
        <v>2368</v>
      </c>
      <c r="Q1992" s="2">
        <v>3</v>
      </c>
      <c r="R1992" s="2" t="s">
        <v>23</v>
      </c>
      <c r="S1992" s="2" t="str">
        <f t="shared" si="314"/>
        <v>Rendah</v>
      </c>
      <c r="T1992" s="2" t="str">
        <f t="shared" si="315"/>
        <v>FALSE</v>
      </c>
      <c r="U1992" s="2" t="str">
        <f t="shared" si="316"/>
        <v>FALSE</v>
      </c>
      <c r="V1992" s="2" t="b">
        <f t="shared" si="317"/>
        <v>0</v>
      </c>
      <c r="W1992" s="2" t="b">
        <f t="shared" si="318"/>
        <v>0</v>
      </c>
      <c r="X1992" s="2" t="b">
        <f t="shared" si="319"/>
        <v>0</v>
      </c>
    </row>
    <row r="1993" spans="1:24" ht="10.5" customHeight="1">
      <c r="A1993" s="2" t="s">
        <v>2338</v>
      </c>
      <c r="B1993" s="3">
        <v>46022.449050925927</v>
      </c>
      <c r="C1993" s="2" t="s">
        <v>1644</v>
      </c>
      <c r="D1993" s="2" t="s">
        <v>68</v>
      </c>
      <c r="E1993" s="2" t="s">
        <v>53</v>
      </c>
      <c r="F1993" s="4">
        <v>14000</v>
      </c>
      <c r="G1993" s="5">
        <v>0.5</v>
      </c>
      <c r="H1993" s="6">
        <v>0</v>
      </c>
      <c r="I1993" s="7">
        <f t="shared" si="310"/>
        <v>7000</v>
      </c>
      <c r="J1993" s="7">
        <f t="shared" si="311"/>
        <v>0</v>
      </c>
      <c r="K1993" s="7">
        <f t="shared" si="312"/>
        <v>7000</v>
      </c>
      <c r="L1993" s="4">
        <v>87000</v>
      </c>
      <c r="M1993" s="7">
        <f t="shared" si="313"/>
        <v>94000</v>
      </c>
      <c r="N1993" s="2" t="s">
        <v>21</v>
      </c>
      <c r="O1993" t="s">
        <v>2107</v>
      </c>
      <c r="P1993" s="2" t="s">
        <v>2367</v>
      </c>
      <c r="Q1993" s="2">
        <v>3</v>
      </c>
      <c r="R1993" s="2" t="s">
        <v>34</v>
      </c>
      <c r="S1993" s="2" t="str">
        <f t="shared" si="314"/>
        <v>Rendah</v>
      </c>
      <c r="T1993" s="2" t="str">
        <f t="shared" si="315"/>
        <v>FALSE</v>
      </c>
      <c r="U1993" s="2" t="str">
        <f t="shared" si="316"/>
        <v>FALSE</v>
      </c>
      <c r="V1993" s="2" t="b">
        <f t="shared" si="317"/>
        <v>0</v>
      </c>
      <c r="W1993" s="2" t="b">
        <f t="shared" si="318"/>
        <v>1</v>
      </c>
      <c r="X1993" s="2" t="b">
        <f t="shared" si="319"/>
        <v>0</v>
      </c>
    </row>
    <row r="1994" spans="1:24" ht="10.5" customHeight="1">
      <c r="A1994" s="2" t="s">
        <v>2338</v>
      </c>
      <c r="B1994" s="3">
        <v>46022.449050925927</v>
      </c>
      <c r="C1994" s="2" t="s">
        <v>1644</v>
      </c>
      <c r="D1994" s="2" t="s">
        <v>68</v>
      </c>
      <c r="E1994" s="2" t="s">
        <v>75</v>
      </c>
      <c r="F1994" s="4">
        <v>45000</v>
      </c>
      <c r="G1994" s="5">
        <v>0.5</v>
      </c>
      <c r="H1994" s="6">
        <v>0</v>
      </c>
      <c r="I1994" s="7">
        <f t="shared" si="310"/>
        <v>22500</v>
      </c>
      <c r="J1994" s="7">
        <f t="shared" si="311"/>
        <v>0</v>
      </c>
      <c r="K1994" s="7">
        <f t="shared" si="312"/>
        <v>22500</v>
      </c>
      <c r="L1994" s="4">
        <v>0</v>
      </c>
      <c r="M1994" s="7">
        <f t="shared" si="313"/>
        <v>22500</v>
      </c>
      <c r="N1994" s="2" t="s">
        <v>21</v>
      </c>
      <c r="O1994" t="s">
        <v>2107</v>
      </c>
      <c r="P1994" s="2" t="s">
        <v>2367</v>
      </c>
      <c r="Q1994" s="2">
        <v>3</v>
      </c>
      <c r="R1994" s="2" t="s">
        <v>34</v>
      </c>
      <c r="S1994" s="2" t="str">
        <f t="shared" si="314"/>
        <v>Sangat Rendah</v>
      </c>
      <c r="T1994" s="2" t="str">
        <f t="shared" si="315"/>
        <v>FALSE</v>
      </c>
      <c r="U1994" s="2" t="str">
        <f t="shared" si="316"/>
        <v>FALSE</v>
      </c>
      <c r="V1994" s="2" t="b">
        <f t="shared" si="317"/>
        <v>0</v>
      </c>
      <c r="W1994" s="2" t="b">
        <f t="shared" si="318"/>
        <v>1</v>
      </c>
      <c r="X1994" s="2" t="b">
        <f t="shared" si="319"/>
        <v>0</v>
      </c>
    </row>
    <row r="1995" spans="1:24" ht="10.5" customHeight="1">
      <c r="A1995" s="2" t="s">
        <v>2339</v>
      </c>
      <c r="B1995" s="3">
        <v>46022.456689814811</v>
      </c>
      <c r="C1995" s="2" t="s">
        <v>55</v>
      </c>
      <c r="D1995" s="2" t="s">
        <v>56</v>
      </c>
      <c r="E1995" s="2" t="s">
        <v>57</v>
      </c>
      <c r="F1995" s="4">
        <v>17500</v>
      </c>
      <c r="G1995" s="5">
        <v>2.1</v>
      </c>
      <c r="H1995" s="6">
        <v>0</v>
      </c>
      <c r="I1995" s="7">
        <f t="shared" si="310"/>
        <v>36750</v>
      </c>
      <c r="J1995" s="7">
        <f t="shared" si="311"/>
        <v>0</v>
      </c>
      <c r="K1995" s="7">
        <f t="shared" si="312"/>
        <v>36750</v>
      </c>
      <c r="L1995" s="4">
        <v>26000</v>
      </c>
      <c r="M1995" s="7">
        <f t="shared" si="313"/>
        <v>62750</v>
      </c>
      <c r="N1995" s="2" t="s">
        <v>28</v>
      </c>
      <c r="O1995" t="s">
        <v>115</v>
      </c>
      <c r="P1995" s="2" t="s">
        <v>2365</v>
      </c>
      <c r="Q1995" s="2">
        <v>1</v>
      </c>
      <c r="R1995" s="2" t="s">
        <v>23</v>
      </c>
      <c r="S1995" s="2" t="str">
        <f t="shared" si="314"/>
        <v>Rendah</v>
      </c>
      <c r="T1995" s="2" t="str">
        <f t="shared" si="315"/>
        <v>FALSE</v>
      </c>
      <c r="U1995" s="2" t="str">
        <f t="shared" si="316"/>
        <v>FALSE</v>
      </c>
      <c r="V1995" s="2" t="b">
        <f t="shared" si="317"/>
        <v>0</v>
      </c>
      <c r="W1995" s="2" t="b">
        <f t="shared" si="318"/>
        <v>0</v>
      </c>
      <c r="X1995" s="2" t="b">
        <f t="shared" si="319"/>
        <v>0</v>
      </c>
    </row>
    <row r="1996" spans="1:24" ht="10.5" customHeight="1">
      <c r="A1996" s="2" t="s">
        <v>2340</v>
      </c>
      <c r="B1996" s="3">
        <v>46022.466435185182</v>
      </c>
      <c r="C1996" s="2" t="s">
        <v>147</v>
      </c>
      <c r="D1996" s="2" t="s">
        <v>19</v>
      </c>
      <c r="E1996" s="2" t="s">
        <v>65</v>
      </c>
      <c r="F1996" s="4">
        <v>46000</v>
      </c>
      <c r="G1996" s="5">
        <v>0.9</v>
      </c>
      <c r="H1996" s="6">
        <v>0</v>
      </c>
      <c r="I1996" s="7">
        <f t="shared" si="310"/>
        <v>41400</v>
      </c>
      <c r="J1996" s="7">
        <f t="shared" si="311"/>
        <v>0</v>
      </c>
      <c r="K1996" s="7">
        <f t="shared" si="312"/>
        <v>41400</v>
      </c>
      <c r="L1996" s="4">
        <v>15000</v>
      </c>
      <c r="M1996" s="7">
        <f t="shared" si="313"/>
        <v>56400</v>
      </c>
      <c r="N1996" s="2" t="s">
        <v>28</v>
      </c>
      <c r="O1996" t="s">
        <v>2110</v>
      </c>
      <c r="P1996" s="2" t="s">
        <v>2367</v>
      </c>
      <c r="Q1996" s="2">
        <v>5</v>
      </c>
      <c r="R1996" s="2" t="s">
        <v>23</v>
      </c>
      <c r="S1996" s="2" t="str">
        <f t="shared" si="314"/>
        <v>Rendah</v>
      </c>
      <c r="T1996" s="2" t="str">
        <f t="shared" si="315"/>
        <v>FALSE</v>
      </c>
      <c r="U1996" s="2" t="str">
        <f t="shared" si="316"/>
        <v>FALSE</v>
      </c>
      <c r="V1996" s="2" t="b">
        <f t="shared" si="317"/>
        <v>0</v>
      </c>
      <c r="W1996" s="2" t="b">
        <f t="shared" si="318"/>
        <v>1</v>
      </c>
      <c r="X1996" s="2" t="b">
        <f t="shared" si="319"/>
        <v>0</v>
      </c>
    </row>
    <row r="1997" spans="1:24" ht="10.5" customHeight="1">
      <c r="A1997" s="2" t="s">
        <v>2341</v>
      </c>
      <c r="B1997" s="3">
        <v>46022.573680555557</v>
      </c>
      <c r="C1997" s="2" t="s">
        <v>605</v>
      </c>
      <c r="D1997" s="2" t="s">
        <v>84</v>
      </c>
      <c r="E1997" s="2" t="s">
        <v>41</v>
      </c>
      <c r="F1997" s="4">
        <v>40000</v>
      </c>
      <c r="G1997" s="5">
        <v>0.7</v>
      </c>
      <c r="H1997" s="6">
        <v>0</v>
      </c>
      <c r="I1997" s="7">
        <f t="shared" si="310"/>
        <v>28000</v>
      </c>
      <c r="J1997" s="7">
        <f t="shared" si="311"/>
        <v>0</v>
      </c>
      <c r="K1997" s="7">
        <f t="shared" si="312"/>
        <v>28000</v>
      </c>
      <c r="L1997" s="4">
        <v>30000</v>
      </c>
      <c r="M1997" s="7">
        <f t="shared" si="313"/>
        <v>58000</v>
      </c>
      <c r="N1997" s="2" t="s">
        <v>58</v>
      </c>
      <c r="O1997" t="s">
        <v>22</v>
      </c>
      <c r="P1997" s="2" t="s">
        <v>2365</v>
      </c>
      <c r="Q1997" s="2">
        <v>4</v>
      </c>
      <c r="R1997" s="2" t="s">
        <v>23</v>
      </c>
      <c r="S1997" s="2" t="str">
        <f t="shared" si="314"/>
        <v>Rendah</v>
      </c>
      <c r="T1997" s="2" t="str">
        <f t="shared" si="315"/>
        <v>FALSE</v>
      </c>
      <c r="U1997" s="2" t="str">
        <f t="shared" si="316"/>
        <v>FALSE</v>
      </c>
      <c r="V1997" s="2" t="b">
        <f t="shared" si="317"/>
        <v>0</v>
      </c>
      <c r="W1997" s="2" t="b">
        <f t="shared" si="318"/>
        <v>0</v>
      </c>
      <c r="X1997" s="2" t="b">
        <f t="shared" si="319"/>
        <v>0</v>
      </c>
    </row>
    <row r="1998" spans="1:24" ht="10.5" customHeight="1">
      <c r="A1998" s="2" t="s">
        <v>2342</v>
      </c>
      <c r="B1998" s="3">
        <v>46022.603113425917</v>
      </c>
      <c r="C1998" s="2" t="s">
        <v>373</v>
      </c>
      <c r="D1998" s="2" t="s">
        <v>114</v>
      </c>
      <c r="E1998" s="2" t="s">
        <v>49</v>
      </c>
      <c r="F1998" s="4">
        <v>26000</v>
      </c>
      <c r="G1998" s="5">
        <v>1.1000000000000001</v>
      </c>
      <c r="H1998" s="6">
        <v>0</v>
      </c>
      <c r="I1998" s="7">
        <f t="shared" si="310"/>
        <v>28600.000000000004</v>
      </c>
      <c r="J1998" s="7">
        <f t="shared" si="311"/>
        <v>0</v>
      </c>
      <c r="K1998" s="7">
        <f t="shared" si="312"/>
        <v>28600.000000000004</v>
      </c>
      <c r="L1998" s="4">
        <v>78000</v>
      </c>
      <c r="M1998" s="7">
        <f t="shared" si="313"/>
        <v>106600</v>
      </c>
      <c r="N1998" s="2" t="s">
        <v>21</v>
      </c>
      <c r="O1998" t="s">
        <v>22</v>
      </c>
      <c r="P1998" s="2" t="s">
        <v>2370</v>
      </c>
      <c r="Q1998" s="2">
        <v>2</v>
      </c>
      <c r="R1998" s="2" t="s">
        <v>23</v>
      </c>
      <c r="S1998" s="2" t="str">
        <f t="shared" si="314"/>
        <v>Standar</v>
      </c>
      <c r="T1998" s="2" t="str">
        <f t="shared" si="315"/>
        <v>FALSE</v>
      </c>
      <c r="U1998" s="2" t="str">
        <f t="shared" si="316"/>
        <v>FALSE</v>
      </c>
      <c r="V1998" s="2" t="b">
        <f t="shared" si="317"/>
        <v>0</v>
      </c>
      <c r="W1998" s="2" t="b">
        <f t="shared" si="318"/>
        <v>0</v>
      </c>
      <c r="X1998" s="2" t="b">
        <f t="shared" si="319"/>
        <v>0</v>
      </c>
    </row>
    <row r="1999" spans="1:24" ht="10.5" customHeight="1">
      <c r="A1999" s="2" t="s">
        <v>2343</v>
      </c>
      <c r="B1999" s="3">
        <v>46022.67769675926</v>
      </c>
      <c r="C1999" s="2" t="s">
        <v>683</v>
      </c>
      <c r="D1999" s="2" t="s">
        <v>111</v>
      </c>
      <c r="E1999" s="2" t="s">
        <v>190</v>
      </c>
      <c r="F1999" s="4">
        <v>15500</v>
      </c>
      <c r="G1999" s="5">
        <v>0.5</v>
      </c>
      <c r="H1999" s="6">
        <v>0</v>
      </c>
      <c r="I1999" s="7">
        <f t="shared" si="310"/>
        <v>7750</v>
      </c>
      <c r="J1999" s="7">
        <f t="shared" si="311"/>
        <v>0</v>
      </c>
      <c r="K1999" s="7">
        <f t="shared" si="312"/>
        <v>7750</v>
      </c>
      <c r="L1999" s="4">
        <v>0</v>
      </c>
      <c r="M1999" s="7">
        <f t="shared" si="313"/>
        <v>7750</v>
      </c>
      <c r="N1999" s="2" t="s">
        <v>21</v>
      </c>
      <c r="O1999" t="s">
        <v>2110</v>
      </c>
      <c r="P1999" s="2" t="s">
        <v>2370</v>
      </c>
      <c r="Q1999" s="2">
        <v>3</v>
      </c>
      <c r="R1999" s="2" t="s">
        <v>23</v>
      </c>
      <c r="S1999" s="2" t="str">
        <f t="shared" si="314"/>
        <v>Sangat Rendah</v>
      </c>
      <c r="T1999" s="2" t="str">
        <f t="shared" si="315"/>
        <v>FALSE</v>
      </c>
      <c r="U1999" s="2" t="str">
        <f t="shared" si="316"/>
        <v>FALSE</v>
      </c>
      <c r="V1999" s="2" t="b">
        <f t="shared" si="317"/>
        <v>0</v>
      </c>
      <c r="W1999" s="2" t="b">
        <f t="shared" si="318"/>
        <v>0</v>
      </c>
      <c r="X1999" s="2" t="b">
        <f t="shared" si="319"/>
        <v>1</v>
      </c>
    </row>
    <row r="2000" spans="1:24" ht="10.5" customHeight="1">
      <c r="A2000" s="2" t="s">
        <v>2344</v>
      </c>
      <c r="B2000" s="3">
        <v>46022.743923611109</v>
      </c>
      <c r="C2000" s="2" t="s">
        <v>358</v>
      </c>
      <c r="D2000" s="2" t="s">
        <v>105</v>
      </c>
      <c r="E2000" s="2" t="s">
        <v>65</v>
      </c>
      <c r="F2000" s="4">
        <v>46000</v>
      </c>
      <c r="G2000" s="5">
        <v>0.2</v>
      </c>
      <c r="H2000" s="6">
        <v>0</v>
      </c>
      <c r="I2000" s="7">
        <f t="shared" si="310"/>
        <v>9200</v>
      </c>
      <c r="J2000" s="7">
        <f t="shared" si="311"/>
        <v>0</v>
      </c>
      <c r="K2000" s="7">
        <f t="shared" si="312"/>
        <v>9200</v>
      </c>
      <c r="L2000" s="4">
        <v>18000</v>
      </c>
      <c r="M2000" s="7">
        <f t="shared" si="313"/>
        <v>27200</v>
      </c>
      <c r="N2000" s="2" t="s">
        <v>33</v>
      </c>
      <c r="O2000" t="s">
        <v>22</v>
      </c>
      <c r="P2000" s="2" t="s">
        <v>2367</v>
      </c>
      <c r="Q2000" s="2">
        <v>1</v>
      </c>
      <c r="R2000" s="2" t="s">
        <v>34</v>
      </c>
      <c r="S2000" s="2" t="str">
        <f t="shared" si="314"/>
        <v>Sangat Rendah</v>
      </c>
      <c r="T2000" s="2" t="str">
        <f t="shared" si="315"/>
        <v>FALSE</v>
      </c>
      <c r="U2000" s="2" t="str">
        <f t="shared" si="316"/>
        <v>FALSE</v>
      </c>
      <c r="V2000" s="2" t="b">
        <f t="shared" si="317"/>
        <v>0</v>
      </c>
      <c r="W2000" s="2" t="b">
        <f t="shared" si="318"/>
        <v>1</v>
      </c>
      <c r="X2000" s="2" t="b">
        <f t="shared" si="319"/>
        <v>0</v>
      </c>
    </row>
    <row r="2001" spans="1:24" ht="10.5" customHeight="1">
      <c r="A2001" s="2" t="s">
        <v>2345</v>
      </c>
      <c r="B2001" s="3">
        <v>46022.896284722221</v>
      </c>
      <c r="C2001" s="2" t="s">
        <v>1030</v>
      </c>
      <c r="D2001" s="2" t="s">
        <v>56</v>
      </c>
      <c r="E2001" s="2" t="s">
        <v>75</v>
      </c>
      <c r="F2001" s="4">
        <v>45000</v>
      </c>
      <c r="G2001" s="5">
        <v>0.5</v>
      </c>
      <c r="H2001" s="6">
        <v>0</v>
      </c>
      <c r="I2001" s="7">
        <f t="shared" si="310"/>
        <v>22500</v>
      </c>
      <c r="J2001" s="7">
        <f t="shared" si="311"/>
        <v>0</v>
      </c>
      <c r="K2001" s="7">
        <f t="shared" si="312"/>
        <v>22500</v>
      </c>
      <c r="L2001" s="4">
        <v>26000</v>
      </c>
      <c r="M2001" s="7">
        <f t="shared" si="313"/>
        <v>48500</v>
      </c>
      <c r="N2001" s="2" t="s">
        <v>21</v>
      </c>
      <c r="O2001" t="s">
        <v>2107</v>
      </c>
      <c r="P2001" s="2" t="s">
        <v>2366</v>
      </c>
      <c r="Q2001" s="2">
        <v>3</v>
      </c>
      <c r="R2001" s="2" t="s">
        <v>23</v>
      </c>
      <c r="S2001" s="2" t="str">
        <f t="shared" si="314"/>
        <v>Sangat Rendah</v>
      </c>
      <c r="T2001" s="2" t="str">
        <f t="shared" si="315"/>
        <v>FALSE</v>
      </c>
      <c r="U2001" s="2" t="str">
        <f t="shared" si="316"/>
        <v>FALSE</v>
      </c>
      <c r="V2001" s="2" t="b">
        <f t="shared" si="317"/>
        <v>0</v>
      </c>
      <c r="W2001" s="2" t="b">
        <f t="shared" si="318"/>
        <v>0</v>
      </c>
      <c r="X2001" s="2" t="b">
        <f t="shared" si="319"/>
        <v>1</v>
      </c>
    </row>
    <row r="2002" spans="1:24" ht="10.5" customHeight="1">
      <c r="A2002" s="2" t="s">
        <v>2346</v>
      </c>
      <c r="B2002" s="3">
        <v>46022.910370370373</v>
      </c>
      <c r="C2002" s="2" t="s">
        <v>706</v>
      </c>
      <c r="D2002" s="2" t="s">
        <v>61</v>
      </c>
      <c r="E2002" s="2" t="s">
        <v>190</v>
      </c>
      <c r="F2002" s="4">
        <v>15500</v>
      </c>
      <c r="G2002" s="5">
        <v>0.4</v>
      </c>
      <c r="H2002" s="6">
        <v>0</v>
      </c>
      <c r="I2002" s="7">
        <f t="shared" si="310"/>
        <v>6200</v>
      </c>
      <c r="J2002" s="7">
        <f t="shared" si="311"/>
        <v>0</v>
      </c>
      <c r="K2002" s="7">
        <f t="shared" si="312"/>
        <v>6200</v>
      </c>
      <c r="L2002" s="4">
        <v>59000</v>
      </c>
      <c r="M2002" s="7">
        <f t="shared" si="313"/>
        <v>65200</v>
      </c>
      <c r="N2002" s="2" t="s">
        <v>33</v>
      </c>
      <c r="O2002" t="s">
        <v>2110</v>
      </c>
      <c r="P2002" s="2" t="s">
        <v>2366</v>
      </c>
      <c r="Q2002" s="2">
        <v>2</v>
      </c>
      <c r="R2002" s="2" t="s">
        <v>23</v>
      </c>
      <c r="S2002" s="2" t="str">
        <f t="shared" si="314"/>
        <v>Rendah</v>
      </c>
      <c r="T2002" s="2" t="str">
        <f t="shared" si="315"/>
        <v>FALSE</v>
      </c>
      <c r="U2002" s="2" t="str">
        <f t="shared" si="316"/>
        <v>FALSE</v>
      </c>
      <c r="V2002" s="2" t="b">
        <f t="shared" si="317"/>
        <v>0</v>
      </c>
      <c r="W2002" s="2" t="b">
        <f t="shared" si="318"/>
        <v>0</v>
      </c>
      <c r="X2002" s="2" t="b">
        <f t="shared" si="319"/>
        <v>0</v>
      </c>
    </row>
    <row r="2003" spans="1:24" ht="10.5" customHeight="1">
      <c r="A2003" s="2" t="s">
        <v>2347</v>
      </c>
      <c r="B2003" s="3">
        <v>46022.934317129628</v>
      </c>
      <c r="C2003" s="2" t="s">
        <v>572</v>
      </c>
      <c r="D2003" s="2" t="s">
        <v>425</v>
      </c>
      <c r="E2003" s="2" t="s">
        <v>170</v>
      </c>
      <c r="F2003" s="4">
        <v>12000</v>
      </c>
      <c r="G2003" s="5">
        <v>1.1000000000000001</v>
      </c>
      <c r="H2003" s="6">
        <v>0</v>
      </c>
      <c r="I2003" s="7">
        <f t="shared" si="310"/>
        <v>13200.000000000002</v>
      </c>
      <c r="J2003" s="7">
        <f t="shared" si="311"/>
        <v>0</v>
      </c>
      <c r="K2003" s="7">
        <f t="shared" si="312"/>
        <v>13200.000000000002</v>
      </c>
      <c r="L2003" s="4">
        <v>67000</v>
      </c>
      <c r="M2003" s="7">
        <f t="shared" si="313"/>
        <v>80200</v>
      </c>
      <c r="N2003" s="2" t="s">
        <v>21</v>
      </c>
      <c r="O2003" t="s">
        <v>2107</v>
      </c>
      <c r="P2003" s="2" t="s">
        <v>2368</v>
      </c>
      <c r="Q2003" s="2">
        <v>3</v>
      </c>
      <c r="R2003" s="2" t="s">
        <v>23</v>
      </c>
      <c r="S2003" s="2" t="str">
        <f t="shared" si="314"/>
        <v>Rendah</v>
      </c>
      <c r="T2003" s="2" t="str">
        <f t="shared" si="315"/>
        <v>FALSE</v>
      </c>
      <c r="U2003" s="2" t="str">
        <f t="shared" si="316"/>
        <v>FALSE</v>
      </c>
      <c r="V2003" s="2" t="b">
        <f t="shared" si="317"/>
        <v>0</v>
      </c>
      <c r="W2003" s="2" t="b">
        <f t="shared" si="318"/>
        <v>0</v>
      </c>
      <c r="X2003" s="2" t="b">
        <f t="shared" si="319"/>
        <v>0</v>
      </c>
    </row>
  </sheetData>
  <mergeCells count="2">
    <mergeCell ref="A2:R2"/>
    <mergeCell ref="A1:R1"/>
  </mergeCells>
  <phoneticPr fontId="6"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F5BAE-4CA5-4290-A998-41DE0030ED94}">
  <sheetPr codeName="Sheet3">
    <pageSetUpPr fitToPage="1"/>
  </sheetPr>
  <dimension ref="Y43:Z43"/>
  <sheetViews>
    <sheetView showGridLines="0" zoomScale="70" zoomScaleNormal="70" workbookViewId="0">
      <selection activeCell="AA23" sqref="AA23"/>
    </sheetView>
  </sheetViews>
  <sheetFormatPr defaultRowHeight="14.5"/>
  <cols>
    <col min="1" max="16384" width="8.7265625" style="11"/>
  </cols>
  <sheetData>
    <row r="43" spans="25:26">
      <c r="Y43" s="11" t="b">
        <v>0</v>
      </c>
      <c r="Z43" s="11" t="b">
        <v>1</v>
      </c>
    </row>
  </sheetData>
  <pageMargins left="0.7" right="0.7" top="0.75" bottom="0.75" header="0.3" footer="0.3"/>
  <pageSetup scale="56"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ltText="Grand Total">
                <anchor moveWithCells="1">
                  <from>
                    <xdr:col>9</xdr:col>
                    <xdr:colOff>400050</xdr:colOff>
                    <xdr:row>9</xdr:row>
                    <xdr:rowOff>88900</xdr:rowOff>
                  </from>
                  <to>
                    <xdr:col>11</xdr:col>
                    <xdr:colOff>107950</xdr:colOff>
                    <xdr:row>11</xdr:row>
                    <xdr:rowOff>88900</xdr:rowOff>
                  </to>
                </anchor>
              </controlPr>
            </control>
          </mc:Choice>
        </mc:AlternateContent>
        <mc:AlternateContent xmlns:mc="http://schemas.openxmlformats.org/markup-compatibility/2006">
          <mc:Choice Requires="x14">
            <control shapeId="1026" r:id="rId5" name="Check Box 2">
              <controlPr defaultSize="0" autoFill="0" autoLine="0" autoPict="0" altText="Grand Total">
                <anchor moveWithCells="1">
                  <from>
                    <xdr:col>11</xdr:col>
                    <xdr:colOff>114300</xdr:colOff>
                    <xdr:row>9</xdr:row>
                    <xdr:rowOff>95250</xdr:rowOff>
                  </from>
                  <to>
                    <xdr:col>12</xdr:col>
                    <xdr:colOff>438150</xdr:colOff>
                    <xdr:row>11</xdr:row>
                    <xdr:rowOff>95250</xdr:rowOff>
                  </to>
                </anchor>
              </controlPr>
            </control>
          </mc:Choice>
        </mc:AlternateContent>
      </controls>
    </mc:Choice>
  </mc:AlternateContent>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1D6B7-1599-4A58-98C2-FD89C516F200}">
  <sheetPr codeName="Sheet1"/>
  <dimension ref="A1:AV79"/>
  <sheetViews>
    <sheetView tabSelected="1" zoomScale="55" zoomScaleNormal="55" workbookViewId="0">
      <selection activeCell="C23" sqref="C23"/>
    </sheetView>
  </sheetViews>
  <sheetFormatPr defaultRowHeight="14.5"/>
  <cols>
    <col min="1" max="1" width="26.26953125" style="16" bestFit="1" customWidth="1"/>
    <col min="2" max="2" width="8.7265625" style="16"/>
    <col min="3" max="3" width="20.36328125" style="16" bestFit="1" customWidth="1"/>
    <col min="4" max="4" width="10.7265625" style="16" customWidth="1"/>
    <col min="5" max="5" width="8.7265625" style="16"/>
    <col min="6" max="6" width="19.54296875" style="16" bestFit="1" customWidth="1"/>
    <col min="7" max="7" width="23.36328125" style="16" bestFit="1" customWidth="1"/>
    <col min="8" max="10" width="8.7265625" style="16"/>
    <col min="11" max="11" width="19.54296875" style="16" bestFit="1" customWidth="1"/>
    <col min="12" max="12" width="22.1796875" style="16" bestFit="1" customWidth="1"/>
    <col min="13" max="13" width="18.453125" style="16" bestFit="1" customWidth="1"/>
    <col min="14" max="14" width="10.36328125" style="16" customWidth="1"/>
    <col min="15" max="16" width="8.7265625" style="16"/>
    <col min="17" max="17" width="16.08984375" style="16" bestFit="1" customWidth="1"/>
    <col min="18" max="18" width="22.1796875" style="16" bestFit="1" customWidth="1"/>
    <col min="19" max="19" width="23.36328125" style="16" bestFit="1" customWidth="1"/>
    <col min="20" max="20" width="18.54296875" style="16" bestFit="1" customWidth="1"/>
    <col min="21" max="21" width="23.7265625" style="16" bestFit="1" customWidth="1"/>
    <col min="22" max="22" width="10.90625" style="16" bestFit="1" customWidth="1"/>
    <col min="23" max="23" width="8.7265625" style="16"/>
    <col min="24" max="24" width="12.26953125" style="16" bestFit="1" customWidth="1"/>
    <col min="25" max="26" width="8.7265625" style="16"/>
    <col min="27" max="27" width="23.1796875" style="16" bestFit="1" customWidth="1"/>
    <col min="28" max="28" width="22.1796875" style="16" bestFit="1" customWidth="1"/>
    <col min="29" max="29" width="20.1796875" style="16" bestFit="1" customWidth="1"/>
    <col min="30" max="30" width="16.36328125" style="16" bestFit="1" customWidth="1"/>
    <col min="31" max="31" width="8.7265625" style="16"/>
    <col min="32" max="32" width="14.453125" style="16" bestFit="1" customWidth="1"/>
    <col min="33" max="33" width="17.26953125" style="16" bestFit="1" customWidth="1"/>
    <col min="34" max="34" width="12.36328125" style="16" bestFit="1" customWidth="1"/>
    <col min="35" max="37" width="8.7265625" style="16"/>
    <col min="38" max="38" width="16.08984375" style="16" bestFit="1" customWidth="1"/>
    <col min="39" max="39" width="22.1796875" style="16" bestFit="1" customWidth="1"/>
    <col min="40" max="40" width="12" style="16" bestFit="1" customWidth="1"/>
    <col min="41" max="43" width="8.7265625" style="16"/>
    <col min="44" max="44" width="16.08984375" style="16" bestFit="1" customWidth="1"/>
    <col min="45" max="45" width="20.36328125" style="16" bestFit="1" customWidth="1"/>
    <col min="46" max="46" width="10.81640625" style="16" bestFit="1" customWidth="1"/>
    <col min="47" max="16384" width="8.7265625" style="16"/>
  </cols>
  <sheetData>
    <row r="1" spans="1:48" s="31" customFormat="1">
      <c r="A1" s="31" t="s">
        <v>2395</v>
      </c>
      <c r="C1" s="31" t="s">
        <v>2413</v>
      </c>
      <c r="F1" s="31" t="s">
        <v>2396</v>
      </c>
      <c r="K1" s="31" t="s">
        <v>2400</v>
      </c>
      <c r="Q1" s="31" t="s">
        <v>2402</v>
      </c>
      <c r="AA1" s="31" t="s">
        <v>2405</v>
      </c>
      <c r="AF1" s="31" t="s">
        <v>2417</v>
      </c>
      <c r="AL1" s="31" t="s">
        <v>2407</v>
      </c>
      <c r="AR1" s="31" t="s">
        <v>2408</v>
      </c>
    </row>
    <row r="3" spans="1:48">
      <c r="A3" s="16" t="s">
        <v>2375</v>
      </c>
      <c r="C3" s="16" t="s">
        <v>2372</v>
      </c>
      <c r="F3" s="17" t="s">
        <v>2371</v>
      </c>
      <c r="G3" s="16" t="s">
        <v>2373</v>
      </c>
      <c r="H3" s="26" t="s">
        <v>2397</v>
      </c>
      <c r="I3" s="26"/>
      <c r="K3" s="17" t="s">
        <v>2371</v>
      </c>
      <c r="L3" s="16" t="s">
        <v>2375</v>
      </c>
      <c r="M3" s="29" t="s">
        <v>2401</v>
      </c>
      <c r="N3" s="29"/>
      <c r="Q3" s="17" t="s">
        <v>2371</v>
      </c>
      <c r="R3" s="16" t="s">
        <v>2375</v>
      </c>
      <c r="S3" s="28" t="s">
        <v>2403</v>
      </c>
      <c r="T3" s="28" t="s">
        <v>11</v>
      </c>
      <c r="U3" s="28" t="s">
        <v>2404</v>
      </c>
      <c r="V3" s="28" t="s">
        <v>2415</v>
      </c>
      <c r="AA3" s="17" t="s">
        <v>2371</v>
      </c>
      <c r="AB3" s="16" t="s">
        <v>2375</v>
      </c>
      <c r="AC3" s="28" t="s">
        <v>14</v>
      </c>
      <c r="AD3" s="28" t="s">
        <v>11</v>
      </c>
      <c r="AF3" s="17" t="s">
        <v>2371</v>
      </c>
      <c r="AG3" s="16" t="s">
        <v>2375</v>
      </c>
      <c r="AH3" s="31" t="s">
        <v>2406</v>
      </c>
      <c r="AL3" s="17" t="s">
        <v>2371</v>
      </c>
      <c r="AM3" s="16" t="s">
        <v>2375</v>
      </c>
      <c r="AN3" s="16" t="s">
        <v>2406</v>
      </c>
      <c r="AR3" s="17" t="s">
        <v>2371</v>
      </c>
      <c r="AS3" s="16" t="s">
        <v>2372</v>
      </c>
    </row>
    <row r="4" spans="1:48">
      <c r="A4" s="18">
        <v>159484562.5</v>
      </c>
      <c r="C4" s="16">
        <v>2000</v>
      </c>
      <c r="F4" s="20" t="s">
        <v>57</v>
      </c>
      <c r="G4" s="16">
        <v>316</v>
      </c>
      <c r="H4" s="25" t="str">
        <f>F4</f>
        <v>Kentang</v>
      </c>
      <c r="I4" s="25">
        <f>GETPIVOTDATA("Quantity (kg)",$F$3,"Product Name","Kentang")</f>
        <v>316</v>
      </c>
      <c r="K4" s="20" t="s">
        <v>75</v>
      </c>
      <c r="L4" s="18">
        <v>15755625</v>
      </c>
      <c r="M4" s="28" t="s">
        <v>2398</v>
      </c>
      <c r="N4" s="28" t="s">
        <v>2399</v>
      </c>
      <c r="Q4" s="20" t="s">
        <v>2383</v>
      </c>
      <c r="R4" s="18">
        <v>14140055</v>
      </c>
      <c r="S4" s="25" t="str">
        <f>Q4</f>
        <v>Jan</v>
      </c>
      <c r="T4" s="30">
        <v>14140055</v>
      </c>
      <c r="U4" s="27">
        <f>T4/$T$16</f>
        <v>8.8660963659100228E-2</v>
      </c>
      <c r="AA4" s="20" t="s">
        <v>2366</v>
      </c>
      <c r="AB4" s="18">
        <v>32254927.5</v>
      </c>
      <c r="AC4" s="16" t="s">
        <v>2366</v>
      </c>
      <c r="AD4" s="18">
        <v>32254927.5</v>
      </c>
      <c r="AF4" s="20" t="s">
        <v>98</v>
      </c>
      <c r="AG4" s="18">
        <v>11759992.5</v>
      </c>
      <c r="AH4" s="21">
        <f>AG4/$AG$9</f>
        <v>0.29091496835772024</v>
      </c>
      <c r="AL4" s="20" t="s">
        <v>21</v>
      </c>
      <c r="AM4" s="18">
        <v>41582805</v>
      </c>
      <c r="AN4" s="21">
        <f>AM4/$AM$8</f>
        <v>0.26073247685022805</v>
      </c>
      <c r="AR4" s="20" t="s">
        <v>22</v>
      </c>
      <c r="AS4" s="16">
        <v>1495</v>
      </c>
      <c r="AT4" s="20" t="s">
        <v>22</v>
      </c>
      <c r="AU4" s="16">
        <f>AS4</f>
        <v>1495</v>
      </c>
    </row>
    <row r="5" spans="1:48">
      <c r="F5" s="20" t="s">
        <v>35</v>
      </c>
      <c r="G5" s="16">
        <v>237.4</v>
      </c>
      <c r="K5" s="20" t="s">
        <v>41</v>
      </c>
      <c r="L5" s="18">
        <v>14457200</v>
      </c>
      <c r="M5" s="25" t="str">
        <f>K4</f>
        <v>Bawang Merah</v>
      </c>
      <c r="N5" s="27">
        <f>L4/$L$24</f>
        <v>9.8790909621738462E-2</v>
      </c>
      <c r="Q5" s="20" t="s">
        <v>2384</v>
      </c>
      <c r="R5" s="18">
        <v>12711592.5</v>
      </c>
      <c r="S5" s="25" t="str">
        <f t="shared" ref="S5:S15" si="0">Q5</f>
        <v>Feb</v>
      </c>
      <c r="T5" s="30">
        <v>12711592.5</v>
      </c>
      <c r="U5" s="27">
        <f>T5/$T$16</f>
        <v>7.9704219021198369E-2</v>
      </c>
      <c r="AA5" s="20" t="s">
        <v>2365</v>
      </c>
      <c r="AB5" s="18">
        <v>32251402.5</v>
      </c>
      <c r="AC5" s="16" t="s">
        <v>2365</v>
      </c>
      <c r="AD5" s="18">
        <v>32251402.5</v>
      </c>
      <c r="AF5" s="20" t="s">
        <v>94</v>
      </c>
      <c r="AG5" s="18">
        <v>8241555</v>
      </c>
      <c r="AH5" s="21">
        <f t="shared" ref="AH5:AH8" si="1">AG5/$AG$9</f>
        <v>0.20387697628577664</v>
      </c>
      <c r="AL5" s="20" t="s">
        <v>28</v>
      </c>
      <c r="AM5" s="18">
        <v>41206355</v>
      </c>
      <c r="AN5" s="21">
        <f>AM5/$AM$8</f>
        <v>0.25837206030520982</v>
      </c>
      <c r="AR5" s="20" t="s">
        <v>69</v>
      </c>
      <c r="AS5" s="16">
        <v>277</v>
      </c>
      <c r="AT5" s="20" t="s">
        <v>69</v>
      </c>
      <c r="AU5" s="16">
        <f t="shared" ref="AU5:AU8" si="2">AS5</f>
        <v>277</v>
      </c>
    </row>
    <row r="6" spans="1:48">
      <c r="F6" s="20" t="s">
        <v>20</v>
      </c>
      <c r="G6" s="16">
        <v>206.60000000000002</v>
      </c>
      <c r="K6" s="20" t="s">
        <v>57</v>
      </c>
      <c r="L6" s="18">
        <v>12656775</v>
      </c>
      <c r="M6" s="25" t="str">
        <f t="shared" ref="M6:M9" si="3">K5</f>
        <v>Bawang Putih</v>
      </c>
      <c r="N6" s="27">
        <f>L5/$L$24</f>
        <v>9.0649526031712321E-2</v>
      </c>
      <c r="Q6" s="20" t="s">
        <v>2385</v>
      </c>
      <c r="R6" s="18">
        <v>12798592.5</v>
      </c>
      <c r="S6" s="25" t="str">
        <f t="shared" si="0"/>
        <v>Mar</v>
      </c>
      <c r="T6" s="30">
        <v>12798592.5</v>
      </c>
      <c r="U6" s="27">
        <f>T6/$T$16</f>
        <v>8.0249726364581525E-2</v>
      </c>
      <c r="AA6" s="20" t="s">
        <v>2370</v>
      </c>
      <c r="AB6" s="18">
        <v>31749497.5</v>
      </c>
      <c r="AC6" s="16" t="s">
        <v>2370</v>
      </c>
      <c r="AD6" s="18">
        <v>31749497.5</v>
      </c>
      <c r="AF6" s="20" t="s">
        <v>185</v>
      </c>
      <c r="AG6" s="18">
        <v>6780125</v>
      </c>
      <c r="AH6" s="21">
        <f t="shared" si="1"/>
        <v>0.16772458399411291</v>
      </c>
      <c r="AL6" s="20" t="s">
        <v>58</v>
      </c>
      <c r="AM6" s="18">
        <v>38756115</v>
      </c>
      <c r="AN6" s="21">
        <f>AM6/$AM$8</f>
        <v>0.24300856705174834</v>
      </c>
      <c r="AR6" s="20" t="s">
        <v>115</v>
      </c>
      <c r="AS6" s="16">
        <v>108</v>
      </c>
      <c r="AT6" s="20" t="s">
        <v>115</v>
      </c>
      <c r="AU6" s="16">
        <f t="shared" si="2"/>
        <v>108</v>
      </c>
    </row>
    <row r="7" spans="1:48">
      <c r="F7" s="20" t="s">
        <v>32</v>
      </c>
      <c r="G7" s="16">
        <v>197.70000000000005</v>
      </c>
      <c r="K7" s="20" t="s">
        <v>161</v>
      </c>
      <c r="L7" s="18">
        <v>11285000</v>
      </c>
      <c r="M7" s="25" t="str">
        <f t="shared" si="3"/>
        <v>Kentang</v>
      </c>
      <c r="N7" s="27">
        <f>L6/$L$24</f>
        <v>7.936050236837186E-2</v>
      </c>
      <c r="Q7" s="20" t="s">
        <v>2386</v>
      </c>
      <c r="R7" s="18">
        <v>12671902.5</v>
      </c>
      <c r="S7" s="25" t="str">
        <f t="shared" si="0"/>
        <v>Apr</v>
      </c>
      <c r="T7" s="30">
        <v>12671902.5</v>
      </c>
      <c r="U7" s="27">
        <f>T7/$T$16</f>
        <v>7.9455354809027365E-2</v>
      </c>
      <c r="AA7" s="20" t="s">
        <v>2368</v>
      </c>
      <c r="AB7" s="18">
        <v>31724182.5</v>
      </c>
      <c r="AC7" s="16" t="s">
        <v>2368</v>
      </c>
      <c r="AD7" s="18">
        <v>31724182.5</v>
      </c>
      <c r="AF7" s="20" t="s">
        <v>74</v>
      </c>
      <c r="AG7" s="18">
        <v>7044342.5</v>
      </c>
      <c r="AH7" s="21">
        <f t="shared" si="1"/>
        <v>0.17426071279283928</v>
      </c>
      <c r="AL7" s="20" t="s">
        <v>33</v>
      </c>
      <c r="AM7" s="18">
        <v>37939287.5</v>
      </c>
      <c r="AN7" s="21">
        <f>AM7/$AM$8</f>
        <v>0.2378868957928138</v>
      </c>
      <c r="AR7" s="20" t="s">
        <v>2110</v>
      </c>
      <c r="AS7" s="16">
        <v>67</v>
      </c>
      <c r="AT7" s="20" t="s">
        <v>2110</v>
      </c>
      <c r="AU7" s="16">
        <f t="shared" si="2"/>
        <v>67</v>
      </c>
    </row>
    <row r="8" spans="1:48">
      <c r="A8" s="31" t="s">
        <v>2414</v>
      </c>
      <c r="B8" s="31"/>
      <c r="C8" s="31" t="s">
        <v>2416</v>
      </c>
      <c r="F8" s="20" t="s">
        <v>80</v>
      </c>
      <c r="G8" s="16">
        <v>189.99999999999994</v>
      </c>
      <c r="K8" s="20" t="s">
        <v>65</v>
      </c>
      <c r="L8" s="18">
        <v>10940030</v>
      </c>
      <c r="M8" s="25" t="str">
        <f t="shared" si="3"/>
        <v>Cabai Rawit Merah</v>
      </c>
      <c r="N8" s="27">
        <f>L7/$L$24</f>
        <v>7.0759199656079561E-2</v>
      </c>
      <c r="Q8" s="20" t="s">
        <v>2387</v>
      </c>
      <c r="R8" s="18">
        <v>12203452.5</v>
      </c>
      <c r="S8" s="25" t="str">
        <f t="shared" si="0"/>
        <v>May</v>
      </c>
      <c r="T8" s="30">
        <v>12203452.5</v>
      </c>
      <c r="U8" s="27">
        <f>T8/$T$16</f>
        <v>7.6518079923879781E-2</v>
      </c>
      <c r="AA8" s="20" t="s">
        <v>2367</v>
      </c>
      <c r="AB8" s="18">
        <v>31504552.5</v>
      </c>
      <c r="AC8" s="16" t="s">
        <v>2367</v>
      </c>
      <c r="AD8" s="18">
        <v>31504552.5</v>
      </c>
      <c r="AE8" s="22"/>
      <c r="AF8" s="20" t="s">
        <v>114</v>
      </c>
      <c r="AG8" s="18">
        <v>6598142.5</v>
      </c>
      <c r="AH8" s="21">
        <f t="shared" si="1"/>
        <v>0.1632227585695509</v>
      </c>
      <c r="AL8" s="20" t="s">
        <v>11</v>
      </c>
      <c r="AM8" s="18">
        <v>159484562.5</v>
      </c>
      <c r="AR8" s="20" t="s">
        <v>2107</v>
      </c>
      <c r="AS8" s="16">
        <v>53</v>
      </c>
      <c r="AT8" s="20" t="s">
        <v>2107</v>
      </c>
      <c r="AU8" s="16">
        <f t="shared" si="2"/>
        <v>53</v>
      </c>
      <c r="AV8" s="21"/>
    </row>
    <row r="9" spans="1:48">
      <c r="F9" s="20" t="s">
        <v>75</v>
      </c>
      <c r="G9" s="16">
        <v>173.60000000000002</v>
      </c>
      <c r="K9" s="20" t="s">
        <v>80</v>
      </c>
      <c r="L9" s="18">
        <v>10531125</v>
      </c>
      <c r="M9" s="25" t="str">
        <f t="shared" si="3"/>
        <v>Cabai Merah</v>
      </c>
      <c r="N9" s="27">
        <f>L8/$L$24</f>
        <v>6.8596168986575112E-2</v>
      </c>
      <c r="Q9" s="20" t="s">
        <v>2388</v>
      </c>
      <c r="R9" s="18">
        <v>13498585</v>
      </c>
      <c r="S9" s="25" t="str">
        <f t="shared" si="0"/>
        <v>Jun</v>
      </c>
      <c r="T9" s="30">
        <v>13498585</v>
      </c>
      <c r="U9" s="27">
        <f>T9/$T$16</f>
        <v>8.463881888254858E-2</v>
      </c>
      <c r="AA9" s="20" t="s">
        <v>11</v>
      </c>
      <c r="AB9" s="18">
        <v>159484562.5</v>
      </c>
      <c r="AD9" s="18"/>
      <c r="AE9" s="22"/>
      <c r="AF9" s="20" t="s">
        <v>11</v>
      </c>
      <c r="AG9" s="18">
        <v>40424157.5</v>
      </c>
      <c r="AR9" s="20" t="s">
        <v>11</v>
      </c>
      <c r="AS9" s="16">
        <v>2000</v>
      </c>
      <c r="AV9" s="21"/>
    </row>
    <row r="10" spans="1:48">
      <c r="A10" s="16" t="s">
        <v>2374</v>
      </c>
      <c r="C10" s="17" t="s">
        <v>13</v>
      </c>
      <c r="D10" s="16" t="s">
        <v>22</v>
      </c>
      <c r="F10" s="20" t="s">
        <v>41</v>
      </c>
      <c r="G10" s="16">
        <v>151.40000000000003</v>
      </c>
      <c r="K10" s="20" t="s">
        <v>32</v>
      </c>
      <c r="L10" s="18">
        <v>9152000</v>
      </c>
      <c r="N10" s="21"/>
      <c r="Q10" s="20" t="s">
        <v>2389</v>
      </c>
      <c r="R10" s="18">
        <v>12056577.5</v>
      </c>
      <c r="S10" s="25" t="str">
        <f t="shared" si="0"/>
        <v>Jul</v>
      </c>
      <c r="T10" s="30">
        <v>12056577.5</v>
      </c>
      <c r="U10" s="27">
        <f>T10/$T$16</f>
        <v>7.5597144394461371E-2</v>
      </c>
      <c r="AE10" s="22"/>
      <c r="AF10"/>
      <c r="AG10"/>
      <c r="AV10" s="21"/>
    </row>
    <row r="11" spans="1:48">
      <c r="A11" s="19">
        <v>2.9805000000000001</v>
      </c>
      <c r="F11" s="20" t="s">
        <v>45</v>
      </c>
      <c r="G11" s="16">
        <v>148.29999999999998</v>
      </c>
      <c r="K11" s="20" t="s">
        <v>35</v>
      </c>
      <c r="L11" s="18">
        <v>9024250</v>
      </c>
      <c r="N11" s="21"/>
      <c r="Q11" s="20" t="s">
        <v>2390</v>
      </c>
      <c r="R11" s="18">
        <v>12502047.5</v>
      </c>
      <c r="S11" s="25" t="str">
        <f t="shared" si="0"/>
        <v>Aug</v>
      </c>
      <c r="T11" s="30">
        <v>12502047.5</v>
      </c>
      <c r="U11" s="27">
        <f>T11/$T$16</f>
        <v>7.839033009856361E-2</v>
      </c>
      <c r="AE11" s="22"/>
      <c r="AF11"/>
      <c r="AG11"/>
      <c r="AV11" s="21"/>
    </row>
    <row r="12" spans="1:48">
      <c r="C12" s="16" t="s">
        <v>2373</v>
      </c>
      <c r="F12" s="20" t="s">
        <v>182</v>
      </c>
      <c r="G12" s="16">
        <v>129</v>
      </c>
      <c r="K12" s="20" t="s">
        <v>102</v>
      </c>
      <c r="L12" s="18">
        <v>7777475</v>
      </c>
      <c r="N12" s="21"/>
      <c r="Q12" s="20" t="s">
        <v>2391</v>
      </c>
      <c r="R12" s="18">
        <v>11719375</v>
      </c>
      <c r="S12" s="25" t="str">
        <f t="shared" si="0"/>
        <v>Sep</v>
      </c>
      <c r="T12" s="30">
        <v>11719375</v>
      </c>
      <c r="U12" s="27">
        <f>T12/$T$16</f>
        <v>7.3482817498402075E-2</v>
      </c>
      <c r="AE12" s="22"/>
      <c r="AF12"/>
      <c r="AG12"/>
      <c r="AV12" s="21"/>
    </row>
    <row r="13" spans="1:48">
      <c r="C13" s="19">
        <v>1892.0000000000009</v>
      </c>
      <c r="F13" s="20" t="s">
        <v>95</v>
      </c>
      <c r="G13" s="16">
        <v>106.89999999999999</v>
      </c>
      <c r="K13" s="20" t="s">
        <v>20</v>
      </c>
      <c r="L13" s="18">
        <v>7598450</v>
      </c>
      <c r="N13" s="21"/>
      <c r="Q13" s="20" t="s">
        <v>2392</v>
      </c>
      <c r="R13" s="18">
        <v>13920020</v>
      </c>
      <c r="S13" s="25" t="str">
        <f t="shared" si="0"/>
        <v>Oct</v>
      </c>
      <c r="T13" s="30">
        <v>13920020</v>
      </c>
      <c r="U13" s="27">
        <f>T13/$T$16</f>
        <v>8.7281300345292037E-2</v>
      </c>
      <c r="AF13"/>
      <c r="AG13"/>
    </row>
    <row r="14" spans="1:48">
      <c r="F14" s="20" t="s">
        <v>65</v>
      </c>
      <c r="G14" s="16">
        <v>101.70000000000003</v>
      </c>
      <c r="K14" s="20" t="s">
        <v>170</v>
      </c>
      <c r="L14" s="18">
        <v>5735900</v>
      </c>
      <c r="N14" s="21"/>
      <c r="Q14" s="20" t="s">
        <v>2393</v>
      </c>
      <c r="R14" s="18">
        <v>13812720</v>
      </c>
      <c r="S14" s="25" t="str">
        <f t="shared" si="0"/>
        <v>Nov</v>
      </c>
      <c r="T14" s="30">
        <v>13812720</v>
      </c>
      <c r="U14" s="27">
        <f>T14/$T$16</f>
        <v>8.6608507955119485E-2</v>
      </c>
      <c r="AF14"/>
      <c r="AG14"/>
    </row>
    <row r="15" spans="1:48">
      <c r="F15" s="20" t="s">
        <v>170</v>
      </c>
      <c r="G15" s="16">
        <v>86.4</v>
      </c>
      <c r="K15" s="20" t="s">
        <v>182</v>
      </c>
      <c r="L15" s="18">
        <v>5628810</v>
      </c>
      <c r="N15" s="21"/>
      <c r="Q15" s="20" t="s">
        <v>2394</v>
      </c>
      <c r="R15" s="18">
        <v>17449642.5</v>
      </c>
      <c r="S15" s="25" t="str">
        <f t="shared" si="0"/>
        <v>Dec</v>
      </c>
      <c r="T15" s="30">
        <v>17449642.5</v>
      </c>
      <c r="U15" s="27">
        <f>T15/$T$16</f>
        <v>0.10941273704782556</v>
      </c>
      <c r="AF15"/>
      <c r="AG15"/>
    </row>
    <row r="16" spans="1:48">
      <c r="F16" s="20" t="s">
        <v>49</v>
      </c>
      <c r="G16" s="16">
        <v>82.3</v>
      </c>
      <c r="K16" s="20" t="s">
        <v>49</v>
      </c>
      <c r="L16" s="18">
        <v>5525220</v>
      </c>
      <c r="N16" s="21"/>
      <c r="Q16" s="20" t="s">
        <v>11</v>
      </c>
      <c r="R16" s="18">
        <v>159484562.5</v>
      </c>
      <c r="T16" s="30">
        <v>159484562.5</v>
      </c>
      <c r="AF16"/>
      <c r="AG16"/>
    </row>
    <row r="17" spans="6:33">
      <c r="F17" s="20" t="s">
        <v>53</v>
      </c>
      <c r="G17" s="16">
        <v>74.800000000000026</v>
      </c>
      <c r="K17" s="20" t="s">
        <v>45</v>
      </c>
      <c r="L17" s="18">
        <v>5440665</v>
      </c>
      <c r="N17" s="21"/>
      <c r="AF17"/>
      <c r="AG17"/>
    </row>
    <row r="18" spans="6:33">
      <c r="F18" s="20" t="s">
        <v>99</v>
      </c>
      <c r="G18" s="16">
        <v>60.699999999999982</v>
      </c>
      <c r="K18" s="20" t="s">
        <v>27</v>
      </c>
      <c r="L18" s="18">
        <v>5138900</v>
      </c>
      <c r="N18" s="21"/>
      <c r="AF18"/>
      <c r="AG18"/>
    </row>
    <row r="19" spans="6:33">
      <c r="F19" s="20" t="s">
        <v>161</v>
      </c>
      <c r="G19" s="16">
        <v>60.399999999999984</v>
      </c>
      <c r="K19" s="20" t="s">
        <v>53</v>
      </c>
      <c r="L19" s="18">
        <v>5038140</v>
      </c>
      <c r="N19" s="21"/>
      <c r="AF19"/>
      <c r="AG19"/>
    </row>
    <row r="20" spans="6:33">
      <c r="F20" s="20" t="s">
        <v>102</v>
      </c>
      <c r="G20" s="16">
        <v>59.399999999999991</v>
      </c>
      <c r="K20" s="20" t="s">
        <v>95</v>
      </c>
      <c r="L20" s="18">
        <v>4937340</v>
      </c>
      <c r="N20" s="21"/>
      <c r="AF20"/>
      <c r="AG20"/>
    </row>
    <row r="21" spans="6:33">
      <c r="F21" s="20" t="s">
        <v>143</v>
      </c>
      <c r="G21" s="16">
        <v>58.099999999999987</v>
      </c>
      <c r="K21" s="20" t="s">
        <v>143</v>
      </c>
      <c r="L21" s="18">
        <v>4892750</v>
      </c>
      <c r="N21" s="21"/>
      <c r="Q21" s="17" t="s">
        <v>2371</v>
      </c>
      <c r="R21" s="16" t="s">
        <v>2375</v>
      </c>
      <c r="S21" s="16" t="s">
        <v>2373</v>
      </c>
      <c r="AF21"/>
      <c r="AG21"/>
    </row>
    <row r="22" spans="6:33">
      <c r="F22" s="20" t="s">
        <v>27</v>
      </c>
      <c r="G22" s="16">
        <v>57.000000000000007</v>
      </c>
      <c r="K22" s="20" t="s">
        <v>99</v>
      </c>
      <c r="L22" s="18">
        <v>4533750</v>
      </c>
      <c r="N22" s="21"/>
      <c r="Q22" s="20" t="s">
        <v>2383</v>
      </c>
      <c r="R22" s="18">
        <v>14140055</v>
      </c>
      <c r="S22" s="16">
        <v>222.60000000000002</v>
      </c>
      <c r="AF22"/>
      <c r="AG22"/>
    </row>
    <row r="23" spans="6:33">
      <c r="F23" s="20" t="s">
        <v>190</v>
      </c>
      <c r="G23" s="16">
        <v>25.700000000000003</v>
      </c>
      <c r="K23" s="20" t="s">
        <v>190</v>
      </c>
      <c r="L23" s="18">
        <v>3435157.5</v>
      </c>
      <c r="N23" s="21"/>
      <c r="Q23" s="20" t="s">
        <v>2384</v>
      </c>
      <c r="R23" s="18">
        <v>12711592.5</v>
      </c>
      <c r="S23" s="16">
        <v>200.4</v>
      </c>
      <c r="AF23"/>
      <c r="AG23"/>
    </row>
    <row r="24" spans="6:33">
      <c r="F24" s="20" t="s">
        <v>11</v>
      </c>
      <c r="G24" s="16">
        <v>2523.4000000000005</v>
      </c>
      <c r="K24" s="20" t="s">
        <v>11</v>
      </c>
      <c r="L24" s="18">
        <v>159484562.5</v>
      </c>
      <c r="Q24" s="20" t="s">
        <v>2385</v>
      </c>
      <c r="R24" s="18">
        <v>12798592.5</v>
      </c>
      <c r="S24" s="16">
        <v>218.3000000000001</v>
      </c>
      <c r="AF24"/>
      <c r="AG24"/>
    </row>
    <row r="25" spans="6:33">
      <c r="Q25" s="20" t="s">
        <v>2386</v>
      </c>
      <c r="R25" s="18">
        <v>12671902.5</v>
      </c>
      <c r="S25" s="16">
        <v>200.69999999999996</v>
      </c>
      <c r="U25" s="16" t="b">
        <v>1</v>
      </c>
      <c r="V25" s="16" t="b">
        <v>1</v>
      </c>
      <c r="W25" s="16" t="b">
        <v>1</v>
      </c>
      <c r="AF25"/>
      <c r="AG25"/>
    </row>
    <row r="26" spans="6:33">
      <c r="Q26" s="20" t="s">
        <v>2387</v>
      </c>
      <c r="R26" s="18">
        <v>12203452.5</v>
      </c>
      <c r="S26" s="16">
        <v>189.49999999999994</v>
      </c>
      <c r="T26" s="28" t="s">
        <v>2409</v>
      </c>
      <c r="U26" s="28" t="s">
        <v>2412</v>
      </c>
      <c r="V26" s="28" t="s">
        <v>2410</v>
      </c>
      <c r="W26" s="28" t="s">
        <v>2411</v>
      </c>
      <c r="AF26"/>
      <c r="AG26"/>
    </row>
    <row r="27" spans="6:33">
      <c r="Q27" s="20" t="s">
        <v>2388</v>
      </c>
      <c r="R27" s="18">
        <v>13498585</v>
      </c>
      <c r="S27" s="16">
        <v>194.50000000000003</v>
      </c>
      <c r="T27" s="28" t="s">
        <v>2383</v>
      </c>
      <c r="U27" s="32">
        <f>IF($U$25=TRUE,VLOOKUP(T27,$Q$22:$S$33,2,FALSE),NA())</f>
        <v>14140055</v>
      </c>
      <c r="V27" s="33">
        <f>IF($V$25=TRUE,VLOOKUP(T27,Q22:S33,3,FALSE),NA())</f>
        <v>222.60000000000002</v>
      </c>
      <c r="W27" s="27">
        <f>IF(AND($U$25=TRUE,$V$25=TRUE),R22/$R$34,"")</f>
        <v>8.8660963659100228E-2</v>
      </c>
      <c r="X27" s="23" t="str">
        <f>IF(AND($U$25=TRUE,$V$25=TRUE),"",IF(OR($U$25=TRUE,$V$25=TRUE),U27,""))</f>
        <v/>
      </c>
      <c r="Y27" s="24" t="str">
        <f>IF(AND($U$25=TRUE,$V$25=TRUE),"",IF(OR($U$25=TRUE,$V$25=TRUE),V27,""))</f>
        <v/>
      </c>
      <c r="AF27"/>
      <c r="AG27"/>
    </row>
    <row r="28" spans="6:33">
      <c r="Q28" s="20" t="s">
        <v>2389</v>
      </c>
      <c r="R28" s="18">
        <v>12056577.5</v>
      </c>
      <c r="S28" s="16">
        <v>200.30000000000004</v>
      </c>
      <c r="T28" s="28" t="s">
        <v>2384</v>
      </c>
      <c r="U28" s="32">
        <f>IF($U$25=TRUE,VLOOKUP(T28,$Q$22:$S$33,2,FALSE),NA())</f>
        <v>12711592.5</v>
      </c>
      <c r="V28" s="33">
        <f>IF($V$25=TRUE,VLOOKUP(T28,Q23:S34,3,FALSE),NA())</f>
        <v>200.4</v>
      </c>
      <c r="W28" s="27">
        <f>IF(AND($U$25=TRUE,$V$25=TRUE),R23/$R$34,"")</f>
        <v>7.9704219021198369E-2</v>
      </c>
      <c r="X28" s="23" t="str">
        <f>IF(AND($U$25=TRUE,$V$25=TRUE),"",IF(OR($U$25=TRUE,$V$25=TRUE),U28,""))</f>
        <v/>
      </c>
      <c r="Y28" s="24" t="str">
        <f>IF(AND($U$25=TRUE,$V$25=TRUE),"",IF(OR($U$25=TRUE,$V$25=TRUE),V28,""))</f>
        <v/>
      </c>
      <c r="AF28"/>
      <c r="AG28"/>
    </row>
    <row r="29" spans="6:33">
      <c r="Q29" s="20" t="s">
        <v>2390</v>
      </c>
      <c r="R29" s="18">
        <v>12502047.5</v>
      </c>
      <c r="S29" s="16">
        <v>189.10000000000002</v>
      </c>
      <c r="T29" s="28" t="s">
        <v>2385</v>
      </c>
      <c r="U29" s="32">
        <f>IF($U$25=TRUE,VLOOKUP(T29,$Q$22:$S$33,2,FALSE),NA())</f>
        <v>12798592.5</v>
      </c>
      <c r="V29" s="33">
        <f>IF($V$25=TRUE,VLOOKUP(T29,Q24:S35,3,FALSE),NA())</f>
        <v>218.3000000000001</v>
      </c>
      <c r="W29" s="27">
        <f>IF(AND($U$25=TRUE,$V$25=TRUE),R24/$R$34,"")</f>
        <v>8.0249726364581525E-2</v>
      </c>
      <c r="X29" s="23" t="str">
        <f>IF(AND($U$25=TRUE,$V$25=TRUE),"",IF(OR($U$25=TRUE,$V$25=TRUE),U29,""))</f>
        <v/>
      </c>
      <c r="Y29" s="24" t="str">
        <f>IF(AND($U$25=TRUE,$V$25=TRUE),"",IF(OR($U$25=TRUE,$V$25=TRUE),V29,""))</f>
        <v/>
      </c>
      <c r="AF29"/>
      <c r="AG29"/>
    </row>
    <row r="30" spans="6:33">
      <c r="Q30" s="20" t="s">
        <v>2391</v>
      </c>
      <c r="R30" s="18">
        <v>11719375</v>
      </c>
      <c r="S30" s="16">
        <v>185.39999999999992</v>
      </c>
      <c r="T30" s="28" t="s">
        <v>2386</v>
      </c>
      <c r="U30" s="32">
        <f>IF($U$25=TRUE,VLOOKUP(T30,$Q$22:$S$33,2,FALSE),NA())</f>
        <v>12671902.5</v>
      </c>
      <c r="V30" s="33">
        <f>IF($V$25=TRUE,VLOOKUP(T30,Q25:S36,3,FALSE),NA())</f>
        <v>200.69999999999996</v>
      </c>
      <c r="W30" s="27">
        <f>IF(AND($U$25=TRUE,$V$25=TRUE),R25/$R$34,"")</f>
        <v>7.9455354809027365E-2</v>
      </c>
      <c r="X30" s="23" t="str">
        <f>IF(AND($U$25=TRUE,$V$25=TRUE),"",IF(OR($U$25=TRUE,$V$25=TRUE),U30,""))</f>
        <v/>
      </c>
      <c r="Y30" s="24" t="str">
        <f>IF(AND($U$25=TRUE,$V$25=TRUE),"",IF(OR($U$25=TRUE,$V$25=TRUE),V30,""))</f>
        <v/>
      </c>
      <c r="AF30"/>
      <c r="AG30"/>
    </row>
    <row r="31" spans="6:33">
      <c r="Q31" s="20" t="s">
        <v>2392</v>
      </c>
      <c r="R31" s="18">
        <v>13920020</v>
      </c>
      <c r="S31" s="16">
        <v>216.60000000000002</v>
      </c>
      <c r="T31" s="28" t="s">
        <v>2387</v>
      </c>
      <c r="U31" s="32">
        <f>IF($U$25=TRUE,VLOOKUP(T31,$Q$22:$S$33,2,FALSE),NA())</f>
        <v>12203452.5</v>
      </c>
      <c r="V31" s="33">
        <f>IF($V$25=TRUE,VLOOKUP(T31,Q26:S37,3,FALSE),NA())</f>
        <v>189.49999999999994</v>
      </c>
      <c r="W31" s="27">
        <f>IF(AND($U$25=TRUE,$V$25=TRUE),R26/$R$34,"")</f>
        <v>7.6518079923879781E-2</v>
      </c>
      <c r="X31" s="23" t="str">
        <f>IF(AND($U$25=TRUE,$V$25=TRUE),"",IF(OR($U$25=TRUE,$V$25=TRUE),U31,""))</f>
        <v/>
      </c>
      <c r="Y31" s="24" t="str">
        <f>IF(AND($U$25=TRUE,$V$25=TRUE),"",IF(OR($U$25=TRUE,$V$25=TRUE),V31,""))</f>
        <v/>
      </c>
      <c r="AF31"/>
      <c r="AG31"/>
    </row>
    <row r="32" spans="6:33">
      <c r="Q32" s="20" t="s">
        <v>2393</v>
      </c>
      <c r="R32" s="18">
        <v>13812720</v>
      </c>
      <c r="S32" s="16">
        <v>229.10000000000005</v>
      </c>
      <c r="T32" s="28" t="s">
        <v>2388</v>
      </c>
      <c r="U32" s="32">
        <f>IF($U$25=TRUE,VLOOKUP(T32,$Q$22:$S$33,2,FALSE),NA())</f>
        <v>13498585</v>
      </c>
      <c r="V32" s="33">
        <f>IF($V$25=TRUE,VLOOKUP(T32,Q27:S38,3,FALSE),NA())</f>
        <v>194.50000000000003</v>
      </c>
      <c r="W32" s="27">
        <f>IF(AND($U$25=TRUE,$V$25=TRUE),R27/$R$34,"")</f>
        <v>8.463881888254858E-2</v>
      </c>
      <c r="X32" s="23" t="str">
        <f>IF(AND($U$25=TRUE,$V$25=TRUE),"",IF(OR($U$25=TRUE,$V$25=TRUE),U32,""))</f>
        <v/>
      </c>
      <c r="Y32" s="24" t="str">
        <f>IF(AND($U$25=TRUE,$V$25=TRUE),"",IF(OR($U$25=TRUE,$V$25=TRUE),V32,""))</f>
        <v/>
      </c>
      <c r="AF32"/>
      <c r="AG32"/>
    </row>
    <row r="33" spans="17:33">
      <c r="Q33" s="20" t="s">
        <v>2394</v>
      </c>
      <c r="R33" s="18">
        <v>17449642.5</v>
      </c>
      <c r="S33" s="16">
        <v>276.90000000000015</v>
      </c>
      <c r="T33" s="28" t="s">
        <v>2389</v>
      </c>
      <c r="U33" s="32">
        <f>IF($U$25=TRUE,VLOOKUP(T33,$Q$22:$S$33,2,FALSE),NA())</f>
        <v>12056577.5</v>
      </c>
      <c r="V33" s="33">
        <f>IF($V$25=TRUE,VLOOKUP(T33,Q28:S39,3,FALSE),NA())</f>
        <v>200.30000000000004</v>
      </c>
      <c r="W33" s="27">
        <f>IF(AND($U$25=TRUE,$V$25=TRUE),R28/$R$34,"")</f>
        <v>7.5597144394461371E-2</v>
      </c>
      <c r="X33" s="23" t="str">
        <f>IF(AND($U$25=TRUE,$V$25=TRUE),"",IF(OR($U$25=TRUE,$V$25=TRUE),U33,""))</f>
        <v/>
      </c>
      <c r="Y33" s="24" t="str">
        <f>IF(AND($U$25=TRUE,$V$25=TRUE),"",IF(OR($U$25=TRUE,$V$25=TRUE),V33,""))</f>
        <v/>
      </c>
      <c r="AF33"/>
      <c r="AG33"/>
    </row>
    <row r="34" spans="17:33">
      <c r="Q34" s="20" t="s">
        <v>11</v>
      </c>
      <c r="R34" s="16">
        <v>159484562.5</v>
      </c>
      <c r="S34" s="16">
        <v>2523.4</v>
      </c>
      <c r="T34" s="28" t="s">
        <v>2390</v>
      </c>
      <c r="U34" s="32">
        <f>IF($U$25=TRUE,VLOOKUP(T34,$Q$22:$S$33,2,FALSE),NA())</f>
        <v>12502047.5</v>
      </c>
      <c r="V34" s="33">
        <f>IF($V$25=TRUE,VLOOKUP(T34,Q29:S40,3,FALSE),NA())</f>
        <v>189.10000000000002</v>
      </c>
      <c r="W34" s="27">
        <f>IF(AND($U$25=TRUE,$V$25=TRUE),R29/$R$34,"")</f>
        <v>7.839033009856361E-2</v>
      </c>
      <c r="X34" s="23" t="str">
        <f>IF(AND($U$25=TRUE,$V$25=TRUE),"",IF(OR($U$25=TRUE,$V$25=TRUE),U34,""))</f>
        <v/>
      </c>
      <c r="Y34" s="24" t="str">
        <f>IF(AND($U$25=TRUE,$V$25=TRUE),"",IF(OR($U$25=TRUE,$V$25=TRUE),V34,""))</f>
        <v/>
      </c>
      <c r="AF34"/>
      <c r="AG34"/>
    </row>
    <row r="35" spans="17:33">
      <c r="T35" s="28" t="s">
        <v>2391</v>
      </c>
      <c r="U35" s="32">
        <f>IF($U$25=TRUE,VLOOKUP(T35,$Q$22:$S$33,2,FALSE),NA())</f>
        <v>11719375</v>
      </c>
      <c r="V35" s="33">
        <f>IF($V$25=TRUE,VLOOKUP(T35,Q30:S59,3,FALSE),NA())</f>
        <v>185.39999999999992</v>
      </c>
      <c r="W35" s="27">
        <f>IF(AND($U$25=TRUE,$V$25=TRUE),R30/$R$34,"")</f>
        <v>7.3482817498402075E-2</v>
      </c>
      <c r="X35" s="23" t="str">
        <f>IF(AND($U$25=TRUE,$V$25=TRUE),"",IF(OR($U$25=TRUE,$V$25=TRUE),U35,""))</f>
        <v/>
      </c>
      <c r="Y35" s="24" t="str">
        <f>IF(AND($U$25=TRUE,$V$25=TRUE),"",IF(OR($U$25=TRUE,$V$25=TRUE),V35,""))</f>
        <v/>
      </c>
      <c r="AF35"/>
      <c r="AG35"/>
    </row>
    <row r="36" spans="17:33">
      <c r="T36" s="28" t="s">
        <v>2392</v>
      </c>
      <c r="U36" s="32">
        <f>IF($U$25=TRUE,VLOOKUP(T36,$Q$22:$S$33,2,FALSE),NA())</f>
        <v>13920020</v>
      </c>
      <c r="V36" s="33">
        <f>IF($V$25=TRUE,VLOOKUP(T36,Q31:S60,3,FALSE),NA())</f>
        <v>216.60000000000002</v>
      </c>
      <c r="W36" s="27">
        <f>IF(AND($U$25=TRUE,$V$25=TRUE),R31/$R$34,"")</f>
        <v>8.7281300345292037E-2</v>
      </c>
      <c r="X36" s="23" t="str">
        <f>IF(AND($U$25=TRUE,$V$25=TRUE),"",IF(OR($U$25=TRUE,$V$25=TRUE),U36,""))</f>
        <v/>
      </c>
      <c r="Y36" s="24" t="str">
        <f>IF(AND($U$25=TRUE,$V$25=TRUE),"",IF(OR($U$25=TRUE,$V$25=TRUE),V36,""))</f>
        <v/>
      </c>
      <c r="AF36"/>
      <c r="AG36"/>
    </row>
    <row r="37" spans="17:33">
      <c r="T37" s="28" t="s">
        <v>2393</v>
      </c>
      <c r="U37" s="32">
        <f>IF($U$25=TRUE,VLOOKUP(T37,$Q$22:$S$33,2,FALSE),NA())</f>
        <v>13812720</v>
      </c>
      <c r="V37" s="33">
        <f>IF($V$25=TRUE,VLOOKUP(T37,Q32:S61,3,FALSE),NA())</f>
        <v>229.10000000000005</v>
      </c>
      <c r="W37" s="27">
        <f>IF(AND($U$25=TRUE,$V$25=TRUE),R32/$R$34,"")</f>
        <v>8.6608507955119485E-2</v>
      </c>
      <c r="X37" s="23" t="str">
        <f>IF(AND($U$25=TRUE,$V$25=TRUE),"",IF(OR($U$25=TRUE,$V$25=TRUE),U37,""))</f>
        <v/>
      </c>
      <c r="Y37" s="24" t="str">
        <f>IF(AND($U$25=TRUE,$V$25=TRUE),"",IF(OR($U$25=TRUE,$V$25=TRUE),V37,""))</f>
        <v/>
      </c>
      <c r="AF37"/>
      <c r="AG37"/>
    </row>
    <row r="38" spans="17:33">
      <c r="T38" s="28" t="s">
        <v>2394</v>
      </c>
      <c r="U38" s="32">
        <f>IF($U$25=TRUE,VLOOKUP(T38,$Q$22:$S$33,2,FALSE),NA())</f>
        <v>17449642.5</v>
      </c>
      <c r="V38" s="33">
        <f>IF($V$25=TRUE,VLOOKUP(T38,Q33:S62,3,FALSE),NA())</f>
        <v>276.90000000000015</v>
      </c>
      <c r="W38" s="27">
        <f>IF(AND($U$25=TRUE,$V$25=TRUE),R33/$R$34,"")</f>
        <v>0.10941273704782556</v>
      </c>
      <c r="X38" s="23" t="str">
        <f>IF(AND($U$25=TRUE,$V$25=TRUE),"",IF(OR($U$25=TRUE,$V$25=TRUE),U38,""))</f>
        <v/>
      </c>
      <c r="Y38" s="24" t="str">
        <f>IF(AND($U$25=TRUE,$V$25=TRUE),"",IF(OR($U$25=TRUE,$V$25=TRUE),V38,""))</f>
        <v/>
      </c>
      <c r="AF38"/>
      <c r="AG38"/>
    </row>
    <row r="39" spans="17:33">
      <c r="T39" s="28" t="s">
        <v>11</v>
      </c>
      <c r="U39" s="32">
        <f>SUM(U27:U38)</f>
        <v>159484562.5</v>
      </c>
      <c r="V39" s="33">
        <f>IF($V$25=TRUE,VLOOKUP(T39,Q34:S63,3,FALSE),"")</f>
        <v>2523.4</v>
      </c>
      <c r="W39" s="34">
        <f>SUM(W27:W38)</f>
        <v>1</v>
      </c>
      <c r="AF39"/>
      <c r="AG39"/>
    </row>
    <row r="40" spans="17:33">
      <c r="AF40"/>
      <c r="AG40"/>
    </row>
    <row r="41" spans="17:33">
      <c r="AF41"/>
      <c r="AG41"/>
    </row>
    <row r="42" spans="17:33">
      <c r="AF42"/>
      <c r="AG42"/>
    </row>
    <row r="43" spans="17:33">
      <c r="AF43"/>
      <c r="AG43"/>
    </row>
    <row r="44" spans="17:33">
      <c r="AF44"/>
      <c r="AG44"/>
    </row>
    <row r="45" spans="17:33">
      <c r="AF45"/>
      <c r="AG45"/>
    </row>
    <row r="46" spans="17:33">
      <c r="AF46"/>
      <c r="AG46"/>
    </row>
    <row r="47" spans="17:33">
      <c r="AF47"/>
      <c r="AG47"/>
    </row>
    <row r="48" spans="17:33">
      <c r="AF48"/>
      <c r="AG48"/>
    </row>
    <row r="49" spans="32:33">
      <c r="AF49"/>
      <c r="AG49"/>
    </row>
    <row r="50" spans="32:33">
      <c r="AF50"/>
      <c r="AG50"/>
    </row>
    <row r="51" spans="32:33">
      <c r="AF51"/>
      <c r="AG51"/>
    </row>
    <row r="52" spans="32:33">
      <c r="AF52"/>
      <c r="AG52"/>
    </row>
    <row r="53" spans="32:33">
      <c r="AF53"/>
      <c r="AG53"/>
    </row>
    <row r="54" spans="32:33">
      <c r="AF54"/>
      <c r="AG54"/>
    </row>
    <row r="55" spans="32:33">
      <c r="AF55"/>
      <c r="AG55"/>
    </row>
    <row r="56" spans="32:33">
      <c r="AF56"/>
      <c r="AG56"/>
    </row>
    <row r="57" spans="32:33">
      <c r="AF57"/>
      <c r="AG57"/>
    </row>
    <row r="58" spans="32:33">
      <c r="AF58"/>
      <c r="AG58"/>
    </row>
    <row r="59" spans="32:33">
      <c r="AF59"/>
      <c r="AG59"/>
    </row>
    <row r="60" spans="32:33">
      <c r="AF60"/>
      <c r="AG60"/>
    </row>
    <row r="61" spans="32:33">
      <c r="AF61"/>
      <c r="AG61"/>
    </row>
    <row r="62" spans="32:33">
      <c r="AF62"/>
      <c r="AG62"/>
    </row>
    <row r="63" spans="32:33">
      <c r="AF63"/>
      <c r="AG63"/>
    </row>
    <row r="64" spans="32:33">
      <c r="AF64"/>
      <c r="AG64"/>
    </row>
    <row r="65" spans="32:33">
      <c r="AF65"/>
      <c r="AG65"/>
    </row>
    <row r="66" spans="32:33">
      <c r="AF66"/>
      <c r="AG66"/>
    </row>
    <row r="67" spans="32:33">
      <c r="AF67"/>
      <c r="AG67"/>
    </row>
    <row r="68" spans="32:33">
      <c r="AF68"/>
      <c r="AG68"/>
    </row>
    <row r="69" spans="32:33">
      <c r="AF69"/>
      <c r="AG69"/>
    </row>
    <row r="70" spans="32:33">
      <c r="AF70"/>
      <c r="AG70"/>
    </row>
    <row r="71" spans="32:33">
      <c r="AF71"/>
      <c r="AG71"/>
    </row>
    <row r="72" spans="32:33">
      <c r="AF72"/>
      <c r="AG72"/>
    </row>
    <row r="73" spans="32:33">
      <c r="AF73"/>
      <c r="AG73"/>
    </row>
    <row r="74" spans="32:33">
      <c r="AF74"/>
      <c r="AG74"/>
    </row>
    <row r="75" spans="32:33">
      <c r="AF75"/>
      <c r="AG75"/>
    </row>
    <row r="76" spans="32:33">
      <c r="AF76"/>
      <c r="AG76"/>
    </row>
    <row r="77" spans="32:33">
      <c r="AF77"/>
      <c r="AG77"/>
    </row>
    <row r="78" spans="32:33">
      <c r="AF78"/>
      <c r="AG78"/>
    </row>
    <row r="79" spans="32:33">
      <c r="AF79"/>
      <c r="AG79"/>
    </row>
  </sheetData>
  <mergeCells count="2">
    <mergeCell ref="H3:I3"/>
    <mergeCell ref="M3:N3"/>
  </mergeCells>
  <pageMargins left="0.7" right="0.7" top="0.75" bottom="0.75" header="0.3" footer="0.3"/>
  <pageSetup orientation="portrait" r:id="rId13"/>
  <drawing r:id="rId14"/>
  <legacyDrawing r:id="rId15"/>
  <mc:AlternateContent xmlns:mc="http://schemas.openxmlformats.org/markup-compatibility/2006">
    <mc:Choice Requires="x14">
      <controls>
        <mc:AlternateContent xmlns:mc="http://schemas.openxmlformats.org/markup-compatibility/2006">
          <mc:Choice Requires="x14">
            <control shapeId="2050" r:id="rId16" name="Check Box 2">
              <controlPr defaultSize="0" autoFill="0" autoLine="0" autoPict="0" altText="Grand Total">
                <anchor moveWithCells="1">
                  <from>
                    <xdr:col>20</xdr:col>
                    <xdr:colOff>393700</xdr:colOff>
                    <xdr:row>21</xdr:row>
                    <xdr:rowOff>88900</xdr:rowOff>
                  </from>
                  <to>
                    <xdr:col>20</xdr:col>
                    <xdr:colOff>1327150</xdr:colOff>
                    <xdr:row>23</xdr:row>
                    <xdr:rowOff>95250</xdr:rowOff>
                  </to>
                </anchor>
              </controlPr>
            </control>
          </mc:Choice>
        </mc:AlternateContent>
        <mc:AlternateContent xmlns:mc="http://schemas.openxmlformats.org/markup-compatibility/2006">
          <mc:Choice Requires="x14">
            <control shapeId="2051" r:id="rId17" name="Check Box 3">
              <controlPr defaultSize="0" autoFill="0" autoLine="0" autoPict="0" altText="Grand Total">
                <anchor moveWithCells="1">
                  <from>
                    <xdr:col>21</xdr:col>
                    <xdr:colOff>19050</xdr:colOff>
                    <xdr:row>21</xdr:row>
                    <xdr:rowOff>76200</xdr:rowOff>
                  </from>
                  <to>
                    <xdr:col>22</xdr:col>
                    <xdr:colOff>196850</xdr:colOff>
                    <xdr:row>23</xdr:row>
                    <xdr:rowOff>82550</xdr:rowOff>
                  </to>
                </anchor>
              </controlPr>
            </control>
          </mc:Choice>
        </mc:AlternateContent>
        <mc:AlternateContent xmlns:mc="http://schemas.openxmlformats.org/markup-compatibility/2006">
          <mc:Choice Requires="x14">
            <control shapeId="2052" r:id="rId18" name="Check Box 4">
              <controlPr defaultSize="0" autoFill="0" autoLine="0" autoPict="0" altText="Grand Total">
                <anchor moveWithCells="1">
                  <from>
                    <xdr:col>22</xdr:col>
                    <xdr:colOff>38100</xdr:colOff>
                    <xdr:row>21</xdr:row>
                    <xdr:rowOff>88900</xdr:rowOff>
                  </from>
                  <to>
                    <xdr:col>23</xdr:col>
                    <xdr:colOff>355600</xdr:colOff>
                    <xdr:row>23</xdr:row>
                    <xdr:rowOff>95250</xdr:rowOff>
                  </to>
                </anchor>
              </controlPr>
            </control>
          </mc:Choice>
        </mc:AlternateContent>
      </controls>
    </mc:Choice>
  </mc:AlternateContent>
  <extLst>
    <ext xmlns:x14="http://schemas.microsoft.com/office/spreadsheetml/2009/9/main" uri="{A8765BA9-456A-4dab-B4F3-ACF838C121DE}">
      <x14:slicerList>
        <x14:slicer r:id="rId1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G1867"/>
  <sheetViews>
    <sheetView workbookViewId="0">
      <selection activeCell="G19" sqref="G19"/>
    </sheetView>
  </sheetViews>
  <sheetFormatPr defaultColWidth="14.453125" defaultRowHeight="14.5"/>
  <cols>
    <col min="1" max="6" width="10.7265625" customWidth="1"/>
  </cols>
  <sheetData>
    <row r="1" spans="1:7">
      <c r="A1" s="1" t="s">
        <v>0</v>
      </c>
      <c r="B1" s="1" t="s">
        <v>13</v>
      </c>
    </row>
    <row r="2" spans="1:7">
      <c r="A2" s="2" t="s">
        <v>2237</v>
      </c>
      <c r="B2" s="2" t="s">
        <v>69</v>
      </c>
    </row>
    <row r="3" spans="1:7">
      <c r="A3" s="2" t="s">
        <v>1820</v>
      </c>
      <c r="B3" s="2" t="s">
        <v>22</v>
      </c>
    </row>
    <row r="4" spans="1:7">
      <c r="A4" s="2" t="s">
        <v>1379</v>
      </c>
      <c r="B4" s="2" t="s">
        <v>69</v>
      </c>
    </row>
    <row r="5" spans="1:7">
      <c r="A5" s="2" t="s">
        <v>2108</v>
      </c>
      <c r="B5" s="2" t="s">
        <v>2107</v>
      </c>
    </row>
    <row r="6" spans="1:7">
      <c r="A6" s="2" t="s">
        <v>986</v>
      </c>
      <c r="B6" s="2" t="s">
        <v>115</v>
      </c>
    </row>
    <row r="7" spans="1:7">
      <c r="A7" s="2" t="s">
        <v>1001</v>
      </c>
      <c r="B7" s="2" t="s">
        <v>22</v>
      </c>
    </row>
    <row r="8" spans="1:7">
      <c r="A8" s="2" t="s">
        <v>2228</v>
      </c>
      <c r="B8" s="2" t="s">
        <v>22</v>
      </c>
    </row>
    <row r="9" spans="1:7">
      <c r="A9" s="2" t="s">
        <v>1306</v>
      </c>
      <c r="B9" s="2" t="s">
        <v>69</v>
      </c>
    </row>
    <row r="10" spans="1:7">
      <c r="A10" s="2" t="s">
        <v>938</v>
      </c>
      <c r="B10" s="2" t="s">
        <v>22</v>
      </c>
    </row>
    <row r="11" spans="1:7">
      <c r="A11" s="2" t="s">
        <v>1981</v>
      </c>
      <c r="B11" s="2" t="s">
        <v>22</v>
      </c>
    </row>
    <row r="12" spans="1:7">
      <c r="A12" s="2" t="s">
        <v>1258</v>
      </c>
      <c r="B12" s="2" t="s">
        <v>22</v>
      </c>
    </row>
    <row r="13" spans="1:7">
      <c r="A13" s="2" t="s">
        <v>490</v>
      </c>
      <c r="B13" s="2" t="s">
        <v>22</v>
      </c>
      <c r="G13" s="12"/>
    </row>
    <row r="14" spans="1:7">
      <c r="A14" s="2" t="s">
        <v>199</v>
      </c>
      <c r="B14" s="2" t="s">
        <v>22</v>
      </c>
    </row>
    <row r="15" spans="1:7">
      <c r="A15" s="2" t="s">
        <v>339</v>
      </c>
      <c r="B15" s="2" t="s">
        <v>22</v>
      </c>
    </row>
    <row r="16" spans="1:7">
      <c r="A16" s="2" t="s">
        <v>1185</v>
      </c>
      <c r="B16" s="2" t="s">
        <v>115</v>
      </c>
    </row>
    <row r="17" spans="1:2">
      <c r="A17" s="2" t="s">
        <v>29</v>
      </c>
      <c r="B17" s="2" t="s">
        <v>22</v>
      </c>
    </row>
    <row r="18" spans="1:2">
      <c r="A18" s="2" t="s">
        <v>710</v>
      </c>
      <c r="B18" s="2" t="s">
        <v>22</v>
      </c>
    </row>
    <row r="19" spans="1:2">
      <c r="A19" s="2" t="s">
        <v>2017</v>
      </c>
      <c r="B19" s="2" t="s">
        <v>22</v>
      </c>
    </row>
    <row r="20" spans="1:2">
      <c r="A20" s="2" t="s">
        <v>1762</v>
      </c>
      <c r="B20" s="2" t="s">
        <v>22</v>
      </c>
    </row>
    <row r="21" spans="1:2" ht="10.5" customHeight="1">
      <c r="A21" s="2" t="s">
        <v>2115</v>
      </c>
      <c r="B21" s="2" t="s">
        <v>22</v>
      </c>
    </row>
    <row r="22" spans="1:2" ht="10.5" customHeight="1">
      <c r="A22" s="2" t="s">
        <v>1365</v>
      </c>
      <c r="B22" s="2" t="s">
        <v>22</v>
      </c>
    </row>
    <row r="23" spans="1:2" ht="10.5" customHeight="1">
      <c r="A23" s="2" t="s">
        <v>223</v>
      </c>
      <c r="B23" s="2" t="s">
        <v>22</v>
      </c>
    </row>
    <row r="24" spans="1:2" ht="10.5" customHeight="1">
      <c r="A24" s="2" t="s">
        <v>331</v>
      </c>
      <c r="B24" s="2" t="s">
        <v>22</v>
      </c>
    </row>
    <row r="25" spans="1:2" ht="10.5" customHeight="1">
      <c r="A25" s="2" t="s">
        <v>412</v>
      </c>
      <c r="B25" s="2" t="s">
        <v>69</v>
      </c>
    </row>
    <row r="26" spans="1:2" ht="10.5" customHeight="1">
      <c r="A26" s="2" t="s">
        <v>686</v>
      </c>
      <c r="B26" s="2" t="s">
        <v>22</v>
      </c>
    </row>
    <row r="27" spans="1:2" ht="10.5" customHeight="1">
      <c r="A27" s="2" t="s">
        <v>1010</v>
      </c>
      <c r="B27" s="2" t="s">
        <v>22</v>
      </c>
    </row>
    <row r="28" spans="1:2" ht="10.5" customHeight="1">
      <c r="A28" s="2" t="s">
        <v>2330</v>
      </c>
      <c r="B28" s="2" t="s">
        <v>22</v>
      </c>
    </row>
    <row r="29" spans="1:2" ht="10.5" customHeight="1">
      <c r="A29" s="2" t="s">
        <v>743</v>
      </c>
      <c r="B29" s="2" t="s">
        <v>22</v>
      </c>
    </row>
    <row r="30" spans="1:2" ht="10.5" customHeight="1">
      <c r="A30" s="2" t="s">
        <v>280</v>
      </c>
      <c r="B30" s="2" t="s">
        <v>69</v>
      </c>
    </row>
    <row r="31" spans="1:2" ht="10.5" customHeight="1">
      <c r="A31" s="2" t="s">
        <v>819</v>
      </c>
      <c r="B31" s="2" t="s">
        <v>69</v>
      </c>
    </row>
    <row r="32" spans="1:2" ht="10.5" customHeight="1">
      <c r="A32" s="2" t="s">
        <v>849</v>
      </c>
      <c r="B32" s="2" t="s">
        <v>22</v>
      </c>
    </row>
    <row r="33" spans="1:2" ht="10.5" customHeight="1">
      <c r="A33" s="2" t="s">
        <v>1626</v>
      </c>
      <c r="B33" s="2" t="s">
        <v>22</v>
      </c>
    </row>
    <row r="34" spans="1:2" ht="10.5" customHeight="1">
      <c r="A34" s="2" t="s">
        <v>2034</v>
      </c>
      <c r="B34" s="2" t="s">
        <v>22</v>
      </c>
    </row>
    <row r="35" spans="1:2" ht="10.5" customHeight="1">
      <c r="A35" s="2" t="s">
        <v>450</v>
      </c>
      <c r="B35" s="2" t="s">
        <v>22</v>
      </c>
    </row>
    <row r="36" spans="1:2" ht="10.5" customHeight="1">
      <c r="A36" s="2" t="s">
        <v>972</v>
      </c>
      <c r="B36" s="2" t="s">
        <v>69</v>
      </c>
    </row>
    <row r="37" spans="1:2" ht="10.5" customHeight="1">
      <c r="A37" s="2" t="s">
        <v>2218</v>
      </c>
      <c r="B37" s="2" t="s">
        <v>2107</v>
      </c>
    </row>
    <row r="38" spans="1:2" ht="10.5" customHeight="1">
      <c r="A38" s="2" t="s">
        <v>428</v>
      </c>
      <c r="B38" s="2" t="s">
        <v>22</v>
      </c>
    </row>
    <row r="39" spans="1:2" ht="10.5" customHeight="1">
      <c r="A39" s="2" t="s">
        <v>672</v>
      </c>
      <c r="B39" s="2" t="s">
        <v>69</v>
      </c>
    </row>
    <row r="40" spans="1:2" ht="10.5" customHeight="1">
      <c r="A40" s="2" t="s">
        <v>2338</v>
      </c>
      <c r="B40" s="2" t="s">
        <v>2107</v>
      </c>
    </row>
    <row r="41" spans="1:2" ht="10.5" customHeight="1">
      <c r="A41" s="2" t="s">
        <v>1341</v>
      </c>
      <c r="B41" s="2" t="s">
        <v>22</v>
      </c>
    </row>
    <row r="42" spans="1:2" ht="10.5" customHeight="1">
      <c r="A42" s="2" t="s">
        <v>1934</v>
      </c>
      <c r="B42" s="2" t="s">
        <v>22</v>
      </c>
    </row>
    <row r="43" spans="1:2" ht="10.5" customHeight="1">
      <c r="A43" s="2" t="s">
        <v>1211</v>
      </c>
      <c r="B43" s="2" t="s">
        <v>22</v>
      </c>
    </row>
    <row r="44" spans="1:2" ht="10.5" customHeight="1">
      <c r="A44" s="2" t="s">
        <v>1134</v>
      </c>
      <c r="B44" s="2" t="s">
        <v>69</v>
      </c>
    </row>
    <row r="45" spans="1:2" ht="10.5" customHeight="1">
      <c r="A45" s="2" t="s">
        <v>897</v>
      </c>
      <c r="B45" s="2" t="s">
        <v>22</v>
      </c>
    </row>
    <row r="46" spans="1:2" ht="10.5" customHeight="1">
      <c r="A46" s="2" t="s">
        <v>1100</v>
      </c>
      <c r="B46" s="2" t="s">
        <v>22</v>
      </c>
    </row>
    <row r="47" spans="1:2" ht="10.5" customHeight="1">
      <c r="A47" s="2" t="s">
        <v>2085</v>
      </c>
      <c r="B47" s="2" t="s">
        <v>22</v>
      </c>
    </row>
    <row r="48" spans="1:2" ht="10.5" customHeight="1">
      <c r="A48" s="2" t="s">
        <v>2009</v>
      </c>
      <c r="B48" s="2" t="s">
        <v>22</v>
      </c>
    </row>
    <row r="49" spans="1:2" ht="10.5" customHeight="1">
      <c r="A49" s="2" t="s">
        <v>1660</v>
      </c>
      <c r="B49" s="2" t="s">
        <v>115</v>
      </c>
    </row>
    <row r="50" spans="1:2" ht="10.5" customHeight="1">
      <c r="A50" s="2" t="s">
        <v>59</v>
      </c>
      <c r="B50" s="2" t="s">
        <v>22</v>
      </c>
    </row>
    <row r="51" spans="1:2" ht="10.5" customHeight="1">
      <c r="A51" s="2" t="s">
        <v>1006</v>
      </c>
      <c r="B51" s="2" t="s">
        <v>115</v>
      </c>
    </row>
    <row r="52" spans="1:2" ht="10.5" customHeight="1">
      <c r="A52" s="2" t="s">
        <v>76</v>
      </c>
      <c r="B52" s="2" t="s">
        <v>22</v>
      </c>
    </row>
    <row r="53" spans="1:2" ht="10.5" customHeight="1">
      <c r="A53" s="2" t="s">
        <v>2061</v>
      </c>
      <c r="B53" s="2" t="s">
        <v>69</v>
      </c>
    </row>
    <row r="54" spans="1:2" ht="10.5" customHeight="1">
      <c r="A54" s="2" t="s">
        <v>1339</v>
      </c>
      <c r="B54" s="2" t="s">
        <v>22</v>
      </c>
    </row>
    <row r="55" spans="1:2" ht="10.5" customHeight="1">
      <c r="A55" s="2" t="s">
        <v>2060</v>
      </c>
      <c r="B55" s="2" t="s">
        <v>22</v>
      </c>
    </row>
    <row r="56" spans="1:2" ht="10.5" customHeight="1">
      <c r="A56" s="2" t="s">
        <v>1783</v>
      </c>
      <c r="B56" s="2" t="s">
        <v>22</v>
      </c>
    </row>
    <row r="57" spans="1:2" ht="10.5" customHeight="1">
      <c r="A57" s="2" t="s">
        <v>1793</v>
      </c>
      <c r="B57" s="2" t="s">
        <v>22</v>
      </c>
    </row>
    <row r="58" spans="1:2" ht="10.5" customHeight="1">
      <c r="A58" s="2" t="s">
        <v>1720</v>
      </c>
      <c r="B58" s="2" t="s">
        <v>115</v>
      </c>
    </row>
    <row r="59" spans="1:2" ht="10.5" customHeight="1">
      <c r="A59" s="2" t="s">
        <v>540</v>
      </c>
      <c r="B59" s="2" t="s">
        <v>115</v>
      </c>
    </row>
    <row r="60" spans="1:2" ht="10.5" customHeight="1">
      <c r="A60" s="2" t="s">
        <v>679</v>
      </c>
      <c r="B60" s="2" t="s">
        <v>69</v>
      </c>
    </row>
    <row r="61" spans="1:2" ht="10.5" customHeight="1">
      <c r="A61" s="2" t="s">
        <v>1641</v>
      </c>
      <c r="B61" s="2" t="s">
        <v>22</v>
      </c>
    </row>
    <row r="62" spans="1:2" ht="10.5" customHeight="1">
      <c r="A62" s="2" t="s">
        <v>1080</v>
      </c>
      <c r="B62" s="2" t="s">
        <v>22</v>
      </c>
    </row>
    <row r="63" spans="1:2" ht="10.5" customHeight="1">
      <c r="A63" s="2" t="s">
        <v>249</v>
      </c>
      <c r="B63" s="2" t="s">
        <v>22</v>
      </c>
    </row>
    <row r="64" spans="1:2" ht="10.5" customHeight="1">
      <c r="A64" s="2" t="s">
        <v>947</v>
      </c>
      <c r="B64" s="2" t="s">
        <v>22</v>
      </c>
    </row>
    <row r="65" spans="1:2" ht="10.5" customHeight="1">
      <c r="A65" s="2" t="s">
        <v>2025</v>
      </c>
      <c r="B65" s="2" t="s">
        <v>22</v>
      </c>
    </row>
    <row r="66" spans="1:2" ht="10.5" customHeight="1">
      <c r="A66" s="2" t="s">
        <v>1749</v>
      </c>
      <c r="B66" s="2" t="s">
        <v>22</v>
      </c>
    </row>
    <row r="67" spans="1:2" ht="10.5" customHeight="1">
      <c r="A67" s="2" t="s">
        <v>1692</v>
      </c>
      <c r="B67" s="2" t="s">
        <v>22</v>
      </c>
    </row>
    <row r="68" spans="1:2" ht="10.5" customHeight="1">
      <c r="A68" s="2" t="s">
        <v>2043</v>
      </c>
      <c r="B68" s="2" t="s">
        <v>22</v>
      </c>
    </row>
    <row r="69" spans="1:2" ht="10.5" customHeight="1">
      <c r="A69" s="2" t="s">
        <v>1314</v>
      </c>
      <c r="B69" s="2" t="s">
        <v>22</v>
      </c>
    </row>
    <row r="70" spans="1:2" ht="10.5" customHeight="1">
      <c r="A70" s="2" t="s">
        <v>481</v>
      </c>
      <c r="B70" s="2" t="s">
        <v>69</v>
      </c>
    </row>
    <row r="71" spans="1:2" ht="10.5" customHeight="1">
      <c r="A71" s="2" t="s">
        <v>2212</v>
      </c>
      <c r="B71" s="2" t="s">
        <v>115</v>
      </c>
    </row>
    <row r="72" spans="1:2" ht="10.5" customHeight="1">
      <c r="A72" s="2" t="s">
        <v>872</v>
      </c>
      <c r="B72" s="2" t="s">
        <v>22</v>
      </c>
    </row>
    <row r="73" spans="1:2" ht="10.5" customHeight="1">
      <c r="A73" s="2" t="s">
        <v>549</v>
      </c>
      <c r="B73" s="2" t="s">
        <v>22</v>
      </c>
    </row>
    <row r="74" spans="1:2" ht="10.5" customHeight="1">
      <c r="A74" s="2" t="s">
        <v>1582</v>
      </c>
      <c r="B74" s="2" t="s">
        <v>22</v>
      </c>
    </row>
    <row r="75" spans="1:2" ht="10.5" customHeight="1">
      <c r="A75" s="2" t="s">
        <v>1187</v>
      </c>
      <c r="B75" s="2" t="s">
        <v>69</v>
      </c>
    </row>
    <row r="76" spans="1:2" ht="10.5" customHeight="1">
      <c r="A76" s="2" t="s">
        <v>1205</v>
      </c>
      <c r="B76" s="2" t="s">
        <v>115</v>
      </c>
    </row>
    <row r="77" spans="1:2" ht="10.5" customHeight="1">
      <c r="A77" s="2" t="s">
        <v>1880</v>
      </c>
      <c r="B77" s="2" t="s">
        <v>22</v>
      </c>
    </row>
    <row r="78" spans="1:2" ht="10.5" customHeight="1">
      <c r="A78" s="2" t="s">
        <v>1353</v>
      </c>
      <c r="B78" s="2" t="s">
        <v>115</v>
      </c>
    </row>
    <row r="79" spans="1:2" ht="10.5" customHeight="1">
      <c r="A79" s="2" t="s">
        <v>2193</v>
      </c>
      <c r="B79" s="2" t="s">
        <v>2107</v>
      </c>
    </row>
    <row r="80" spans="1:2" ht="10.5" customHeight="1">
      <c r="A80" s="2" t="s">
        <v>1603</v>
      </c>
      <c r="B80" s="2" t="s">
        <v>22</v>
      </c>
    </row>
    <row r="81" spans="1:2" ht="10.5" customHeight="1">
      <c r="A81" s="2" t="s">
        <v>1913</v>
      </c>
      <c r="B81" s="2" t="s">
        <v>22</v>
      </c>
    </row>
    <row r="82" spans="1:2" ht="10.5" customHeight="1">
      <c r="A82" s="2" t="s">
        <v>934</v>
      </c>
      <c r="B82" s="2" t="s">
        <v>22</v>
      </c>
    </row>
    <row r="83" spans="1:2" ht="10.5" customHeight="1">
      <c r="A83" s="2" t="s">
        <v>1089</v>
      </c>
      <c r="B83" s="2" t="s">
        <v>22</v>
      </c>
    </row>
    <row r="84" spans="1:2" ht="10.5" customHeight="1">
      <c r="A84" s="2" t="s">
        <v>1325</v>
      </c>
      <c r="B84" s="2" t="s">
        <v>22</v>
      </c>
    </row>
    <row r="85" spans="1:2" ht="10.5" customHeight="1">
      <c r="A85" s="2" t="s">
        <v>676</v>
      </c>
      <c r="B85" s="2" t="s">
        <v>115</v>
      </c>
    </row>
    <row r="86" spans="1:2" ht="10.5" customHeight="1">
      <c r="A86" s="2" t="s">
        <v>1465</v>
      </c>
      <c r="B86" s="2" t="s">
        <v>22</v>
      </c>
    </row>
    <row r="87" spans="1:2" ht="10.5" customHeight="1">
      <c r="A87" s="2" t="s">
        <v>893</v>
      </c>
      <c r="B87" s="2" t="s">
        <v>69</v>
      </c>
    </row>
    <row r="88" spans="1:2" ht="10.5" customHeight="1">
      <c r="A88" s="2" t="s">
        <v>2032</v>
      </c>
      <c r="B88" s="2" t="s">
        <v>22</v>
      </c>
    </row>
    <row r="89" spans="1:2" ht="10.5" customHeight="1">
      <c r="A89" s="2" t="s">
        <v>553</v>
      </c>
      <c r="B89" s="2" t="s">
        <v>22</v>
      </c>
    </row>
    <row r="90" spans="1:2" ht="10.5" customHeight="1">
      <c r="A90" s="2" t="s">
        <v>1977</v>
      </c>
      <c r="B90" s="2" t="s">
        <v>22</v>
      </c>
    </row>
    <row r="91" spans="1:2" ht="10.5" customHeight="1">
      <c r="A91" s="2" t="s">
        <v>627</v>
      </c>
      <c r="B91" s="2" t="s">
        <v>22</v>
      </c>
    </row>
    <row r="92" spans="1:2" ht="10.5" customHeight="1">
      <c r="A92" s="2" t="s">
        <v>1851</v>
      </c>
      <c r="B92" s="2" t="s">
        <v>22</v>
      </c>
    </row>
    <row r="93" spans="1:2" ht="10.5" customHeight="1">
      <c r="A93" s="2" t="s">
        <v>1736</v>
      </c>
      <c r="B93" s="2" t="s">
        <v>22</v>
      </c>
    </row>
    <row r="94" spans="1:2" ht="10.5" customHeight="1">
      <c r="A94" s="2" t="s">
        <v>2211</v>
      </c>
      <c r="B94" s="2" t="s">
        <v>22</v>
      </c>
    </row>
    <row r="95" spans="1:2" ht="10.5" customHeight="1">
      <c r="A95" s="2" t="s">
        <v>1265</v>
      </c>
      <c r="B95" s="2" t="s">
        <v>22</v>
      </c>
    </row>
    <row r="96" spans="1:2" ht="10.5" customHeight="1">
      <c r="A96" s="2" t="s">
        <v>1330</v>
      </c>
      <c r="B96" s="2" t="s">
        <v>115</v>
      </c>
    </row>
    <row r="97" spans="1:2" ht="10.5" customHeight="1">
      <c r="A97" s="2" t="s">
        <v>465</v>
      </c>
      <c r="B97" s="2" t="s">
        <v>22</v>
      </c>
    </row>
    <row r="98" spans="1:2" ht="10.5" customHeight="1">
      <c r="A98" s="2" t="s">
        <v>1680</v>
      </c>
      <c r="B98" s="2" t="s">
        <v>69</v>
      </c>
    </row>
    <row r="99" spans="1:2" ht="10.5" customHeight="1">
      <c r="A99" s="2" t="s">
        <v>844</v>
      </c>
      <c r="B99" s="2" t="s">
        <v>22</v>
      </c>
    </row>
    <row r="100" spans="1:2" ht="10.5" customHeight="1">
      <c r="A100" s="2" t="s">
        <v>1567</v>
      </c>
      <c r="B100" s="2" t="s">
        <v>22</v>
      </c>
    </row>
    <row r="101" spans="1:2" ht="10.5" customHeight="1">
      <c r="A101" s="2" t="s">
        <v>2254</v>
      </c>
      <c r="B101" s="2" t="s">
        <v>22</v>
      </c>
    </row>
    <row r="102" spans="1:2" ht="10.5" customHeight="1">
      <c r="A102" s="2" t="s">
        <v>1811</v>
      </c>
      <c r="B102" s="2" t="s">
        <v>22</v>
      </c>
    </row>
    <row r="103" spans="1:2" ht="10.5" customHeight="1">
      <c r="A103" s="2" t="s">
        <v>1024</v>
      </c>
      <c r="B103" s="2" t="s">
        <v>22</v>
      </c>
    </row>
    <row r="104" spans="1:2" ht="10.5" customHeight="1">
      <c r="A104" s="2" t="s">
        <v>2036</v>
      </c>
      <c r="B104" s="2" t="s">
        <v>69</v>
      </c>
    </row>
    <row r="105" spans="1:2" ht="10.5" customHeight="1">
      <c r="A105" s="2" t="s">
        <v>241</v>
      </c>
      <c r="B105" s="2" t="s">
        <v>69</v>
      </c>
    </row>
    <row r="106" spans="1:2" ht="10.5" customHeight="1">
      <c r="A106" s="2" t="s">
        <v>662</v>
      </c>
      <c r="B106" s="2" t="s">
        <v>22</v>
      </c>
    </row>
    <row r="107" spans="1:2" ht="10.5" customHeight="1">
      <c r="A107" s="2" t="s">
        <v>2195</v>
      </c>
      <c r="B107" s="2" t="s">
        <v>22</v>
      </c>
    </row>
    <row r="108" spans="1:2" ht="10.5" customHeight="1">
      <c r="A108" s="2" t="s">
        <v>1175</v>
      </c>
      <c r="B108" s="2" t="s">
        <v>22</v>
      </c>
    </row>
    <row r="109" spans="1:2" ht="10.5" customHeight="1">
      <c r="A109" s="2" t="s">
        <v>887</v>
      </c>
      <c r="B109" s="2" t="s">
        <v>22</v>
      </c>
    </row>
    <row r="110" spans="1:2" ht="10.5" customHeight="1">
      <c r="A110" s="2" t="s">
        <v>1535</v>
      </c>
      <c r="B110" s="2" t="s">
        <v>22</v>
      </c>
    </row>
    <row r="111" spans="1:2" ht="10.5" customHeight="1">
      <c r="A111" s="2" t="s">
        <v>1159</v>
      </c>
      <c r="B111" s="2" t="s">
        <v>22</v>
      </c>
    </row>
    <row r="112" spans="1:2" ht="10.5" customHeight="1">
      <c r="A112" s="2" t="s">
        <v>399</v>
      </c>
      <c r="B112" s="2" t="s">
        <v>22</v>
      </c>
    </row>
    <row r="113" spans="1:2" ht="10.5" customHeight="1">
      <c r="A113" s="2" t="s">
        <v>2186</v>
      </c>
      <c r="B113" s="2" t="s">
        <v>2110</v>
      </c>
    </row>
    <row r="114" spans="1:2" ht="10.5" customHeight="1">
      <c r="A114" s="2" t="s">
        <v>2079</v>
      </c>
      <c r="B114" s="2" t="s">
        <v>22</v>
      </c>
    </row>
    <row r="115" spans="1:2" ht="10.5" customHeight="1">
      <c r="A115" s="2" t="s">
        <v>291</v>
      </c>
      <c r="B115" s="2" t="s">
        <v>22</v>
      </c>
    </row>
    <row r="116" spans="1:2" ht="10.5" customHeight="1">
      <c r="A116" s="2" t="s">
        <v>1845</v>
      </c>
      <c r="B116" s="2" t="s">
        <v>22</v>
      </c>
    </row>
    <row r="117" spans="1:2" ht="10.5" customHeight="1">
      <c r="A117" s="2" t="s">
        <v>1689</v>
      </c>
      <c r="B117" s="2" t="s">
        <v>69</v>
      </c>
    </row>
    <row r="118" spans="1:2" ht="10.5" customHeight="1">
      <c r="A118" s="2" t="s">
        <v>2173</v>
      </c>
      <c r="B118" s="2" t="s">
        <v>2110</v>
      </c>
    </row>
    <row r="119" spans="1:2" ht="10.5" customHeight="1">
      <c r="A119" s="2" t="s">
        <v>1943</v>
      </c>
      <c r="B119" s="2" t="s">
        <v>22</v>
      </c>
    </row>
    <row r="120" spans="1:2" ht="10.5" customHeight="1">
      <c r="A120" s="2" t="s">
        <v>2180</v>
      </c>
      <c r="B120" s="2" t="s">
        <v>115</v>
      </c>
    </row>
    <row r="121" spans="1:2" ht="10.5" customHeight="1">
      <c r="A121" s="2" t="s">
        <v>875</v>
      </c>
      <c r="B121" s="2" t="s">
        <v>22</v>
      </c>
    </row>
    <row r="122" spans="1:2" ht="10.5" customHeight="1">
      <c r="A122" s="2" t="s">
        <v>1911</v>
      </c>
      <c r="B122" s="2" t="s">
        <v>22</v>
      </c>
    </row>
    <row r="123" spans="1:2" ht="10.5" customHeight="1">
      <c r="A123" s="2" t="s">
        <v>1670</v>
      </c>
      <c r="B123" s="2" t="s">
        <v>22</v>
      </c>
    </row>
    <row r="124" spans="1:2" ht="10.5" customHeight="1">
      <c r="A124" s="2" t="s">
        <v>2093</v>
      </c>
      <c r="B124" s="2" t="s">
        <v>22</v>
      </c>
    </row>
    <row r="125" spans="1:2" ht="10.5" customHeight="1">
      <c r="A125" s="2" t="s">
        <v>1067</v>
      </c>
      <c r="B125" s="2" t="s">
        <v>22</v>
      </c>
    </row>
    <row r="126" spans="1:2" ht="10.5" customHeight="1">
      <c r="A126" s="2" t="s">
        <v>2135</v>
      </c>
      <c r="B126" s="2" t="s">
        <v>2107</v>
      </c>
    </row>
    <row r="127" spans="1:2" ht="10.5" customHeight="1">
      <c r="A127" s="2" t="s">
        <v>1945</v>
      </c>
      <c r="B127" s="2" t="s">
        <v>22</v>
      </c>
    </row>
    <row r="128" spans="1:2" ht="10.5" customHeight="1">
      <c r="A128" s="2" t="s">
        <v>1595</v>
      </c>
      <c r="B128" s="2" t="s">
        <v>22</v>
      </c>
    </row>
    <row r="129" spans="1:2" ht="10.5" customHeight="1">
      <c r="A129" s="2" t="s">
        <v>310</v>
      </c>
      <c r="B129" s="2" t="s">
        <v>22</v>
      </c>
    </row>
    <row r="130" spans="1:2" ht="10.5" customHeight="1">
      <c r="A130" s="2" t="s">
        <v>1044</v>
      </c>
      <c r="B130" s="2" t="s">
        <v>22</v>
      </c>
    </row>
    <row r="131" spans="1:2" ht="10.5" customHeight="1">
      <c r="A131" s="2" t="s">
        <v>1699</v>
      </c>
      <c r="B131" s="2" t="s">
        <v>22</v>
      </c>
    </row>
    <row r="132" spans="1:2" ht="10.5" customHeight="1">
      <c r="A132" s="2" t="s">
        <v>403</v>
      </c>
      <c r="B132" s="2" t="s">
        <v>22</v>
      </c>
    </row>
    <row r="133" spans="1:2" ht="10.5" customHeight="1">
      <c r="A133" s="2" t="s">
        <v>1586</v>
      </c>
      <c r="B133" s="2" t="s">
        <v>22</v>
      </c>
    </row>
    <row r="134" spans="1:2" ht="10.5" customHeight="1">
      <c r="A134" s="2" t="s">
        <v>1177</v>
      </c>
      <c r="B134" s="2" t="s">
        <v>22</v>
      </c>
    </row>
    <row r="135" spans="1:2" ht="10.5" customHeight="1">
      <c r="A135" s="2" t="s">
        <v>1944</v>
      </c>
      <c r="B135" s="2" t="s">
        <v>22</v>
      </c>
    </row>
    <row r="136" spans="1:2" ht="10.5" customHeight="1">
      <c r="A136" s="2" t="s">
        <v>1721</v>
      </c>
      <c r="B136" s="2" t="s">
        <v>22</v>
      </c>
    </row>
    <row r="137" spans="1:2" ht="10.5" customHeight="1">
      <c r="A137" s="2" t="s">
        <v>1876</v>
      </c>
      <c r="B137" s="2" t="s">
        <v>22</v>
      </c>
    </row>
    <row r="138" spans="1:2" ht="10.5" customHeight="1">
      <c r="A138" s="2" t="s">
        <v>1575</v>
      </c>
      <c r="B138" s="2" t="s">
        <v>22</v>
      </c>
    </row>
    <row r="139" spans="1:2" ht="10.5" customHeight="1">
      <c r="A139" s="2" t="s">
        <v>1167</v>
      </c>
      <c r="B139" s="2" t="s">
        <v>115</v>
      </c>
    </row>
    <row r="140" spans="1:2" ht="10.5" customHeight="1">
      <c r="A140" s="2" t="s">
        <v>1289</v>
      </c>
      <c r="B140" s="2" t="s">
        <v>22</v>
      </c>
    </row>
    <row r="141" spans="1:2" ht="10.5" customHeight="1">
      <c r="A141" s="2" t="s">
        <v>2271</v>
      </c>
      <c r="B141" s="2" t="s">
        <v>2110</v>
      </c>
    </row>
    <row r="142" spans="1:2" ht="10.5" customHeight="1">
      <c r="A142" s="2" t="s">
        <v>1373</v>
      </c>
      <c r="B142" s="2" t="s">
        <v>22</v>
      </c>
    </row>
    <row r="143" spans="1:2" ht="10.5" customHeight="1">
      <c r="A143" s="2" t="s">
        <v>2296</v>
      </c>
      <c r="B143" s="2" t="s">
        <v>22</v>
      </c>
    </row>
    <row r="144" spans="1:2" ht="10.5" customHeight="1">
      <c r="A144" s="2" t="s">
        <v>420</v>
      </c>
      <c r="B144" s="2" t="s">
        <v>69</v>
      </c>
    </row>
    <row r="145" spans="1:2" ht="10.5" customHeight="1">
      <c r="A145" s="2" t="s">
        <v>590</v>
      </c>
      <c r="B145" s="2" t="s">
        <v>22</v>
      </c>
    </row>
    <row r="146" spans="1:2" ht="10.5" customHeight="1">
      <c r="A146" s="2" t="s">
        <v>891</v>
      </c>
      <c r="B146" s="2" t="s">
        <v>22</v>
      </c>
    </row>
    <row r="147" spans="1:2" ht="10.5" customHeight="1">
      <c r="A147" s="2" t="s">
        <v>1857</v>
      </c>
      <c r="B147" s="2" t="s">
        <v>22</v>
      </c>
    </row>
    <row r="148" spans="1:2" ht="10.5" customHeight="1">
      <c r="A148" s="2" t="s">
        <v>2334</v>
      </c>
      <c r="B148" s="2" t="s">
        <v>2110</v>
      </c>
    </row>
    <row r="149" spans="1:2" ht="10.5" customHeight="1">
      <c r="A149" s="2" t="s">
        <v>978</v>
      </c>
      <c r="B149" s="2" t="s">
        <v>115</v>
      </c>
    </row>
    <row r="150" spans="1:2" ht="10.5" customHeight="1">
      <c r="A150" s="2" t="s">
        <v>1210</v>
      </c>
      <c r="B150" s="2" t="s">
        <v>69</v>
      </c>
    </row>
    <row r="151" spans="1:2" ht="10.5" customHeight="1">
      <c r="A151" s="2" t="s">
        <v>2276</v>
      </c>
      <c r="B151" s="2" t="s">
        <v>22</v>
      </c>
    </row>
    <row r="152" spans="1:2" ht="10.5" customHeight="1">
      <c r="A152" s="2" t="s">
        <v>1358</v>
      </c>
      <c r="B152" s="2" t="s">
        <v>22</v>
      </c>
    </row>
    <row r="153" spans="1:2" ht="10.5" customHeight="1">
      <c r="A153" s="2" t="s">
        <v>1188</v>
      </c>
      <c r="B153" s="2" t="s">
        <v>69</v>
      </c>
    </row>
    <row r="154" spans="1:2" ht="10.5" customHeight="1">
      <c r="A154" s="2" t="s">
        <v>1234</v>
      </c>
      <c r="B154" s="2" t="s">
        <v>22</v>
      </c>
    </row>
    <row r="155" spans="1:2" ht="10.5" customHeight="1">
      <c r="A155" s="2" t="s">
        <v>2315</v>
      </c>
      <c r="B155" s="2" t="s">
        <v>115</v>
      </c>
    </row>
    <row r="156" spans="1:2" ht="10.5" customHeight="1">
      <c r="A156" s="2" t="s">
        <v>319</v>
      </c>
      <c r="B156" s="2" t="s">
        <v>22</v>
      </c>
    </row>
    <row r="157" spans="1:2" ht="10.5" customHeight="1">
      <c r="A157" s="2" t="s">
        <v>346</v>
      </c>
      <c r="B157" s="2" t="s">
        <v>22</v>
      </c>
    </row>
    <row r="158" spans="1:2" ht="10.5" customHeight="1">
      <c r="A158" s="2" t="s">
        <v>1523</v>
      </c>
      <c r="B158" s="2" t="s">
        <v>22</v>
      </c>
    </row>
    <row r="159" spans="1:2" ht="10.5" customHeight="1">
      <c r="A159" s="2" t="s">
        <v>1668</v>
      </c>
      <c r="B159" s="2" t="s">
        <v>22</v>
      </c>
    </row>
    <row r="160" spans="1:2" ht="10.5" customHeight="1">
      <c r="A160" s="2" t="s">
        <v>1453</v>
      </c>
      <c r="B160" s="2" t="s">
        <v>22</v>
      </c>
    </row>
    <row r="161" spans="1:2" ht="10.5" customHeight="1">
      <c r="A161" s="2" t="s">
        <v>1425</v>
      </c>
      <c r="B161" s="2" t="s">
        <v>22</v>
      </c>
    </row>
    <row r="162" spans="1:2" ht="10.5" customHeight="1">
      <c r="A162" s="2" t="s">
        <v>1758</v>
      </c>
      <c r="B162" s="2" t="s">
        <v>22</v>
      </c>
    </row>
    <row r="163" spans="1:2" ht="10.5" customHeight="1">
      <c r="A163" s="2" t="s">
        <v>613</v>
      </c>
      <c r="B163" s="2" t="s">
        <v>22</v>
      </c>
    </row>
    <row r="164" spans="1:2" ht="10.5" customHeight="1">
      <c r="A164" s="2" t="s">
        <v>1403</v>
      </c>
      <c r="B164" s="2" t="s">
        <v>22</v>
      </c>
    </row>
    <row r="165" spans="1:2" ht="10.5" customHeight="1">
      <c r="A165" s="2" t="s">
        <v>1924</v>
      </c>
      <c r="B165" s="2" t="s">
        <v>22</v>
      </c>
    </row>
    <row r="166" spans="1:2" ht="10.5" customHeight="1">
      <c r="A166" s="2" t="s">
        <v>1741</v>
      </c>
      <c r="B166" s="2" t="s">
        <v>22</v>
      </c>
    </row>
    <row r="167" spans="1:2" ht="10.5" customHeight="1">
      <c r="A167" s="2" t="s">
        <v>1095</v>
      </c>
      <c r="B167" s="2" t="s">
        <v>115</v>
      </c>
    </row>
    <row r="168" spans="1:2" ht="10.5" customHeight="1">
      <c r="A168" s="2" t="s">
        <v>732</v>
      </c>
      <c r="B168" s="2" t="s">
        <v>22</v>
      </c>
    </row>
    <row r="169" spans="1:2" ht="10.5" customHeight="1">
      <c r="A169" s="2" t="s">
        <v>2327</v>
      </c>
      <c r="B169" s="2" t="s">
        <v>2107</v>
      </c>
    </row>
    <row r="170" spans="1:2" ht="10.5" customHeight="1">
      <c r="A170" s="2" t="s">
        <v>958</v>
      </c>
      <c r="B170" s="2" t="s">
        <v>22</v>
      </c>
    </row>
    <row r="171" spans="1:2" ht="10.5" customHeight="1">
      <c r="A171" s="2" t="s">
        <v>1000</v>
      </c>
      <c r="B171" s="2" t="s">
        <v>22</v>
      </c>
    </row>
    <row r="172" spans="1:2" ht="10.5" customHeight="1">
      <c r="A172" s="2" t="s">
        <v>1322</v>
      </c>
      <c r="B172" s="2" t="s">
        <v>22</v>
      </c>
    </row>
    <row r="173" spans="1:2" ht="10.5" customHeight="1">
      <c r="A173" s="2" t="s">
        <v>1387</v>
      </c>
      <c r="B173" s="2" t="s">
        <v>22</v>
      </c>
    </row>
    <row r="174" spans="1:2" ht="10.5" customHeight="1">
      <c r="A174" s="2" t="s">
        <v>987</v>
      </c>
      <c r="B174" s="2" t="s">
        <v>22</v>
      </c>
    </row>
    <row r="175" spans="1:2" ht="10.5" customHeight="1">
      <c r="A175" s="2" t="s">
        <v>1261</v>
      </c>
      <c r="B175" s="2" t="s">
        <v>22</v>
      </c>
    </row>
    <row r="176" spans="1:2" ht="10.5" customHeight="1">
      <c r="A176" s="2" t="s">
        <v>703</v>
      </c>
      <c r="B176" s="2" t="s">
        <v>22</v>
      </c>
    </row>
    <row r="177" spans="1:2" ht="10.5" customHeight="1">
      <c r="A177" s="2" t="s">
        <v>2316</v>
      </c>
      <c r="B177" s="2" t="s">
        <v>22</v>
      </c>
    </row>
    <row r="178" spans="1:2" ht="10.5" customHeight="1">
      <c r="A178" s="2" t="s">
        <v>1593</v>
      </c>
      <c r="B178" s="2" t="s">
        <v>22</v>
      </c>
    </row>
    <row r="179" spans="1:2" ht="10.5" customHeight="1">
      <c r="A179" s="2" t="s">
        <v>2277</v>
      </c>
      <c r="B179" s="2" t="s">
        <v>2110</v>
      </c>
    </row>
    <row r="180" spans="1:2" ht="10.5" customHeight="1">
      <c r="A180" s="2" t="s">
        <v>124</v>
      </c>
      <c r="B180" s="2" t="s">
        <v>22</v>
      </c>
    </row>
    <row r="181" spans="1:2" ht="10.5" customHeight="1">
      <c r="A181" s="2" t="s">
        <v>2247</v>
      </c>
      <c r="B181" s="2" t="s">
        <v>22</v>
      </c>
    </row>
    <row r="182" spans="1:2" ht="10.5" customHeight="1">
      <c r="A182" s="2" t="s">
        <v>88</v>
      </c>
      <c r="B182" s="2" t="s">
        <v>22</v>
      </c>
    </row>
    <row r="183" spans="1:2" ht="10.5" customHeight="1">
      <c r="A183" s="2" t="s">
        <v>1348</v>
      </c>
      <c r="B183" s="2" t="s">
        <v>22</v>
      </c>
    </row>
    <row r="184" spans="1:2" ht="10.5" customHeight="1">
      <c r="A184" s="2" t="s">
        <v>2086</v>
      </c>
      <c r="B184" s="2" t="s">
        <v>22</v>
      </c>
    </row>
    <row r="185" spans="1:2" ht="10.5" customHeight="1">
      <c r="A185" s="2" t="s">
        <v>928</v>
      </c>
      <c r="B185" s="2" t="s">
        <v>22</v>
      </c>
    </row>
    <row r="186" spans="1:2" ht="10.5" customHeight="1">
      <c r="A186" s="2" t="s">
        <v>1039</v>
      </c>
      <c r="B186" s="2" t="s">
        <v>22</v>
      </c>
    </row>
    <row r="187" spans="1:2" ht="10.5" customHeight="1">
      <c r="A187" s="2" t="s">
        <v>294</v>
      </c>
      <c r="B187" s="2" t="s">
        <v>22</v>
      </c>
    </row>
    <row r="188" spans="1:2" ht="10.5" customHeight="1">
      <c r="A188" s="2" t="s">
        <v>1029</v>
      </c>
      <c r="B188" s="2" t="s">
        <v>22</v>
      </c>
    </row>
    <row r="189" spans="1:2" ht="10.5" customHeight="1">
      <c r="A189" s="2" t="s">
        <v>1752</v>
      </c>
      <c r="B189" s="2" t="s">
        <v>115</v>
      </c>
    </row>
    <row r="190" spans="1:2" ht="10.5" customHeight="1">
      <c r="A190" s="2" t="s">
        <v>126</v>
      </c>
      <c r="B190" s="2" t="s">
        <v>22</v>
      </c>
    </row>
    <row r="191" spans="1:2" ht="10.5" customHeight="1">
      <c r="A191" s="2" t="s">
        <v>1864</v>
      </c>
      <c r="B191" s="2" t="s">
        <v>115</v>
      </c>
    </row>
    <row r="192" spans="1:2" ht="10.5" customHeight="1">
      <c r="A192" s="2" t="s">
        <v>655</v>
      </c>
      <c r="B192" s="2" t="s">
        <v>22</v>
      </c>
    </row>
    <row r="193" spans="1:2" ht="10.5" customHeight="1">
      <c r="A193" s="2" t="s">
        <v>2332</v>
      </c>
      <c r="B193" s="2" t="s">
        <v>22</v>
      </c>
    </row>
    <row r="194" spans="1:2" ht="10.5" customHeight="1">
      <c r="A194" s="2" t="s">
        <v>214</v>
      </c>
      <c r="B194" s="2" t="s">
        <v>22</v>
      </c>
    </row>
    <row r="195" spans="1:2" ht="10.5" customHeight="1">
      <c r="A195" s="2" t="s">
        <v>1334</v>
      </c>
      <c r="B195" s="2" t="s">
        <v>22</v>
      </c>
    </row>
    <row r="196" spans="1:2" ht="10.5" customHeight="1">
      <c r="A196" s="2" t="s">
        <v>1657</v>
      </c>
      <c r="B196" s="2" t="s">
        <v>22</v>
      </c>
    </row>
    <row r="197" spans="1:2" ht="10.5" customHeight="1">
      <c r="A197" s="2" t="s">
        <v>1382</v>
      </c>
      <c r="B197" s="2" t="s">
        <v>22</v>
      </c>
    </row>
    <row r="198" spans="1:2" ht="10.5" customHeight="1">
      <c r="A198" s="2" t="s">
        <v>256</v>
      </c>
      <c r="B198" s="2" t="s">
        <v>69</v>
      </c>
    </row>
    <row r="199" spans="1:2" ht="10.5" customHeight="1">
      <c r="A199" s="2" t="s">
        <v>270</v>
      </c>
      <c r="B199" s="2" t="s">
        <v>22</v>
      </c>
    </row>
    <row r="200" spans="1:2" ht="10.5" customHeight="1">
      <c r="A200" s="2" t="s">
        <v>985</v>
      </c>
      <c r="B200" s="2" t="s">
        <v>22</v>
      </c>
    </row>
    <row r="201" spans="1:2" ht="10.5" customHeight="1">
      <c r="A201" s="2" t="s">
        <v>278</v>
      </c>
      <c r="B201" s="2" t="s">
        <v>22</v>
      </c>
    </row>
    <row r="202" spans="1:2" ht="10.5" customHeight="1">
      <c r="A202" s="2" t="s">
        <v>1998</v>
      </c>
      <c r="B202" s="2" t="s">
        <v>22</v>
      </c>
    </row>
    <row r="203" spans="1:2" ht="10.5" customHeight="1">
      <c r="A203" s="2" t="s">
        <v>1496</v>
      </c>
      <c r="B203" s="2" t="s">
        <v>22</v>
      </c>
    </row>
    <row r="204" spans="1:2" ht="10.5" customHeight="1">
      <c r="A204" s="2" t="s">
        <v>1989</v>
      </c>
      <c r="B204" s="2" t="s">
        <v>22</v>
      </c>
    </row>
    <row r="205" spans="1:2" ht="10.5" customHeight="1">
      <c r="A205" s="2" t="s">
        <v>1052</v>
      </c>
      <c r="B205" s="2" t="s">
        <v>22</v>
      </c>
    </row>
    <row r="206" spans="1:2" ht="10.5" customHeight="1">
      <c r="A206" s="2" t="s">
        <v>1985</v>
      </c>
      <c r="B206" s="2" t="s">
        <v>69</v>
      </c>
    </row>
    <row r="207" spans="1:2" ht="10.5" customHeight="1">
      <c r="A207" s="2" t="s">
        <v>1102</v>
      </c>
      <c r="B207" s="2" t="s">
        <v>115</v>
      </c>
    </row>
    <row r="208" spans="1:2" ht="10.5" customHeight="1">
      <c r="A208" s="2" t="s">
        <v>979</v>
      </c>
      <c r="B208" s="2" t="s">
        <v>22</v>
      </c>
    </row>
    <row r="209" spans="1:2" ht="10.5" customHeight="1">
      <c r="A209" s="2" t="s">
        <v>1312</v>
      </c>
      <c r="B209" s="2" t="s">
        <v>22</v>
      </c>
    </row>
    <row r="210" spans="1:2" ht="10.5" customHeight="1">
      <c r="A210" s="2" t="s">
        <v>1648</v>
      </c>
      <c r="B210" s="2" t="s">
        <v>69</v>
      </c>
    </row>
    <row r="211" spans="1:2" ht="10.5" customHeight="1">
      <c r="A211" s="2" t="s">
        <v>1565</v>
      </c>
      <c r="B211" s="2" t="s">
        <v>22</v>
      </c>
    </row>
    <row r="212" spans="1:2" ht="10.5" customHeight="1">
      <c r="A212" s="2" t="s">
        <v>1319</v>
      </c>
      <c r="B212" s="2" t="s">
        <v>22</v>
      </c>
    </row>
    <row r="213" spans="1:2" ht="10.5" customHeight="1">
      <c r="A213" s="2" t="s">
        <v>921</v>
      </c>
      <c r="B213" s="2" t="s">
        <v>69</v>
      </c>
    </row>
    <row r="214" spans="1:2" ht="10.5" customHeight="1">
      <c r="A214" s="2" t="s">
        <v>647</v>
      </c>
      <c r="B214" s="2" t="s">
        <v>22</v>
      </c>
    </row>
    <row r="215" spans="1:2" ht="10.5" customHeight="1">
      <c r="A215" s="2" t="s">
        <v>835</v>
      </c>
      <c r="B215" s="2" t="s">
        <v>22</v>
      </c>
    </row>
    <row r="216" spans="1:2" ht="10.5" customHeight="1">
      <c r="A216" s="2" t="s">
        <v>303</v>
      </c>
      <c r="B216" s="2" t="s">
        <v>22</v>
      </c>
    </row>
    <row r="217" spans="1:2" ht="10.5" customHeight="1">
      <c r="A217" s="2" t="s">
        <v>1360</v>
      </c>
      <c r="B217" s="2" t="s">
        <v>22</v>
      </c>
    </row>
    <row r="218" spans="1:2" ht="10.5" customHeight="1">
      <c r="A218" s="2" t="s">
        <v>1230</v>
      </c>
      <c r="B218" s="2" t="s">
        <v>22</v>
      </c>
    </row>
    <row r="219" spans="1:2" ht="10.5" customHeight="1">
      <c r="A219" s="2" t="s">
        <v>156</v>
      </c>
      <c r="B219" s="2" t="s">
        <v>115</v>
      </c>
    </row>
    <row r="220" spans="1:2" ht="10.5" customHeight="1">
      <c r="A220" s="2" t="s">
        <v>422</v>
      </c>
      <c r="B220" s="2" t="s">
        <v>69</v>
      </c>
    </row>
    <row r="221" spans="1:2" ht="10.5" customHeight="1">
      <c r="A221" s="2" t="s">
        <v>667</v>
      </c>
      <c r="B221" s="2" t="s">
        <v>22</v>
      </c>
    </row>
    <row r="222" spans="1:2" ht="10.5" customHeight="1">
      <c r="A222" s="2" t="s">
        <v>924</v>
      </c>
      <c r="B222" s="2" t="s">
        <v>22</v>
      </c>
    </row>
    <row r="223" spans="1:2" ht="10.5" customHeight="1">
      <c r="A223" s="2" t="s">
        <v>1316</v>
      </c>
      <c r="B223" s="2" t="s">
        <v>22</v>
      </c>
    </row>
    <row r="224" spans="1:2" ht="10.5" customHeight="1">
      <c r="A224" s="2" t="s">
        <v>907</v>
      </c>
      <c r="B224" s="2" t="s">
        <v>22</v>
      </c>
    </row>
    <row r="225" spans="1:2" ht="10.5" customHeight="1">
      <c r="A225" s="2" t="s">
        <v>1114</v>
      </c>
      <c r="B225" s="2" t="s">
        <v>22</v>
      </c>
    </row>
    <row r="226" spans="1:2" ht="10.5" customHeight="1">
      <c r="A226" s="2" t="s">
        <v>444</v>
      </c>
      <c r="B226" s="2" t="s">
        <v>22</v>
      </c>
    </row>
    <row r="227" spans="1:2" ht="10.5" customHeight="1">
      <c r="A227" s="2" t="s">
        <v>994</v>
      </c>
      <c r="B227" s="2" t="s">
        <v>22</v>
      </c>
    </row>
    <row r="228" spans="1:2" ht="10.5" customHeight="1">
      <c r="A228" s="2" t="s">
        <v>1502</v>
      </c>
      <c r="B228" s="2" t="s">
        <v>22</v>
      </c>
    </row>
    <row r="229" spans="1:2" ht="10.5" customHeight="1">
      <c r="A229" s="2" t="s">
        <v>423</v>
      </c>
      <c r="B229" s="2" t="s">
        <v>69</v>
      </c>
    </row>
    <row r="230" spans="1:2" ht="10.5" customHeight="1">
      <c r="A230" s="2" t="s">
        <v>342</v>
      </c>
      <c r="B230" s="2" t="s">
        <v>22</v>
      </c>
    </row>
    <row r="231" spans="1:2" ht="10.5" customHeight="1">
      <c r="A231" s="2" t="s">
        <v>405</v>
      </c>
      <c r="B231" s="2" t="s">
        <v>22</v>
      </c>
    </row>
    <row r="232" spans="1:2" ht="10.5" customHeight="1">
      <c r="A232" s="2" t="s">
        <v>1291</v>
      </c>
      <c r="B232" s="2" t="s">
        <v>22</v>
      </c>
    </row>
    <row r="233" spans="1:2" ht="10.5" customHeight="1">
      <c r="A233" s="2" t="s">
        <v>1343</v>
      </c>
      <c r="B233" s="2" t="s">
        <v>22</v>
      </c>
    </row>
    <row r="234" spans="1:2" ht="10.5" customHeight="1">
      <c r="A234" s="2" t="s">
        <v>902</v>
      </c>
      <c r="B234" s="2" t="s">
        <v>22</v>
      </c>
    </row>
    <row r="235" spans="1:2" ht="10.5" customHeight="1">
      <c r="A235" s="2" t="s">
        <v>830</v>
      </c>
      <c r="B235" s="2" t="s">
        <v>115</v>
      </c>
    </row>
    <row r="236" spans="1:2" ht="10.5" customHeight="1">
      <c r="A236" s="2" t="s">
        <v>1193</v>
      </c>
      <c r="B236" s="2" t="s">
        <v>22</v>
      </c>
    </row>
    <row r="237" spans="1:2" ht="10.5" customHeight="1">
      <c r="A237" s="2" t="s">
        <v>2290</v>
      </c>
      <c r="B237" s="2" t="s">
        <v>22</v>
      </c>
    </row>
    <row r="238" spans="1:2" ht="10.5" customHeight="1">
      <c r="A238" s="2" t="s">
        <v>266</v>
      </c>
      <c r="B238" s="2" t="s">
        <v>22</v>
      </c>
    </row>
    <row r="239" spans="1:2" ht="10.5" customHeight="1">
      <c r="A239" s="2" t="s">
        <v>470</v>
      </c>
      <c r="B239" s="2" t="s">
        <v>22</v>
      </c>
    </row>
    <row r="240" spans="1:2" ht="10.5" customHeight="1">
      <c r="A240" s="2" t="s">
        <v>103</v>
      </c>
      <c r="B240" s="2" t="s">
        <v>22</v>
      </c>
    </row>
    <row r="241" spans="1:2" ht="10.5" customHeight="1">
      <c r="A241" s="2" t="s">
        <v>1345</v>
      </c>
      <c r="B241" s="2" t="s">
        <v>22</v>
      </c>
    </row>
    <row r="242" spans="1:2" ht="10.5" customHeight="1">
      <c r="A242" s="2" t="s">
        <v>1850</v>
      </c>
      <c r="B242" s="2" t="s">
        <v>22</v>
      </c>
    </row>
    <row r="243" spans="1:2" ht="10.5" customHeight="1">
      <c r="A243" s="2" t="s">
        <v>1838</v>
      </c>
      <c r="B243" s="2" t="s">
        <v>22</v>
      </c>
    </row>
    <row r="244" spans="1:2" ht="10.5" customHeight="1">
      <c r="A244" s="2" t="s">
        <v>2308</v>
      </c>
      <c r="B244" s="2" t="s">
        <v>22</v>
      </c>
    </row>
    <row r="245" spans="1:2" ht="10.5" customHeight="1">
      <c r="A245" s="2" t="s">
        <v>1127</v>
      </c>
      <c r="B245" s="2" t="s">
        <v>115</v>
      </c>
    </row>
    <row r="246" spans="1:2" ht="10.5" customHeight="1">
      <c r="A246" s="2" t="s">
        <v>2207</v>
      </c>
      <c r="B246" s="2" t="s">
        <v>22</v>
      </c>
    </row>
    <row r="247" spans="1:2" ht="10.5" customHeight="1">
      <c r="A247" s="2" t="s">
        <v>2194</v>
      </c>
      <c r="B247" s="2" t="s">
        <v>22</v>
      </c>
    </row>
    <row r="248" spans="1:2" ht="10.5" customHeight="1">
      <c r="A248" s="2" t="s">
        <v>1723</v>
      </c>
      <c r="B248" s="2" t="s">
        <v>22</v>
      </c>
    </row>
    <row r="249" spans="1:2" ht="10.5" customHeight="1">
      <c r="A249" s="2" t="s">
        <v>1155</v>
      </c>
      <c r="B249" s="2" t="s">
        <v>22</v>
      </c>
    </row>
    <row r="250" spans="1:2" ht="10.5" customHeight="1">
      <c r="A250" s="2" t="s">
        <v>652</v>
      </c>
      <c r="B250" s="2" t="s">
        <v>22</v>
      </c>
    </row>
    <row r="251" spans="1:2" ht="10.5" customHeight="1">
      <c r="A251" s="2" t="s">
        <v>1544</v>
      </c>
      <c r="B251" s="2" t="s">
        <v>69</v>
      </c>
    </row>
    <row r="252" spans="1:2" ht="10.5" customHeight="1">
      <c r="A252" s="2" t="s">
        <v>1450</v>
      </c>
      <c r="B252" s="2" t="s">
        <v>22</v>
      </c>
    </row>
    <row r="253" spans="1:2" ht="10.5" customHeight="1">
      <c r="A253" s="2" t="s">
        <v>1799</v>
      </c>
      <c r="B253" s="2" t="s">
        <v>69</v>
      </c>
    </row>
    <row r="254" spans="1:2" ht="10.5" customHeight="1">
      <c r="A254" s="2" t="s">
        <v>1788</v>
      </c>
      <c r="B254" s="2" t="s">
        <v>22</v>
      </c>
    </row>
    <row r="255" spans="1:2" ht="10.5" customHeight="1">
      <c r="A255" s="2" t="s">
        <v>1084</v>
      </c>
      <c r="B255" s="2" t="s">
        <v>22</v>
      </c>
    </row>
    <row r="256" spans="1:2" ht="10.5" customHeight="1">
      <c r="A256" s="2" t="s">
        <v>2192</v>
      </c>
      <c r="B256" s="2" t="s">
        <v>2107</v>
      </c>
    </row>
    <row r="257" spans="1:2" ht="10.5" customHeight="1">
      <c r="A257" s="2" t="s">
        <v>1008</v>
      </c>
      <c r="B257" s="2" t="s">
        <v>22</v>
      </c>
    </row>
    <row r="258" spans="1:2" ht="10.5" customHeight="1">
      <c r="A258" s="2" t="s">
        <v>1482</v>
      </c>
      <c r="B258" s="2" t="s">
        <v>22</v>
      </c>
    </row>
    <row r="259" spans="1:2" ht="10.5" customHeight="1">
      <c r="A259" s="2" t="s">
        <v>1619</v>
      </c>
      <c r="B259" s="2" t="s">
        <v>22</v>
      </c>
    </row>
    <row r="260" spans="1:2" ht="10.5" customHeight="1">
      <c r="A260" s="2" t="s">
        <v>1704</v>
      </c>
      <c r="B260" s="2" t="s">
        <v>22</v>
      </c>
    </row>
    <row r="261" spans="1:2" ht="10.5" customHeight="1">
      <c r="A261" s="2" t="s">
        <v>1273</v>
      </c>
      <c r="B261" s="2" t="s">
        <v>22</v>
      </c>
    </row>
    <row r="262" spans="1:2" ht="10.5" customHeight="1">
      <c r="A262" s="2" t="s">
        <v>736</v>
      </c>
      <c r="B262" s="2" t="s">
        <v>22</v>
      </c>
    </row>
    <row r="263" spans="1:2" ht="10.5" customHeight="1">
      <c r="A263" s="2" t="s">
        <v>899</v>
      </c>
      <c r="B263" s="2" t="s">
        <v>22</v>
      </c>
    </row>
    <row r="264" spans="1:2" ht="10.5" customHeight="1">
      <c r="A264" s="2" t="s">
        <v>2013</v>
      </c>
      <c r="B264" s="2" t="s">
        <v>69</v>
      </c>
    </row>
    <row r="265" spans="1:2" ht="10.5" customHeight="1">
      <c r="A265" s="2" t="s">
        <v>1098</v>
      </c>
      <c r="B265" s="2" t="s">
        <v>22</v>
      </c>
    </row>
    <row r="266" spans="1:2" ht="10.5" customHeight="1">
      <c r="A266" s="2" t="s">
        <v>1378</v>
      </c>
      <c r="B266" s="2" t="s">
        <v>22</v>
      </c>
    </row>
    <row r="267" spans="1:2" ht="10.5" customHeight="1">
      <c r="A267" s="2" t="s">
        <v>2300</v>
      </c>
      <c r="B267" s="2" t="s">
        <v>2107</v>
      </c>
    </row>
    <row r="268" spans="1:2" ht="10.5" customHeight="1">
      <c r="A268" s="2" t="s">
        <v>1727</v>
      </c>
      <c r="B268" s="2" t="s">
        <v>22</v>
      </c>
    </row>
    <row r="269" spans="1:2" ht="10.5" customHeight="1">
      <c r="A269" s="2" t="s">
        <v>1987</v>
      </c>
      <c r="B269" s="2" t="s">
        <v>22</v>
      </c>
    </row>
    <row r="270" spans="1:2" ht="10.5" customHeight="1">
      <c r="A270" s="2" t="s">
        <v>370</v>
      </c>
      <c r="B270" s="2" t="s">
        <v>69</v>
      </c>
    </row>
    <row r="271" spans="1:2" ht="10.5" customHeight="1">
      <c r="A271" s="2" t="s">
        <v>2010</v>
      </c>
      <c r="B271" s="2" t="s">
        <v>22</v>
      </c>
    </row>
    <row r="272" spans="1:2" ht="10.5" customHeight="1">
      <c r="A272" s="2" t="s">
        <v>2214</v>
      </c>
      <c r="B272" s="2" t="s">
        <v>2110</v>
      </c>
    </row>
    <row r="273" spans="1:2" ht="10.5" customHeight="1">
      <c r="A273" s="2" t="s">
        <v>362</v>
      </c>
      <c r="B273" s="2" t="s">
        <v>22</v>
      </c>
    </row>
    <row r="274" spans="1:2" ht="10.5" customHeight="1">
      <c r="A274" s="2" t="s">
        <v>694</v>
      </c>
      <c r="B274" s="2" t="s">
        <v>22</v>
      </c>
    </row>
    <row r="275" spans="1:2" ht="10.5" customHeight="1">
      <c r="A275" s="2" t="s">
        <v>2147</v>
      </c>
      <c r="B275" s="2" t="s">
        <v>2110</v>
      </c>
    </row>
    <row r="276" spans="1:2" ht="10.5" customHeight="1">
      <c r="A276" s="2" t="s">
        <v>1337</v>
      </c>
      <c r="B276" s="2" t="s">
        <v>69</v>
      </c>
    </row>
    <row r="277" spans="1:2" ht="10.5" customHeight="1">
      <c r="A277" s="2" t="s">
        <v>1173</v>
      </c>
      <c r="B277" s="2" t="s">
        <v>22</v>
      </c>
    </row>
    <row r="278" spans="1:2" ht="10.5" customHeight="1">
      <c r="A278" s="2" t="s">
        <v>437</v>
      </c>
      <c r="B278" s="2" t="s">
        <v>22</v>
      </c>
    </row>
    <row r="279" spans="1:2" ht="10.5" customHeight="1">
      <c r="A279" s="2" t="s">
        <v>397</v>
      </c>
      <c r="B279" s="2" t="s">
        <v>22</v>
      </c>
    </row>
    <row r="280" spans="1:2" ht="10.5" customHeight="1">
      <c r="A280" s="2" t="s">
        <v>1996</v>
      </c>
      <c r="B280" s="2" t="s">
        <v>22</v>
      </c>
    </row>
    <row r="281" spans="1:2" ht="10.5" customHeight="1">
      <c r="A281" s="2" t="s">
        <v>1507</v>
      </c>
      <c r="B281" s="2" t="s">
        <v>22</v>
      </c>
    </row>
    <row r="282" spans="1:2" ht="10.5" customHeight="1">
      <c r="A282" s="2" t="s">
        <v>1022</v>
      </c>
      <c r="B282" s="2" t="s">
        <v>22</v>
      </c>
    </row>
    <row r="283" spans="1:2" ht="10.5" customHeight="1">
      <c r="A283" s="2" t="s">
        <v>2016</v>
      </c>
      <c r="B283" s="2" t="s">
        <v>22</v>
      </c>
    </row>
    <row r="284" spans="1:2" ht="10.5" customHeight="1">
      <c r="A284" s="2" t="s">
        <v>1274</v>
      </c>
      <c r="B284" s="2" t="s">
        <v>22</v>
      </c>
    </row>
    <row r="285" spans="1:2" ht="10.5" customHeight="1">
      <c r="A285" s="2" t="s">
        <v>2001</v>
      </c>
      <c r="B285" s="2" t="s">
        <v>69</v>
      </c>
    </row>
    <row r="286" spans="1:2" ht="10.5" customHeight="1">
      <c r="A286" s="2" t="s">
        <v>2124</v>
      </c>
      <c r="B286" s="2" t="s">
        <v>22</v>
      </c>
    </row>
    <row r="287" spans="1:2" ht="10.5" customHeight="1">
      <c r="A287" s="2" t="s">
        <v>335</v>
      </c>
      <c r="B287" s="2" t="s">
        <v>22</v>
      </c>
    </row>
    <row r="288" spans="1:2" ht="10.5" customHeight="1">
      <c r="A288" s="2" t="s">
        <v>1247</v>
      </c>
      <c r="B288" s="2" t="s">
        <v>22</v>
      </c>
    </row>
    <row r="289" spans="1:2" ht="10.5" customHeight="1">
      <c r="A289" s="2" t="s">
        <v>1883</v>
      </c>
      <c r="B289" s="2" t="s">
        <v>22</v>
      </c>
    </row>
    <row r="290" spans="1:2" ht="10.5" customHeight="1">
      <c r="A290" s="2" t="s">
        <v>797</v>
      </c>
      <c r="B290" s="2" t="s">
        <v>22</v>
      </c>
    </row>
    <row r="291" spans="1:2" ht="10.5" customHeight="1">
      <c r="A291" s="2" t="s">
        <v>1812</v>
      </c>
      <c r="B291" s="2" t="s">
        <v>69</v>
      </c>
    </row>
    <row r="292" spans="1:2" ht="10.5" customHeight="1">
      <c r="A292" s="2" t="s">
        <v>1152</v>
      </c>
      <c r="B292" s="2" t="s">
        <v>115</v>
      </c>
    </row>
    <row r="293" spans="1:2" ht="10.5" customHeight="1">
      <c r="A293" s="2" t="s">
        <v>1914</v>
      </c>
      <c r="B293" s="2" t="s">
        <v>22</v>
      </c>
    </row>
    <row r="294" spans="1:2" ht="10.5" customHeight="1">
      <c r="A294" s="2" t="s">
        <v>2069</v>
      </c>
      <c r="B294" s="2" t="s">
        <v>22</v>
      </c>
    </row>
    <row r="295" spans="1:2" ht="10.5" customHeight="1">
      <c r="A295" s="2" t="s">
        <v>2255</v>
      </c>
      <c r="B295" s="2" t="s">
        <v>22</v>
      </c>
    </row>
    <row r="296" spans="1:2" ht="10.5" customHeight="1">
      <c r="A296" s="2" t="s">
        <v>2103</v>
      </c>
      <c r="B296" s="2" t="s">
        <v>22</v>
      </c>
    </row>
    <row r="297" spans="1:2" ht="10.5" customHeight="1">
      <c r="A297" s="2" t="s">
        <v>1454</v>
      </c>
      <c r="B297" s="2" t="s">
        <v>22</v>
      </c>
    </row>
    <row r="298" spans="1:2" ht="10.5" customHeight="1">
      <c r="A298" s="2" t="s">
        <v>594</v>
      </c>
      <c r="B298" s="2" t="s">
        <v>22</v>
      </c>
    </row>
    <row r="299" spans="1:2" ht="10.5" customHeight="1">
      <c r="A299" s="2" t="s">
        <v>2002</v>
      </c>
      <c r="B299" s="2" t="s">
        <v>22</v>
      </c>
    </row>
    <row r="300" spans="1:2" ht="10.5" customHeight="1">
      <c r="A300" s="2" t="s">
        <v>2333</v>
      </c>
      <c r="B300" s="2" t="s">
        <v>22</v>
      </c>
    </row>
    <row r="301" spans="1:2" ht="10.5" customHeight="1">
      <c r="A301" s="2" t="s">
        <v>808</v>
      </c>
      <c r="B301" s="2" t="s">
        <v>22</v>
      </c>
    </row>
    <row r="302" spans="1:2" ht="10.5" customHeight="1">
      <c r="A302" s="2" t="s">
        <v>1919</v>
      </c>
      <c r="B302" s="2" t="s">
        <v>22</v>
      </c>
    </row>
    <row r="303" spans="1:2" ht="10.5" customHeight="1">
      <c r="A303" s="2" t="s">
        <v>1266</v>
      </c>
      <c r="B303" s="2" t="s">
        <v>22</v>
      </c>
    </row>
    <row r="304" spans="1:2" ht="10.5" customHeight="1">
      <c r="A304" s="2" t="s">
        <v>2331</v>
      </c>
      <c r="B304" s="2" t="s">
        <v>22</v>
      </c>
    </row>
    <row r="305" spans="1:2" ht="10.5" customHeight="1">
      <c r="A305" s="2" t="s">
        <v>2335</v>
      </c>
      <c r="B305" s="2" t="s">
        <v>22</v>
      </c>
    </row>
    <row r="306" spans="1:2" ht="10.5" customHeight="1">
      <c r="A306" s="2" t="s">
        <v>378</v>
      </c>
      <c r="B306" s="2" t="s">
        <v>22</v>
      </c>
    </row>
    <row r="307" spans="1:2" ht="10.5" customHeight="1">
      <c r="A307" s="2" t="s">
        <v>1393</v>
      </c>
      <c r="B307" s="2" t="s">
        <v>22</v>
      </c>
    </row>
    <row r="308" spans="1:2" ht="10.5" customHeight="1">
      <c r="A308" s="2" t="s">
        <v>407</v>
      </c>
      <c r="B308" s="2" t="s">
        <v>22</v>
      </c>
    </row>
    <row r="309" spans="1:2" ht="10.5" customHeight="1">
      <c r="A309" s="2" t="s">
        <v>1947</v>
      </c>
      <c r="B309" s="2" t="s">
        <v>69</v>
      </c>
    </row>
    <row r="310" spans="1:2" ht="10.5" customHeight="1">
      <c r="A310" s="2" t="s">
        <v>1654</v>
      </c>
      <c r="B310" s="2" t="s">
        <v>22</v>
      </c>
    </row>
    <row r="311" spans="1:2" ht="10.5" customHeight="1">
      <c r="A311" s="2" t="s">
        <v>1868</v>
      </c>
      <c r="B311" s="2" t="s">
        <v>22</v>
      </c>
    </row>
    <row r="312" spans="1:2" ht="10.5" customHeight="1">
      <c r="A312" s="2" t="s">
        <v>1122</v>
      </c>
      <c r="B312" s="2" t="s">
        <v>22</v>
      </c>
    </row>
    <row r="313" spans="1:2" ht="10.5" customHeight="1">
      <c r="A313" s="2" t="s">
        <v>1959</v>
      </c>
      <c r="B313" s="2" t="s">
        <v>69</v>
      </c>
    </row>
    <row r="314" spans="1:2" ht="10.5" customHeight="1">
      <c r="A314" s="2" t="s">
        <v>1251</v>
      </c>
      <c r="B314" s="2" t="s">
        <v>69</v>
      </c>
    </row>
    <row r="315" spans="1:2" ht="10.5" customHeight="1">
      <c r="A315" s="2" t="s">
        <v>1792</v>
      </c>
      <c r="B315" s="2" t="s">
        <v>22</v>
      </c>
    </row>
    <row r="316" spans="1:2" ht="10.5" customHeight="1">
      <c r="A316" s="2" t="s">
        <v>713</v>
      </c>
      <c r="B316" s="2" t="s">
        <v>69</v>
      </c>
    </row>
    <row r="317" spans="1:2" ht="10.5" customHeight="1">
      <c r="A317" s="2" t="s">
        <v>870</v>
      </c>
      <c r="B317" s="2" t="s">
        <v>22</v>
      </c>
    </row>
    <row r="318" spans="1:2" ht="10.5" customHeight="1">
      <c r="A318" s="2" t="s">
        <v>1695</v>
      </c>
      <c r="B318" s="2" t="s">
        <v>22</v>
      </c>
    </row>
    <row r="319" spans="1:2" ht="10.5" customHeight="1">
      <c r="A319" s="2" t="s">
        <v>1814</v>
      </c>
      <c r="B319" s="2" t="s">
        <v>22</v>
      </c>
    </row>
    <row r="320" spans="1:2" ht="10.5" customHeight="1">
      <c r="A320" s="2" t="s">
        <v>1706</v>
      </c>
      <c r="B320" s="2" t="s">
        <v>69</v>
      </c>
    </row>
    <row r="321" spans="1:2" ht="10.5" customHeight="1">
      <c r="A321" s="2" t="s">
        <v>790</v>
      </c>
      <c r="B321" s="2" t="s">
        <v>22</v>
      </c>
    </row>
    <row r="322" spans="1:2" ht="10.5" customHeight="1">
      <c r="A322" s="2" t="s">
        <v>1980</v>
      </c>
      <c r="B322" s="2" t="s">
        <v>69</v>
      </c>
    </row>
    <row r="323" spans="1:2" ht="10.5" customHeight="1">
      <c r="A323" s="2" t="s">
        <v>2270</v>
      </c>
      <c r="B323" s="2" t="s">
        <v>115</v>
      </c>
    </row>
    <row r="324" spans="1:2" ht="10.5" customHeight="1">
      <c r="A324" s="2" t="s">
        <v>1389</v>
      </c>
      <c r="B324" s="2" t="s">
        <v>22</v>
      </c>
    </row>
    <row r="325" spans="1:2" ht="10.5" customHeight="1">
      <c r="A325" s="2" t="s">
        <v>2042</v>
      </c>
      <c r="B325" s="2" t="s">
        <v>22</v>
      </c>
    </row>
    <row r="326" spans="1:2" ht="10.5" customHeight="1">
      <c r="A326" s="2" t="s">
        <v>1577</v>
      </c>
      <c r="B326" s="2" t="s">
        <v>22</v>
      </c>
    </row>
    <row r="327" spans="1:2" ht="10.5" customHeight="1">
      <c r="A327" s="2" t="s">
        <v>38</v>
      </c>
      <c r="B327" s="2" t="s">
        <v>22</v>
      </c>
    </row>
    <row r="328" spans="1:2" ht="10.5" customHeight="1">
      <c r="A328" s="2" t="s">
        <v>1284</v>
      </c>
      <c r="B328" s="2" t="s">
        <v>69</v>
      </c>
    </row>
    <row r="329" spans="1:2" ht="10.5" customHeight="1">
      <c r="A329" s="2" t="s">
        <v>461</v>
      </c>
      <c r="B329" s="2" t="s">
        <v>22</v>
      </c>
    </row>
    <row r="330" spans="1:2" ht="10.5" customHeight="1">
      <c r="A330" s="2" t="s">
        <v>1624</v>
      </c>
      <c r="B330" s="2" t="s">
        <v>69</v>
      </c>
    </row>
    <row r="331" spans="1:2" ht="10.5" customHeight="1">
      <c r="A331" s="2" t="s">
        <v>700</v>
      </c>
      <c r="B331" s="2" t="s">
        <v>22</v>
      </c>
    </row>
    <row r="332" spans="1:2" ht="10.5" customHeight="1">
      <c r="A332" s="2" t="s">
        <v>941</v>
      </c>
      <c r="B332" s="2" t="s">
        <v>22</v>
      </c>
    </row>
    <row r="333" spans="1:2" ht="10.5" customHeight="1">
      <c r="A333" s="2" t="s">
        <v>2297</v>
      </c>
      <c r="B333" s="2" t="s">
        <v>22</v>
      </c>
    </row>
    <row r="334" spans="1:2" ht="10.5" customHeight="1">
      <c r="A334" s="2" t="s">
        <v>2105</v>
      </c>
      <c r="B334" s="2" t="s">
        <v>22</v>
      </c>
    </row>
    <row r="335" spans="1:2" ht="10.5" customHeight="1">
      <c r="A335" s="2" t="s">
        <v>563</v>
      </c>
      <c r="B335" s="2" t="s">
        <v>115</v>
      </c>
    </row>
    <row r="336" spans="1:2" ht="10.5" customHeight="1">
      <c r="A336" s="2" t="s">
        <v>1905</v>
      </c>
      <c r="B336" s="2" t="s">
        <v>22</v>
      </c>
    </row>
    <row r="337" spans="1:2" ht="10.5" customHeight="1">
      <c r="A337" s="2" t="s">
        <v>305</v>
      </c>
      <c r="B337" s="2" t="s">
        <v>22</v>
      </c>
    </row>
    <row r="338" spans="1:2" ht="10.5" customHeight="1">
      <c r="A338" s="2" t="s">
        <v>1032</v>
      </c>
      <c r="B338" s="2" t="s">
        <v>22</v>
      </c>
    </row>
    <row r="339" spans="1:2" ht="10.5" customHeight="1">
      <c r="A339" s="2" t="s">
        <v>2123</v>
      </c>
      <c r="B339" s="2" t="s">
        <v>22</v>
      </c>
    </row>
    <row r="340" spans="1:2" ht="10.5" customHeight="1">
      <c r="A340" s="2" t="s">
        <v>2174</v>
      </c>
      <c r="B340" s="2" t="s">
        <v>22</v>
      </c>
    </row>
    <row r="341" spans="1:2" ht="10.5" customHeight="1">
      <c r="A341" s="2" t="s">
        <v>1984</v>
      </c>
      <c r="B341" s="2" t="s">
        <v>22</v>
      </c>
    </row>
    <row r="342" spans="1:2" ht="10.5" customHeight="1">
      <c r="A342" s="2" t="s">
        <v>1420</v>
      </c>
      <c r="B342" s="2" t="s">
        <v>22</v>
      </c>
    </row>
    <row r="343" spans="1:2" ht="10.5" customHeight="1">
      <c r="A343" s="2" t="s">
        <v>1904</v>
      </c>
      <c r="B343" s="2" t="s">
        <v>22</v>
      </c>
    </row>
    <row r="344" spans="1:2" ht="10.5" customHeight="1">
      <c r="A344" s="2" t="s">
        <v>1717</v>
      </c>
      <c r="B344" s="2" t="s">
        <v>22</v>
      </c>
    </row>
    <row r="345" spans="1:2" ht="10.5" customHeight="1">
      <c r="A345" s="2" t="s">
        <v>1940</v>
      </c>
      <c r="B345" s="2" t="s">
        <v>69</v>
      </c>
    </row>
    <row r="346" spans="1:2" ht="10.5" customHeight="1">
      <c r="A346" s="2" t="s">
        <v>2209</v>
      </c>
      <c r="B346" s="2" t="s">
        <v>2110</v>
      </c>
    </row>
    <row r="347" spans="1:2" ht="10.5" customHeight="1">
      <c r="A347" s="2" t="s">
        <v>629</v>
      </c>
      <c r="B347" s="2" t="s">
        <v>22</v>
      </c>
    </row>
    <row r="348" spans="1:2" ht="10.5" customHeight="1">
      <c r="A348" s="2" t="s">
        <v>2232</v>
      </c>
      <c r="B348" s="2" t="s">
        <v>2110</v>
      </c>
    </row>
    <row r="349" spans="1:2" ht="10.5" customHeight="1">
      <c r="A349" s="2" t="s">
        <v>1764</v>
      </c>
      <c r="B349" s="2" t="s">
        <v>115</v>
      </c>
    </row>
    <row r="350" spans="1:2" ht="10.5" customHeight="1">
      <c r="A350" s="2" t="s">
        <v>1433</v>
      </c>
      <c r="B350" s="2" t="s">
        <v>22</v>
      </c>
    </row>
    <row r="351" spans="1:2" ht="10.5" customHeight="1">
      <c r="A351" s="2" t="s">
        <v>1650</v>
      </c>
      <c r="B351" s="2" t="s">
        <v>22</v>
      </c>
    </row>
    <row r="352" spans="1:2" ht="10.5" customHeight="1">
      <c r="A352" s="2" t="s">
        <v>1611</v>
      </c>
      <c r="B352" s="2" t="s">
        <v>22</v>
      </c>
    </row>
    <row r="353" spans="1:2" ht="10.5" customHeight="1">
      <c r="A353" s="2" t="s">
        <v>818</v>
      </c>
      <c r="B353" s="2" t="s">
        <v>69</v>
      </c>
    </row>
    <row r="354" spans="1:2" ht="10.5" customHeight="1">
      <c r="A354" s="2" t="s">
        <v>1202</v>
      </c>
      <c r="B354" s="2" t="s">
        <v>22</v>
      </c>
    </row>
    <row r="355" spans="1:2" ht="10.5" customHeight="1">
      <c r="A355" s="2" t="s">
        <v>1476</v>
      </c>
      <c r="B355" s="2" t="s">
        <v>115</v>
      </c>
    </row>
    <row r="356" spans="1:2" ht="10.5" customHeight="1">
      <c r="A356" s="2" t="s">
        <v>812</v>
      </c>
      <c r="B356" s="2" t="s">
        <v>22</v>
      </c>
    </row>
    <row r="357" spans="1:2" ht="10.5" customHeight="1">
      <c r="A357" s="2" t="s">
        <v>2170</v>
      </c>
      <c r="B357" s="2" t="s">
        <v>2107</v>
      </c>
    </row>
    <row r="358" spans="1:2" ht="10.5" customHeight="1">
      <c r="A358" s="2" t="s">
        <v>2199</v>
      </c>
      <c r="B358" s="2" t="s">
        <v>22</v>
      </c>
    </row>
    <row r="359" spans="1:2" ht="10.5" customHeight="1">
      <c r="A359" s="2" t="s">
        <v>610</v>
      </c>
      <c r="B359" s="2" t="s">
        <v>22</v>
      </c>
    </row>
    <row r="360" spans="1:2" ht="10.5" customHeight="1">
      <c r="A360" s="2" t="s">
        <v>2137</v>
      </c>
      <c r="B360" s="2" t="s">
        <v>2107</v>
      </c>
    </row>
    <row r="361" spans="1:2" ht="10.5" customHeight="1">
      <c r="A361" s="2" t="s">
        <v>2091</v>
      </c>
      <c r="B361" s="2" t="s">
        <v>22</v>
      </c>
    </row>
    <row r="362" spans="1:2" ht="10.5" customHeight="1">
      <c r="A362" s="2" t="s">
        <v>842</v>
      </c>
      <c r="B362" s="2" t="s">
        <v>22</v>
      </c>
    </row>
    <row r="363" spans="1:2" ht="10.5" customHeight="1">
      <c r="A363" s="2" t="s">
        <v>963</v>
      </c>
      <c r="B363" s="2" t="s">
        <v>22</v>
      </c>
    </row>
    <row r="364" spans="1:2" ht="10.5" customHeight="1">
      <c r="A364" s="2" t="s">
        <v>1421</v>
      </c>
      <c r="B364" s="2" t="s">
        <v>22</v>
      </c>
    </row>
    <row r="365" spans="1:2" ht="10.5" customHeight="1">
      <c r="A365" s="2" t="s">
        <v>1552</v>
      </c>
      <c r="B365" s="2" t="s">
        <v>22</v>
      </c>
    </row>
    <row r="366" spans="1:2" ht="10.5" customHeight="1">
      <c r="A366" s="2" t="s">
        <v>708</v>
      </c>
      <c r="B366" s="2" t="s">
        <v>115</v>
      </c>
    </row>
    <row r="367" spans="1:2" ht="10.5" customHeight="1">
      <c r="A367" s="2" t="s">
        <v>601</v>
      </c>
      <c r="B367" s="2" t="s">
        <v>22</v>
      </c>
    </row>
    <row r="368" spans="1:2" ht="10.5" customHeight="1">
      <c r="A368" s="2" t="s">
        <v>2234</v>
      </c>
      <c r="B368" s="2" t="s">
        <v>69</v>
      </c>
    </row>
    <row r="369" spans="1:2" ht="10.5" customHeight="1">
      <c r="A369" s="2" t="s">
        <v>1609</v>
      </c>
      <c r="B369" s="2" t="s">
        <v>22</v>
      </c>
    </row>
    <row r="370" spans="1:2" ht="10.5" customHeight="1">
      <c r="A370" s="2" t="s">
        <v>162</v>
      </c>
      <c r="B370" s="2" t="s">
        <v>22</v>
      </c>
    </row>
    <row r="371" spans="1:2" ht="10.5" customHeight="1">
      <c r="A371" s="2" t="s">
        <v>1968</v>
      </c>
      <c r="B371" s="2" t="s">
        <v>69</v>
      </c>
    </row>
    <row r="372" spans="1:2" ht="10.5" customHeight="1">
      <c r="A372" s="2" t="s">
        <v>996</v>
      </c>
      <c r="B372" s="2" t="s">
        <v>22</v>
      </c>
    </row>
    <row r="373" spans="1:2" ht="10.5" customHeight="1">
      <c r="A373" s="2" t="s">
        <v>807</v>
      </c>
      <c r="B373" s="2" t="s">
        <v>22</v>
      </c>
    </row>
    <row r="374" spans="1:2" ht="10.5" customHeight="1">
      <c r="A374" s="2" t="s">
        <v>2157</v>
      </c>
      <c r="B374" s="2" t="s">
        <v>2110</v>
      </c>
    </row>
    <row r="375" spans="1:2" ht="10.5" customHeight="1">
      <c r="A375" s="2" t="s">
        <v>1484</v>
      </c>
      <c r="B375" s="2" t="s">
        <v>22</v>
      </c>
    </row>
    <row r="376" spans="1:2" ht="10.5" customHeight="1">
      <c r="A376" s="2" t="s">
        <v>1162</v>
      </c>
      <c r="B376" s="2" t="s">
        <v>22</v>
      </c>
    </row>
    <row r="377" spans="1:2" ht="10.5" customHeight="1">
      <c r="A377" s="2" t="s">
        <v>638</v>
      </c>
      <c r="B377" s="2" t="s">
        <v>22</v>
      </c>
    </row>
    <row r="378" spans="1:2" ht="10.5" customHeight="1">
      <c r="A378" s="2" t="s">
        <v>2178</v>
      </c>
      <c r="B378" s="2" t="s">
        <v>2107</v>
      </c>
    </row>
    <row r="379" spans="1:2" ht="10.5" customHeight="1">
      <c r="A379" s="2" t="s">
        <v>302</v>
      </c>
      <c r="B379" s="2" t="s">
        <v>69</v>
      </c>
    </row>
    <row r="380" spans="1:2" ht="10.5" customHeight="1">
      <c r="A380" s="2" t="s">
        <v>649</v>
      </c>
      <c r="B380" s="2" t="s">
        <v>22</v>
      </c>
    </row>
    <row r="381" spans="1:2" ht="10.5" customHeight="1">
      <c r="A381" s="2" t="s">
        <v>607</v>
      </c>
      <c r="B381" s="2" t="s">
        <v>22</v>
      </c>
    </row>
    <row r="382" spans="1:2" ht="10.5" customHeight="1">
      <c r="A382" s="2" t="s">
        <v>2099</v>
      </c>
      <c r="B382" s="2" t="s">
        <v>69</v>
      </c>
    </row>
    <row r="383" spans="1:2" ht="10.5" customHeight="1">
      <c r="A383" s="2" t="s">
        <v>1872</v>
      </c>
      <c r="B383" s="2" t="s">
        <v>115</v>
      </c>
    </row>
    <row r="384" spans="1:2" ht="10.5" customHeight="1">
      <c r="A384" s="2" t="s">
        <v>382</v>
      </c>
      <c r="B384" s="2" t="s">
        <v>69</v>
      </c>
    </row>
    <row r="385" spans="1:2" ht="10.5" customHeight="1">
      <c r="A385" s="2" t="s">
        <v>1632</v>
      </c>
      <c r="B385" s="2" t="s">
        <v>69</v>
      </c>
    </row>
    <row r="386" spans="1:2" ht="10.5" customHeight="1">
      <c r="A386" s="2" t="s">
        <v>1630</v>
      </c>
      <c r="B386" s="2" t="s">
        <v>22</v>
      </c>
    </row>
    <row r="387" spans="1:2" ht="10.5" customHeight="1">
      <c r="A387" s="2" t="s">
        <v>726</v>
      </c>
      <c r="B387" s="2" t="s">
        <v>22</v>
      </c>
    </row>
    <row r="388" spans="1:2" ht="10.5" customHeight="1">
      <c r="A388" s="2" t="s">
        <v>1929</v>
      </c>
      <c r="B388" s="2" t="s">
        <v>22</v>
      </c>
    </row>
    <row r="389" spans="1:2" ht="10.5" customHeight="1">
      <c r="A389" s="2" t="s">
        <v>1556</v>
      </c>
      <c r="B389" s="2" t="s">
        <v>22</v>
      </c>
    </row>
    <row r="390" spans="1:2" ht="10.5" customHeight="1">
      <c r="A390" s="2" t="s">
        <v>2321</v>
      </c>
      <c r="B390" s="2" t="s">
        <v>22</v>
      </c>
    </row>
    <row r="391" spans="1:2" ht="10.5" customHeight="1">
      <c r="A391" s="2" t="s">
        <v>128</v>
      </c>
      <c r="B391" s="2" t="s">
        <v>69</v>
      </c>
    </row>
    <row r="392" spans="1:2" ht="10.5" customHeight="1">
      <c r="A392" s="2" t="s">
        <v>521</v>
      </c>
      <c r="B392" s="2" t="s">
        <v>22</v>
      </c>
    </row>
    <row r="393" spans="1:2" ht="10.5" customHeight="1">
      <c r="A393" s="2" t="s">
        <v>2258</v>
      </c>
      <c r="B393" s="2" t="s">
        <v>22</v>
      </c>
    </row>
    <row r="394" spans="1:2" ht="10.5" customHeight="1">
      <c r="A394" s="2" t="s">
        <v>953</v>
      </c>
      <c r="B394" s="2" t="s">
        <v>69</v>
      </c>
    </row>
    <row r="395" spans="1:2" ht="10.5" customHeight="1">
      <c r="A395" s="2" t="s">
        <v>648</v>
      </c>
      <c r="B395" s="2" t="s">
        <v>69</v>
      </c>
    </row>
    <row r="396" spans="1:2" ht="10.5" customHeight="1">
      <c r="A396" s="2" t="s">
        <v>960</v>
      </c>
      <c r="B396" s="2" t="s">
        <v>22</v>
      </c>
    </row>
    <row r="397" spans="1:2" ht="10.5" customHeight="1">
      <c r="A397" s="2" t="s">
        <v>1601</v>
      </c>
      <c r="B397" s="2" t="s">
        <v>22</v>
      </c>
    </row>
    <row r="398" spans="1:2" ht="10.5" customHeight="1">
      <c r="A398" s="2" t="s">
        <v>650</v>
      </c>
      <c r="B398" s="2" t="s">
        <v>22</v>
      </c>
    </row>
    <row r="399" spans="1:2" ht="10.5" customHeight="1">
      <c r="A399" s="2" t="s">
        <v>1323</v>
      </c>
      <c r="B399" s="2" t="s">
        <v>22</v>
      </c>
    </row>
    <row r="400" spans="1:2" ht="10.5" customHeight="1">
      <c r="A400" s="2" t="s">
        <v>2089</v>
      </c>
      <c r="B400" s="2" t="s">
        <v>22</v>
      </c>
    </row>
    <row r="401" spans="1:2" ht="10.5" customHeight="1">
      <c r="A401" s="2" t="s">
        <v>813</v>
      </c>
      <c r="B401" s="2" t="s">
        <v>22</v>
      </c>
    </row>
    <row r="402" spans="1:2" ht="10.5" customHeight="1">
      <c r="A402" s="2" t="s">
        <v>2230</v>
      </c>
      <c r="B402" s="2" t="s">
        <v>2110</v>
      </c>
    </row>
    <row r="403" spans="1:2" ht="10.5" customHeight="1">
      <c r="A403" s="2" t="s">
        <v>660</v>
      </c>
      <c r="B403" s="2" t="s">
        <v>69</v>
      </c>
    </row>
    <row r="404" spans="1:2" ht="10.5" customHeight="1">
      <c r="A404" s="2" t="s">
        <v>106</v>
      </c>
      <c r="B404" s="2" t="s">
        <v>22</v>
      </c>
    </row>
    <row r="405" spans="1:2" ht="10.5" customHeight="1">
      <c r="A405" s="2" t="s">
        <v>682</v>
      </c>
      <c r="B405" s="2" t="s">
        <v>69</v>
      </c>
    </row>
    <row r="406" spans="1:2" ht="10.5" customHeight="1">
      <c r="A406" s="2" t="s">
        <v>1237</v>
      </c>
      <c r="B406" s="2" t="s">
        <v>22</v>
      </c>
    </row>
    <row r="407" spans="1:2" ht="10.5" customHeight="1">
      <c r="A407" s="2" t="s">
        <v>901</v>
      </c>
      <c r="B407" s="2" t="s">
        <v>22</v>
      </c>
    </row>
    <row r="408" spans="1:2" ht="10.5" customHeight="1">
      <c r="A408" s="2" t="s">
        <v>1515</v>
      </c>
      <c r="B408" s="2" t="s">
        <v>22</v>
      </c>
    </row>
    <row r="409" spans="1:2" ht="10.5" customHeight="1">
      <c r="A409" s="2" t="s">
        <v>2153</v>
      </c>
      <c r="B409" s="2" t="s">
        <v>2110</v>
      </c>
    </row>
    <row r="410" spans="1:2" ht="10.5" customHeight="1">
      <c r="A410" s="2" t="s">
        <v>619</v>
      </c>
      <c r="B410" s="2" t="s">
        <v>22</v>
      </c>
    </row>
    <row r="411" spans="1:2" ht="10.5" customHeight="1">
      <c r="A411" s="2" t="s">
        <v>990</v>
      </c>
      <c r="B411" s="2" t="s">
        <v>22</v>
      </c>
    </row>
    <row r="412" spans="1:2" ht="10.5" customHeight="1">
      <c r="A412" s="2" t="s">
        <v>36</v>
      </c>
      <c r="B412" s="2" t="s">
        <v>22</v>
      </c>
    </row>
    <row r="413" spans="1:2" ht="10.5" customHeight="1">
      <c r="A413" s="2" t="s">
        <v>1352</v>
      </c>
      <c r="B413" s="2" t="s">
        <v>22</v>
      </c>
    </row>
    <row r="414" spans="1:2" ht="10.5" customHeight="1">
      <c r="A414" s="2" t="s">
        <v>919</v>
      </c>
      <c r="B414" s="2" t="s">
        <v>22</v>
      </c>
    </row>
    <row r="415" spans="1:2" ht="10.5" customHeight="1">
      <c r="A415" s="2" t="s">
        <v>1384</v>
      </c>
      <c r="B415" s="2" t="s">
        <v>69</v>
      </c>
    </row>
    <row r="416" spans="1:2" ht="10.5" customHeight="1">
      <c r="A416" s="2" t="s">
        <v>1791</v>
      </c>
      <c r="B416" s="2" t="s">
        <v>22</v>
      </c>
    </row>
    <row r="417" spans="1:2" ht="10.5" customHeight="1">
      <c r="A417" s="2" t="s">
        <v>2026</v>
      </c>
      <c r="B417" s="2" t="s">
        <v>22</v>
      </c>
    </row>
    <row r="418" spans="1:2" ht="10.5" customHeight="1">
      <c r="A418" s="2" t="s">
        <v>1667</v>
      </c>
      <c r="B418" s="2" t="s">
        <v>22</v>
      </c>
    </row>
    <row r="419" spans="1:2" ht="10.5" customHeight="1">
      <c r="A419" s="2" t="s">
        <v>2066</v>
      </c>
      <c r="B419" s="2" t="s">
        <v>22</v>
      </c>
    </row>
    <row r="420" spans="1:2" ht="10.5" customHeight="1">
      <c r="A420" s="2" t="s">
        <v>1033</v>
      </c>
      <c r="B420" s="2" t="s">
        <v>22</v>
      </c>
    </row>
    <row r="421" spans="1:2" ht="10.5" customHeight="1">
      <c r="A421" s="2" t="s">
        <v>1235</v>
      </c>
      <c r="B421" s="2" t="s">
        <v>69</v>
      </c>
    </row>
    <row r="422" spans="1:2" ht="10.5" customHeight="1">
      <c r="A422" s="2" t="s">
        <v>967</v>
      </c>
      <c r="B422" s="2" t="s">
        <v>69</v>
      </c>
    </row>
    <row r="423" spans="1:2" ht="10.5" customHeight="1">
      <c r="A423" s="2" t="s">
        <v>276</v>
      </c>
      <c r="B423" s="2" t="s">
        <v>22</v>
      </c>
    </row>
    <row r="424" spans="1:2" ht="10.5" customHeight="1">
      <c r="A424" s="2" t="s">
        <v>1700</v>
      </c>
      <c r="B424" s="2" t="s">
        <v>22</v>
      </c>
    </row>
    <row r="425" spans="1:2" ht="10.5" customHeight="1">
      <c r="A425" s="2" t="s">
        <v>1973</v>
      </c>
      <c r="B425" s="2" t="s">
        <v>22</v>
      </c>
    </row>
    <row r="426" spans="1:2" ht="10.5" customHeight="1">
      <c r="A426" s="2" t="s">
        <v>1915</v>
      </c>
      <c r="B426" s="2" t="s">
        <v>69</v>
      </c>
    </row>
    <row r="427" spans="1:2" ht="10.5" customHeight="1">
      <c r="A427" s="2" t="s">
        <v>1840</v>
      </c>
      <c r="B427" s="2" t="s">
        <v>22</v>
      </c>
    </row>
    <row r="428" spans="1:2" ht="10.5" customHeight="1">
      <c r="A428" s="2" t="s">
        <v>1165</v>
      </c>
      <c r="B428" s="2" t="s">
        <v>22</v>
      </c>
    </row>
    <row r="429" spans="1:2" ht="10.5" customHeight="1">
      <c r="A429" s="2" t="s">
        <v>602</v>
      </c>
      <c r="B429" s="2" t="s">
        <v>22</v>
      </c>
    </row>
    <row r="430" spans="1:2" ht="10.5" customHeight="1">
      <c r="A430" s="2" t="s">
        <v>2033</v>
      </c>
      <c r="B430" s="2" t="s">
        <v>22</v>
      </c>
    </row>
    <row r="431" spans="1:2" ht="10.5" customHeight="1">
      <c r="A431" s="2" t="s">
        <v>935</v>
      </c>
      <c r="B431" s="2" t="s">
        <v>69</v>
      </c>
    </row>
    <row r="432" spans="1:2" ht="10.5" customHeight="1">
      <c r="A432" s="2" t="s">
        <v>759</v>
      </c>
      <c r="B432" s="2" t="s">
        <v>69</v>
      </c>
    </row>
    <row r="433" spans="1:2" ht="10.5" customHeight="1">
      <c r="A433" s="2" t="s">
        <v>1176</v>
      </c>
      <c r="B433" s="2" t="s">
        <v>22</v>
      </c>
    </row>
    <row r="434" spans="1:2" ht="10.5" customHeight="1">
      <c r="A434" s="2" t="s">
        <v>203</v>
      </c>
      <c r="B434" s="2" t="s">
        <v>22</v>
      </c>
    </row>
    <row r="435" spans="1:2" ht="10.5" customHeight="1">
      <c r="A435" s="2" t="s">
        <v>862</v>
      </c>
      <c r="B435" s="2" t="s">
        <v>115</v>
      </c>
    </row>
    <row r="436" spans="1:2" ht="10.5" customHeight="1">
      <c r="A436" s="2" t="s">
        <v>1233</v>
      </c>
      <c r="B436" s="2" t="s">
        <v>22</v>
      </c>
    </row>
    <row r="437" spans="1:2" ht="10.5" customHeight="1">
      <c r="A437" s="2" t="s">
        <v>1423</v>
      </c>
      <c r="B437" s="2" t="s">
        <v>69</v>
      </c>
    </row>
    <row r="438" spans="1:2" ht="10.5" customHeight="1">
      <c r="A438" s="2" t="s">
        <v>1526</v>
      </c>
      <c r="B438" s="2" t="s">
        <v>22</v>
      </c>
    </row>
    <row r="439" spans="1:2" ht="10.5" customHeight="1">
      <c r="A439" s="2" t="s">
        <v>564</v>
      </c>
      <c r="B439" s="2" t="s">
        <v>22</v>
      </c>
    </row>
    <row r="440" spans="1:2" ht="10.5" customHeight="1">
      <c r="A440" s="2" t="s">
        <v>756</v>
      </c>
      <c r="B440" s="2" t="s">
        <v>69</v>
      </c>
    </row>
    <row r="441" spans="1:2" ht="10.5" customHeight="1">
      <c r="A441" s="2" t="s">
        <v>1801</v>
      </c>
      <c r="B441" s="2" t="s">
        <v>22</v>
      </c>
    </row>
    <row r="442" spans="1:2" ht="10.5" customHeight="1">
      <c r="A442" s="2" t="s">
        <v>1285</v>
      </c>
      <c r="B442" s="2" t="s">
        <v>115</v>
      </c>
    </row>
    <row r="443" spans="1:2" ht="10.5" customHeight="1">
      <c r="A443" s="2" t="s">
        <v>905</v>
      </c>
      <c r="B443" s="2" t="s">
        <v>22</v>
      </c>
    </row>
    <row r="444" spans="1:2" ht="10.5" customHeight="1">
      <c r="A444" s="2" t="s">
        <v>1194</v>
      </c>
      <c r="B444" s="2" t="s">
        <v>22</v>
      </c>
    </row>
    <row r="445" spans="1:2" ht="10.5" customHeight="1">
      <c r="A445" s="2" t="s">
        <v>635</v>
      </c>
      <c r="B445" s="2" t="s">
        <v>22</v>
      </c>
    </row>
    <row r="446" spans="1:2" ht="10.5" customHeight="1">
      <c r="A446" s="2" t="s">
        <v>943</v>
      </c>
      <c r="B446" s="2" t="s">
        <v>22</v>
      </c>
    </row>
    <row r="447" spans="1:2" ht="10.5" customHeight="1">
      <c r="A447" s="2" t="s">
        <v>1931</v>
      </c>
      <c r="B447" s="2" t="s">
        <v>22</v>
      </c>
    </row>
    <row r="448" spans="1:2" ht="10.5" customHeight="1">
      <c r="A448" s="2" t="s">
        <v>2337</v>
      </c>
      <c r="B448" s="2" t="s">
        <v>2110</v>
      </c>
    </row>
    <row r="449" spans="1:2" ht="10.5" customHeight="1">
      <c r="A449" s="2" t="s">
        <v>1954</v>
      </c>
      <c r="B449" s="2" t="s">
        <v>22</v>
      </c>
    </row>
    <row r="450" spans="1:2" ht="10.5" customHeight="1">
      <c r="A450" s="2" t="s">
        <v>1212</v>
      </c>
      <c r="B450" s="2" t="s">
        <v>22</v>
      </c>
    </row>
    <row r="451" spans="1:2" ht="10.5" customHeight="1">
      <c r="A451" s="2" t="s">
        <v>1222</v>
      </c>
      <c r="B451" s="2" t="s">
        <v>22</v>
      </c>
    </row>
    <row r="452" spans="1:2" ht="10.5" customHeight="1">
      <c r="A452" s="2" t="s">
        <v>681</v>
      </c>
      <c r="B452" s="2" t="s">
        <v>22</v>
      </c>
    </row>
    <row r="453" spans="1:2" ht="10.5" customHeight="1">
      <c r="A453" s="2" t="s">
        <v>136</v>
      </c>
      <c r="B453" s="2" t="s">
        <v>69</v>
      </c>
    </row>
    <row r="454" spans="1:2" ht="10.5" customHeight="1">
      <c r="A454" s="2" t="s">
        <v>570</v>
      </c>
      <c r="B454" s="2" t="s">
        <v>22</v>
      </c>
    </row>
    <row r="455" spans="1:2" ht="10.5" customHeight="1">
      <c r="A455" s="2" t="s">
        <v>2127</v>
      </c>
      <c r="B455" s="2" t="s">
        <v>22</v>
      </c>
    </row>
    <row r="456" spans="1:2" ht="10.5" customHeight="1">
      <c r="A456" s="2" t="s">
        <v>317</v>
      </c>
      <c r="B456" s="2" t="s">
        <v>115</v>
      </c>
    </row>
    <row r="457" spans="1:2" ht="10.5" customHeight="1">
      <c r="A457" s="2" t="s">
        <v>1622</v>
      </c>
      <c r="B457" s="2" t="s">
        <v>22</v>
      </c>
    </row>
    <row r="458" spans="1:2" ht="10.5" customHeight="1">
      <c r="A458" s="2" t="s">
        <v>1199</v>
      </c>
      <c r="B458" s="2" t="s">
        <v>69</v>
      </c>
    </row>
    <row r="459" spans="1:2" ht="10.5" customHeight="1">
      <c r="A459" s="2" t="s">
        <v>699</v>
      </c>
      <c r="B459" s="2" t="s">
        <v>22</v>
      </c>
    </row>
    <row r="460" spans="1:2" ht="10.5" customHeight="1">
      <c r="A460" s="2" t="s">
        <v>1690</v>
      </c>
      <c r="B460" s="2" t="s">
        <v>22</v>
      </c>
    </row>
    <row r="461" spans="1:2" ht="10.5" customHeight="1">
      <c r="A461" s="2" t="s">
        <v>2141</v>
      </c>
      <c r="B461" s="2" t="s">
        <v>22</v>
      </c>
    </row>
    <row r="462" spans="1:2" ht="10.5" customHeight="1">
      <c r="A462" s="2" t="s">
        <v>1555</v>
      </c>
      <c r="B462" s="2" t="s">
        <v>22</v>
      </c>
    </row>
    <row r="463" spans="1:2" ht="10.5" customHeight="1">
      <c r="A463" s="2" t="s">
        <v>1090</v>
      </c>
      <c r="B463" s="2" t="s">
        <v>22</v>
      </c>
    </row>
    <row r="464" spans="1:2" ht="10.5" customHeight="1">
      <c r="A464" s="2" t="s">
        <v>1867</v>
      </c>
      <c r="B464" s="2" t="s">
        <v>22</v>
      </c>
    </row>
    <row r="465" spans="1:2" ht="10.5" customHeight="1">
      <c r="A465" s="2" t="s">
        <v>1111</v>
      </c>
      <c r="B465" s="2" t="s">
        <v>69</v>
      </c>
    </row>
    <row r="466" spans="1:2" ht="10.5" customHeight="1">
      <c r="A466" s="2" t="s">
        <v>193</v>
      </c>
      <c r="B466" s="2" t="s">
        <v>22</v>
      </c>
    </row>
    <row r="467" spans="1:2" ht="10.5" customHeight="1">
      <c r="A467" s="2" t="s">
        <v>2325</v>
      </c>
      <c r="B467" s="2" t="s">
        <v>22</v>
      </c>
    </row>
    <row r="468" spans="1:2" ht="10.5" customHeight="1">
      <c r="A468" s="2" t="s">
        <v>2268</v>
      </c>
      <c r="B468" s="2" t="s">
        <v>22</v>
      </c>
    </row>
    <row r="469" spans="1:2" ht="10.5" customHeight="1">
      <c r="A469" s="2" t="s">
        <v>1797</v>
      </c>
      <c r="B469" s="2" t="s">
        <v>22</v>
      </c>
    </row>
    <row r="470" spans="1:2" ht="10.5" customHeight="1">
      <c r="A470" s="2" t="s">
        <v>1949</v>
      </c>
      <c r="B470" s="2" t="s">
        <v>69</v>
      </c>
    </row>
    <row r="471" spans="1:2" ht="10.5" customHeight="1">
      <c r="A471" s="2" t="s">
        <v>1428</v>
      </c>
      <c r="B471" s="2" t="s">
        <v>22</v>
      </c>
    </row>
    <row r="472" spans="1:2" ht="10.5" customHeight="1">
      <c r="A472" s="2" t="s">
        <v>584</v>
      </c>
      <c r="B472" s="2" t="s">
        <v>22</v>
      </c>
    </row>
    <row r="473" spans="1:2" ht="10.5" customHeight="1">
      <c r="A473" s="2" t="s">
        <v>1937</v>
      </c>
      <c r="B473" s="2" t="s">
        <v>22</v>
      </c>
    </row>
    <row r="474" spans="1:2" ht="10.5" customHeight="1">
      <c r="A474" s="2" t="s">
        <v>1362</v>
      </c>
      <c r="B474" s="2" t="s">
        <v>22</v>
      </c>
    </row>
    <row r="475" spans="1:2" ht="10.5" customHeight="1">
      <c r="A475" s="2" t="s">
        <v>1238</v>
      </c>
      <c r="B475" s="2" t="s">
        <v>22</v>
      </c>
    </row>
    <row r="476" spans="1:2" ht="10.5" customHeight="1">
      <c r="A476" s="2" t="s">
        <v>871</v>
      </c>
      <c r="B476" s="2" t="s">
        <v>22</v>
      </c>
    </row>
    <row r="477" spans="1:2" ht="10.5" customHeight="1">
      <c r="A477" s="2" t="s">
        <v>2023</v>
      </c>
      <c r="B477" s="2" t="s">
        <v>22</v>
      </c>
    </row>
    <row r="478" spans="1:2" ht="10.5" customHeight="1">
      <c r="A478" s="2" t="s">
        <v>1065</v>
      </c>
      <c r="B478" s="2" t="s">
        <v>22</v>
      </c>
    </row>
    <row r="479" spans="1:2" ht="10.5" customHeight="1">
      <c r="A479" s="2" t="s">
        <v>2284</v>
      </c>
      <c r="B479" s="2" t="s">
        <v>2110</v>
      </c>
    </row>
    <row r="480" spans="1:2" ht="10.5" customHeight="1">
      <c r="A480" s="2" t="s">
        <v>1064</v>
      </c>
      <c r="B480" s="2" t="s">
        <v>22</v>
      </c>
    </row>
    <row r="481" spans="1:2" ht="10.5" customHeight="1">
      <c r="A481" s="2" t="s">
        <v>1042</v>
      </c>
      <c r="B481" s="2" t="s">
        <v>69</v>
      </c>
    </row>
    <row r="482" spans="1:2" ht="10.5" customHeight="1">
      <c r="A482" s="2" t="s">
        <v>2007</v>
      </c>
      <c r="B482" s="2" t="s">
        <v>69</v>
      </c>
    </row>
    <row r="483" spans="1:2" ht="10.5" customHeight="1">
      <c r="A483" s="2" t="s">
        <v>1907</v>
      </c>
      <c r="B483" s="2" t="s">
        <v>69</v>
      </c>
    </row>
    <row r="484" spans="1:2" ht="10.5" customHeight="1">
      <c r="A484" s="2" t="s">
        <v>360</v>
      </c>
      <c r="B484" s="2" t="s">
        <v>22</v>
      </c>
    </row>
    <row r="485" spans="1:2" ht="10.5" customHeight="1">
      <c r="A485" s="2" t="s">
        <v>1679</v>
      </c>
      <c r="B485" s="2" t="s">
        <v>115</v>
      </c>
    </row>
    <row r="486" spans="1:2" ht="10.5" customHeight="1">
      <c r="A486" s="2" t="s">
        <v>2035</v>
      </c>
      <c r="B486" s="2" t="s">
        <v>22</v>
      </c>
    </row>
    <row r="487" spans="1:2" ht="10.5" customHeight="1">
      <c r="A487" s="2" t="s">
        <v>1132</v>
      </c>
      <c r="B487" s="2" t="s">
        <v>22</v>
      </c>
    </row>
    <row r="488" spans="1:2" ht="10.5" customHeight="1">
      <c r="A488" s="2" t="s">
        <v>1589</v>
      </c>
      <c r="B488" s="2" t="s">
        <v>22</v>
      </c>
    </row>
    <row r="489" spans="1:2" ht="10.5" customHeight="1">
      <c r="A489" s="2" t="s">
        <v>1776</v>
      </c>
      <c r="B489" s="2" t="s">
        <v>22</v>
      </c>
    </row>
    <row r="490" spans="1:2" ht="10.5" customHeight="1">
      <c r="A490" s="2" t="s">
        <v>1596</v>
      </c>
      <c r="B490" s="2" t="s">
        <v>22</v>
      </c>
    </row>
    <row r="491" spans="1:2" ht="10.5" customHeight="1">
      <c r="A491" s="2" t="s">
        <v>1873</v>
      </c>
      <c r="B491" s="2" t="s">
        <v>115</v>
      </c>
    </row>
    <row r="492" spans="1:2" ht="10.5" customHeight="1">
      <c r="A492" s="2" t="s">
        <v>1638</v>
      </c>
      <c r="B492" s="2" t="s">
        <v>69</v>
      </c>
    </row>
    <row r="493" spans="1:2" ht="10.5" customHeight="1">
      <c r="A493" s="2" t="s">
        <v>1605</v>
      </c>
      <c r="B493" s="2" t="s">
        <v>22</v>
      </c>
    </row>
    <row r="494" spans="1:2" ht="10.5" customHeight="1">
      <c r="A494" s="2" t="s">
        <v>864</v>
      </c>
      <c r="B494" s="2" t="s">
        <v>22</v>
      </c>
    </row>
    <row r="495" spans="1:2" ht="10.5" customHeight="1">
      <c r="A495" s="2" t="s">
        <v>1106</v>
      </c>
      <c r="B495" s="2" t="s">
        <v>69</v>
      </c>
    </row>
    <row r="496" spans="1:2" ht="10.5" customHeight="1">
      <c r="A496" s="2" t="s">
        <v>1287</v>
      </c>
      <c r="B496" s="2" t="s">
        <v>69</v>
      </c>
    </row>
    <row r="497" spans="1:2" ht="10.5" customHeight="1">
      <c r="A497" s="2" t="s">
        <v>1279</v>
      </c>
      <c r="B497" s="2" t="s">
        <v>22</v>
      </c>
    </row>
    <row r="498" spans="1:2" ht="10.5" customHeight="1">
      <c r="A498" s="2" t="s">
        <v>1498</v>
      </c>
      <c r="B498" s="2" t="s">
        <v>69</v>
      </c>
    </row>
    <row r="499" spans="1:2" ht="10.5" customHeight="1">
      <c r="A499" s="2" t="s">
        <v>151</v>
      </c>
      <c r="B499" s="2" t="s">
        <v>22</v>
      </c>
    </row>
    <row r="500" spans="1:2" ht="10.5" customHeight="1">
      <c r="A500" s="2" t="s">
        <v>2118</v>
      </c>
      <c r="B500" s="2" t="s">
        <v>2107</v>
      </c>
    </row>
    <row r="501" spans="1:2" ht="10.5" customHeight="1">
      <c r="A501" s="2" t="s">
        <v>1309</v>
      </c>
      <c r="B501" s="2" t="s">
        <v>22</v>
      </c>
    </row>
    <row r="502" spans="1:2" ht="10.5" customHeight="1">
      <c r="A502" s="2" t="s">
        <v>1693</v>
      </c>
      <c r="B502" s="2" t="s">
        <v>22</v>
      </c>
    </row>
    <row r="503" spans="1:2" ht="10.5" customHeight="1">
      <c r="A503" s="2" t="s">
        <v>1618</v>
      </c>
      <c r="B503" s="2" t="s">
        <v>22</v>
      </c>
    </row>
    <row r="504" spans="1:2" ht="10.5" customHeight="1">
      <c r="A504" s="2" t="s">
        <v>219</v>
      </c>
      <c r="B504" s="2" t="s">
        <v>115</v>
      </c>
    </row>
    <row r="505" spans="1:2" ht="10.5" customHeight="1">
      <c r="A505" s="2" t="s">
        <v>624</v>
      </c>
      <c r="B505" s="2" t="s">
        <v>22</v>
      </c>
    </row>
    <row r="506" spans="1:2" ht="10.5" customHeight="1">
      <c r="A506" s="2" t="s">
        <v>1616</v>
      </c>
      <c r="B506" s="2" t="s">
        <v>69</v>
      </c>
    </row>
    <row r="507" spans="1:2" ht="10.5" customHeight="1">
      <c r="A507" s="2" t="s">
        <v>2075</v>
      </c>
      <c r="B507" s="2" t="s">
        <v>22</v>
      </c>
    </row>
    <row r="508" spans="1:2" ht="10.5" customHeight="1">
      <c r="A508" s="2" t="s">
        <v>1201</v>
      </c>
      <c r="B508" s="2" t="s">
        <v>22</v>
      </c>
    </row>
    <row r="509" spans="1:2" ht="10.5" customHeight="1">
      <c r="A509" s="2" t="s">
        <v>882</v>
      </c>
      <c r="B509" s="2" t="s">
        <v>22</v>
      </c>
    </row>
    <row r="510" spans="1:2" ht="10.5" customHeight="1">
      <c r="A510" s="2" t="s">
        <v>878</v>
      </c>
      <c r="B510" s="2" t="s">
        <v>22</v>
      </c>
    </row>
    <row r="511" spans="1:2" ht="10.5" customHeight="1">
      <c r="A511" s="2" t="s">
        <v>462</v>
      </c>
      <c r="B511" s="2" t="s">
        <v>69</v>
      </c>
    </row>
    <row r="512" spans="1:2" ht="10.5" customHeight="1">
      <c r="A512" s="2" t="s">
        <v>622</v>
      </c>
      <c r="B512" s="2" t="s">
        <v>22</v>
      </c>
    </row>
    <row r="513" spans="1:2" ht="10.5" customHeight="1">
      <c r="A513" s="2" t="s">
        <v>851</v>
      </c>
      <c r="B513" s="2" t="s">
        <v>22</v>
      </c>
    </row>
    <row r="514" spans="1:2" ht="10.5" customHeight="1">
      <c r="A514" s="2" t="s">
        <v>596</v>
      </c>
      <c r="B514" s="2" t="s">
        <v>22</v>
      </c>
    </row>
    <row r="515" spans="1:2" ht="10.5" customHeight="1">
      <c r="A515" s="2" t="s">
        <v>1293</v>
      </c>
      <c r="B515" s="2" t="s">
        <v>22</v>
      </c>
    </row>
    <row r="516" spans="1:2" ht="10.5" customHeight="1">
      <c r="A516" s="2" t="s">
        <v>658</v>
      </c>
      <c r="B516" s="2" t="s">
        <v>22</v>
      </c>
    </row>
    <row r="517" spans="1:2" ht="10.5" customHeight="1">
      <c r="A517" s="2" t="s">
        <v>1950</v>
      </c>
      <c r="B517" s="2" t="s">
        <v>22</v>
      </c>
    </row>
    <row r="518" spans="1:2" ht="10.5" customHeight="1">
      <c r="A518" s="2" t="s">
        <v>1168</v>
      </c>
      <c r="B518" s="2" t="s">
        <v>22</v>
      </c>
    </row>
    <row r="519" spans="1:2" ht="10.5" customHeight="1">
      <c r="A519" s="2" t="s">
        <v>1714</v>
      </c>
      <c r="B519" s="2" t="s">
        <v>22</v>
      </c>
    </row>
    <row r="520" spans="1:2" ht="10.5" customHeight="1">
      <c r="A520" s="2" t="s">
        <v>453</v>
      </c>
      <c r="B520" s="2" t="s">
        <v>22</v>
      </c>
    </row>
    <row r="521" spans="1:2" ht="10.5" customHeight="1">
      <c r="A521" s="2" t="s">
        <v>855</v>
      </c>
      <c r="B521" s="2" t="s">
        <v>22</v>
      </c>
    </row>
    <row r="522" spans="1:2" ht="10.5" customHeight="1">
      <c r="A522" s="2" t="s">
        <v>225</v>
      </c>
      <c r="B522" s="2" t="s">
        <v>22</v>
      </c>
    </row>
    <row r="523" spans="1:2" ht="10.5" customHeight="1">
      <c r="A523" s="2" t="s">
        <v>366</v>
      </c>
      <c r="B523" s="2" t="s">
        <v>22</v>
      </c>
    </row>
    <row r="524" spans="1:2" ht="10.5" customHeight="1">
      <c r="A524" s="2" t="s">
        <v>1019</v>
      </c>
      <c r="B524" s="2" t="s">
        <v>22</v>
      </c>
    </row>
    <row r="525" spans="1:2" ht="10.5" customHeight="1">
      <c r="A525" s="2" t="s">
        <v>1246</v>
      </c>
      <c r="B525" s="2" t="s">
        <v>22</v>
      </c>
    </row>
    <row r="526" spans="1:2" ht="10.5" customHeight="1">
      <c r="A526" s="2" t="s">
        <v>1191</v>
      </c>
      <c r="B526" s="2" t="s">
        <v>22</v>
      </c>
    </row>
    <row r="527" spans="1:2" ht="10.5" customHeight="1">
      <c r="A527" s="2" t="s">
        <v>1153</v>
      </c>
      <c r="B527" s="2" t="s">
        <v>22</v>
      </c>
    </row>
    <row r="528" spans="1:2" ht="10.5" customHeight="1">
      <c r="A528" s="2" t="s">
        <v>2317</v>
      </c>
      <c r="B528" s="2" t="s">
        <v>22</v>
      </c>
    </row>
    <row r="529" spans="1:2" ht="10.5" customHeight="1">
      <c r="A529" s="2" t="s">
        <v>917</v>
      </c>
      <c r="B529" s="2" t="s">
        <v>69</v>
      </c>
    </row>
    <row r="530" spans="1:2" ht="10.5" customHeight="1">
      <c r="A530" s="2" t="s">
        <v>1288</v>
      </c>
      <c r="B530" s="2" t="s">
        <v>115</v>
      </c>
    </row>
    <row r="531" spans="1:2" ht="10.5" customHeight="1">
      <c r="A531" s="2" t="s">
        <v>1474</v>
      </c>
      <c r="B531" s="2" t="s">
        <v>22</v>
      </c>
    </row>
    <row r="532" spans="1:2" ht="10.5" customHeight="1">
      <c r="A532" s="2" t="s">
        <v>1038</v>
      </c>
      <c r="B532" s="2" t="s">
        <v>22</v>
      </c>
    </row>
    <row r="533" spans="1:2" ht="10.5" customHeight="1">
      <c r="A533" s="2" t="s">
        <v>1561</v>
      </c>
      <c r="B533" s="2" t="s">
        <v>22</v>
      </c>
    </row>
    <row r="534" spans="1:2" ht="10.5" customHeight="1">
      <c r="A534" s="2" t="s">
        <v>309</v>
      </c>
      <c r="B534" s="2" t="s">
        <v>22</v>
      </c>
    </row>
    <row r="535" spans="1:2" ht="10.5" customHeight="1">
      <c r="A535" s="2" t="s">
        <v>1021</v>
      </c>
      <c r="B535" s="2" t="s">
        <v>22</v>
      </c>
    </row>
    <row r="536" spans="1:2" ht="10.5" customHeight="1">
      <c r="A536" s="2" t="s">
        <v>643</v>
      </c>
      <c r="B536" s="2" t="s">
        <v>22</v>
      </c>
    </row>
    <row r="537" spans="1:2" ht="10.5" customHeight="1">
      <c r="A537" s="2" t="s">
        <v>752</v>
      </c>
      <c r="B537" s="2" t="s">
        <v>22</v>
      </c>
    </row>
    <row r="538" spans="1:2" ht="10.5" customHeight="1">
      <c r="A538" s="2" t="s">
        <v>1396</v>
      </c>
      <c r="B538" s="2" t="s">
        <v>69</v>
      </c>
    </row>
    <row r="539" spans="1:2" ht="10.5" customHeight="1">
      <c r="A539" s="2" t="s">
        <v>664</v>
      </c>
      <c r="B539" s="2" t="s">
        <v>22</v>
      </c>
    </row>
    <row r="540" spans="1:2" ht="10.5" customHeight="1">
      <c r="A540" s="2" t="s">
        <v>718</v>
      </c>
      <c r="B540" s="2" t="s">
        <v>22</v>
      </c>
    </row>
    <row r="541" spans="1:2" ht="10.5" customHeight="1">
      <c r="A541" s="2" t="s">
        <v>2225</v>
      </c>
      <c r="B541" s="2" t="s">
        <v>22</v>
      </c>
    </row>
    <row r="542" spans="1:2" ht="10.5" customHeight="1">
      <c r="A542" s="2" t="s">
        <v>576</v>
      </c>
      <c r="B542" s="2" t="s">
        <v>22</v>
      </c>
    </row>
    <row r="543" spans="1:2" ht="10.5" customHeight="1">
      <c r="A543" s="2" t="s">
        <v>737</v>
      </c>
      <c r="B543" s="2" t="s">
        <v>22</v>
      </c>
    </row>
    <row r="544" spans="1:2" ht="10.5" customHeight="1">
      <c r="A544" s="2" t="s">
        <v>138</v>
      </c>
      <c r="B544" s="2" t="s">
        <v>69</v>
      </c>
    </row>
    <row r="545" spans="1:2" ht="10.5" customHeight="1">
      <c r="A545" s="2" t="s">
        <v>374</v>
      </c>
      <c r="B545" s="2" t="s">
        <v>115</v>
      </c>
    </row>
    <row r="546" spans="1:2" ht="10.5" customHeight="1">
      <c r="A546" s="2" t="s">
        <v>2197</v>
      </c>
      <c r="B546" s="2" t="s">
        <v>22</v>
      </c>
    </row>
    <row r="547" spans="1:2" ht="10.5" customHeight="1">
      <c r="A547" s="2" t="s">
        <v>962</v>
      </c>
      <c r="B547" s="2" t="s">
        <v>69</v>
      </c>
    </row>
    <row r="548" spans="1:2" ht="10.5" customHeight="1">
      <c r="A548" s="2" t="s">
        <v>1988</v>
      </c>
      <c r="B548" s="2" t="s">
        <v>69</v>
      </c>
    </row>
    <row r="549" spans="1:2" ht="10.5" customHeight="1">
      <c r="A549" s="2" t="s">
        <v>623</v>
      </c>
      <c r="B549" s="2" t="s">
        <v>22</v>
      </c>
    </row>
    <row r="550" spans="1:2" ht="10.5" customHeight="1">
      <c r="A550" s="2" t="s">
        <v>1472</v>
      </c>
      <c r="B550" s="2" t="s">
        <v>22</v>
      </c>
    </row>
    <row r="551" spans="1:2" ht="10.5" customHeight="1">
      <c r="A551" s="2" t="s">
        <v>1978</v>
      </c>
      <c r="B551" s="2" t="s">
        <v>22</v>
      </c>
    </row>
    <row r="552" spans="1:2" ht="10.5" customHeight="1">
      <c r="A552" s="2" t="s">
        <v>1161</v>
      </c>
      <c r="B552" s="2" t="s">
        <v>22</v>
      </c>
    </row>
    <row r="553" spans="1:2" ht="10.5" customHeight="1">
      <c r="A553" s="2" t="s">
        <v>2238</v>
      </c>
      <c r="B553" s="2" t="s">
        <v>22</v>
      </c>
    </row>
    <row r="554" spans="1:2" ht="10.5" customHeight="1">
      <c r="A554" s="2" t="s">
        <v>2347</v>
      </c>
      <c r="B554" s="2" t="s">
        <v>2107</v>
      </c>
    </row>
    <row r="555" spans="1:2" ht="10.5" customHeight="1">
      <c r="A555" s="2" t="s">
        <v>1678</v>
      </c>
      <c r="B555" s="2" t="s">
        <v>69</v>
      </c>
    </row>
    <row r="556" spans="1:2" ht="10.5" customHeight="1">
      <c r="A556" s="2" t="s">
        <v>2311</v>
      </c>
      <c r="B556" s="2" t="s">
        <v>2110</v>
      </c>
    </row>
    <row r="557" spans="1:2" ht="10.5" customHeight="1">
      <c r="A557" s="2" t="s">
        <v>923</v>
      </c>
      <c r="B557" s="2" t="s">
        <v>22</v>
      </c>
    </row>
    <row r="558" spans="1:2" ht="10.5" customHeight="1">
      <c r="A558" s="2" t="s">
        <v>2138</v>
      </c>
      <c r="B558" s="2" t="s">
        <v>2107</v>
      </c>
    </row>
    <row r="559" spans="1:2" ht="10.5" customHeight="1">
      <c r="A559" s="2" t="s">
        <v>2120</v>
      </c>
      <c r="B559" s="2" t="s">
        <v>22</v>
      </c>
    </row>
    <row r="560" spans="1:2" ht="10.5" customHeight="1">
      <c r="A560" s="2" t="s">
        <v>78</v>
      </c>
      <c r="B560" s="2" t="s">
        <v>22</v>
      </c>
    </row>
    <row r="561" spans="1:2" ht="10.5" customHeight="1">
      <c r="A561" s="2" t="s">
        <v>1903</v>
      </c>
      <c r="B561" s="2" t="s">
        <v>22</v>
      </c>
    </row>
    <row r="562" spans="1:2" ht="10.5" customHeight="1">
      <c r="A562" s="2" t="s">
        <v>2090</v>
      </c>
      <c r="B562" s="2" t="s">
        <v>22</v>
      </c>
    </row>
    <row r="563" spans="1:2" ht="10.5" customHeight="1">
      <c r="A563" s="2" t="s">
        <v>180</v>
      </c>
      <c r="B563" s="2" t="s">
        <v>22</v>
      </c>
    </row>
    <row r="564" spans="1:2" ht="10.5" customHeight="1">
      <c r="A564" s="2" t="s">
        <v>2231</v>
      </c>
      <c r="B564" s="2" t="s">
        <v>22</v>
      </c>
    </row>
    <row r="565" spans="1:2" ht="10.5" customHeight="1">
      <c r="A565" s="2" t="s">
        <v>777</v>
      </c>
      <c r="B565" s="2" t="s">
        <v>115</v>
      </c>
    </row>
    <row r="566" spans="1:2" ht="10.5" customHeight="1">
      <c r="A566" s="2" t="s">
        <v>1376</v>
      </c>
      <c r="B566" s="2" t="s">
        <v>22</v>
      </c>
    </row>
    <row r="567" spans="1:2" ht="10.5" customHeight="1">
      <c r="A567" s="2" t="s">
        <v>749</v>
      </c>
      <c r="B567" s="2" t="s">
        <v>22</v>
      </c>
    </row>
    <row r="568" spans="1:2" ht="10.5" customHeight="1">
      <c r="A568" s="2" t="s">
        <v>2201</v>
      </c>
      <c r="B568" s="2" t="s">
        <v>22</v>
      </c>
    </row>
    <row r="569" spans="1:2" ht="10.5" customHeight="1">
      <c r="A569" s="2" t="s">
        <v>2046</v>
      </c>
      <c r="B569" s="2" t="s">
        <v>22</v>
      </c>
    </row>
    <row r="570" spans="1:2" ht="10.5" customHeight="1">
      <c r="A570" s="2" t="s">
        <v>981</v>
      </c>
      <c r="B570" s="2" t="s">
        <v>115</v>
      </c>
    </row>
    <row r="571" spans="1:2" ht="10.5" customHeight="1">
      <c r="A571" s="2" t="s">
        <v>1728</v>
      </c>
      <c r="B571" s="2" t="s">
        <v>22</v>
      </c>
    </row>
    <row r="572" spans="1:2" ht="10.5" customHeight="1">
      <c r="A572" s="2" t="s">
        <v>1759</v>
      </c>
      <c r="B572" s="2" t="s">
        <v>22</v>
      </c>
    </row>
    <row r="573" spans="1:2" ht="10.5" customHeight="1">
      <c r="A573" s="2" t="s">
        <v>2119</v>
      </c>
      <c r="B573" s="2" t="s">
        <v>22</v>
      </c>
    </row>
    <row r="574" spans="1:2" ht="10.5" customHeight="1">
      <c r="A574" s="2" t="s">
        <v>804</v>
      </c>
      <c r="B574" s="2" t="s">
        <v>22</v>
      </c>
    </row>
    <row r="575" spans="1:2" ht="10.5" customHeight="1">
      <c r="A575" s="2" t="s">
        <v>1117</v>
      </c>
      <c r="B575" s="2" t="s">
        <v>22</v>
      </c>
    </row>
    <row r="576" spans="1:2" ht="10.5" customHeight="1">
      <c r="A576" s="2" t="s">
        <v>493</v>
      </c>
      <c r="B576" s="2" t="s">
        <v>115</v>
      </c>
    </row>
    <row r="577" spans="1:2" ht="10.5" customHeight="1">
      <c r="A577" s="2" t="s">
        <v>575</v>
      </c>
      <c r="B577" s="2" t="s">
        <v>69</v>
      </c>
    </row>
    <row r="578" spans="1:2" ht="10.5" customHeight="1">
      <c r="A578" s="2" t="s">
        <v>2058</v>
      </c>
      <c r="B578" s="2" t="s">
        <v>22</v>
      </c>
    </row>
    <row r="579" spans="1:2" ht="10.5" customHeight="1">
      <c r="A579" s="2" t="s">
        <v>1862</v>
      </c>
      <c r="B579" s="2" t="s">
        <v>22</v>
      </c>
    </row>
    <row r="580" spans="1:2" ht="10.5" customHeight="1">
      <c r="A580" s="2" t="s">
        <v>1627</v>
      </c>
      <c r="B580" s="2" t="s">
        <v>22</v>
      </c>
    </row>
    <row r="581" spans="1:2" ht="10.5" customHeight="1">
      <c r="A581" s="2" t="s">
        <v>642</v>
      </c>
      <c r="B581" s="2" t="s">
        <v>22</v>
      </c>
    </row>
    <row r="582" spans="1:2" ht="10.5" customHeight="1">
      <c r="A582" s="2" t="s">
        <v>2224</v>
      </c>
      <c r="B582" s="2" t="s">
        <v>115</v>
      </c>
    </row>
    <row r="583" spans="1:2" ht="10.5" customHeight="1">
      <c r="A583" s="2" t="s">
        <v>1647</v>
      </c>
      <c r="B583" s="2" t="s">
        <v>22</v>
      </c>
    </row>
    <row r="584" spans="1:2" ht="10.5" customHeight="1">
      <c r="A584" s="2" t="s">
        <v>2114</v>
      </c>
      <c r="B584" s="2" t="s">
        <v>22</v>
      </c>
    </row>
    <row r="585" spans="1:2" ht="10.5" customHeight="1">
      <c r="A585" s="2" t="s">
        <v>788</v>
      </c>
      <c r="B585" s="2" t="s">
        <v>22</v>
      </c>
    </row>
    <row r="586" spans="1:2" ht="10.5" customHeight="1">
      <c r="A586" s="2" t="s">
        <v>326</v>
      </c>
      <c r="B586" s="2" t="s">
        <v>22</v>
      </c>
    </row>
    <row r="587" spans="1:2" ht="10.5" customHeight="1">
      <c r="A587" s="2" t="s">
        <v>1086</v>
      </c>
      <c r="B587" s="2" t="s">
        <v>22</v>
      </c>
    </row>
    <row r="588" spans="1:2" ht="10.5" customHeight="1">
      <c r="A588" s="2" t="s">
        <v>1970</v>
      </c>
      <c r="B588" s="2" t="s">
        <v>22</v>
      </c>
    </row>
    <row r="589" spans="1:2" ht="10.5" customHeight="1">
      <c r="A589" s="2" t="s">
        <v>1171</v>
      </c>
      <c r="B589" s="2" t="s">
        <v>22</v>
      </c>
    </row>
    <row r="590" spans="1:2" ht="10.5" customHeight="1">
      <c r="A590" s="2" t="s">
        <v>459</v>
      </c>
      <c r="B590" s="2" t="s">
        <v>22</v>
      </c>
    </row>
    <row r="591" spans="1:2" ht="10.5" customHeight="1">
      <c r="A591" s="2" t="s">
        <v>946</v>
      </c>
      <c r="B591" s="2" t="s">
        <v>22</v>
      </c>
    </row>
    <row r="592" spans="1:2" ht="10.5" customHeight="1">
      <c r="A592" s="2" t="s">
        <v>801</v>
      </c>
      <c r="B592" s="2" t="s">
        <v>22</v>
      </c>
    </row>
    <row r="593" spans="1:2" ht="10.5" customHeight="1">
      <c r="A593" s="2" t="s">
        <v>1061</v>
      </c>
      <c r="B593" s="2" t="s">
        <v>22</v>
      </c>
    </row>
    <row r="594" spans="1:2" ht="10.5" customHeight="1">
      <c r="A594" s="2" t="s">
        <v>2342</v>
      </c>
      <c r="B594" s="2" t="s">
        <v>22</v>
      </c>
    </row>
    <row r="595" spans="1:2" ht="10.5" customHeight="1">
      <c r="A595" s="2" t="s">
        <v>1888</v>
      </c>
      <c r="B595" s="2" t="s">
        <v>22</v>
      </c>
    </row>
    <row r="596" spans="1:2" ht="10.5" customHeight="1">
      <c r="A596" s="2" t="s">
        <v>1713</v>
      </c>
      <c r="B596" s="2" t="s">
        <v>22</v>
      </c>
    </row>
    <row r="597" spans="1:2" ht="10.5" customHeight="1">
      <c r="A597" s="2" t="s">
        <v>1409</v>
      </c>
      <c r="B597" s="2" t="s">
        <v>22</v>
      </c>
    </row>
    <row r="598" spans="1:2" ht="10.5" customHeight="1">
      <c r="A598" s="2" t="s">
        <v>2076</v>
      </c>
      <c r="B598" s="2" t="s">
        <v>22</v>
      </c>
    </row>
    <row r="599" spans="1:2" ht="10.5" customHeight="1">
      <c r="A599" s="2" t="s">
        <v>2190</v>
      </c>
      <c r="B599" s="2" t="s">
        <v>22</v>
      </c>
    </row>
    <row r="600" spans="1:2" ht="10.5" customHeight="1">
      <c r="A600" s="2" t="s">
        <v>983</v>
      </c>
      <c r="B600" s="2" t="s">
        <v>22</v>
      </c>
    </row>
    <row r="601" spans="1:2" ht="10.5" customHeight="1">
      <c r="A601" s="2" t="s">
        <v>201</v>
      </c>
      <c r="B601" s="2" t="s">
        <v>22</v>
      </c>
    </row>
    <row r="602" spans="1:2" ht="10.5" customHeight="1">
      <c r="A602" s="2" t="s">
        <v>951</v>
      </c>
      <c r="B602" s="2" t="s">
        <v>22</v>
      </c>
    </row>
    <row r="603" spans="1:2" ht="10.5" customHeight="1">
      <c r="A603" s="2" t="s">
        <v>2132</v>
      </c>
      <c r="B603" s="2" t="s">
        <v>22</v>
      </c>
    </row>
    <row r="604" spans="1:2" ht="10.5" customHeight="1">
      <c r="A604" s="2" t="s">
        <v>1449</v>
      </c>
      <c r="B604" s="2" t="s">
        <v>22</v>
      </c>
    </row>
    <row r="605" spans="1:2" ht="10.5" customHeight="1">
      <c r="A605" s="2" t="s">
        <v>2015</v>
      </c>
      <c r="B605" s="2" t="s">
        <v>22</v>
      </c>
    </row>
    <row r="606" spans="1:2" ht="10.5" customHeight="1">
      <c r="A606" s="2" t="s">
        <v>1318</v>
      </c>
      <c r="B606" s="2" t="s">
        <v>22</v>
      </c>
    </row>
    <row r="607" spans="1:2" ht="10.5" customHeight="1">
      <c r="A607" s="2" t="s">
        <v>1443</v>
      </c>
      <c r="B607" s="2" t="s">
        <v>22</v>
      </c>
    </row>
    <row r="608" spans="1:2" ht="10.5" customHeight="1">
      <c r="A608" s="2" t="s">
        <v>1781</v>
      </c>
      <c r="B608" s="2" t="s">
        <v>22</v>
      </c>
    </row>
    <row r="609" spans="1:2" ht="10.5" customHeight="1">
      <c r="A609" s="2" t="s">
        <v>1370</v>
      </c>
      <c r="B609" s="2" t="s">
        <v>22</v>
      </c>
    </row>
    <row r="610" spans="1:2" ht="10.5" customHeight="1">
      <c r="A610" s="2" t="s">
        <v>1097</v>
      </c>
      <c r="B610" s="2" t="s">
        <v>22</v>
      </c>
    </row>
    <row r="611" spans="1:2" ht="10.5" customHeight="1">
      <c r="A611" s="2" t="s">
        <v>2324</v>
      </c>
      <c r="B611" s="2" t="s">
        <v>22</v>
      </c>
    </row>
    <row r="612" spans="1:2" ht="10.5" customHeight="1">
      <c r="A612" s="2" t="s">
        <v>2171</v>
      </c>
      <c r="B612" s="2" t="s">
        <v>2107</v>
      </c>
    </row>
    <row r="613" spans="1:2" ht="10.5" customHeight="1">
      <c r="A613" s="2" t="s">
        <v>282</v>
      </c>
      <c r="B613" s="2" t="s">
        <v>115</v>
      </c>
    </row>
    <row r="614" spans="1:2" ht="10.5" customHeight="1">
      <c r="A614" s="2" t="s">
        <v>1847</v>
      </c>
      <c r="B614" s="2" t="s">
        <v>69</v>
      </c>
    </row>
    <row r="615" spans="1:2" ht="10.5" customHeight="1">
      <c r="A615" s="2" t="s">
        <v>1031</v>
      </c>
      <c r="B615" s="2" t="s">
        <v>22</v>
      </c>
    </row>
    <row r="616" spans="1:2" ht="10.5" customHeight="1">
      <c r="A616" s="2" t="s">
        <v>2158</v>
      </c>
      <c r="B616" s="2" t="s">
        <v>2110</v>
      </c>
    </row>
    <row r="617" spans="1:2" ht="10.5" customHeight="1">
      <c r="A617" s="2" t="s">
        <v>916</v>
      </c>
      <c r="B617" s="2" t="s">
        <v>22</v>
      </c>
    </row>
    <row r="618" spans="1:2" ht="10.5" customHeight="1">
      <c r="A618" s="2" t="s">
        <v>2077</v>
      </c>
      <c r="B618" s="2" t="s">
        <v>22</v>
      </c>
    </row>
    <row r="619" spans="1:2" ht="10.5" customHeight="1">
      <c r="A619" s="2" t="s">
        <v>600</v>
      </c>
      <c r="B619" s="2" t="s">
        <v>22</v>
      </c>
    </row>
    <row r="620" spans="1:2" ht="10.5" customHeight="1">
      <c r="A620" s="2" t="s">
        <v>191</v>
      </c>
      <c r="B620" s="2" t="s">
        <v>22</v>
      </c>
    </row>
    <row r="621" spans="1:2" ht="10.5" customHeight="1">
      <c r="A621" s="2" t="s">
        <v>1351</v>
      </c>
      <c r="B621" s="2" t="s">
        <v>22</v>
      </c>
    </row>
    <row r="622" spans="1:2" ht="10.5" customHeight="1">
      <c r="A622" s="2" t="s">
        <v>1942</v>
      </c>
      <c r="B622" s="2" t="s">
        <v>22</v>
      </c>
    </row>
    <row r="623" spans="1:2" ht="10.5" customHeight="1">
      <c r="A623" s="2" t="s">
        <v>2184</v>
      </c>
      <c r="B623" s="2" t="s">
        <v>2110</v>
      </c>
    </row>
    <row r="624" spans="1:2" ht="10.5" customHeight="1">
      <c r="A624" s="2" t="s">
        <v>991</v>
      </c>
      <c r="B624" s="2" t="s">
        <v>22</v>
      </c>
    </row>
    <row r="625" spans="1:2" ht="10.5" customHeight="1">
      <c r="A625" s="2" t="s">
        <v>247</v>
      </c>
      <c r="B625" s="2" t="s">
        <v>22</v>
      </c>
    </row>
    <row r="626" spans="1:2" ht="10.5" customHeight="1">
      <c r="A626" s="2" t="s">
        <v>1457</v>
      </c>
      <c r="B626" s="2" t="s">
        <v>22</v>
      </c>
    </row>
    <row r="627" spans="1:2" ht="10.5" customHeight="1">
      <c r="A627" s="2" t="s">
        <v>2154</v>
      </c>
      <c r="B627" s="2" t="s">
        <v>22</v>
      </c>
    </row>
    <row r="628" spans="1:2" ht="10.5" customHeight="1">
      <c r="A628" s="2" t="s">
        <v>548</v>
      </c>
      <c r="B628" s="2" t="s">
        <v>22</v>
      </c>
    </row>
    <row r="629" spans="1:2" ht="10.5" customHeight="1">
      <c r="A629" s="2" t="s">
        <v>54</v>
      </c>
      <c r="B629" s="2" t="s">
        <v>22</v>
      </c>
    </row>
    <row r="630" spans="1:2" ht="10.5" customHeight="1">
      <c r="A630" s="2" t="s">
        <v>2319</v>
      </c>
      <c r="B630" s="2" t="s">
        <v>2110</v>
      </c>
    </row>
    <row r="631" spans="1:2" ht="10.5" customHeight="1">
      <c r="A631" s="2" t="s">
        <v>1633</v>
      </c>
      <c r="B631" s="2" t="s">
        <v>22</v>
      </c>
    </row>
    <row r="632" spans="1:2" ht="10.5" customHeight="1">
      <c r="A632" s="2" t="s">
        <v>2125</v>
      </c>
      <c r="B632" s="2" t="s">
        <v>22</v>
      </c>
    </row>
    <row r="633" spans="1:2" ht="10.5" customHeight="1">
      <c r="A633" s="2" t="s">
        <v>268</v>
      </c>
      <c r="B633" s="2" t="s">
        <v>22</v>
      </c>
    </row>
    <row r="634" spans="1:2" ht="10.5" customHeight="1">
      <c r="A634" s="2" t="s">
        <v>144</v>
      </c>
      <c r="B634" s="2" t="s">
        <v>22</v>
      </c>
    </row>
    <row r="635" spans="1:2" ht="10.5" customHeight="1">
      <c r="A635" s="2" t="s">
        <v>62</v>
      </c>
      <c r="B635" s="2" t="s">
        <v>22</v>
      </c>
    </row>
    <row r="636" spans="1:2" ht="10.5" customHeight="1">
      <c r="A636" s="2" t="s">
        <v>1785</v>
      </c>
      <c r="B636" s="2" t="s">
        <v>115</v>
      </c>
    </row>
    <row r="637" spans="1:2" ht="10.5" customHeight="1">
      <c r="A637" s="2" t="s">
        <v>1703</v>
      </c>
      <c r="B637" s="2" t="s">
        <v>22</v>
      </c>
    </row>
    <row r="638" spans="1:2" ht="10.5" customHeight="1">
      <c r="A638" s="2" t="s">
        <v>1687</v>
      </c>
      <c r="B638" s="2" t="s">
        <v>69</v>
      </c>
    </row>
    <row r="639" spans="1:2" ht="10.5" customHeight="1">
      <c r="A639" s="2" t="s">
        <v>814</v>
      </c>
      <c r="B639" s="2" t="s">
        <v>22</v>
      </c>
    </row>
    <row r="640" spans="1:2" ht="10.5" customHeight="1">
      <c r="A640" s="2" t="s">
        <v>1607</v>
      </c>
      <c r="B640" s="2" t="s">
        <v>69</v>
      </c>
    </row>
    <row r="641" spans="1:2" ht="10.5" customHeight="1">
      <c r="A641" s="2" t="s">
        <v>347</v>
      </c>
      <c r="B641" s="2" t="s">
        <v>22</v>
      </c>
    </row>
    <row r="642" spans="1:2" ht="10.5" customHeight="1">
      <c r="A642" s="2" t="s">
        <v>968</v>
      </c>
      <c r="B642" s="2" t="s">
        <v>22</v>
      </c>
    </row>
    <row r="643" spans="1:2" ht="10.5" customHeight="1">
      <c r="A643" s="2" t="s">
        <v>913</v>
      </c>
      <c r="B643" s="2" t="s">
        <v>22</v>
      </c>
    </row>
    <row r="644" spans="1:2" ht="10.5" customHeight="1">
      <c r="A644" s="2" t="s">
        <v>1203</v>
      </c>
      <c r="B644" s="2" t="s">
        <v>69</v>
      </c>
    </row>
    <row r="645" spans="1:2" ht="10.5" customHeight="1">
      <c r="A645" s="2" t="s">
        <v>50</v>
      </c>
      <c r="B645" s="2" t="s">
        <v>22</v>
      </c>
    </row>
    <row r="646" spans="1:2" ht="10.5" customHeight="1">
      <c r="A646" s="2" t="s">
        <v>705</v>
      </c>
      <c r="B646" s="2" t="s">
        <v>22</v>
      </c>
    </row>
    <row r="647" spans="1:2" ht="10.5" customHeight="1">
      <c r="A647" s="2" t="s">
        <v>640</v>
      </c>
      <c r="B647" s="2" t="s">
        <v>69</v>
      </c>
    </row>
    <row r="648" spans="1:2" ht="10.5" customHeight="1">
      <c r="A648" s="2" t="s">
        <v>2307</v>
      </c>
      <c r="B648" s="2" t="s">
        <v>2110</v>
      </c>
    </row>
    <row r="649" spans="1:2" ht="10.5" customHeight="1">
      <c r="A649" s="2" t="s">
        <v>1643</v>
      </c>
      <c r="B649" s="2" t="s">
        <v>69</v>
      </c>
    </row>
    <row r="650" spans="1:2" ht="10.5" customHeight="1">
      <c r="A650" s="2" t="s">
        <v>410</v>
      </c>
      <c r="B650" s="2" t="s">
        <v>22</v>
      </c>
    </row>
    <row r="651" spans="1:2" ht="10.5" customHeight="1">
      <c r="A651" s="2" t="s">
        <v>1854</v>
      </c>
      <c r="B651" s="2" t="s">
        <v>22</v>
      </c>
    </row>
    <row r="652" spans="1:2" ht="10.5" customHeight="1">
      <c r="A652" s="2" t="s">
        <v>1380</v>
      </c>
      <c r="B652" s="2" t="s">
        <v>22</v>
      </c>
    </row>
    <row r="653" spans="1:2" ht="10.5" customHeight="1">
      <c r="A653" s="2" t="s">
        <v>2139</v>
      </c>
      <c r="B653" s="2" t="s">
        <v>22</v>
      </c>
    </row>
    <row r="654" spans="1:2" ht="10.5" customHeight="1">
      <c r="A654" s="2" t="s">
        <v>508</v>
      </c>
      <c r="B654" s="2" t="s">
        <v>69</v>
      </c>
    </row>
    <row r="655" spans="1:2" ht="10.5" customHeight="1">
      <c r="A655" s="2" t="s">
        <v>2012</v>
      </c>
      <c r="B655" s="2" t="s">
        <v>22</v>
      </c>
    </row>
    <row r="656" spans="1:2" ht="10.5" customHeight="1">
      <c r="A656" s="2" t="s">
        <v>2216</v>
      </c>
      <c r="B656" s="2" t="s">
        <v>22</v>
      </c>
    </row>
    <row r="657" spans="1:2" ht="10.5" customHeight="1">
      <c r="A657" s="2" t="s">
        <v>929</v>
      </c>
      <c r="B657" s="2" t="s">
        <v>22</v>
      </c>
    </row>
    <row r="658" spans="1:2" ht="10.5" customHeight="1">
      <c r="A658" s="2" t="s">
        <v>617</v>
      </c>
      <c r="B658" s="2" t="s">
        <v>22</v>
      </c>
    </row>
    <row r="659" spans="1:2" ht="10.5" customHeight="1">
      <c r="A659" s="2" t="s">
        <v>999</v>
      </c>
      <c r="B659" s="2" t="s">
        <v>22</v>
      </c>
    </row>
    <row r="660" spans="1:2" ht="10.5" customHeight="1">
      <c r="A660" s="2" t="s">
        <v>2326</v>
      </c>
      <c r="B660" s="2" t="s">
        <v>22</v>
      </c>
    </row>
    <row r="661" spans="1:2" ht="10.5" customHeight="1">
      <c r="A661" s="2" t="s">
        <v>414</v>
      </c>
      <c r="B661" s="2" t="s">
        <v>115</v>
      </c>
    </row>
    <row r="662" spans="1:2" ht="10.5" customHeight="1">
      <c r="A662" s="2" t="s">
        <v>577</v>
      </c>
      <c r="B662" s="2" t="s">
        <v>22</v>
      </c>
    </row>
    <row r="663" spans="1:2" ht="10.5" customHeight="1">
      <c r="A663" s="2" t="s">
        <v>631</v>
      </c>
      <c r="B663" s="2" t="s">
        <v>22</v>
      </c>
    </row>
    <row r="664" spans="1:2" ht="10.5" customHeight="1">
      <c r="A664" s="2" t="s">
        <v>880</v>
      </c>
      <c r="B664" s="2" t="s">
        <v>22</v>
      </c>
    </row>
    <row r="665" spans="1:2" ht="10.5" customHeight="1">
      <c r="A665" s="2" t="s">
        <v>2183</v>
      </c>
      <c r="B665" s="2" t="s">
        <v>2107</v>
      </c>
    </row>
    <row r="666" spans="1:2" ht="10.5" customHeight="1">
      <c r="A666" s="2" t="s">
        <v>2064</v>
      </c>
      <c r="B666" s="2" t="s">
        <v>22</v>
      </c>
    </row>
    <row r="667" spans="1:2" ht="10.5" customHeight="1">
      <c r="A667" s="2" t="s">
        <v>1536</v>
      </c>
      <c r="B667" s="2" t="s">
        <v>22</v>
      </c>
    </row>
    <row r="668" spans="1:2" ht="10.5" customHeight="1">
      <c r="A668" s="2" t="s">
        <v>825</v>
      </c>
      <c r="B668" s="2" t="s">
        <v>69</v>
      </c>
    </row>
    <row r="669" spans="1:2" ht="10.5" customHeight="1">
      <c r="A669" s="2" t="s">
        <v>1899</v>
      </c>
      <c r="B669" s="2" t="s">
        <v>22</v>
      </c>
    </row>
    <row r="670" spans="1:2" ht="10.5" customHeight="1">
      <c r="A670" s="2" t="s">
        <v>2111</v>
      </c>
      <c r="B670" s="2" t="s">
        <v>2110</v>
      </c>
    </row>
    <row r="671" spans="1:2" ht="10.5" customHeight="1">
      <c r="A671" s="2" t="s">
        <v>922</v>
      </c>
      <c r="B671" s="2" t="s">
        <v>69</v>
      </c>
    </row>
    <row r="672" spans="1:2" ht="10.5" customHeight="1">
      <c r="A672" s="2" t="s">
        <v>1874</v>
      </c>
      <c r="B672" s="2" t="s">
        <v>22</v>
      </c>
    </row>
    <row r="673" spans="1:2" ht="10.5" customHeight="1">
      <c r="A673" s="2" t="s">
        <v>1639</v>
      </c>
      <c r="B673" s="2" t="s">
        <v>69</v>
      </c>
    </row>
    <row r="674" spans="1:2" ht="10.5" customHeight="1">
      <c r="A674" s="2" t="s">
        <v>1637</v>
      </c>
      <c r="B674" s="2" t="s">
        <v>69</v>
      </c>
    </row>
    <row r="675" spans="1:2" ht="10.5" customHeight="1">
      <c r="A675" s="2" t="s">
        <v>542</v>
      </c>
      <c r="B675" s="2" t="s">
        <v>22</v>
      </c>
    </row>
    <row r="676" spans="1:2" ht="10.5" customHeight="1">
      <c r="A676" s="2" t="s">
        <v>1128</v>
      </c>
      <c r="B676" s="2" t="s">
        <v>22</v>
      </c>
    </row>
    <row r="677" spans="1:2" ht="10.5" customHeight="1">
      <c r="A677" s="2" t="s">
        <v>2341</v>
      </c>
      <c r="B677" s="2" t="s">
        <v>22</v>
      </c>
    </row>
    <row r="678" spans="1:2" ht="10.5" customHeight="1">
      <c r="A678" s="2" t="s">
        <v>920</v>
      </c>
      <c r="B678" s="2" t="s">
        <v>22</v>
      </c>
    </row>
    <row r="679" spans="1:2" ht="10.5" customHeight="1">
      <c r="A679" s="2" t="s">
        <v>746</v>
      </c>
      <c r="B679" s="2" t="s">
        <v>22</v>
      </c>
    </row>
    <row r="680" spans="1:2" ht="10.5" customHeight="1">
      <c r="A680" s="2" t="s">
        <v>293</v>
      </c>
      <c r="B680" s="2" t="s">
        <v>22</v>
      </c>
    </row>
    <row r="681" spans="1:2" ht="10.5" customHeight="1">
      <c r="A681" s="2" t="s">
        <v>2219</v>
      </c>
      <c r="B681" s="2" t="s">
        <v>22</v>
      </c>
    </row>
    <row r="682" spans="1:2" ht="10.5" customHeight="1">
      <c r="A682" s="2" t="s">
        <v>501</v>
      </c>
      <c r="B682" s="2" t="s">
        <v>22</v>
      </c>
    </row>
    <row r="683" spans="1:2" ht="10.5" customHeight="1">
      <c r="A683" s="2" t="s">
        <v>1718</v>
      </c>
      <c r="B683" s="2" t="s">
        <v>22</v>
      </c>
    </row>
    <row r="684" spans="1:2" ht="10.5" customHeight="1">
      <c r="A684" s="2" t="s">
        <v>1808</v>
      </c>
      <c r="B684" s="2" t="s">
        <v>22</v>
      </c>
    </row>
    <row r="685" spans="1:2" ht="10.5" customHeight="1">
      <c r="A685" s="2" t="s">
        <v>578</v>
      </c>
      <c r="B685" s="2" t="s">
        <v>22</v>
      </c>
    </row>
    <row r="686" spans="1:2" ht="10.5" customHeight="1">
      <c r="A686" s="2" t="s">
        <v>1712</v>
      </c>
      <c r="B686" s="2" t="s">
        <v>69</v>
      </c>
    </row>
    <row r="687" spans="1:2" ht="10.5" customHeight="1">
      <c r="A687" s="2" t="s">
        <v>210</v>
      </c>
      <c r="B687" s="2" t="s">
        <v>22</v>
      </c>
    </row>
    <row r="688" spans="1:2" ht="10.5" customHeight="1">
      <c r="A688" s="2" t="s">
        <v>2344</v>
      </c>
      <c r="B688" s="2" t="s">
        <v>22</v>
      </c>
    </row>
    <row r="689" spans="1:2" ht="10.5" customHeight="1">
      <c r="A689" s="2" t="s">
        <v>1623</v>
      </c>
      <c r="B689" s="2" t="s">
        <v>69</v>
      </c>
    </row>
    <row r="690" spans="1:2" ht="10.5" customHeight="1">
      <c r="A690" s="2" t="s">
        <v>171</v>
      </c>
      <c r="B690" s="2" t="s">
        <v>22</v>
      </c>
    </row>
    <row r="691" spans="1:2" ht="10.5" customHeight="1">
      <c r="A691" s="2" t="s">
        <v>1796</v>
      </c>
      <c r="B691" s="2" t="s">
        <v>22</v>
      </c>
    </row>
    <row r="692" spans="1:2" ht="10.5" customHeight="1">
      <c r="A692" s="2" t="s">
        <v>1870</v>
      </c>
      <c r="B692" s="2" t="s">
        <v>22</v>
      </c>
    </row>
    <row r="693" spans="1:2" ht="10.5" customHeight="1">
      <c r="A693" s="2" t="s">
        <v>1817</v>
      </c>
      <c r="B693" s="2" t="s">
        <v>22</v>
      </c>
    </row>
    <row r="694" spans="1:2" ht="10.5" customHeight="1">
      <c r="A694" s="2" t="s">
        <v>1804</v>
      </c>
      <c r="B694" s="2" t="s">
        <v>22</v>
      </c>
    </row>
    <row r="695" spans="1:2" ht="10.5" customHeight="1">
      <c r="A695" s="2" t="s">
        <v>1830</v>
      </c>
      <c r="B695" s="2" t="s">
        <v>22</v>
      </c>
    </row>
    <row r="696" spans="1:2" ht="10.5" customHeight="1">
      <c r="A696" s="2" t="s">
        <v>146</v>
      </c>
      <c r="B696" s="2" t="s">
        <v>22</v>
      </c>
    </row>
    <row r="697" spans="1:2" ht="10.5" customHeight="1">
      <c r="A697" s="2" t="s">
        <v>474</v>
      </c>
      <c r="B697" s="2" t="s">
        <v>22</v>
      </c>
    </row>
    <row r="698" spans="1:2" ht="10.5" customHeight="1">
      <c r="A698" s="2" t="s">
        <v>544</v>
      </c>
      <c r="B698" s="2" t="s">
        <v>22</v>
      </c>
    </row>
    <row r="699" spans="1:2" ht="10.5" customHeight="1">
      <c r="A699" s="2" t="s">
        <v>1592</v>
      </c>
      <c r="B699" s="2" t="s">
        <v>22</v>
      </c>
    </row>
    <row r="700" spans="1:2" ht="10.5" customHeight="1">
      <c r="A700" s="2" t="s">
        <v>296</v>
      </c>
      <c r="B700" s="2" t="s">
        <v>22</v>
      </c>
    </row>
    <row r="701" spans="1:2" ht="10.5" customHeight="1">
      <c r="A701" s="2" t="s">
        <v>2346</v>
      </c>
      <c r="B701" s="2" t="s">
        <v>2110</v>
      </c>
    </row>
    <row r="702" spans="1:2" ht="10.5" customHeight="1">
      <c r="A702" s="2" t="s">
        <v>206</v>
      </c>
      <c r="B702" s="2" t="s">
        <v>22</v>
      </c>
    </row>
    <row r="703" spans="1:2" ht="10.5" customHeight="1">
      <c r="A703" s="2" t="s">
        <v>1172</v>
      </c>
      <c r="B703" s="2" t="s">
        <v>22</v>
      </c>
    </row>
    <row r="704" spans="1:2" ht="10.5" customHeight="1">
      <c r="A704" s="2" t="s">
        <v>2027</v>
      </c>
      <c r="B704" s="2" t="s">
        <v>22</v>
      </c>
    </row>
    <row r="705" spans="1:2" ht="10.5" customHeight="1">
      <c r="A705" s="2" t="s">
        <v>942</v>
      </c>
      <c r="B705" s="2" t="s">
        <v>22</v>
      </c>
    </row>
    <row r="706" spans="1:2" ht="10.5" customHeight="1">
      <c r="A706" s="2" t="s">
        <v>1554</v>
      </c>
      <c r="B706" s="2" t="s">
        <v>22</v>
      </c>
    </row>
    <row r="707" spans="1:2" ht="10.5" customHeight="1">
      <c r="A707" s="2" t="s">
        <v>592</v>
      </c>
      <c r="B707" s="2" t="s">
        <v>69</v>
      </c>
    </row>
    <row r="708" spans="1:2" ht="10.5" customHeight="1">
      <c r="A708" s="2" t="s">
        <v>1677</v>
      </c>
      <c r="B708" s="2" t="s">
        <v>22</v>
      </c>
    </row>
    <row r="709" spans="1:2" ht="10.5" customHeight="1">
      <c r="A709" s="2" t="s">
        <v>2322</v>
      </c>
      <c r="B709" s="2" t="s">
        <v>115</v>
      </c>
    </row>
    <row r="710" spans="1:2" ht="10.5" customHeight="1">
      <c r="A710" s="2" t="s">
        <v>1591</v>
      </c>
      <c r="B710" s="2" t="s">
        <v>22</v>
      </c>
    </row>
    <row r="711" spans="1:2" ht="10.5" customHeight="1">
      <c r="A711" s="2" t="s">
        <v>877</v>
      </c>
      <c r="B711" s="2" t="s">
        <v>22</v>
      </c>
    </row>
    <row r="712" spans="1:2" ht="10.5" customHeight="1">
      <c r="A712" s="2" t="s">
        <v>2128</v>
      </c>
      <c r="B712" s="2" t="s">
        <v>2110</v>
      </c>
    </row>
    <row r="713" spans="1:2" ht="10.5" customHeight="1">
      <c r="A713" s="2" t="s">
        <v>1036</v>
      </c>
      <c r="B713" s="2" t="s">
        <v>22</v>
      </c>
    </row>
    <row r="714" spans="1:2" ht="10.5" customHeight="1">
      <c r="A714" s="2" t="s">
        <v>1308</v>
      </c>
      <c r="B714" s="2" t="s">
        <v>22</v>
      </c>
    </row>
    <row r="715" spans="1:2" ht="10.5" customHeight="1">
      <c r="A715" s="2" t="s">
        <v>1532</v>
      </c>
      <c r="B715" s="2" t="s">
        <v>22</v>
      </c>
    </row>
    <row r="716" spans="1:2" ht="10.5" customHeight="1">
      <c r="A716" s="2" t="s">
        <v>1751</v>
      </c>
      <c r="B716" s="2" t="s">
        <v>22</v>
      </c>
    </row>
    <row r="717" spans="1:2" ht="10.5" customHeight="1">
      <c r="A717" s="2" t="s">
        <v>320</v>
      </c>
      <c r="B717" s="2" t="s">
        <v>22</v>
      </c>
    </row>
    <row r="718" spans="1:2" ht="10.5" customHeight="1">
      <c r="A718" s="2" t="s">
        <v>2102</v>
      </c>
      <c r="B718" s="2" t="s">
        <v>22</v>
      </c>
    </row>
    <row r="719" spans="1:2" ht="10.5" customHeight="1">
      <c r="A719" s="2" t="s">
        <v>2220</v>
      </c>
      <c r="B719" s="2" t="s">
        <v>22</v>
      </c>
    </row>
    <row r="720" spans="1:2" ht="10.5" customHeight="1">
      <c r="A720" s="2" t="s">
        <v>1858</v>
      </c>
      <c r="B720" s="2" t="s">
        <v>22</v>
      </c>
    </row>
    <row r="721" spans="1:2" ht="10.5" customHeight="1">
      <c r="A721" s="2" t="s">
        <v>2112</v>
      </c>
      <c r="B721" s="2" t="s">
        <v>2110</v>
      </c>
    </row>
    <row r="722" spans="1:2" ht="10.5" customHeight="1">
      <c r="A722" s="2" t="s">
        <v>2056</v>
      </c>
      <c r="B722" s="2" t="s">
        <v>22</v>
      </c>
    </row>
    <row r="723" spans="1:2" ht="10.5" customHeight="1">
      <c r="A723" s="2" t="s">
        <v>2065</v>
      </c>
      <c r="B723" s="2" t="s">
        <v>22</v>
      </c>
    </row>
    <row r="724" spans="1:2" ht="10.5" customHeight="1">
      <c r="A724" s="2" t="s">
        <v>2261</v>
      </c>
      <c r="B724" s="2" t="s">
        <v>2107</v>
      </c>
    </row>
    <row r="725" spans="1:2" ht="10.5" customHeight="1">
      <c r="A725" s="2" t="s">
        <v>909</v>
      </c>
      <c r="B725" s="2" t="s">
        <v>22</v>
      </c>
    </row>
    <row r="726" spans="1:2" ht="10.5" customHeight="1">
      <c r="A726" s="2" t="s">
        <v>859</v>
      </c>
      <c r="B726" s="2" t="s">
        <v>22</v>
      </c>
    </row>
    <row r="727" spans="1:2" ht="10.5" customHeight="1">
      <c r="A727" s="2" t="s">
        <v>2176</v>
      </c>
      <c r="B727" s="2" t="s">
        <v>2110</v>
      </c>
    </row>
    <row r="728" spans="1:2" ht="10.5" customHeight="1">
      <c r="A728" s="2" t="s">
        <v>1170</v>
      </c>
      <c r="B728" s="2" t="s">
        <v>69</v>
      </c>
    </row>
    <row r="729" spans="1:2" ht="10.5" customHeight="1">
      <c r="A729" s="2" t="s">
        <v>1447</v>
      </c>
      <c r="B729" s="2" t="s">
        <v>22</v>
      </c>
    </row>
    <row r="730" spans="1:2" ht="10.5" customHeight="1">
      <c r="A730" s="2" t="s">
        <v>1539</v>
      </c>
      <c r="B730" s="2" t="s">
        <v>22</v>
      </c>
    </row>
    <row r="731" spans="1:2" ht="10.5" customHeight="1">
      <c r="A731" s="2" t="s">
        <v>1583</v>
      </c>
      <c r="B731" s="2" t="s">
        <v>22</v>
      </c>
    </row>
    <row r="732" spans="1:2" ht="10.5" customHeight="1">
      <c r="A732" s="2" t="s">
        <v>2318</v>
      </c>
      <c r="B732" s="2" t="s">
        <v>22</v>
      </c>
    </row>
    <row r="733" spans="1:2" ht="10.5" customHeight="1">
      <c r="A733" s="2" t="s">
        <v>1560</v>
      </c>
      <c r="B733" s="2" t="s">
        <v>22</v>
      </c>
    </row>
    <row r="734" spans="1:2" ht="10.5" customHeight="1">
      <c r="A734" s="2" t="s">
        <v>372</v>
      </c>
      <c r="B734" s="2" t="s">
        <v>22</v>
      </c>
    </row>
    <row r="735" spans="1:2" ht="10.5" customHeight="1">
      <c r="A735" s="2" t="s">
        <v>1182</v>
      </c>
      <c r="B735" s="2" t="s">
        <v>22</v>
      </c>
    </row>
    <row r="736" spans="1:2" ht="10.5" customHeight="1">
      <c r="A736" s="2" t="s">
        <v>471</v>
      </c>
      <c r="B736" s="2" t="s">
        <v>22</v>
      </c>
    </row>
    <row r="737" spans="1:2" ht="10.5" customHeight="1">
      <c r="A737" s="2" t="s">
        <v>1938</v>
      </c>
      <c r="B737" s="2" t="s">
        <v>22</v>
      </c>
    </row>
    <row r="738" spans="1:2" ht="10.5" customHeight="1">
      <c r="A738" s="2" t="s">
        <v>1893</v>
      </c>
      <c r="B738" s="2" t="s">
        <v>22</v>
      </c>
    </row>
    <row r="739" spans="1:2" ht="10.5" customHeight="1">
      <c r="A739" s="2" t="s">
        <v>2131</v>
      </c>
      <c r="B739" s="2" t="s">
        <v>2107</v>
      </c>
    </row>
    <row r="740" spans="1:2" ht="10.5" customHeight="1">
      <c r="A740" s="2" t="s">
        <v>2274</v>
      </c>
      <c r="B740" s="2" t="s">
        <v>22</v>
      </c>
    </row>
    <row r="741" spans="1:2" ht="10.5" customHeight="1">
      <c r="A741" s="2" t="s">
        <v>1835</v>
      </c>
      <c r="B741" s="2" t="s">
        <v>22</v>
      </c>
    </row>
    <row r="742" spans="1:2" ht="10.5" customHeight="1">
      <c r="A742" s="2" t="s">
        <v>260</v>
      </c>
      <c r="B742" s="2" t="s">
        <v>22</v>
      </c>
    </row>
    <row r="743" spans="1:2" ht="10.5" customHeight="1">
      <c r="A743" s="2" t="s">
        <v>1655</v>
      </c>
      <c r="B743" s="2" t="s">
        <v>22</v>
      </c>
    </row>
    <row r="744" spans="1:2" ht="10.5" customHeight="1">
      <c r="A744" s="2" t="s">
        <v>1584</v>
      </c>
      <c r="B744" s="2" t="s">
        <v>22</v>
      </c>
    </row>
    <row r="745" spans="1:2" ht="10.5" customHeight="1">
      <c r="A745" s="2" t="s">
        <v>1495</v>
      </c>
      <c r="B745" s="2" t="s">
        <v>69</v>
      </c>
    </row>
    <row r="746" spans="1:2" ht="10.5" customHeight="1">
      <c r="A746" s="2" t="s">
        <v>2083</v>
      </c>
      <c r="B746" s="2" t="s">
        <v>115</v>
      </c>
    </row>
    <row r="747" spans="1:2" ht="10.5" customHeight="1">
      <c r="A747" s="2" t="s">
        <v>341</v>
      </c>
      <c r="B747" s="2" t="s">
        <v>69</v>
      </c>
    </row>
    <row r="748" spans="1:2" ht="10.5" customHeight="1">
      <c r="A748" s="2" t="s">
        <v>396</v>
      </c>
      <c r="B748" s="2" t="s">
        <v>22</v>
      </c>
    </row>
    <row r="749" spans="1:2" ht="10.5" customHeight="1">
      <c r="A749" s="2" t="s">
        <v>896</v>
      </c>
      <c r="B749" s="2" t="s">
        <v>22</v>
      </c>
    </row>
    <row r="750" spans="1:2" ht="10.5" customHeight="1">
      <c r="A750" s="2" t="s">
        <v>1034</v>
      </c>
      <c r="B750" s="2" t="s">
        <v>69</v>
      </c>
    </row>
    <row r="751" spans="1:2" ht="10.5" customHeight="1">
      <c r="A751" s="2" t="s">
        <v>1416</v>
      </c>
      <c r="B751" s="2" t="s">
        <v>22</v>
      </c>
    </row>
    <row r="752" spans="1:2" ht="10.5" customHeight="1">
      <c r="A752" s="2" t="s">
        <v>1573</v>
      </c>
      <c r="B752" s="2" t="s">
        <v>22</v>
      </c>
    </row>
    <row r="753" spans="1:2" ht="10.5" customHeight="1">
      <c r="A753" s="2" t="s">
        <v>1715</v>
      </c>
      <c r="B753" s="2" t="s">
        <v>69</v>
      </c>
    </row>
    <row r="754" spans="1:2" ht="10.5" customHeight="1">
      <c r="A754" s="2" t="s">
        <v>519</v>
      </c>
      <c r="B754" s="2" t="s">
        <v>22</v>
      </c>
    </row>
    <row r="755" spans="1:2" ht="10.5" customHeight="1">
      <c r="A755" s="2" t="s">
        <v>338</v>
      </c>
      <c r="B755" s="2" t="s">
        <v>22</v>
      </c>
    </row>
    <row r="756" spans="1:2" ht="10.5" customHeight="1">
      <c r="A756" s="2" t="s">
        <v>2343</v>
      </c>
      <c r="B756" s="2" t="s">
        <v>2110</v>
      </c>
    </row>
    <row r="757" spans="1:2" ht="10.5" customHeight="1">
      <c r="A757" s="2" t="s">
        <v>2136</v>
      </c>
      <c r="B757" s="2" t="s">
        <v>2107</v>
      </c>
    </row>
    <row r="758" spans="1:2" ht="10.5" customHeight="1">
      <c r="A758" s="2" t="s">
        <v>2166</v>
      </c>
      <c r="B758" s="2" t="s">
        <v>2107</v>
      </c>
    </row>
    <row r="759" spans="1:2" ht="10.5" customHeight="1">
      <c r="A759" s="2" t="s">
        <v>1770</v>
      </c>
      <c r="B759" s="2" t="s">
        <v>22</v>
      </c>
    </row>
    <row r="760" spans="1:2" ht="10.5" customHeight="1">
      <c r="A760" s="2" t="s">
        <v>1355</v>
      </c>
      <c r="B760" s="2" t="s">
        <v>22</v>
      </c>
    </row>
    <row r="761" spans="1:2" ht="10.5" customHeight="1">
      <c r="A761" s="2" t="s">
        <v>2294</v>
      </c>
      <c r="B761" s="2" t="s">
        <v>22</v>
      </c>
    </row>
    <row r="762" spans="1:2" ht="10.5" customHeight="1">
      <c r="A762" s="2" t="s">
        <v>665</v>
      </c>
      <c r="B762" s="2" t="s">
        <v>69</v>
      </c>
    </row>
    <row r="763" spans="1:2" ht="10.5" customHeight="1">
      <c r="A763" s="2" t="s">
        <v>780</v>
      </c>
      <c r="B763" s="2" t="s">
        <v>22</v>
      </c>
    </row>
    <row r="764" spans="1:2" ht="10.5" customHeight="1">
      <c r="A764" s="2" t="s">
        <v>1020</v>
      </c>
      <c r="B764" s="2" t="s">
        <v>22</v>
      </c>
    </row>
    <row r="765" spans="1:2" ht="10.5" customHeight="1">
      <c r="A765" s="2" t="s">
        <v>1571</v>
      </c>
      <c r="B765" s="2" t="s">
        <v>115</v>
      </c>
    </row>
    <row r="766" spans="1:2" ht="10.5" customHeight="1">
      <c r="A766" s="2" t="s">
        <v>2045</v>
      </c>
      <c r="B766" s="2" t="s">
        <v>69</v>
      </c>
    </row>
    <row r="767" spans="1:2" ht="10.5" customHeight="1">
      <c r="A767" s="2" t="s">
        <v>1753</v>
      </c>
      <c r="B767" s="2" t="s">
        <v>69</v>
      </c>
    </row>
    <row r="768" spans="1:2" ht="10.5" customHeight="1">
      <c r="A768" s="2" t="s">
        <v>2081</v>
      </c>
      <c r="B768" s="2" t="s">
        <v>69</v>
      </c>
    </row>
    <row r="769" spans="1:2" ht="10.5" customHeight="1">
      <c r="A769" s="2" t="s">
        <v>1806</v>
      </c>
      <c r="B769" s="2" t="s">
        <v>22</v>
      </c>
    </row>
    <row r="770" spans="1:2" ht="10.5" customHeight="1">
      <c r="A770" s="2" t="s">
        <v>1863</v>
      </c>
      <c r="B770" s="2" t="s">
        <v>22</v>
      </c>
    </row>
    <row r="771" spans="1:2" ht="10.5" customHeight="1">
      <c r="A771" s="2" t="s">
        <v>1894</v>
      </c>
      <c r="B771" s="2" t="s">
        <v>22</v>
      </c>
    </row>
    <row r="772" spans="1:2" ht="10.5" customHeight="1">
      <c r="A772" s="2" t="s">
        <v>1487</v>
      </c>
      <c r="B772" s="2" t="s">
        <v>115</v>
      </c>
    </row>
    <row r="773" spans="1:2" ht="10.5" customHeight="1">
      <c r="A773" s="2" t="s">
        <v>1461</v>
      </c>
      <c r="B773" s="2" t="s">
        <v>22</v>
      </c>
    </row>
    <row r="774" spans="1:2" ht="10.5" customHeight="1">
      <c r="A774" s="2" t="s">
        <v>1083</v>
      </c>
      <c r="B774" s="2" t="s">
        <v>22</v>
      </c>
    </row>
    <row r="775" spans="1:2" ht="10.5" customHeight="1">
      <c r="A775" s="2" t="s">
        <v>1701</v>
      </c>
      <c r="B775" s="2" t="s">
        <v>22</v>
      </c>
    </row>
    <row r="776" spans="1:2" ht="10.5" customHeight="1">
      <c r="A776" s="2" t="s">
        <v>1181</v>
      </c>
      <c r="B776" s="2" t="s">
        <v>115</v>
      </c>
    </row>
    <row r="777" spans="1:2" ht="10.5" customHeight="1">
      <c r="A777" s="2" t="s">
        <v>2048</v>
      </c>
      <c r="B777" s="2" t="s">
        <v>115</v>
      </c>
    </row>
    <row r="778" spans="1:2" ht="10.5" customHeight="1">
      <c r="A778" s="2" t="s">
        <v>1294</v>
      </c>
      <c r="B778" s="2" t="s">
        <v>22</v>
      </c>
    </row>
    <row r="779" spans="1:2" ht="10.5" customHeight="1">
      <c r="A779" s="2" t="s">
        <v>1686</v>
      </c>
      <c r="B779" s="2" t="s">
        <v>22</v>
      </c>
    </row>
    <row r="780" spans="1:2" ht="10.5" customHeight="1">
      <c r="A780" s="2" t="s">
        <v>761</v>
      </c>
      <c r="B780" s="2" t="s">
        <v>22</v>
      </c>
    </row>
    <row r="781" spans="1:2" ht="10.5" customHeight="1">
      <c r="A781" s="2" t="s">
        <v>677</v>
      </c>
      <c r="B781" s="2" t="s">
        <v>22</v>
      </c>
    </row>
    <row r="782" spans="1:2" ht="10.5" customHeight="1">
      <c r="A782" s="2" t="s">
        <v>559</v>
      </c>
      <c r="B782" s="2" t="s">
        <v>22</v>
      </c>
    </row>
    <row r="783" spans="1:2" ht="10.5" customHeight="1">
      <c r="A783" s="2" t="s">
        <v>432</v>
      </c>
      <c r="B783" s="2" t="s">
        <v>22</v>
      </c>
    </row>
    <row r="784" spans="1:2" ht="10.5" customHeight="1">
      <c r="A784" s="2" t="s">
        <v>2275</v>
      </c>
      <c r="B784" s="2" t="s">
        <v>2107</v>
      </c>
    </row>
    <row r="785" spans="1:2" ht="10.5" customHeight="1">
      <c r="A785" s="2" t="s">
        <v>1374</v>
      </c>
      <c r="B785" s="2" t="s">
        <v>115</v>
      </c>
    </row>
    <row r="786" spans="1:2" ht="10.5" customHeight="1">
      <c r="A786" s="2" t="s">
        <v>889</v>
      </c>
      <c r="B786" s="2" t="s">
        <v>69</v>
      </c>
    </row>
    <row r="787" spans="1:2" ht="10.5" customHeight="1">
      <c r="A787" s="2" t="s">
        <v>2011</v>
      </c>
      <c r="B787" s="2" t="s">
        <v>115</v>
      </c>
    </row>
    <row r="788" spans="1:2" ht="10.5" customHeight="1">
      <c r="A788" s="2" t="s">
        <v>1451</v>
      </c>
      <c r="B788" s="2" t="s">
        <v>69</v>
      </c>
    </row>
    <row r="789" spans="1:2" ht="10.5" customHeight="1">
      <c r="A789" s="2" t="s">
        <v>1300</v>
      </c>
      <c r="B789" s="2" t="s">
        <v>22</v>
      </c>
    </row>
    <row r="790" spans="1:2" ht="10.5" customHeight="1">
      <c r="A790" s="2" t="s">
        <v>692</v>
      </c>
      <c r="B790" s="2" t="s">
        <v>22</v>
      </c>
    </row>
    <row r="791" spans="1:2" ht="10.5" customHeight="1">
      <c r="A791" s="2" t="s">
        <v>1328</v>
      </c>
      <c r="B791" s="2" t="s">
        <v>22</v>
      </c>
    </row>
    <row r="792" spans="1:2" ht="10.5" customHeight="1">
      <c r="A792" s="2" t="s">
        <v>2278</v>
      </c>
      <c r="B792" s="2" t="s">
        <v>22</v>
      </c>
    </row>
    <row r="793" spans="1:2" ht="10.5" customHeight="1">
      <c r="A793" s="2" t="s">
        <v>2052</v>
      </c>
      <c r="B793" s="2" t="s">
        <v>22</v>
      </c>
    </row>
    <row r="794" spans="1:2" ht="10.5" customHeight="1">
      <c r="A794" s="2" t="s">
        <v>1232</v>
      </c>
      <c r="B794" s="2" t="s">
        <v>22</v>
      </c>
    </row>
    <row r="795" spans="1:2" ht="10.5" customHeight="1">
      <c r="A795" s="2" t="s">
        <v>533</v>
      </c>
      <c r="B795" s="2" t="s">
        <v>22</v>
      </c>
    </row>
    <row r="796" spans="1:2" ht="10.5" customHeight="1">
      <c r="A796" s="2" t="s">
        <v>528</v>
      </c>
      <c r="B796" s="2" t="s">
        <v>22</v>
      </c>
    </row>
    <row r="797" spans="1:2" ht="10.5" customHeight="1">
      <c r="A797" s="2" t="s">
        <v>446</v>
      </c>
      <c r="B797" s="2" t="s">
        <v>22</v>
      </c>
    </row>
    <row r="798" spans="1:2" ht="10.5" customHeight="1">
      <c r="A798" s="2" t="s">
        <v>1625</v>
      </c>
      <c r="B798" s="2" t="s">
        <v>69</v>
      </c>
    </row>
    <row r="799" spans="1:2" ht="10.5" customHeight="1">
      <c r="A799" s="2" t="s">
        <v>1281</v>
      </c>
      <c r="B799" s="2" t="s">
        <v>22</v>
      </c>
    </row>
    <row r="800" spans="1:2" ht="10.5" customHeight="1">
      <c r="A800" s="2" t="s">
        <v>1295</v>
      </c>
      <c r="B800" s="2" t="s">
        <v>22</v>
      </c>
    </row>
    <row r="801" spans="1:2" ht="10.5" customHeight="1">
      <c r="A801" s="2" t="s">
        <v>264</v>
      </c>
      <c r="B801" s="2" t="s">
        <v>69</v>
      </c>
    </row>
    <row r="802" spans="1:2" ht="10.5" customHeight="1">
      <c r="A802" s="2" t="s">
        <v>418</v>
      </c>
      <c r="B802" s="2" t="s">
        <v>69</v>
      </c>
    </row>
    <row r="803" spans="1:2" ht="10.5" customHeight="1">
      <c r="A803" s="2" t="s">
        <v>1649</v>
      </c>
      <c r="B803" s="2" t="s">
        <v>22</v>
      </c>
    </row>
    <row r="804" spans="1:2" ht="10.5" customHeight="1">
      <c r="A804" s="2" t="s">
        <v>1092</v>
      </c>
      <c r="B804" s="2" t="s">
        <v>22</v>
      </c>
    </row>
    <row r="805" spans="1:2" ht="10.5" customHeight="1">
      <c r="A805" s="2" t="s">
        <v>1681</v>
      </c>
      <c r="B805" s="2" t="s">
        <v>22</v>
      </c>
    </row>
    <row r="806" spans="1:2" ht="10.5" customHeight="1">
      <c r="A806" s="2" t="s">
        <v>1354</v>
      </c>
      <c r="B806" s="2" t="s">
        <v>69</v>
      </c>
    </row>
    <row r="807" spans="1:2" ht="10.5" customHeight="1">
      <c r="A807" s="2" t="s">
        <v>1427</v>
      </c>
      <c r="B807" s="2" t="s">
        <v>22</v>
      </c>
    </row>
    <row r="808" spans="1:2" ht="10.5" customHeight="1">
      <c r="A808" s="2" t="s">
        <v>368</v>
      </c>
      <c r="B808" s="2" t="s">
        <v>22</v>
      </c>
    </row>
    <row r="809" spans="1:2" ht="10.5" customHeight="1">
      <c r="A809" s="2" t="s">
        <v>785</v>
      </c>
      <c r="B809" s="2" t="s">
        <v>22</v>
      </c>
    </row>
    <row r="810" spans="1:2" ht="10.5" customHeight="1">
      <c r="A810" s="2" t="s">
        <v>918</v>
      </c>
      <c r="B810" s="2" t="s">
        <v>22</v>
      </c>
    </row>
    <row r="811" spans="1:2" ht="10.5" customHeight="1">
      <c r="A811" s="2" t="s">
        <v>2302</v>
      </c>
      <c r="B811" s="2" t="s">
        <v>22</v>
      </c>
    </row>
    <row r="812" spans="1:2" ht="10.5" customHeight="1">
      <c r="A812" s="2" t="s">
        <v>119</v>
      </c>
      <c r="B812" s="2" t="s">
        <v>22</v>
      </c>
    </row>
    <row r="813" spans="1:2" ht="10.5" customHeight="1">
      <c r="A813" s="2" t="s">
        <v>1011</v>
      </c>
      <c r="B813" s="2" t="s">
        <v>22</v>
      </c>
    </row>
    <row r="814" spans="1:2" ht="10.5" customHeight="1">
      <c r="A814" s="2" t="s">
        <v>1412</v>
      </c>
      <c r="B814" s="2" t="s">
        <v>22</v>
      </c>
    </row>
    <row r="815" spans="1:2" ht="10.5" customHeight="1">
      <c r="A815" s="2" t="s">
        <v>2287</v>
      </c>
      <c r="B815" s="2" t="s">
        <v>22</v>
      </c>
    </row>
    <row r="816" spans="1:2" ht="10.5" customHeight="1">
      <c r="A816" s="2" t="s">
        <v>2229</v>
      </c>
      <c r="B816" s="2" t="s">
        <v>2110</v>
      </c>
    </row>
    <row r="817" spans="1:2" ht="10.5" customHeight="1">
      <c r="A817" s="2" t="s">
        <v>495</v>
      </c>
      <c r="B817" s="2" t="s">
        <v>22</v>
      </c>
    </row>
    <row r="818" spans="1:2" ht="10.5" customHeight="1">
      <c r="A818" s="2" t="s">
        <v>1570</v>
      </c>
      <c r="B818" s="2" t="s">
        <v>22</v>
      </c>
    </row>
    <row r="819" spans="1:2" ht="10.5" customHeight="1">
      <c r="A819" s="2" t="s">
        <v>1866</v>
      </c>
      <c r="B819" s="2" t="s">
        <v>22</v>
      </c>
    </row>
    <row r="820" spans="1:2" ht="10.5" customHeight="1">
      <c r="A820" s="2" t="s">
        <v>1767</v>
      </c>
      <c r="B820" s="2" t="s">
        <v>69</v>
      </c>
    </row>
    <row r="821" spans="1:2" ht="10.5" customHeight="1">
      <c r="A821" s="2" t="s">
        <v>2249</v>
      </c>
      <c r="B821" s="2" t="s">
        <v>22</v>
      </c>
    </row>
    <row r="822" spans="1:2" ht="10.5" customHeight="1">
      <c r="A822" s="2" t="s">
        <v>514</v>
      </c>
      <c r="B822" s="2" t="s">
        <v>22</v>
      </c>
    </row>
    <row r="823" spans="1:2" ht="10.5" customHeight="1">
      <c r="A823" s="2" t="s">
        <v>2200</v>
      </c>
      <c r="B823" s="2" t="s">
        <v>2107</v>
      </c>
    </row>
    <row r="824" spans="1:2" ht="10.5" customHeight="1">
      <c r="A824" s="2" t="s">
        <v>863</v>
      </c>
      <c r="B824" s="2" t="s">
        <v>22</v>
      </c>
    </row>
    <row r="825" spans="1:2" ht="10.5" customHeight="1">
      <c r="A825" s="2" t="s">
        <v>883</v>
      </c>
      <c r="B825" s="2" t="s">
        <v>22</v>
      </c>
    </row>
    <row r="826" spans="1:2" ht="10.5" customHeight="1">
      <c r="A826" s="2" t="s">
        <v>1842</v>
      </c>
      <c r="B826" s="2" t="s">
        <v>22</v>
      </c>
    </row>
    <row r="827" spans="1:2" ht="10.5" customHeight="1">
      <c r="A827" s="2" t="s">
        <v>1139</v>
      </c>
      <c r="B827" s="2" t="s">
        <v>22</v>
      </c>
    </row>
    <row r="828" spans="1:2" ht="10.5" customHeight="1">
      <c r="A828" s="2" t="s">
        <v>557</v>
      </c>
      <c r="B828" s="2" t="s">
        <v>22</v>
      </c>
    </row>
    <row r="829" spans="1:2" ht="10.5" customHeight="1">
      <c r="A829" s="2" t="s">
        <v>233</v>
      </c>
      <c r="B829" s="2" t="s">
        <v>22</v>
      </c>
    </row>
    <row r="830" spans="1:2" ht="10.5" customHeight="1">
      <c r="A830" s="2" t="s">
        <v>1815</v>
      </c>
      <c r="B830" s="2" t="s">
        <v>69</v>
      </c>
    </row>
    <row r="831" spans="1:2" ht="10.5" customHeight="1">
      <c r="A831" s="2" t="s">
        <v>997</v>
      </c>
      <c r="B831" s="2" t="s">
        <v>22</v>
      </c>
    </row>
    <row r="832" spans="1:2" ht="10.5" customHeight="1">
      <c r="A832" s="2" t="s">
        <v>1516</v>
      </c>
      <c r="B832" s="2" t="s">
        <v>115</v>
      </c>
    </row>
    <row r="833" spans="1:2" ht="10.5" customHeight="1">
      <c r="A833" s="2" t="s">
        <v>626</v>
      </c>
      <c r="B833" s="2" t="s">
        <v>69</v>
      </c>
    </row>
    <row r="834" spans="1:2" ht="10.5" customHeight="1">
      <c r="A834" s="2" t="s">
        <v>2144</v>
      </c>
      <c r="B834" s="2" t="s">
        <v>2110</v>
      </c>
    </row>
    <row r="835" spans="1:2" ht="10.5" customHeight="1">
      <c r="A835" s="2" t="s">
        <v>1481</v>
      </c>
      <c r="B835" s="2" t="s">
        <v>22</v>
      </c>
    </row>
    <row r="836" spans="1:2" ht="10.5" customHeight="1">
      <c r="A836" s="2" t="s">
        <v>466</v>
      </c>
      <c r="B836" s="2" t="s">
        <v>69</v>
      </c>
    </row>
    <row r="837" spans="1:2" ht="10.5" customHeight="1">
      <c r="A837" s="2" t="s">
        <v>491</v>
      </c>
      <c r="B837" s="2" t="s">
        <v>22</v>
      </c>
    </row>
    <row r="838" spans="1:2" ht="10.5" customHeight="1">
      <c r="A838" s="2" t="s">
        <v>1192</v>
      </c>
      <c r="B838" s="2" t="s">
        <v>69</v>
      </c>
    </row>
    <row r="839" spans="1:2" ht="10.5" customHeight="1">
      <c r="A839" s="2" t="s">
        <v>1445</v>
      </c>
      <c r="B839" s="2" t="s">
        <v>22</v>
      </c>
    </row>
    <row r="840" spans="1:2" ht="10.5" customHeight="1">
      <c r="A840" s="2" t="s">
        <v>2134</v>
      </c>
      <c r="B840" s="2" t="s">
        <v>2107</v>
      </c>
    </row>
    <row r="841" spans="1:2" ht="10.5" customHeight="1">
      <c r="A841" s="2" t="s">
        <v>1531</v>
      </c>
      <c r="B841" s="2" t="s">
        <v>69</v>
      </c>
    </row>
    <row r="842" spans="1:2" ht="10.5" customHeight="1">
      <c r="A842" s="2" t="s">
        <v>1455</v>
      </c>
      <c r="B842" s="2" t="s">
        <v>22</v>
      </c>
    </row>
    <row r="843" spans="1:2" ht="10.5" customHeight="1">
      <c r="A843" s="2" t="s">
        <v>2088</v>
      </c>
      <c r="B843" s="2" t="s">
        <v>22</v>
      </c>
    </row>
    <row r="844" spans="1:2" ht="10.5" customHeight="1">
      <c r="A844" s="2" t="s">
        <v>614</v>
      </c>
      <c r="B844" s="2" t="s">
        <v>69</v>
      </c>
    </row>
    <row r="845" spans="1:2" ht="10.5" customHeight="1">
      <c r="A845" s="2" t="s">
        <v>70</v>
      </c>
      <c r="B845" s="2" t="s">
        <v>22</v>
      </c>
    </row>
    <row r="846" spans="1:2" ht="10.5" customHeight="1">
      <c r="A846" s="2" t="s">
        <v>948</v>
      </c>
      <c r="B846" s="2" t="s">
        <v>22</v>
      </c>
    </row>
    <row r="847" spans="1:2" ht="10.5" customHeight="1">
      <c r="A847" s="2" t="s">
        <v>2269</v>
      </c>
      <c r="B847" s="2" t="s">
        <v>2110</v>
      </c>
    </row>
    <row r="848" spans="1:2" ht="10.5" customHeight="1">
      <c r="A848" s="2" t="s">
        <v>1852</v>
      </c>
      <c r="B848" s="2" t="s">
        <v>22</v>
      </c>
    </row>
    <row r="849" spans="1:2" ht="10.5" customHeight="1">
      <c r="A849" s="2" t="s">
        <v>1634</v>
      </c>
      <c r="B849" s="2" t="s">
        <v>22</v>
      </c>
    </row>
    <row r="850" spans="1:2" ht="10.5" customHeight="1">
      <c r="A850" s="2" t="s">
        <v>1885</v>
      </c>
      <c r="B850" s="2" t="s">
        <v>22</v>
      </c>
    </row>
    <row r="851" spans="1:2" ht="10.5" customHeight="1">
      <c r="A851" s="2" t="s">
        <v>1186</v>
      </c>
      <c r="B851" s="2" t="s">
        <v>69</v>
      </c>
    </row>
    <row r="852" spans="1:2" ht="10.5" customHeight="1">
      <c r="A852" s="2" t="s">
        <v>931</v>
      </c>
      <c r="B852" s="2" t="s">
        <v>22</v>
      </c>
    </row>
    <row r="853" spans="1:2" ht="10.5" customHeight="1">
      <c r="A853" s="2" t="s">
        <v>1478</v>
      </c>
      <c r="B853" s="2" t="s">
        <v>22</v>
      </c>
    </row>
    <row r="854" spans="1:2" ht="10.5" customHeight="1">
      <c r="A854" s="2" t="s">
        <v>2303</v>
      </c>
      <c r="B854" s="2" t="s">
        <v>2107</v>
      </c>
    </row>
    <row r="855" spans="1:2" ht="10.5" customHeight="1">
      <c r="A855" s="2" t="s">
        <v>1140</v>
      </c>
      <c r="B855" s="2" t="s">
        <v>22</v>
      </c>
    </row>
    <row r="856" spans="1:2" ht="10.5" customHeight="1">
      <c r="A856" s="2" t="s">
        <v>1518</v>
      </c>
      <c r="B856" s="2" t="s">
        <v>22</v>
      </c>
    </row>
    <row r="857" spans="1:2" ht="10.5" customHeight="1">
      <c r="A857" s="2" t="s">
        <v>1399</v>
      </c>
      <c r="B857" s="2" t="s">
        <v>22</v>
      </c>
    </row>
    <row r="858" spans="1:2" ht="10.5" customHeight="1">
      <c r="A858" s="2" t="s">
        <v>148</v>
      </c>
      <c r="B858" s="2" t="s">
        <v>22</v>
      </c>
    </row>
    <row r="859" spans="1:2" ht="10.5" customHeight="1">
      <c r="A859" s="2" t="s">
        <v>2038</v>
      </c>
      <c r="B859" s="2" t="s">
        <v>22</v>
      </c>
    </row>
    <row r="860" spans="1:2" ht="10.5" customHeight="1">
      <c r="A860" s="2" t="s">
        <v>468</v>
      </c>
      <c r="B860" s="2" t="s">
        <v>22</v>
      </c>
    </row>
    <row r="861" spans="1:2" ht="10.5" customHeight="1">
      <c r="A861" s="2" t="s">
        <v>2336</v>
      </c>
      <c r="B861" s="2" t="s">
        <v>22</v>
      </c>
    </row>
    <row r="862" spans="1:2" ht="10.5" customHeight="1">
      <c r="A862" s="2" t="s">
        <v>886</v>
      </c>
      <c r="B862" s="2" t="s">
        <v>22</v>
      </c>
    </row>
    <row r="863" spans="1:2" ht="10.5" customHeight="1">
      <c r="A863" s="2" t="s">
        <v>212</v>
      </c>
      <c r="B863" s="2" t="s">
        <v>22</v>
      </c>
    </row>
    <row r="864" spans="1:2" ht="10.5" customHeight="1">
      <c r="A864" s="2" t="s">
        <v>1594</v>
      </c>
      <c r="B864" s="2" t="s">
        <v>22</v>
      </c>
    </row>
    <row r="865" spans="1:2" ht="10.5" customHeight="1">
      <c r="A865" s="2" t="s">
        <v>1732</v>
      </c>
      <c r="B865" s="2" t="s">
        <v>69</v>
      </c>
    </row>
    <row r="866" spans="1:2" ht="10.5" customHeight="1">
      <c r="A866" s="2" t="s">
        <v>856</v>
      </c>
      <c r="B866" s="2" t="s">
        <v>22</v>
      </c>
    </row>
    <row r="867" spans="1:2" ht="10.5" customHeight="1">
      <c r="A867" s="2" t="s">
        <v>1315</v>
      </c>
      <c r="B867" s="2" t="s">
        <v>22</v>
      </c>
    </row>
    <row r="868" spans="1:2" ht="10.5" customHeight="1">
      <c r="A868" s="2" t="s">
        <v>2282</v>
      </c>
      <c r="B868" s="2" t="s">
        <v>115</v>
      </c>
    </row>
    <row r="869" spans="1:2" ht="10.5" customHeight="1">
      <c r="A869" s="2" t="s">
        <v>354</v>
      </c>
      <c r="B869" s="2" t="s">
        <v>22</v>
      </c>
    </row>
    <row r="870" spans="1:2" ht="10.5" customHeight="1">
      <c r="A870" s="2" t="s">
        <v>2292</v>
      </c>
      <c r="B870" s="2" t="s">
        <v>22</v>
      </c>
    </row>
    <row r="871" spans="1:2" ht="10.5" customHeight="1">
      <c r="A871" s="2" t="s">
        <v>587</v>
      </c>
      <c r="B871" s="2" t="s">
        <v>22</v>
      </c>
    </row>
    <row r="872" spans="1:2" ht="10.5" customHeight="1">
      <c r="A872" s="2" t="s">
        <v>781</v>
      </c>
      <c r="B872" s="2" t="s">
        <v>22</v>
      </c>
    </row>
    <row r="873" spans="1:2" ht="10.5" customHeight="1">
      <c r="A873" s="2" t="s">
        <v>1062</v>
      </c>
      <c r="B873" s="2" t="s">
        <v>22</v>
      </c>
    </row>
    <row r="874" spans="1:2" ht="10.5" customHeight="1">
      <c r="A874" s="2" t="s">
        <v>2248</v>
      </c>
      <c r="B874" s="2" t="s">
        <v>2110</v>
      </c>
    </row>
    <row r="875" spans="1:2" ht="10.5" customHeight="1">
      <c r="A875" s="2" t="s">
        <v>284</v>
      </c>
      <c r="B875" s="2" t="s">
        <v>69</v>
      </c>
    </row>
    <row r="876" spans="1:2" ht="10.5" customHeight="1">
      <c r="A876" s="2" t="s">
        <v>565</v>
      </c>
      <c r="B876" s="2" t="s">
        <v>22</v>
      </c>
    </row>
    <row r="877" spans="1:2" ht="10.5" customHeight="1">
      <c r="A877" s="2" t="s">
        <v>745</v>
      </c>
      <c r="B877" s="2" t="s">
        <v>22</v>
      </c>
    </row>
    <row r="878" spans="1:2" ht="10.5" customHeight="1">
      <c r="A878" s="2" t="s">
        <v>1676</v>
      </c>
      <c r="B878" s="2" t="s">
        <v>22</v>
      </c>
    </row>
    <row r="879" spans="1:2" ht="10.5" customHeight="1">
      <c r="A879" s="2" t="s">
        <v>1890</v>
      </c>
      <c r="B879" s="2" t="s">
        <v>22</v>
      </c>
    </row>
    <row r="880" spans="1:2" ht="10.5" customHeight="1">
      <c r="A880" s="2" t="s">
        <v>669</v>
      </c>
      <c r="B880" s="2" t="s">
        <v>22</v>
      </c>
    </row>
    <row r="881" spans="1:2" ht="10.5" customHeight="1">
      <c r="A881" s="2" t="s">
        <v>2146</v>
      </c>
      <c r="B881" s="2" t="s">
        <v>2110</v>
      </c>
    </row>
    <row r="882" spans="1:2" ht="10.5" customHeight="1">
      <c r="A882" s="2" t="s">
        <v>1620</v>
      </c>
      <c r="B882" s="2" t="s">
        <v>22</v>
      </c>
    </row>
    <row r="883" spans="1:2" ht="10.5" customHeight="1">
      <c r="A883" s="2" t="s">
        <v>868</v>
      </c>
      <c r="B883" s="2" t="s">
        <v>22</v>
      </c>
    </row>
    <row r="884" spans="1:2" ht="10.5" customHeight="1">
      <c r="A884" s="2" t="s">
        <v>1541</v>
      </c>
      <c r="B884" s="2" t="s">
        <v>22</v>
      </c>
    </row>
    <row r="885" spans="1:2" ht="10.5" customHeight="1">
      <c r="A885" s="2" t="s">
        <v>2051</v>
      </c>
      <c r="B885" s="2" t="s">
        <v>22</v>
      </c>
    </row>
    <row r="886" spans="1:2" ht="10.5" customHeight="1">
      <c r="A886" s="2" t="s">
        <v>254</v>
      </c>
      <c r="B886" s="2" t="s">
        <v>22</v>
      </c>
    </row>
    <row r="887" spans="1:2" ht="10.5" customHeight="1">
      <c r="A887" s="2" t="s">
        <v>1405</v>
      </c>
      <c r="B887" s="2" t="s">
        <v>22</v>
      </c>
    </row>
    <row r="888" spans="1:2" ht="10.5" customHeight="1">
      <c r="A888" s="2" t="s">
        <v>782</v>
      </c>
      <c r="B888" s="2" t="s">
        <v>22</v>
      </c>
    </row>
    <row r="889" spans="1:2" ht="10.5" customHeight="1">
      <c r="A889" s="2" t="s">
        <v>633</v>
      </c>
      <c r="B889" s="2" t="s">
        <v>22</v>
      </c>
    </row>
    <row r="890" spans="1:2" ht="10.5" customHeight="1">
      <c r="A890" s="2" t="s">
        <v>1241</v>
      </c>
      <c r="B890" s="2" t="s">
        <v>22</v>
      </c>
    </row>
    <row r="891" spans="1:2" ht="10.5" customHeight="1">
      <c r="A891" s="2" t="s">
        <v>1831</v>
      </c>
      <c r="B891" s="2" t="s">
        <v>22</v>
      </c>
    </row>
    <row r="892" spans="1:2" ht="10.5" customHeight="1">
      <c r="A892" s="2" t="s">
        <v>1509</v>
      </c>
      <c r="B892" s="2" t="s">
        <v>22</v>
      </c>
    </row>
    <row r="893" spans="1:2" ht="10.5" customHeight="1">
      <c r="A893" s="2" t="s">
        <v>1243</v>
      </c>
      <c r="B893" s="2" t="s">
        <v>115</v>
      </c>
    </row>
    <row r="894" spans="1:2" ht="10.5" customHeight="1">
      <c r="A894" s="2" t="s">
        <v>1342</v>
      </c>
      <c r="B894" s="2" t="s">
        <v>22</v>
      </c>
    </row>
    <row r="895" spans="1:2" ht="10.5" customHeight="1">
      <c r="A895" s="2" t="s">
        <v>1882</v>
      </c>
      <c r="B895" s="2" t="s">
        <v>69</v>
      </c>
    </row>
    <row r="896" spans="1:2" ht="10.5" customHeight="1">
      <c r="A896" s="2" t="s">
        <v>1184</v>
      </c>
      <c r="B896" s="2" t="s">
        <v>69</v>
      </c>
    </row>
    <row r="897" spans="1:2" ht="10.5" customHeight="1">
      <c r="A897" s="2" t="s">
        <v>1613</v>
      </c>
      <c r="B897" s="2" t="s">
        <v>22</v>
      </c>
    </row>
    <row r="898" spans="1:2" ht="10.5" customHeight="1">
      <c r="A898" s="2" t="s">
        <v>1580</v>
      </c>
      <c r="B898" s="2" t="s">
        <v>22</v>
      </c>
    </row>
    <row r="899" spans="1:2" ht="10.5" customHeight="1">
      <c r="A899" s="2" t="s">
        <v>2122</v>
      </c>
      <c r="B899" s="2" t="s">
        <v>22</v>
      </c>
    </row>
    <row r="900" spans="1:2" ht="10.5" customHeight="1">
      <c r="A900" s="2" t="s">
        <v>1621</v>
      </c>
      <c r="B900" s="2" t="s">
        <v>22</v>
      </c>
    </row>
    <row r="901" spans="1:2" ht="10.5" customHeight="1">
      <c r="A901" s="2" t="s">
        <v>1269</v>
      </c>
      <c r="B901" s="2" t="s">
        <v>22</v>
      </c>
    </row>
    <row r="902" spans="1:2" ht="10.5" customHeight="1">
      <c r="A902" s="2" t="s">
        <v>1557</v>
      </c>
      <c r="B902" s="2" t="s">
        <v>22</v>
      </c>
    </row>
    <row r="903" spans="1:2" ht="10.5" customHeight="1">
      <c r="A903" s="2" t="s">
        <v>2314</v>
      </c>
      <c r="B903" s="2" t="s">
        <v>22</v>
      </c>
    </row>
    <row r="904" spans="1:2" ht="10.5" customHeight="1">
      <c r="A904" s="2" t="s">
        <v>674</v>
      </c>
      <c r="B904" s="2" t="s">
        <v>22</v>
      </c>
    </row>
    <row r="905" spans="1:2" ht="10.5" customHeight="1">
      <c r="A905" s="2" t="s">
        <v>561</v>
      </c>
      <c r="B905" s="2" t="s">
        <v>69</v>
      </c>
    </row>
    <row r="906" spans="1:2" ht="10.5" customHeight="1">
      <c r="A906" s="2" t="s">
        <v>457</v>
      </c>
      <c r="B906" s="2" t="s">
        <v>22</v>
      </c>
    </row>
    <row r="907" spans="1:2" ht="10.5" customHeight="1">
      <c r="A907" s="2" t="s">
        <v>2283</v>
      </c>
      <c r="B907" s="2" t="s">
        <v>22</v>
      </c>
    </row>
    <row r="908" spans="1:2" ht="10.5" customHeight="1">
      <c r="A908" s="2" t="s">
        <v>1145</v>
      </c>
      <c r="B908" s="2" t="s">
        <v>69</v>
      </c>
    </row>
    <row r="909" spans="1:2" ht="10.5" customHeight="1">
      <c r="A909" s="2" t="s">
        <v>569</v>
      </c>
      <c r="B909" s="2" t="s">
        <v>22</v>
      </c>
    </row>
    <row r="910" spans="1:2" ht="10.5" customHeight="1">
      <c r="A910" s="2" t="s">
        <v>496</v>
      </c>
      <c r="B910" s="2" t="s">
        <v>115</v>
      </c>
    </row>
    <row r="911" spans="1:2" ht="10.5" customHeight="1">
      <c r="A911" s="2" t="s">
        <v>376</v>
      </c>
      <c r="B911" s="2" t="s">
        <v>22</v>
      </c>
    </row>
    <row r="912" spans="1:2" ht="10.5" customHeight="1">
      <c r="A912" s="2" t="s">
        <v>2208</v>
      </c>
      <c r="B912" s="2" t="s">
        <v>22</v>
      </c>
    </row>
    <row r="913" spans="1:2" ht="10.5" customHeight="1">
      <c r="A913" s="2" t="s">
        <v>2185</v>
      </c>
      <c r="B913" s="2" t="s">
        <v>22</v>
      </c>
    </row>
    <row r="914" spans="1:2" ht="10.5" customHeight="1">
      <c r="A914" s="2" t="s">
        <v>2104</v>
      </c>
      <c r="B914" s="2" t="s">
        <v>22</v>
      </c>
    </row>
    <row r="915" spans="1:2" ht="10.5" customHeight="1">
      <c r="A915" s="2" t="s">
        <v>2028</v>
      </c>
      <c r="B915" s="2" t="s">
        <v>22</v>
      </c>
    </row>
    <row r="916" spans="1:2" ht="10.5" customHeight="1">
      <c r="A916" s="2" t="s">
        <v>1366</v>
      </c>
      <c r="B916" s="2" t="s">
        <v>69</v>
      </c>
    </row>
    <row r="917" spans="1:2" ht="10.5" customHeight="1">
      <c r="A917" s="2" t="s">
        <v>884</v>
      </c>
      <c r="B917" s="2" t="s">
        <v>69</v>
      </c>
    </row>
    <row r="918" spans="1:2" ht="10.5" customHeight="1">
      <c r="A918" s="2" t="s">
        <v>1807</v>
      </c>
      <c r="B918" s="2" t="s">
        <v>22</v>
      </c>
    </row>
    <row r="919" spans="1:2" ht="10.5" customHeight="1">
      <c r="A919" s="2" t="s">
        <v>751</v>
      </c>
      <c r="B919" s="2" t="s">
        <v>22</v>
      </c>
    </row>
    <row r="920" spans="1:2" ht="10.5" customHeight="1">
      <c r="A920" s="2" t="s">
        <v>1166</v>
      </c>
      <c r="B920" s="2" t="s">
        <v>69</v>
      </c>
    </row>
    <row r="921" spans="1:2" ht="10.5" customHeight="1">
      <c r="A921" s="2" t="s">
        <v>2100</v>
      </c>
      <c r="B921" s="2" t="s">
        <v>69</v>
      </c>
    </row>
    <row r="922" spans="1:2" ht="10.5" customHeight="1">
      <c r="A922" s="2" t="s">
        <v>1492</v>
      </c>
      <c r="B922" s="2" t="s">
        <v>22</v>
      </c>
    </row>
    <row r="923" spans="1:2" ht="10.5" customHeight="1">
      <c r="A923" s="2" t="s">
        <v>795</v>
      </c>
      <c r="B923" s="2" t="s">
        <v>22</v>
      </c>
    </row>
    <row r="924" spans="1:2" ht="10.5" customHeight="1">
      <c r="A924" s="2" t="s">
        <v>1935</v>
      </c>
      <c r="B924" s="2" t="s">
        <v>22</v>
      </c>
    </row>
    <row r="925" spans="1:2" ht="10.5" customHeight="1">
      <c r="A925" s="2" t="s">
        <v>1669</v>
      </c>
      <c r="B925" s="2" t="s">
        <v>22</v>
      </c>
    </row>
    <row r="926" spans="1:2" ht="10.5" customHeight="1">
      <c r="A926" s="2" t="s">
        <v>998</v>
      </c>
      <c r="B926" s="2" t="s">
        <v>22</v>
      </c>
    </row>
    <row r="927" spans="1:2" ht="10.5" customHeight="1">
      <c r="A927" s="2" t="s">
        <v>1223</v>
      </c>
      <c r="B927" s="2" t="s">
        <v>22</v>
      </c>
    </row>
    <row r="928" spans="1:2" ht="10.5" customHeight="1">
      <c r="A928" s="2" t="s">
        <v>337</v>
      </c>
      <c r="B928" s="2" t="s">
        <v>22</v>
      </c>
    </row>
    <row r="929" spans="1:2" ht="10.5" customHeight="1">
      <c r="A929" s="2" t="s">
        <v>250</v>
      </c>
      <c r="B929" s="2" t="s">
        <v>22</v>
      </c>
    </row>
    <row r="930" spans="1:2" ht="10.5" customHeight="1">
      <c r="A930" s="2" t="s">
        <v>1869</v>
      </c>
      <c r="B930" s="2" t="s">
        <v>22</v>
      </c>
    </row>
    <row r="931" spans="1:2" ht="10.5" customHeight="1">
      <c r="A931" s="2" t="s">
        <v>552</v>
      </c>
      <c r="B931" s="2" t="s">
        <v>22</v>
      </c>
    </row>
    <row r="932" spans="1:2" ht="10.5" customHeight="1">
      <c r="A932" s="2" t="s">
        <v>1016</v>
      </c>
      <c r="B932" s="2" t="s">
        <v>22</v>
      </c>
    </row>
    <row r="933" spans="1:2" ht="10.5" customHeight="1">
      <c r="A933" s="2" t="s">
        <v>742</v>
      </c>
      <c r="B933" s="2" t="s">
        <v>22</v>
      </c>
    </row>
    <row r="934" spans="1:2" ht="10.5" customHeight="1">
      <c r="A934" s="2" t="s">
        <v>109</v>
      </c>
      <c r="B934" s="2" t="s">
        <v>22</v>
      </c>
    </row>
    <row r="935" spans="1:2" ht="10.5" customHeight="1">
      <c r="A935" s="2" t="s">
        <v>1740</v>
      </c>
      <c r="B935" s="2" t="s">
        <v>22</v>
      </c>
    </row>
    <row r="936" spans="1:2" ht="10.5" customHeight="1">
      <c r="A936" s="2" t="s">
        <v>2245</v>
      </c>
      <c r="B936" s="2" t="s">
        <v>2110</v>
      </c>
    </row>
    <row r="937" spans="1:2" ht="10.5" customHeight="1">
      <c r="A937" s="2" t="s">
        <v>796</v>
      </c>
      <c r="B937" s="2" t="s">
        <v>22</v>
      </c>
    </row>
    <row r="938" spans="1:2" ht="10.5" customHeight="1">
      <c r="A938" s="2" t="s">
        <v>2288</v>
      </c>
      <c r="B938" s="2" t="s">
        <v>2107</v>
      </c>
    </row>
    <row r="939" spans="1:2" ht="10.5" customHeight="1">
      <c r="A939" s="2" t="s">
        <v>2095</v>
      </c>
      <c r="B939" s="2" t="s">
        <v>22</v>
      </c>
    </row>
    <row r="940" spans="1:2" ht="10.5" customHeight="1">
      <c r="A940" s="2" t="s">
        <v>531</v>
      </c>
      <c r="B940" s="2" t="s">
        <v>22</v>
      </c>
    </row>
    <row r="941" spans="1:2" ht="10.5" customHeight="1">
      <c r="A941" s="2" t="s">
        <v>760</v>
      </c>
      <c r="B941" s="2" t="s">
        <v>22</v>
      </c>
    </row>
    <row r="942" spans="1:2" ht="10.5" customHeight="1">
      <c r="A942" s="2" t="s">
        <v>1528</v>
      </c>
      <c r="B942" s="2" t="s">
        <v>22</v>
      </c>
    </row>
    <row r="943" spans="1:2" ht="10.5" customHeight="1">
      <c r="A943" s="2" t="s">
        <v>1568</v>
      </c>
      <c r="B943" s="2" t="s">
        <v>22</v>
      </c>
    </row>
    <row r="944" spans="1:2" ht="10.5" customHeight="1">
      <c r="A944" s="2" t="s">
        <v>831</v>
      </c>
      <c r="B944" s="2" t="s">
        <v>69</v>
      </c>
    </row>
    <row r="945" spans="1:2" ht="10.5" customHeight="1">
      <c r="A945" s="2" t="s">
        <v>1860</v>
      </c>
      <c r="B945" s="2" t="s">
        <v>22</v>
      </c>
    </row>
    <row r="946" spans="1:2" ht="10.5" customHeight="1">
      <c r="A946" s="2" t="s">
        <v>1553</v>
      </c>
      <c r="B946" s="2" t="s">
        <v>22</v>
      </c>
    </row>
    <row r="947" spans="1:2" ht="10.5" customHeight="1">
      <c r="A947" s="2" t="s">
        <v>72</v>
      </c>
      <c r="B947" s="2" t="s">
        <v>22</v>
      </c>
    </row>
    <row r="948" spans="1:2" ht="10.5" customHeight="1">
      <c r="A948" s="2" t="s">
        <v>1823</v>
      </c>
      <c r="B948" s="2" t="s">
        <v>22</v>
      </c>
    </row>
    <row r="949" spans="1:2" ht="10.5" customHeight="1">
      <c r="A949" s="2" t="s">
        <v>1041</v>
      </c>
      <c r="B949" s="2" t="s">
        <v>22</v>
      </c>
    </row>
    <row r="950" spans="1:2" ht="10.5" customHeight="1">
      <c r="A950" s="2" t="s">
        <v>1440</v>
      </c>
      <c r="B950" s="2" t="s">
        <v>22</v>
      </c>
    </row>
    <row r="951" spans="1:2" ht="10.5" customHeight="1">
      <c r="A951" s="2" t="s">
        <v>1790</v>
      </c>
      <c r="B951" s="2" t="s">
        <v>22</v>
      </c>
    </row>
    <row r="952" spans="1:2" ht="10.5" customHeight="1">
      <c r="A952" s="2" t="s">
        <v>937</v>
      </c>
      <c r="B952" s="2" t="s">
        <v>22</v>
      </c>
    </row>
    <row r="953" spans="1:2" ht="10.5" customHeight="1">
      <c r="A953" s="2" t="s">
        <v>477</v>
      </c>
      <c r="B953" s="2" t="s">
        <v>22</v>
      </c>
    </row>
    <row r="954" spans="1:2" ht="10.5" customHeight="1">
      <c r="A954" s="2" t="s">
        <v>2240</v>
      </c>
      <c r="B954" s="2" t="s">
        <v>2110</v>
      </c>
    </row>
    <row r="955" spans="1:2" ht="10.5" customHeight="1">
      <c r="A955" s="2" t="s">
        <v>66</v>
      </c>
      <c r="B955" s="2" t="s">
        <v>69</v>
      </c>
    </row>
    <row r="956" spans="1:2" ht="10.5" customHeight="1">
      <c r="A956" s="2" t="s">
        <v>1381</v>
      </c>
      <c r="B956" s="2" t="s">
        <v>22</v>
      </c>
    </row>
    <row r="957" spans="1:2" ht="10.5" customHeight="1">
      <c r="A957" s="2" t="s">
        <v>312</v>
      </c>
      <c r="B957" s="2" t="s">
        <v>22</v>
      </c>
    </row>
    <row r="958" spans="1:2" ht="10.5" customHeight="1">
      <c r="A958" s="2" t="s">
        <v>1321</v>
      </c>
      <c r="B958" s="2" t="s">
        <v>22</v>
      </c>
    </row>
    <row r="959" spans="1:2" ht="10.5" customHeight="1">
      <c r="A959" s="2" t="s">
        <v>168</v>
      </c>
      <c r="B959" s="2" t="s">
        <v>22</v>
      </c>
    </row>
    <row r="960" spans="1:2" ht="10.5" customHeight="1">
      <c r="A960" s="2" t="s">
        <v>416</v>
      </c>
      <c r="B960" s="2" t="s">
        <v>22</v>
      </c>
    </row>
    <row r="961" spans="1:2" ht="10.5" customHeight="1">
      <c r="A961" s="2" t="s">
        <v>954</v>
      </c>
      <c r="B961" s="2" t="s">
        <v>22</v>
      </c>
    </row>
    <row r="962" spans="1:2" ht="10.5" customHeight="1">
      <c r="A962" s="2" t="s">
        <v>898</v>
      </c>
      <c r="B962" s="2" t="s">
        <v>22</v>
      </c>
    </row>
    <row r="963" spans="1:2" ht="10.5" customHeight="1">
      <c r="A963" s="2" t="s">
        <v>1921</v>
      </c>
      <c r="B963" s="2" t="s">
        <v>115</v>
      </c>
    </row>
    <row r="964" spans="1:2" ht="10.5" customHeight="1">
      <c r="A964" s="2" t="s">
        <v>2004</v>
      </c>
      <c r="B964" s="2" t="s">
        <v>22</v>
      </c>
    </row>
    <row r="965" spans="1:2" ht="10.5" customHeight="1">
      <c r="A965" s="2" t="s">
        <v>1298</v>
      </c>
      <c r="B965" s="2" t="s">
        <v>22</v>
      </c>
    </row>
    <row r="966" spans="1:2" ht="10.5" customHeight="1">
      <c r="A966" s="2" t="s">
        <v>1604</v>
      </c>
      <c r="B966" s="2" t="s">
        <v>22</v>
      </c>
    </row>
    <row r="967" spans="1:2" ht="10.5" customHeight="1">
      <c r="A967" s="2" t="s">
        <v>1204</v>
      </c>
      <c r="B967" s="2" t="s">
        <v>22</v>
      </c>
    </row>
    <row r="968" spans="1:2" ht="10.5" customHeight="1">
      <c r="A968" s="2" t="s">
        <v>536</v>
      </c>
      <c r="B968" s="2" t="s">
        <v>22</v>
      </c>
    </row>
    <row r="969" spans="1:2" ht="10.5" customHeight="1">
      <c r="A969" s="2" t="s">
        <v>1057</v>
      </c>
      <c r="B969" s="2" t="s">
        <v>22</v>
      </c>
    </row>
    <row r="970" spans="1:2" ht="10.5" customHeight="1">
      <c r="A970" s="2" t="s">
        <v>1514</v>
      </c>
      <c r="B970" s="2" t="s">
        <v>22</v>
      </c>
    </row>
    <row r="971" spans="1:2" ht="10.5" customHeight="1">
      <c r="A971" s="2" t="s">
        <v>1255</v>
      </c>
      <c r="B971" s="2" t="s">
        <v>22</v>
      </c>
    </row>
    <row r="972" spans="1:2" ht="10.5" customHeight="1">
      <c r="A972" s="2" t="s">
        <v>1480</v>
      </c>
      <c r="B972" s="2" t="s">
        <v>22</v>
      </c>
    </row>
    <row r="973" spans="1:2" ht="10.5" customHeight="1">
      <c r="A973" s="2" t="s">
        <v>502</v>
      </c>
      <c r="B973" s="2" t="s">
        <v>22</v>
      </c>
    </row>
    <row r="974" spans="1:2" ht="10.5" customHeight="1">
      <c r="A974" s="2" t="s">
        <v>1506</v>
      </c>
      <c r="B974" s="2" t="s">
        <v>22</v>
      </c>
    </row>
    <row r="975" spans="1:2" ht="10.5" customHeight="1">
      <c r="A975" s="2" t="s">
        <v>952</v>
      </c>
      <c r="B975" s="2" t="s">
        <v>115</v>
      </c>
    </row>
    <row r="976" spans="1:2" ht="10.5" customHeight="1">
      <c r="A976" s="2" t="s">
        <v>1164</v>
      </c>
      <c r="B976" s="2" t="s">
        <v>115</v>
      </c>
    </row>
    <row r="977" spans="1:2" ht="10.5" customHeight="1">
      <c r="A977" s="2" t="s">
        <v>1099</v>
      </c>
      <c r="B977" s="2" t="s">
        <v>22</v>
      </c>
    </row>
    <row r="978" spans="1:2" ht="10.5" customHeight="1">
      <c r="A978" s="2" t="s">
        <v>970</v>
      </c>
      <c r="B978" s="2" t="s">
        <v>115</v>
      </c>
    </row>
    <row r="979" spans="1:2" ht="10.5" customHeight="1">
      <c r="A979" s="2" t="s">
        <v>1961</v>
      </c>
      <c r="B979" s="2" t="s">
        <v>22</v>
      </c>
    </row>
    <row r="980" spans="1:2" ht="10.5" customHeight="1">
      <c r="A980" s="2" t="s">
        <v>1566</v>
      </c>
      <c r="B980" s="2" t="s">
        <v>22</v>
      </c>
    </row>
    <row r="981" spans="1:2" ht="10.5" customHeight="1">
      <c r="A981" s="2" t="s">
        <v>992</v>
      </c>
      <c r="B981" s="2" t="s">
        <v>22</v>
      </c>
    </row>
    <row r="982" spans="1:2" ht="10.5" customHeight="1">
      <c r="A982" s="2" t="s">
        <v>2280</v>
      </c>
      <c r="B982" s="2" t="s">
        <v>22</v>
      </c>
    </row>
    <row r="983" spans="1:2" ht="10.5" customHeight="1">
      <c r="A983" s="2" t="s">
        <v>1256</v>
      </c>
      <c r="B983" s="2" t="s">
        <v>22</v>
      </c>
    </row>
    <row r="984" spans="1:2" ht="10.5" customHeight="1">
      <c r="A984" s="2" t="s">
        <v>1529</v>
      </c>
      <c r="B984" s="2" t="s">
        <v>22</v>
      </c>
    </row>
    <row r="985" spans="1:2" ht="10.5" customHeight="1">
      <c r="A985" s="2" t="s">
        <v>2129</v>
      </c>
      <c r="B985" s="2" t="s">
        <v>2110</v>
      </c>
    </row>
    <row r="986" spans="1:2" ht="10.5" customHeight="1">
      <c r="A986" s="2" t="s">
        <v>1521</v>
      </c>
      <c r="B986" s="2" t="s">
        <v>69</v>
      </c>
    </row>
    <row r="987" spans="1:2" ht="10.5" customHeight="1">
      <c r="A987" s="2" t="s">
        <v>2021</v>
      </c>
      <c r="B987" s="2" t="s">
        <v>115</v>
      </c>
    </row>
    <row r="988" spans="1:2" ht="10.5" customHeight="1">
      <c r="A988" s="2" t="s">
        <v>401</v>
      </c>
      <c r="B988" s="2" t="s">
        <v>22</v>
      </c>
    </row>
    <row r="989" spans="1:2" ht="10.5" customHeight="1">
      <c r="A989" s="2" t="s">
        <v>1113</v>
      </c>
      <c r="B989" s="2" t="s">
        <v>22</v>
      </c>
    </row>
    <row r="990" spans="1:2" ht="10.5" customHeight="1">
      <c r="A990" s="2" t="s">
        <v>860</v>
      </c>
      <c r="B990" s="2" t="s">
        <v>22</v>
      </c>
    </row>
    <row r="991" spans="1:2" ht="10.5" customHeight="1">
      <c r="A991" s="2" t="s">
        <v>1642</v>
      </c>
      <c r="B991" s="2" t="s">
        <v>22</v>
      </c>
    </row>
    <row r="992" spans="1:2" ht="10.5" customHeight="1">
      <c r="A992" s="2" t="s">
        <v>783</v>
      </c>
      <c r="B992" s="2" t="s">
        <v>22</v>
      </c>
    </row>
    <row r="993" spans="1:2" ht="10.5" customHeight="1">
      <c r="A993" s="2" t="s">
        <v>1500</v>
      </c>
      <c r="B993" s="2" t="s">
        <v>22</v>
      </c>
    </row>
    <row r="994" spans="1:2" ht="10.5" customHeight="1">
      <c r="A994" s="2" t="s">
        <v>484</v>
      </c>
      <c r="B994" s="2" t="s">
        <v>22</v>
      </c>
    </row>
    <row r="995" spans="1:2" ht="10.5" customHeight="1">
      <c r="A995" s="2" t="s">
        <v>1329</v>
      </c>
      <c r="B995" s="2" t="s">
        <v>22</v>
      </c>
    </row>
    <row r="996" spans="1:2" ht="10.5" customHeight="1">
      <c r="A996" s="2" t="s">
        <v>404</v>
      </c>
      <c r="B996" s="2" t="s">
        <v>69</v>
      </c>
    </row>
    <row r="997" spans="1:2" ht="10.5" customHeight="1">
      <c r="A997" s="2" t="s">
        <v>879</v>
      </c>
      <c r="B997" s="2" t="s">
        <v>22</v>
      </c>
    </row>
    <row r="998" spans="1:2" ht="10.5" customHeight="1">
      <c r="A998" s="2" t="s">
        <v>1896</v>
      </c>
      <c r="B998" s="2" t="s">
        <v>22</v>
      </c>
    </row>
    <row r="999" spans="1:2" ht="10.5" customHeight="1">
      <c r="A999" s="2" t="s">
        <v>1661</v>
      </c>
      <c r="B999" s="2" t="s">
        <v>22</v>
      </c>
    </row>
    <row r="1000" spans="1:2" ht="10.5" customHeight="1">
      <c r="A1000" s="2" t="s">
        <v>1085</v>
      </c>
      <c r="B1000" s="2" t="s">
        <v>22</v>
      </c>
    </row>
    <row r="1001" spans="1:2" ht="10.5" customHeight="1">
      <c r="A1001" s="2" t="s">
        <v>1825</v>
      </c>
      <c r="B1001" s="2" t="s">
        <v>22</v>
      </c>
    </row>
    <row r="1002" spans="1:2" ht="10.5" customHeight="1">
      <c r="A1002" s="2" t="s">
        <v>845</v>
      </c>
      <c r="B1002" s="2" t="s">
        <v>69</v>
      </c>
    </row>
    <row r="1003" spans="1:2" ht="10.5" customHeight="1">
      <c r="A1003" s="2" t="s">
        <v>2323</v>
      </c>
      <c r="B1003" s="2" t="s">
        <v>2110</v>
      </c>
    </row>
    <row r="1004" spans="1:2" ht="10.5" customHeight="1">
      <c r="A1004" s="2" t="s">
        <v>538</v>
      </c>
      <c r="B1004" s="2" t="s">
        <v>115</v>
      </c>
    </row>
    <row r="1005" spans="1:2" ht="10.5" customHeight="1">
      <c r="A1005" s="2" t="s">
        <v>1178</v>
      </c>
      <c r="B1005" s="2" t="s">
        <v>22</v>
      </c>
    </row>
    <row r="1006" spans="1:2" ht="10.5" customHeight="1">
      <c r="A1006" s="2" t="s">
        <v>1497</v>
      </c>
      <c r="B1006" s="2" t="s">
        <v>22</v>
      </c>
    </row>
    <row r="1007" spans="1:2" ht="10.5" customHeight="1">
      <c r="A1007" s="2" t="s">
        <v>767</v>
      </c>
      <c r="B1007" s="2" t="s">
        <v>22</v>
      </c>
    </row>
    <row r="1008" spans="1:2" ht="10.5" customHeight="1">
      <c r="A1008" s="2" t="s">
        <v>2020</v>
      </c>
      <c r="B1008" s="2" t="s">
        <v>22</v>
      </c>
    </row>
    <row r="1009" spans="1:2" ht="10.5" customHeight="1">
      <c r="A1009" s="2" t="s">
        <v>1055</v>
      </c>
      <c r="B1009" s="2" t="s">
        <v>69</v>
      </c>
    </row>
    <row r="1010" spans="1:2" ht="10.5" customHeight="1">
      <c r="A1010" s="2" t="s">
        <v>1397</v>
      </c>
      <c r="B1010" s="2" t="s">
        <v>22</v>
      </c>
    </row>
    <row r="1011" spans="1:2" ht="10.5" customHeight="1">
      <c r="A1011" s="2" t="s">
        <v>755</v>
      </c>
      <c r="B1011" s="2" t="s">
        <v>115</v>
      </c>
    </row>
    <row r="1012" spans="1:2" ht="10.5" customHeight="1">
      <c r="A1012" s="2" t="s">
        <v>2305</v>
      </c>
      <c r="B1012" s="2" t="s">
        <v>2110</v>
      </c>
    </row>
    <row r="1013" spans="1:2" ht="10.5" customHeight="1">
      <c r="A1013" s="2" t="s">
        <v>1952</v>
      </c>
      <c r="B1013" s="2" t="s">
        <v>22</v>
      </c>
    </row>
    <row r="1014" spans="1:2" ht="10.5" customHeight="1">
      <c r="A1014" s="2" t="s">
        <v>1941</v>
      </c>
      <c r="B1014" s="2" t="s">
        <v>22</v>
      </c>
    </row>
    <row r="1015" spans="1:2" ht="10.5" customHeight="1">
      <c r="A1015" s="2" t="s">
        <v>322</v>
      </c>
      <c r="B1015" s="2" t="s">
        <v>22</v>
      </c>
    </row>
    <row r="1016" spans="1:2" ht="10.5" customHeight="1">
      <c r="A1016" s="2" t="s">
        <v>1511</v>
      </c>
      <c r="B1016" s="2" t="s">
        <v>22</v>
      </c>
    </row>
    <row r="1017" spans="1:2" ht="10.5" customHeight="1">
      <c r="A1017" s="2" t="s">
        <v>1390</v>
      </c>
      <c r="B1017" s="2" t="s">
        <v>69</v>
      </c>
    </row>
    <row r="1018" spans="1:2" ht="10.5" customHeight="1">
      <c r="A1018" s="2" t="s">
        <v>832</v>
      </c>
      <c r="B1018" s="2" t="s">
        <v>22</v>
      </c>
    </row>
    <row r="1019" spans="1:2" ht="10.5" customHeight="1">
      <c r="A1019" s="2" t="s">
        <v>1836</v>
      </c>
      <c r="B1019" s="2" t="s">
        <v>69</v>
      </c>
    </row>
    <row r="1020" spans="1:2" ht="10.5" customHeight="1">
      <c r="A1020" s="2" t="s">
        <v>1974</v>
      </c>
      <c r="B1020" s="2" t="s">
        <v>22</v>
      </c>
    </row>
    <row r="1021" spans="1:2" ht="10.5" customHeight="1">
      <c r="A1021" s="2" t="s">
        <v>1522</v>
      </c>
      <c r="B1021" s="2" t="s">
        <v>22</v>
      </c>
    </row>
    <row r="1022" spans="1:2" ht="10.5" customHeight="1">
      <c r="A1022" s="2" t="s">
        <v>1442</v>
      </c>
      <c r="B1022" s="2" t="s">
        <v>22</v>
      </c>
    </row>
    <row r="1023" spans="1:2" ht="10.5" customHeight="1">
      <c r="A1023" s="2" t="s">
        <v>950</v>
      </c>
      <c r="B1023" s="2" t="s">
        <v>22</v>
      </c>
    </row>
    <row r="1024" spans="1:2" ht="10.5" customHeight="1">
      <c r="A1024" s="2" t="s">
        <v>848</v>
      </c>
      <c r="B1024" s="2" t="s">
        <v>22</v>
      </c>
    </row>
    <row r="1025" spans="1:2" ht="10.5" customHeight="1">
      <c r="A1025" s="2" t="s">
        <v>1463</v>
      </c>
      <c r="B1025" s="2" t="s">
        <v>22</v>
      </c>
    </row>
    <row r="1026" spans="1:2" ht="10.5" customHeight="1">
      <c r="A1026" s="2" t="s">
        <v>1350</v>
      </c>
      <c r="B1026" s="2" t="s">
        <v>22</v>
      </c>
    </row>
    <row r="1027" spans="1:2" ht="10.5" customHeight="1">
      <c r="A1027" s="2" t="s">
        <v>1775</v>
      </c>
      <c r="B1027" s="2" t="s">
        <v>22</v>
      </c>
    </row>
    <row r="1028" spans="1:2" ht="10.5" customHeight="1">
      <c r="A1028" s="2" t="s">
        <v>1755</v>
      </c>
      <c r="B1028" s="2" t="s">
        <v>22</v>
      </c>
    </row>
    <row r="1029" spans="1:2" ht="10.5" customHeight="1">
      <c r="A1029" s="2" t="s">
        <v>1299</v>
      </c>
      <c r="B1029" s="2" t="s">
        <v>22</v>
      </c>
    </row>
    <row r="1030" spans="1:2" ht="10.5" customHeight="1">
      <c r="A1030" s="2" t="s">
        <v>895</v>
      </c>
      <c r="B1030" s="2" t="s">
        <v>22</v>
      </c>
    </row>
    <row r="1031" spans="1:2" ht="10.5" customHeight="1">
      <c r="A1031" s="2" t="s">
        <v>426</v>
      </c>
      <c r="B1031" s="2" t="s">
        <v>22</v>
      </c>
    </row>
    <row r="1032" spans="1:2" ht="10.5" customHeight="1">
      <c r="A1032" s="2" t="s">
        <v>1964</v>
      </c>
      <c r="B1032" s="2" t="s">
        <v>22</v>
      </c>
    </row>
    <row r="1033" spans="1:2" ht="10.5" customHeight="1">
      <c r="A1033" s="2" t="s">
        <v>2260</v>
      </c>
      <c r="B1033" s="2" t="s">
        <v>22</v>
      </c>
    </row>
    <row r="1034" spans="1:2" ht="10.5" customHeight="1">
      <c r="A1034" s="2" t="s">
        <v>1859</v>
      </c>
      <c r="B1034" s="2" t="s">
        <v>22</v>
      </c>
    </row>
    <row r="1035" spans="1:2" ht="10.5" customHeight="1">
      <c r="A1035" s="2" t="s">
        <v>858</v>
      </c>
      <c r="B1035" s="2" t="s">
        <v>22</v>
      </c>
    </row>
    <row r="1036" spans="1:2" ht="10.5" customHeight="1">
      <c r="A1036" s="2" t="s">
        <v>1951</v>
      </c>
      <c r="B1036" s="2" t="s">
        <v>22</v>
      </c>
    </row>
    <row r="1037" spans="1:2" ht="10.5" customHeight="1">
      <c r="A1037" s="2" t="s">
        <v>815</v>
      </c>
      <c r="B1037" s="2" t="s">
        <v>69</v>
      </c>
    </row>
    <row r="1038" spans="1:2" ht="10.5" customHeight="1">
      <c r="A1038" s="2" t="s">
        <v>2101</v>
      </c>
      <c r="B1038" s="2" t="s">
        <v>22</v>
      </c>
    </row>
    <row r="1039" spans="1:2" ht="10.5" customHeight="1">
      <c r="A1039" s="2" t="s">
        <v>1821</v>
      </c>
      <c r="B1039" s="2" t="s">
        <v>69</v>
      </c>
    </row>
    <row r="1040" spans="1:2" ht="10.5" customHeight="1">
      <c r="A1040" s="2" t="s">
        <v>1841</v>
      </c>
      <c r="B1040" s="2" t="s">
        <v>22</v>
      </c>
    </row>
    <row r="1041" spans="1:2" ht="10.5" customHeight="1">
      <c r="A1041" s="2" t="s">
        <v>1401</v>
      </c>
      <c r="B1041" s="2" t="s">
        <v>22</v>
      </c>
    </row>
    <row r="1042" spans="1:2" ht="10.5" customHeight="1">
      <c r="A1042" s="2" t="s">
        <v>1843</v>
      </c>
      <c r="B1042" s="2" t="s">
        <v>22</v>
      </c>
    </row>
    <row r="1043" spans="1:2" ht="10.5" customHeight="1">
      <c r="A1043" s="2" t="s">
        <v>197</v>
      </c>
      <c r="B1043" s="2" t="s">
        <v>22</v>
      </c>
    </row>
    <row r="1044" spans="1:2" ht="10.5" customHeight="1">
      <c r="A1044" s="2" t="s">
        <v>2203</v>
      </c>
      <c r="B1044" s="2" t="s">
        <v>2110</v>
      </c>
    </row>
    <row r="1045" spans="1:2" ht="10.5" customHeight="1">
      <c r="A1045" s="2" t="s">
        <v>805</v>
      </c>
      <c r="B1045" s="2" t="s">
        <v>22</v>
      </c>
    </row>
    <row r="1046" spans="1:2" ht="10.5" customHeight="1">
      <c r="A1046" s="2" t="s">
        <v>833</v>
      </c>
      <c r="B1046" s="2" t="s">
        <v>22</v>
      </c>
    </row>
    <row r="1047" spans="1:2" ht="10.5" customHeight="1">
      <c r="A1047" s="2" t="s">
        <v>440</v>
      </c>
      <c r="B1047" s="2" t="s">
        <v>22</v>
      </c>
    </row>
    <row r="1048" spans="1:2" ht="10.5" customHeight="1">
      <c r="A1048" s="2" t="s">
        <v>154</v>
      </c>
      <c r="B1048" s="2" t="s">
        <v>22</v>
      </c>
    </row>
    <row r="1049" spans="1:2" ht="10.5" customHeight="1">
      <c r="A1049" s="2" t="s">
        <v>2285</v>
      </c>
      <c r="B1049" s="2" t="s">
        <v>22</v>
      </c>
    </row>
    <row r="1050" spans="1:2" ht="10.5" customHeight="1">
      <c r="A1050" s="2" t="s">
        <v>2320</v>
      </c>
      <c r="B1050" s="2" t="s">
        <v>22</v>
      </c>
    </row>
    <row r="1051" spans="1:2" ht="10.5" customHeight="1">
      <c r="A1051" s="2" t="s">
        <v>506</v>
      </c>
      <c r="B1051" s="2" t="s">
        <v>22</v>
      </c>
    </row>
    <row r="1052" spans="1:2" ht="10.5" customHeight="1">
      <c r="A1052" s="2" t="s">
        <v>945</v>
      </c>
      <c r="B1052" s="2" t="s">
        <v>22</v>
      </c>
    </row>
    <row r="1053" spans="1:2" ht="10.5" customHeight="1">
      <c r="A1053" s="2" t="s">
        <v>318</v>
      </c>
      <c r="B1053" s="2" t="s">
        <v>22</v>
      </c>
    </row>
    <row r="1054" spans="1:2" ht="10.5" customHeight="1">
      <c r="A1054" s="2" t="s">
        <v>1048</v>
      </c>
      <c r="B1054" s="2" t="s">
        <v>69</v>
      </c>
    </row>
    <row r="1055" spans="1:2" ht="10.5" customHeight="1">
      <c r="A1055" s="2" t="s">
        <v>939</v>
      </c>
      <c r="B1055" s="2" t="s">
        <v>22</v>
      </c>
    </row>
    <row r="1056" spans="1:2" ht="10.5" customHeight="1">
      <c r="A1056" s="2" t="s">
        <v>1250</v>
      </c>
      <c r="B1056" s="2" t="s">
        <v>22</v>
      </c>
    </row>
    <row r="1057" spans="1:2" ht="10.5" customHeight="1">
      <c r="A1057" s="2" t="s">
        <v>2040</v>
      </c>
      <c r="B1057" s="2" t="s">
        <v>22</v>
      </c>
    </row>
    <row r="1058" spans="1:2" ht="10.5" customHeight="1">
      <c r="A1058" s="2" t="s">
        <v>589</v>
      </c>
      <c r="B1058" s="2" t="s">
        <v>22</v>
      </c>
    </row>
    <row r="1059" spans="1:2" ht="10.5" customHeight="1">
      <c r="A1059" s="2" t="s">
        <v>1305</v>
      </c>
      <c r="B1059" s="2" t="s">
        <v>22</v>
      </c>
    </row>
    <row r="1060" spans="1:2" ht="10.5" customHeight="1">
      <c r="A1060" s="2" t="s">
        <v>215</v>
      </c>
      <c r="B1060" s="2" t="s">
        <v>22</v>
      </c>
    </row>
    <row r="1061" spans="1:2" ht="10.5" customHeight="1">
      <c r="A1061" s="2" t="s">
        <v>85</v>
      </c>
      <c r="B1061" s="2" t="s">
        <v>22</v>
      </c>
    </row>
    <row r="1062" spans="1:2" ht="10.5" customHeight="1">
      <c r="A1062" s="2" t="s">
        <v>1946</v>
      </c>
      <c r="B1062" s="2" t="s">
        <v>22</v>
      </c>
    </row>
    <row r="1063" spans="1:2" ht="10.5" customHeight="1">
      <c r="A1063" s="2" t="s">
        <v>1013</v>
      </c>
      <c r="B1063" s="2" t="s">
        <v>69</v>
      </c>
    </row>
    <row r="1064" spans="1:2" ht="10.5" customHeight="1">
      <c r="A1064" s="2" t="s">
        <v>314</v>
      </c>
      <c r="B1064" s="2" t="s">
        <v>22</v>
      </c>
    </row>
    <row r="1065" spans="1:2" ht="10.5" customHeight="1">
      <c r="A1065" s="2" t="s">
        <v>1719</v>
      </c>
      <c r="B1065" s="2" t="s">
        <v>22</v>
      </c>
    </row>
    <row r="1066" spans="1:2" ht="10.5" customHeight="1">
      <c r="A1066" s="2" t="s">
        <v>903</v>
      </c>
      <c r="B1066" s="2" t="s">
        <v>22</v>
      </c>
    </row>
    <row r="1067" spans="1:2" ht="10.5" customHeight="1">
      <c r="A1067" s="2" t="s">
        <v>965</v>
      </c>
      <c r="B1067" s="2" t="s">
        <v>22</v>
      </c>
    </row>
    <row r="1068" spans="1:2" ht="10.5" customHeight="1">
      <c r="A1068" s="2" t="s">
        <v>1197</v>
      </c>
      <c r="B1068" s="2" t="s">
        <v>22</v>
      </c>
    </row>
    <row r="1069" spans="1:2" ht="10.5" customHeight="1">
      <c r="A1069" s="2" t="s">
        <v>1696</v>
      </c>
      <c r="B1069" s="2" t="s">
        <v>69</v>
      </c>
    </row>
    <row r="1070" spans="1:2" ht="10.5" customHeight="1">
      <c r="A1070" s="2" t="s">
        <v>1537</v>
      </c>
      <c r="B1070" s="2" t="s">
        <v>22</v>
      </c>
    </row>
    <row r="1071" spans="1:2" ht="10.5" customHeight="1">
      <c r="A1071" s="2" t="s">
        <v>2063</v>
      </c>
      <c r="B1071" s="2" t="s">
        <v>69</v>
      </c>
    </row>
    <row r="1072" spans="1:2" ht="10.5" customHeight="1">
      <c r="A1072" s="2" t="s">
        <v>940</v>
      </c>
      <c r="B1072" s="2" t="s">
        <v>22</v>
      </c>
    </row>
    <row r="1073" spans="1:2" ht="10.5" customHeight="1">
      <c r="A1073" s="2" t="s">
        <v>1494</v>
      </c>
      <c r="B1073" s="2" t="s">
        <v>22</v>
      </c>
    </row>
    <row r="1074" spans="1:2" ht="10.5" customHeight="1">
      <c r="A1074" s="2" t="s">
        <v>1244</v>
      </c>
      <c r="B1074" s="2" t="s">
        <v>22</v>
      </c>
    </row>
    <row r="1075" spans="1:2" ht="10.5" customHeight="1">
      <c r="A1075" s="2" t="s">
        <v>1477</v>
      </c>
      <c r="B1075" s="2" t="s">
        <v>22</v>
      </c>
    </row>
    <row r="1076" spans="1:2" ht="10.5" customHeight="1">
      <c r="A1076" s="2" t="s">
        <v>1653</v>
      </c>
      <c r="B1076" s="2" t="s">
        <v>22</v>
      </c>
    </row>
    <row r="1077" spans="1:2" ht="10.5" customHeight="1">
      <c r="A1077" s="2" t="s">
        <v>1424</v>
      </c>
      <c r="B1077" s="2" t="s">
        <v>22</v>
      </c>
    </row>
    <row r="1078" spans="1:2" ht="10.5" customHeight="1">
      <c r="A1078" s="2" t="s">
        <v>1069</v>
      </c>
      <c r="B1078" s="2" t="s">
        <v>22</v>
      </c>
    </row>
    <row r="1079" spans="1:2" ht="10.5" customHeight="1">
      <c r="A1079" s="2" t="s">
        <v>820</v>
      </c>
      <c r="B1079" s="2" t="s">
        <v>22</v>
      </c>
    </row>
    <row r="1080" spans="1:2" ht="10.5" customHeight="1">
      <c r="A1080" s="2" t="s">
        <v>236</v>
      </c>
      <c r="B1080" s="2" t="s">
        <v>22</v>
      </c>
    </row>
    <row r="1081" spans="1:2" ht="10.5" customHeight="1">
      <c r="A1081" s="2" t="s">
        <v>1665</v>
      </c>
      <c r="B1081" s="2" t="s">
        <v>22</v>
      </c>
    </row>
    <row r="1082" spans="1:2" ht="10.5" customHeight="1">
      <c r="A1082" s="2" t="s">
        <v>1130</v>
      </c>
      <c r="B1082" s="2" t="s">
        <v>22</v>
      </c>
    </row>
    <row r="1083" spans="1:2" ht="10.5" customHeight="1">
      <c r="A1083" s="2" t="s">
        <v>1743</v>
      </c>
      <c r="B1083" s="2" t="s">
        <v>22</v>
      </c>
    </row>
    <row r="1084" spans="1:2" ht="10.5" customHeight="1">
      <c r="A1084" s="2" t="s">
        <v>1419</v>
      </c>
      <c r="B1084" s="2" t="s">
        <v>22</v>
      </c>
    </row>
    <row r="1085" spans="1:2" ht="10.5" customHeight="1">
      <c r="A1085" s="2" t="s">
        <v>239</v>
      </c>
      <c r="B1085" s="2" t="s">
        <v>22</v>
      </c>
    </row>
    <row r="1086" spans="1:2" ht="10.5" customHeight="1">
      <c r="A1086" s="2" t="s">
        <v>2239</v>
      </c>
      <c r="B1086" s="2" t="s">
        <v>22</v>
      </c>
    </row>
    <row r="1087" spans="1:2" ht="10.5" customHeight="1">
      <c r="A1087" s="2" t="s">
        <v>1724</v>
      </c>
      <c r="B1087" s="2" t="s">
        <v>69</v>
      </c>
    </row>
    <row r="1088" spans="1:2" ht="10.5" customHeight="1">
      <c r="A1088" s="2" t="s">
        <v>1219</v>
      </c>
      <c r="B1088" s="2" t="s">
        <v>22</v>
      </c>
    </row>
    <row r="1089" spans="1:2" ht="10.5" customHeight="1">
      <c r="A1089" s="2" t="s">
        <v>455</v>
      </c>
      <c r="B1089" s="2" t="s">
        <v>22</v>
      </c>
    </row>
    <row r="1090" spans="1:2" ht="10.5" customHeight="1">
      <c r="A1090" s="2" t="s">
        <v>2281</v>
      </c>
      <c r="B1090" s="2" t="s">
        <v>22</v>
      </c>
    </row>
    <row r="1091" spans="1:2" ht="10.5" customHeight="1">
      <c r="A1091" s="2" t="s">
        <v>1538</v>
      </c>
      <c r="B1091" s="2" t="s">
        <v>69</v>
      </c>
    </row>
    <row r="1092" spans="1:2" ht="10.5" customHeight="1">
      <c r="A1092" s="2" t="s">
        <v>1093</v>
      </c>
      <c r="B1092" s="2" t="s">
        <v>22</v>
      </c>
    </row>
    <row r="1093" spans="1:2" ht="10.5" customHeight="1">
      <c r="A1093" s="2" t="s">
        <v>1994</v>
      </c>
      <c r="B1093" s="2" t="s">
        <v>22</v>
      </c>
    </row>
    <row r="1094" spans="1:2" ht="10.5" customHeight="1">
      <c r="A1094" s="2" t="s">
        <v>2054</v>
      </c>
      <c r="B1094" s="2" t="s">
        <v>22</v>
      </c>
    </row>
    <row r="1095" spans="1:2" ht="10.5" customHeight="1">
      <c r="A1095" s="2" t="s">
        <v>2072</v>
      </c>
      <c r="B1095" s="2" t="s">
        <v>22</v>
      </c>
    </row>
    <row r="1096" spans="1:2" ht="10.5" customHeight="1">
      <c r="A1096" s="2" t="s">
        <v>1144</v>
      </c>
      <c r="B1096" s="2" t="s">
        <v>22</v>
      </c>
    </row>
    <row r="1097" spans="1:2" ht="10.5" customHeight="1">
      <c r="A1097" s="2" t="s">
        <v>2003</v>
      </c>
      <c r="B1097" s="2" t="s">
        <v>22</v>
      </c>
    </row>
    <row r="1098" spans="1:2" ht="10.5" customHeight="1">
      <c r="A1098" s="2" t="s">
        <v>2293</v>
      </c>
      <c r="B1098" s="2" t="s">
        <v>2107</v>
      </c>
    </row>
    <row r="1099" spans="1:2" ht="10.5" customHeight="1">
      <c r="A1099" s="2" t="s">
        <v>2080</v>
      </c>
      <c r="B1099" s="2" t="s">
        <v>22</v>
      </c>
    </row>
    <row r="1100" spans="1:2" ht="10.5" customHeight="1">
      <c r="A1100" s="2" t="s">
        <v>763</v>
      </c>
      <c r="B1100" s="2" t="s">
        <v>22</v>
      </c>
    </row>
    <row r="1101" spans="1:2" ht="10.5" customHeight="1">
      <c r="A1101" s="2" t="s">
        <v>1813</v>
      </c>
      <c r="B1101" s="2" t="s">
        <v>22</v>
      </c>
    </row>
    <row r="1102" spans="1:2" ht="10.5" customHeight="1">
      <c r="A1102" s="2" t="s">
        <v>545</v>
      </c>
      <c r="B1102" s="2" t="s">
        <v>22</v>
      </c>
    </row>
    <row r="1103" spans="1:2" ht="10.5" customHeight="1">
      <c r="A1103" s="2" t="s">
        <v>1490</v>
      </c>
      <c r="B1103" s="2" t="s">
        <v>22</v>
      </c>
    </row>
    <row r="1104" spans="1:2" ht="10.5" customHeight="1">
      <c r="A1104" s="2" t="s">
        <v>1939</v>
      </c>
      <c r="B1104" s="2" t="s">
        <v>69</v>
      </c>
    </row>
    <row r="1105" spans="1:2" ht="10.5" customHeight="1">
      <c r="A1105" s="2" t="s">
        <v>363</v>
      </c>
      <c r="B1105" s="2" t="s">
        <v>22</v>
      </c>
    </row>
    <row r="1106" spans="1:2" ht="10.5" customHeight="1">
      <c r="A1106" s="2" t="s">
        <v>486</v>
      </c>
      <c r="B1106" s="2" t="s">
        <v>69</v>
      </c>
    </row>
    <row r="1107" spans="1:2" ht="10.5" customHeight="1">
      <c r="A1107" s="2" t="s">
        <v>348</v>
      </c>
      <c r="B1107" s="2" t="s">
        <v>22</v>
      </c>
    </row>
    <row r="1108" spans="1:2" ht="10.5" customHeight="1">
      <c r="A1108" s="2" t="s">
        <v>1452</v>
      </c>
      <c r="B1108" s="2" t="s">
        <v>22</v>
      </c>
    </row>
    <row r="1109" spans="1:2" ht="10.5" customHeight="1">
      <c r="A1109" s="2" t="s">
        <v>606</v>
      </c>
      <c r="B1109" s="2" t="s">
        <v>69</v>
      </c>
    </row>
    <row r="1110" spans="1:2" ht="10.5" customHeight="1">
      <c r="A1110" s="2" t="s">
        <v>696</v>
      </c>
      <c r="B1110" s="2" t="s">
        <v>22</v>
      </c>
    </row>
    <row r="1111" spans="1:2" ht="10.5" customHeight="1">
      <c r="A1111" s="2" t="s">
        <v>1794</v>
      </c>
      <c r="B1111" s="2" t="s">
        <v>22</v>
      </c>
    </row>
    <row r="1112" spans="1:2" ht="10.5" customHeight="1">
      <c r="A1112" s="2" t="s">
        <v>1599</v>
      </c>
      <c r="B1112" s="2" t="s">
        <v>22</v>
      </c>
    </row>
    <row r="1113" spans="1:2" ht="10.5" customHeight="1">
      <c r="A1113" s="2" t="s">
        <v>1658</v>
      </c>
      <c r="B1113" s="2" t="s">
        <v>22</v>
      </c>
    </row>
    <row r="1114" spans="1:2" ht="10.5" customHeight="1">
      <c r="A1114" s="2" t="s">
        <v>204</v>
      </c>
      <c r="B1114" s="2" t="s">
        <v>22</v>
      </c>
    </row>
    <row r="1115" spans="1:2" ht="10.5" customHeight="1">
      <c r="A1115" s="2" t="s">
        <v>2117</v>
      </c>
      <c r="B1115" s="2" t="s">
        <v>69</v>
      </c>
    </row>
    <row r="1116" spans="1:2" ht="10.5" customHeight="1">
      <c r="A1116" s="2" t="s">
        <v>1803</v>
      </c>
      <c r="B1116" s="2" t="s">
        <v>115</v>
      </c>
    </row>
    <row r="1117" spans="1:2" ht="10.5" customHeight="1">
      <c r="A1117" s="2" t="s">
        <v>567</v>
      </c>
      <c r="B1117" s="2" t="s">
        <v>22</v>
      </c>
    </row>
    <row r="1118" spans="1:2" ht="10.5" customHeight="1">
      <c r="A1118" s="2" t="s">
        <v>2008</v>
      </c>
      <c r="B1118" s="2" t="s">
        <v>22</v>
      </c>
    </row>
    <row r="1119" spans="1:2" ht="10.5" customHeight="1">
      <c r="A1119" s="2" t="s">
        <v>1304</v>
      </c>
      <c r="B1119" s="2" t="s">
        <v>22</v>
      </c>
    </row>
    <row r="1120" spans="1:2" ht="10.5" customHeight="1">
      <c r="A1120" s="2" t="s">
        <v>546</v>
      </c>
      <c r="B1120" s="2" t="s">
        <v>22</v>
      </c>
    </row>
    <row r="1121" spans="1:2" ht="10.5" customHeight="1">
      <c r="A1121" s="2" t="s">
        <v>2205</v>
      </c>
      <c r="B1121" s="2" t="s">
        <v>22</v>
      </c>
    </row>
    <row r="1122" spans="1:2" ht="10.5" customHeight="1">
      <c r="A1122" s="2" t="s">
        <v>925</v>
      </c>
      <c r="B1122" s="2" t="s">
        <v>22</v>
      </c>
    </row>
    <row r="1123" spans="1:2" ht="10.5" customHeight="1">
      <c r="A1123" s="2" t="s">
        <v>1190</v>
      </c>
      <c r="B1123" s="2" t="s">
        <v>22</v>
      </c>
    </row>
    <row r="1124" spans="1:2" ht="10.5" customHeight="1">
      <c r="A1124" s="2" t="s">
        <v>707</v>
      </c>
      <c r="B1124" s="2" t="s">
        <v>22</v>
      </c>
    </row>
    <row r="1125" spans="1:2" ht="10.5" customHeight="1">
      <c r="A1125" s="2" t="s">
        <v>518</v>
      </c>
      <c r="B1125" s="2" t="s">
        <v>69</v>
      </c>
    </row>
    <row r="1126" spans="1:2" ht="10.5" customHeight="1">
      <c r="A1126" s="2" t="s">
        <v>523</v>
      </c>
      <c r="B1126" s="2" t="s">
        <v>22</v>
      </c>
    </row>
    <row r="1127" spans="1:2" ht="10.5" customHeight="1">
      <c r="A1127" s="2" t="s">
        <v>1131</v>
      </c>
      <c r="B1127" s="2" t="s">
        <v>22</v>
      </c>
    </row>
    <row r="1128" spans="1:2" ht="10.5" customHeight="1">
      <c r="A1128" s="2" t="s">
        <v>1060</v>
      </c>
      <c r="B1128" s="2" t="s">
        <v>22</v>
      </c>
    </row>
    <row r="1129" spans="1:2" ht="10.5" customHeight="1">
      <c r="A1129" s="2" t="s">
        <v>129</v>
      </c>
      <c r="B1129" s="2" t="s">
        <v>69</v>
      </c>
    </row>
    <row r="1130" spans="1:2" ht="10.5" customHeight="1">
      <c r="A1130" s="2" t="s">
        <v>1967</v>
      </c>
      <c r="B1130" s="2" t="s">
        <v>69</v>
      </c>
    </row>
    <row r="1131" spans="1:2" ht="10.5" customHeight="1">
      <c r="A1131" s="2" t="s">
        <v>1663</v>
      </c>
      <c r="B1131" s="2" t="s">
        <v>22</v>
      </c>
    </row>
    <row r="1132" spans="1:2" ht="10.5" customHeight="1">
      <c r="A1132" s="2" t="s">
        <v>715</v>
      </c>
      <c r="B1132" s="2" t="s">
        <v>22</v>
      </c>
    </row>
    <row r="1133" spans="1:2" ht="10.5" customHeight="1">
      <c r="A1133" s="2" t="s">
        <v>1340</v>
      </c>
      <c r="B1133" s="2" t="s">
        <v>115</v>
      </c>
    </row>
    <row r="1134" spans="1:2" ht="10.5" customHeight="1">
      <c r="A1134" s="2" t="s">
        <v>955</v>
      </c>
      <c r="B1134" s="2" t="s">
        <v>22</v>
      </c>
    </row>
    <row r="1135" spans="1:2" ht="10.5" customHeight="1">
      <c r="A1135" s="2" t="s">
        <v>1761</v>
      </c>
      <c r="B1135" s="2" t="s">
        <v>22</v>
      </c>
    </row>
    <row r="1136" spans="1:2" ht="10.5" customHeight="1">
      <c r="A1136" s="2" t="s">
        <v>1296</v>
      </c>
      <c r="B1136" s="2" t="s">
        <v>22</v>
      </c>
    </row>
    <row r="1137" spans="1:2" ht="10.5" customHeight="1">
      <c r="A1137" s="2" t="s">
        <v>1990</v>
      </c>
      <c r="B1137" s="2" t="s">
        <v>22</v>
      </c>
    </row>
    <row r="1138" spans="1:2" ht="10.5" customHeight="1">
      <c r="A1138" s="2" t="s">
        <v>1865</v>
      </c>
      <c r="B1138" s="2" t="s">
        <v>22</v>
      </c>
    </row>
    <row r="1139" spans="1:2" ht="10.5" customHeight="1">
      <c r="A1139" s="2" t="s">
        <v>775</v>
      </c>
      <c r="B1139" s="2" t="s">
        <v>22</v>
      </c>
    </row>
    <row r="1140" spans="1:2" ht="10.5" customHeight="1">
      <c r="A1140" s="2" t="s">
        <v>874</v>
      </c>
      <c r="B1140" s="2" t="s">
        <v>22</v>
      </c>
    </row>
    <row r="1141" spans="1:2" ht="10.5" customHeight="1">
      <c r="A1141" s="2" t="s">
        <v>1645</v>
      </c>
      <c r="B1141" s="2" t="s">
        <v>22</v>
      </c>
    </row>
    <row r="1142" spans="1:2" ht="10.5" customHeight="1">
      <c r="A1142" s="2" t="s">
        <v>1479</v>
      </c>
      <c r="B1142" s="2" t="s">
        <v>69</v>
      </c>
    </row>
    <row r="1143" spans="1:2" ht="10.5" customHeight="1">
      <c r="A1143" s="2" t="s">
        <v>1909</v>
      </c>
      <c r="B1143" s="2" t="s">
        <v>22</v>
      </c>
    </row>
    <row r="1144" spans="1:2" ht="10.5" customHeight="1">
      <c r="A1144" s="2" t="s">
        <v>1979</v>
      </c>
      <c r="B1144" s="2" t="s">
        <v>22</v>
      </c>
    </row>
    <row r="1145" spans="1:2" ht="10.5" customHeight="1">
      <c r="A1145" s="2" t="s">
        <v>854</v>
      </c>
      <c r="B1145" s="2" t="s">
        <v>22</v>
      </c>
    </row>
    <row r="1146" spans="1:2" ht="10.5" customHeight="1">
      <c r="A1146" s="2" t="s">
        <v>174</v>
      </c>
      <c r="B1146" s="2" t="s">
        <v>22</v>
      </c>
    </row>
    <row r="1147" spans="1:2" ht="10.5" customHeight="1">
      <c r="A1147" s="2" t="s">
        <v>829</v>
      </c>
      <c r="B1147" s="2" t="s">
        <v>22</v>
      </c>
    </row>
    <row r="1148" spans="1:2" ht="10.5" customHeight="1">
      <c r="A1148" s="2" t="s">
        <v>1236</v>
      </c>
      <c r="B1148" s="2" t="s">
        <v>22</v>
      </c>
    </row>
    <row r="1149" spans="1:2" ht="10.5" customHeight="1">
      <c r="A1149" s="2" t="s">
        <v>1829</v>
      </c>
      <c r="B1149" s="2" t="s">
        <v>22</v>
      </c>
    </row>
    <row r="1150" spans="1:2" ht="10.5" customHeight="1">
      <c r="A1150" s="2" t="s">
        <v>356</v>
      </c>
      <c r="B1150" s="2" t="s">
        <v>22</v>
      </c>
    </row>
    <row r="1151" spans="1:2" ht="10.5" customHeight="1">
      <c r="A1151" s="2" t="s">
        <v>1407</v>
      </c>
      <c r="B1151" s="2" t="s">
        <v>22</v>
      </c>
    </row>
    <row r="1152" spans="1:2" ht="10.5" customHeight="1">
      <c r="A1152" s="2" t="s">
        <v>208</v>
      </c>
      <c r="B1152" s="2" t="s">
        <v>22</v>
      </c>
    </row>
    <row r="1153" spans="1:2" ht="10.5" customHeight="1">
      <c r="A1153" s="2" t="s">
        <v>1735</v>
      </c>
      <c r="B1153" s="2" t="s">
        <v>22</v>
      </c>
    </row>
    <row r="1154" spans="1:2" ht="10.5" customHeight="1">
      <c r="A1154" s="2" t="s">
        <v>2168</v>
      </c>
      <c r="B1154" s="2" t="s">
        <v>22</v>
      </c>
    </row>
    <row r="1155" spans="1:2" ht="10.5" customHeight="1">
      <c r="A1155" s="2" t="s">
        <v>1270</v>
      </c>
      <c r="B1155" s="2" t="s">
        <v>22</v>
      </c>
    </row>
    <row r="1156" spans="1:2" ht="10.5" customHeight="1">
      <c r="A1156" s="2" t="s">
        <v>1725</v>
      </c>
      <c r="B1156" s="2" t="s">
        <v>22</v>
      </c>
    </row>
    <row r="1157" spans="1:2" ht="10.5" customHeight="1">
      <c r="A1157" s="2" t="s">
        <v>395</v>
      </c>
      <c r="B1157" s="2" t="s">
        <v>22</v>
      </c>
    </row>
    <row r="1158" spans="1:2" ht="10.5" customHeight="1">
      <c r="A1158" s="2" t="s">
        <v>1563</v>
      </c>
      <c r="B1158" s="2" t="s">
        <v>22</v>
      </c>
    </row>
    <row r="1159" spans="1:2" ht="10.5" customHeight="1">
      <c r="A1159" s="2" t="s">
        <v>2246</v>
      </c>
      <c r="B1159" s="2" t="s">
        <v>2110</v>
      </c>
    </row>
    <row r="1160" spans="1:2" ht="10.5" customHeight="1">
      <c r="A1160" s="2" t="s">
        <v>2159</v>
      </c>
      <c r="B1160" s="2" t="s">
        <v>22</v>
      </c>
    </row>
    <row r="1161" spans="1:2" ht="10.5" customHeight="1">
      <c r="A1161" s="2" t="s">
        <v>82</v>
      </c>
      <c r="B1161" s="2" t="s">
        <v>22</v>
      </c>
    </row>
    <row r="1162" spans="1:2" ht="10.5" customHeight="1">
      <c r="A1162" s="2" t="s">
        <v>1597</v>
      </c>
      <c r="B1162" s="2" t="s">
        <v>22</v>
      </c>
    </row>
    <row r="1163" spans="1:2" ht="10.5" customHeight="1">
      <c r="A1163" s="2" t="s">
        <v>2073</v>
      </c>
      <c r="B1163" s="2" t="s">
        <v>22</v>
      </c>
    </row>
    <row r="1164" spans="1:2" ht="10.5" customHeight="1">
      <c r="A1164" s="2" t="s">
        <v>290</v>
      </c>
      <c r="B1164" s="2" t="s">
        <v>69</v>
      </c>
    </row>
    <row r="1165" spans="1:2" ht="10.5" customHeight="1">
      <c r="A1165" s="2" t="s">
        <v>1600</v>
      </c>
      <c r="B1165" s="2" t="s">
        <v>22</v>
      </c>
    </row>
    <row r="1166" spans="1:2" ht="10.5" customHeight="1">
      <c r="A1166" s="2" t="s">
        <v>1547</v>
      </c>
      <c r="B1166" s="2" t="s">
        <v>22</v>
      </c>
    </row>
    <row r="1167" spans="1:2" ht="10.5" customHeight="1">
      <c r="A1167" s="2" t="s">
        <v>2161</v>
      </c>
      <c r="B1167" s="2" t="s">
        <v>2107</v>
      </c>
    </row>
    <row r="1168" spans="1:2" ht="10.5" customHeight="1">
      <c r="A1168" s="2" t="s">
        <v>1709</v>
      </c>
      <c r="B1168" s="2" t="s">
        <v>69</v>
      </c>
    </row>
    <row r="1169" spans="1:2" ht="10.5" customHeight="1">
      <c r="A1169" s="2" t="s">
        <v>1104</v>
      </c>
      <c r="B1169" s="2" t="s">
        <v>22</v>
      </c>
    </row>
    <row r="1170" spans="1:2" ht="10.5" customHeight="1">
      <c r="A1170" s="2" t="s">
        <v>245</v>
      </c>
      <c r="B1170" s="2" t="s">
        <v>22</v>
      </c>
    </row>
    <row r="1171" spans="1:2" ht="10.5" customHeight="1">
      <c r="A1171" s="2" t="s">
        <v>1569</v>
      </c>
      <c r="B1171" s="2" t="s">
        <v>22</v>
      </c>
    </row>
    <row r="1172" spans="1:2" ht="10.5" customHeight="1">
      <c r="A1172" s="2" t="s">
        <v>1158</v>
      </c>
      <c r="B1172" s="2" t="s">
        <v>22</v>
      </c>
    </row>
    <row r="1173" spans="1:2" ht="10.5" customHeight="1">
      <c r="A1173" s="2" t="s">
        <v>1491</v>
      </c>
      <c r="B1173" s="2" t="s">
        <v>22</v>
      </c>
    </row>
    <row r="1174" spans="1:2" ht="10.5" customHeight="1">
      <c r="A1174" s="2" t="s">
        <v>1147</v>
      </c>
      <c r="B1174" s="2" t="s">
        <v>22</v>
      </c>
    </row>
    <row r="1175" spans="1:2" ht="10.5" customHeight="1">
      <c r="A1175" s="2" t="s">
        <v>1685</v>
      </c>
      <c r="B1175" s="2" t="s">
        <v>22</v>
      </c>
    </row>
    <row r="1176" spans="1:2" ht="10.5" customHeight="1">
      <c r="A1176" s="2" t="s">
        <v>1364</v>
      </c>
      <c r="B1176" s="2" t="s">
        <v>22</v>
      </c>
    </row>
    <row r="1177" spans="1:2" ht="10.5" customHeight="1">
      <c r="A1177" s="2" t="s">
        <v>1818</v>
      </c>
      <c r="B1177" s="2" t="s">
        <v>22</v>
      </c>
    </row>
    <row r="1178" spans="1:2" ht="10.5" customHeight="1">
      <c r="A1178" s="2" t="s">
        <v>585</v>
      </c>
      <c r="B1178" s="2" t="s">
        <v>22</v>
      </c>
    </row>
    <row r="1179" spans="1:2" ht="10.5" customHeight="1">
      <c r="A1179" s="2" t="s">
        <v>1363</v>
      </c>
      <c r="B1179" s="2" t="s">
        <v>69</v>
      </c>
    </row>
    <row r="1180" spans="1:2" ht="10.5" customHeight="1">
      <c r="A1180" s="2" t="s">
        <v>1750</v>
      </c>
      <c r="B1180" s="2" t="s">
        <v>22</v>
      </c>
    </row>
    <row r="1181" spans="1:2" ht="10.5" customHeight="1">
      <c r="A1181" s="2" t="s">
        <v>1091</v>
      </c>
      <c r="B1181" s="2" t="s">
        <v>22</v>
      </c>
    </row>
    <row r="1182" spans="1:2" ht="10.5" customHeight="1">
      <c r="A1182" s="2" t="s">
        <v>1802</v>
      </c>
      <c r="B1182" s="2" t="s">
        <v>22</v>
      </c>
    </row>
    <row r="1183" spans="1:2" ht="10.5" customHeight="1">
      <c r="A1183" s="2" t="s">
        <v>964</v>
      </c>
      <c r="B1183" s="2" t="s">
        <v>22</v>
      </c>
    </row>
    <row r="1184" spans="1:2" ht="10.5" customHeight="1">
      <c r="A1184" s="2" t="s">
        <v>2313</v>
      </c>
      <c r="B1184" s="2" t="s">
        <v>2110</v>
      </c>
    </row>
    <row r="1185" spans="1:2" ht="10.5" customHeight="1">
      <c r="A1185" s="2" t="s">
        <v>1906</v>
      </c>
      <c r="B1185" s="2" t="s">
        <v>22</v>
      </c>
    </row>
    <row r="1186" spans="1:2" ht="10.5" customHeight="1">
      <c r="A1186" s="2" t="s">
        <v>2162</v>
      </c>
      <c r="B1186" s="2" t="s">
        <v>22</v>
      </c>
    </row>
    <row r="1187" spans="1:2" ht="10.5" customHeight="1">
      <c r="A1187" s="2" t="s">
        <v>1895</v>
      </c>
      <c r="B1187" s="2" t="s">
        <v>69</v>
      </c>
    </row>
    <row r="1188" spans="1:2" ht="10.5" customHeight="1">
      <c r="A1188" s="2" t="s">
        <v>810</v>
      </c>
      <c r="B1188" s="2" t="s">
        <v>22</v>
      </c>
    </row>
    <row r="1189" spans="1:2" ht="10.5" customHeight="1">
      <c r="A1189" s="2" t="s">
        <v>1400</v>
      </c>
      <c r="B1189" s="2" t="s">
        <v>22</v>
      </c>
    </row>
    <row r="1190" spans="1:2" ht="10.5" customHeight="1">
      <c r="A1190" s="2" t="s">
        <v>1109</v>
      </c>
      <c r="B1190" s="2" t="s">
        <v>22</v>
      </c>
    </row>
    <row r="1191" spans="1:2" ht="10.5" customHeight="1">
      <c r="A1191" s="2" t="s">
        <v>165</v>
      </c>
      <c r="B1191" s="2" t="s">
        <v>22</v>
      </c>
    </row>
    <row r="1192" spans="1:2" ht="10.5" customHeight="1">
      <c r="A1192" s="2" t="s">
        <v>1160</v>
      </c>
      <c r="B1192" s="2" t="s">
        <v>22</v>
      </c>
    </row>
    <row r="1193" spans="1:2" ht="10.5" customHeight="1">
      <c r="A1193" s="2" t="s">
        <v>754</v>
      </c>
      <c r="B1193" s="2" t="s">
        <v>22</v>
      </c>
    </row>
    <row r="1194" spans="1:2" ht="10.5" customHeight="1">
      <c r="A1194" s="2" t="s">
        <v>725</v>
      </c>
      <c r="B1194" s="2" t="s">
        <v>22</v>
      </c>
    </row>
    <row r="1195" spans="1:2" ht="10.5" customHeight="1">
      <c r="A1195" s="2" t="s">
        <v>1446</v>
      </c>
      <c r="B1195" s="2" t="s">
        <v>22</v>
      </c>
    </row>
    <row r="1196" spans="1:2" ht="10.5" customHeight="1">
      <c r="A1196" s="2" t="s">
        <v>1673</v>
      </c>
      <c r="B1196" s="2" t="s">
        <v>22</v>
      </c>
    </row>
    <row r="1197" spans="1:2" ht="10.5" customHeight="1">
      <c r="A1197" s="2" t="s">
        <v>1910</v>
      </c>
      <c r="B1197" s="2" t="s">
        <v>22</v>
      </c>
    </row>
    <row r="1198" spans="1:2" ht="10.5" customHeight="1">
      <c r="A1198" s="2" t="s">
        <v>188</v>
      </c>
      <c r="B1198" s="2" t="s">
        <v>22</v>
      </c>
    </row>
    <row r="1199" spans="1:2" ht="10.5" customHeight="1">
      <c r="A1199" s="2" t="s">
        <v>670</v>
      </c>
      <c r="B1199" s="2" t="s">
        <v>22</v>
      </c>
    </row>
    <row r="1200" spans="1:2" ht="10.5" customHeight="1">
      <c r="A1200" s="2" t="s">
        <v>2256</v>
      </c>
      <c r="B1200" s="2" t="s">
        <v>2110</v>
      </c>
    </row>
    <row r="1201" spans="1:2" ht="10.5" customHeight="1">
      <c r="A1201" s="2" t="s">
        <v>554</v>
      </c>
      <c r="B1201" s="2" t="s">
        <v>22</v>
      </c>
    </row>
    <row r="1202" spans="1:2" ht="10.5" customHeight="1">
      <c r="A1202" s="2" t="s">
        <v>344</v>
      </c>
      <c r="B1202" s="2" t="s">
        <v>69</v>
      </c>
    </row>
    <row r="1203" spans="1:2" ht="10.5" customHeight="1">
      <c r="A1203" s="2" t="s">
        <v>408</v>
      </c>
      <c r="B1203" s="2" t="s">
        <v>69</v>
      </c>
    </row>
    <row r="1204" spans="1:2" ht="10.5" customHeight="1">
      <c r="A1204" s="2" t="s">
        <v>1662</v>
      </c>
      <c r="B1204" s="2" t="s">
        <v>22</v>
      </c>
    </row>
    <row r="1205" spans="1:2" ht="10.5" customHeight="1">
      <c r="A1205" s="2" t="s">
        <v>1617</v>
      </c>
      <c r="B1205" s="2" t="s">
        <v>22</v>
      </c>
    </row>
    <row r="1206" spans="1:2" ht="10.5" customHeight="1">
      <c r="A1206" s="2" t="s">
        <v>663</v>
      </c>
      <c r="B1206" s="2" t="s">
        <v>22</v>
      </c>
    </row>
    <row r="1207" spans="1:2" ht="10.5" customHeight="1">
      <c r="A1207" s="2" t="s">
        <v>504</v>
      </c>
      <c r="B1207" s="2" t="s">
        <v>22</v>
      </c>
    </row>
    <row r="1208" spans="1:2" ht="10.5" customHeight="1">
      <c r="A1208" s="2" t="s">
        <v>1810</v>
      </c>
      <c r="B1208" s="2" t="s">
        <v>22</v>
      </c>
    </row>
    <row r="1209" spans="1:2" ht="10.5" customHeight="1">
      <c r="A1209" s="2" t="s">
        <v>42</v>
      </c>
      <c r="B1209" s="2" t="s">
        <v>22</v>
      </c>
    </row>
    <row r="1210" spans="1:2" ht="10.5" customHeight="1">
      <c r="A1210" s="2" t="s">
        <v>1221</v>
      </c>
      <c r="B1210" s="2" t="s">
        <v>115</v>
      </c>
    </row>
    <row r="1211" spans="1:2" ht="10.5" customHeight="1">
      <c r="A1211" s="2" t="s">
        <v>1708</v>
      </c>
      <c r="B1211" s="2" t="s">
        <v>22</v>
      </c>
    </row>
    <row r="1212" spans="1:2" ht="10.5" customHeight="1">
      <c r="A1212" s="2" t="s">
        <v>1394</v>
      </c>
      <c r="B1212" s="2" t="s">
        <v>22</v>
      </c>
    </row>
    <row r="1213" spans="1:2" ht="10.5" customHeight="1">
      <c r="A1213" s="2" t="s">
        <v>750</v>
      </c>
      <c r="B1213" s="2" t="s">
        <v>22</v>
      </c>
    </row>
    <row r="1214" spans="1:2" ht="10.5" customHeight="1">
      <c r="A1214" s="2" t="s">
        <v>1705</v>
      </c>
      <c r="B1214" s="2" t="s">
        <v>22</v>
      </c>
    </row>
    <row r="1215" spans="1:2" ht="10.5" customHeight="1">
      <c r="A1215" s="2" t="s">
        <v>608</v>
      </c>
      <c r="B1215" s="2" t="s">
        <v>22</v>
      </c>
    </row>
    <row r="1216" spans="1:2" ht="10.5" customHeight="1">
      <c r="A1216" s="2" t="s">
        <v>2142</v>
      </c>
      <c r="B1216" s="2" t="s">
        <v>22</v>
      </c>
    </row>
    <row r="1217" spans="1:2" ht="10.5" customHeight="1">
      <c r="A1217" s="2" t="s">
        <v>1955</v>
      </c>
      <c r="B1217" s="2" t="s">
        <v>22</v>
      </c>
    </row>
    <row r="1218" spans="1:2" ht="10.5" customHeight="1">
      <c r="A1218" s="2" t="s">
        <v>1377</v>
      </c>
      <c r="B1218" s="2" t="s">
        <v>22</v>
      </c>
    </row>
    <row r="1219" spans="1:2" ht="10.5" customHeight="1">
      <c r="A1219" s="2" t="s">
        <v>524</v>
      </c>
      <c r="B1219" s="2" t="s">
        <v>22</v>
      </c>
    </row>
    <row r="1220" spans="1:2" ht="10.5" customHeight="1">
      <c r="A1220" s="2" t="s">
        <v>1431</v>
      </c>
      <c r="B1220" s="2" t="s">
        <v>22</v>
      </c>
    </row>
    <row r="1221" spans="1:2" ht="10.5" customHeight="1">
      <c r="A1221" s="2" t="s">
        <v>1257</v>
      </c>
      <c r="B1221" s="2" t="s">
        <v>22</v>
      </c>
    </row>
    <row r="1222" spans="1:2" ht="10.5" customHeight="1">
      <c r="A1222" s="2" t="s">
        <v>1475</v>
      </c>
      <c r="B1222" s="2" t="s">
        <v>22</v>
      </c>
    </row>
    <row r="1223" spans="1:2" ht="10.5" customHeight="1">
      <c r="A1223" s="2" t="s">
        <v>1956</v>
      </c>
      <c r="B1223" s="2" t="s">
        <v>69</v>
      </c>
    </row>
    <row r="1224" spans="1:2" ht="10.5" customHeight="1">
      <c r="A1224" s="2" t="s">
        <v>1174</v>
      </c>
      <c r="B1224" s="2" t="s">
        <v>115</v>
      </c>
    </row>
    <row r="1225" spans="1:2" ht="10.5" customHeight="1">
      <c r="A1225" s="2" t="s">
        <v>1771</v>
      </c>
      <c r="B1225" s="2" t="s">
        <v>22</v>
      </c>
    </row>
    <row r="1226" spans="1:2" ht="10.5" customHeight="1">
      <c r="A1226" s="2" t="s">
        <v>1760</v>
      </c>
      <c r="B1226" s="2" t="s">
        <v>22</v>
      </c>
    </row>
    <row r="1227" spans="1:2" ht="10.5" customHeight="1">
      <c r="A1227" s="2" t="s">
        <v>1359</v>
      </c>
      <c r="B1227" s="2" t="s">
        <v>22</v>
      </c>
    </row>
    <row r="1228" spans="1:2" ht="10.5" customHeight="1">
      <c r="A1228" s="2" t="s">
        <v>1707</v>
      </c>
      <c r="B1228" s="2" t="s">
        <v>22</v>
      </c>
    </row>
    <row r="1229" spans="1:2" ht="10.5" customHeight="1">
      <c r="A1229" s="2" t="s">
        <v>1932</v>
      </c>
      <c r="B1229" s="2" t="s">
        <v>69</v>
      </c>
    </row>
    <row r="1230" spans="1:2" ht="10.5" customHeight="1">
      <c r="A1230" s="2" t="s">
        <v>1853</v>
      </c>
      <c r="B1230" s="2" t="s">
        <v>22</v>
      </c>
    </row>
    <row r="1231" spans="1:2" ht="10.5" customHeight="1">
      <c r="A1231" s="2" t="s">
        <v>1833</v>
      </c>
      <c r="B1231" s="2" t="s">
        <v>22</v>
      </c>
    </row>
    <row r="1232" spans="1:2" ht="10.5" customHeight="1">
      <c r="A1232" s="2" t="s">
        <v>1710</v>
      </c>
      <c r="B1232" s="2" t="s">
        <v>22</v>
      </c>
    </row>
    <row r="1233" spans="1:2" ht="10.5" customHeight="1">
      <c r="A1233" s="2" t="s">
        <v>387</v>
      </c>
      <c r="B1233" s="2" t="s">
        <v>69</v>
      </c>
    </row>
    <row r="1234" spans="1:2" ht="10.5" customHeight="1">
      <c r="A1234" s="2" t="s">
        <v>243</v>
      </c>
      <c r="B1234" s="2" t="s">
        <v>22</v>
      </c>
    </row>
    <row r="1235" spans="1:2" ht="10.5" customHeight="1">
      <c r="A1235" s="2" t="s">
        <v>989</v>
      </c>
      <c r="B1235" s="2" t="s">
        <v>22</v>
      </c>
    </row>
    <row r="1236" spans="1:2" ht="10.5" customHeight="1">
      <c r="A1236" s="2" t="s">
        <v>1075</v>
      </c>
      <c r="B1236" s="2" t="s">
        <v>22</v>
      </c>
    </row>
    <row r="1237" spans="1:2" ht="10.5" customHeight="1">
      <c r="A1237" s="2" t="s">
        <v>2167</v>
      </c>
      <c r="B1237" s="2" t="s">
        <v>22</v>
      </c>
    </row>
    <row r="1238" spans="1:2" ht="10.5" customHeight="1">
      <c r="A1238" s="2" t="s">
        <v>1276</v>
      </c>
      <c r="B1238" s="2" t="s">
        <v>115</v>
      </c>
    </row>
    <row r="1239" spans="1:2" ht="10.5" customHeight="1">
      <c r="A1239" s="2" t="s">
        <v>1071</v>
      </c>
      <c r="B1239" s="2" t="s">
        <v>22</v>
      </c>
    </row>
    <row r="1240" spans="1:2" ht="10.5" customHeight="1">
      <c r="A1240" s="2" t="s">
        <v>1058</v>
      </c>
      <c r="B1240" s="2" t="s">
        <v>69</v>
      </c>
    </row>
    <row r="1241" spans="1:2" ht="10.5" customHeight="1">
      <c r="A1241" s="2" t="s">
        <v>1074</v>
      </c>
      <c r="B1241" s="2" t="s">
        <v>22</v>
      </c>
    </row>
    <row r="1242" spans="1:2" ht="10.5" customHeight="1">
      <c r="A1242" s="2" t="s">
        <v>2191</v>
      </c>
      <c r="B1242" s="2" t="s">
        <v>2107</v>
      </c>
    </row>
    <row r="1243" spans="1:2" ht="10.5" customHeight="1">
      <c r="A1243" s="2" t="s">
        <v>2217</v>
      </c>
      <c r="B1243" s="2" t="s">
        <v>2110</v>
      </c>
    </row>
    <row r="1244" spans="1:2" ht="10.5" customHeight="1">
      <c r="A1244" s="2" t="s">
        <v>2241</v>
      </c>
      <c r="B1244" s="2" t="s">
        <v>2107</v>
      </c>
    </row>
    <row r="1245" spans="1:2" ht="10.5" customHeight="1">
      <c r="A1245" s="2" t="s">
        <v>1220</v>
      </c>
      <c r="B1245" s="2" t="s">
        <v>22</v>
      </c>
    </row>
    <row r="1246" spans="1:2" ht="10.5" customHeight="1">
      <c r="A1246" s="2" t="s">
        <v>1916</v>
      </c>
      <c r="B1246" s="2" t="s">
        <v>22</v>
      </c>
    </row>
    <row r="1247" spans="1:2" ht="10.5" customHeight="1">
      <c r="A1247" s="2" t="s">
        <v>733</v>
      </c>
      <c r="B1247" s="2" t="s">
        <v>22</v>
      </c>
    </row>
    <row r="1248" spans="1:2" ht="10.5" customHeight="1">
      <c r="A1248" s="2" t="s">
        <v>1787</v>
      </c>
      <c r="B1248" s="2" t="s">
        <v>69</v>
      </c>
    </row>
    <row r="1249" spans="1:2" ht="10.5" customHeight="1">
      <c r="A1249" s="2" t="s">
        <v>803</v>
      </c>
      <c r="B1249" s="2" t="s">
        <v>22</v>
      </c>
    </row>
    <row r="1250" spans="1:2" ht="10.5" customHeight="1">
      <c r="A1250" s="2" t="s">
        <v>2298</v>
      </c>
      <c r="B1250" s="2" t="s">
        <v>2107</v>
      </c>
    </row>
    <row r="1251" spans="1:2" ht="10.5" customHeight="1">
      <c r="A1251" s="2" t="s">
        <v>2030</v>
      </c>
      <c r="B1251" s="2" t="s">
        <v>22</v>
      </c>
    </row>
    <row r="1252" spans="1:2" ht="10.5" customHeight="1">
      <c r="A1252" s="2" t="s">
        <v>974</v>
      </c>
      <c r="B1252" s="2" t="s">
        <v>69</v>
      </c>
    </row>
    <row r="1253" spans="1:2" ht="10.5" customHeight="1">
      <c r="A1253" s="2" t="s">
        <v>1756</v>
      </c>
      <c r="B1253" s="2" t="s">
        <v>22</v>
      </c>
    </row>
    <row r="1254" spans="1:2" ht="10.5" customHeight="1">
      <c r="A1254" s="2" t="s">
        <v>1976</v>
      </c>
      <c r="B1254" s="2" t="s">
        <v>22</v>
      </c>
    </row>
    <row r="1255" spans="1:2" ht="10.5" customHeight="1">
      <c r="A1255" s="2" t="s">
        <v>1395</v>
      </c>
      <c r="B1255" s="2" t="s">
        <v>69</v>
      </c>
    </row>
    <row r="1256" spans="1:2" ht="10.5" customHeight="1">
      <c r="A1256" s="2" t="s">
        <v>1361</v>
      </c>
      <c r="B1256" s="2" t="s">
        <v>22</v>
      </c>
    </row>
    <row r="1257" spans="1:2" ht="10.5" customHeight="1">
      <c r="A1257" s="2" t="s">
        <v>2156</v>
      </c>
      <c r="B1257" s="2" t="s">
        <v>2107</v>
      </c>
    </row>
    <row r="1258" spans="1:2" ht="10.5" customHeight="1">
      <c r="A1258" s="2" t="s">
        <v>1986</v>
      </c>
      <c r="B1258" s="2" t="s">
        <v>22</v>
      </c>
    </row>
    <row r="1259" spans="1:2" ht="10.5" customHeight="1">
      <c r="A1259" s="2" t="s">
        <v>1456</v>
      </c>
      <c r="B1259" s="2" t="s">
        <v>22</v>
      </c>
    </row>
    <row r="1260" spans="1:2" ht="10.5" customHeight="1">
      <c r="A1260" s="2" t="s">
        <v>499</v>
      </c>
      <c r="B1260" s="2" t="s">
        <v>22</v>
      </c>
    </row>
    <row r="1261" spans="1:2" ht="10.5" customHeight="1">
      <c r="A1261" s="2" t="s">
        <v>2262</v>
      </c>
      <c r="B1261" s="2" t="s">
        <v>2110</v>
      </c>
    </row>
    <row r="1262" spans="1:2" ht="10.5" customHeight="1">
      <c r="A1262" s="2" t="s">
        <v>1953</v>
      </c>
      <c r="B1262" s="2" t="s">
        <v>22</v>
      </c>
    </row>
    <row r="1263" spans="1:2" ht="10.5" customHeight="1">
      <c r="A1263" s="2" t="s">
        <v>2037</v>
      </c>
      <c r="B1263" s="2" t="s">
        <v>22</v>
      </c>
    </row>
    <row r="1264" spans="1:2" ht="10.5" customHeight="1">
      <c r="A1264" s="2" t="s">
        <v>430</v>
      </c>
      <c r="B1264" s="2" t="s">
        <v>22</v>
      </c>
    </row>
    <row r="1265" spans="1:2" ht="10.5" customHeight="1">
      <c r="A1265" s="2" t="s">
        <v>1754</v>
      </c>
      <c r="B1265" s="2" t="s">
        <v>69</v>
      </c>
    </row>
    <row r="1266" spans="1:2" ht="10.5" customHeight="1">
      <c r="A1266" s="2" t="s">
        <v>861</v>
      </c>
      <c r="B1266" s="2" t="s">
        <v>69</v>
      </c>
    </row>
    <row r="1267" spans="1:2" ht="10.5" customHeight="1">
      <c r="A1267" s="2" t="s">
        <v>1124</v>
      </c>
      <c r="B1267" s="2" t="s">
        <v>22</v>
      </c>
    </row>
    <row r="1268" spans="1:2" ht="10.5" customHeight="1">
      <c r="A1268" s="2" t="s">
        <v>1722</v>
      </c>
      <c r="B1268" s="2" t="s">
        <v>22</v>
      </c>
    </row>
    <row r="1269" spans="1:2" ht="10.5" customHeight="1">
      <c r="A1269" s="2" t="s">
        <v>2096</v>
      </c>
      <c r="B1269" s="2" t="s">
        <v>69</v>
      </c>
    </row>
    <row r="1270" spans="1:2" ht="10.5" customHeight="1">
      <c r="A1270" s="2" t="s">
        <v>1468</v>
      </c>
      <c r="B1270" s="2" t="s">
        <v>22</v>
      </c>
    </row>
    <row r="1271" spans="1:2" ht="10.5" customHeight="1">
      <c r="A1271" s="2" t="s">
        <v>2213</v>
      </c>
      <c r="B1271" s="2" t="s">
        <v>22</v>
      </c>
    </row>
    <row r="1272" spans="1:2" ht="10.5" customHeight="1">
      <c r="A1272" s="2" t="s">
        <v>1333</v>
      </c>
      <c r="B1272" s="2" t="s">
        <v>22</v>
      </c>
    </row>
    <row r="1273" spans="1:2" ht="10.5" customHeight="1">
      <c r="A1273" s="2" t="s">
        <v>1742</v>
      </c>
      <c r="B1273" s="2" t="s">
        <v>22</v>
      </c>
    </row>
    <row r="1274" spans="1:2" ht="10.5" customHeight="1">
      <c r="A1274" s="2" t="s">
        <v>2151</v>
      </c>
      <c r="B1274" s="2" t="s">
        <v>2110</v>
      </c>
    </row>
    <row r="1275" spans="1:2" ht="10.5" customHeight="1">
      <c r="A1275" s="2" t="s">
        <v>1429</v>
      </c>
      <c r="B1275" s="2" t="s">
        <v>115</v>
      </c>
    </row>
    <row r="1276" spans="1:2" ht="10.5" customHeight="1">
      <c r="A1276" s="2" t="s">
        <v>1226</v>
      </c>
      <c r="B1276" s="2" t="s">
        <v>22</v>
      </c>
    </row>
    <row r="1277" spans="1:2" ht="10.5" customHeight="1">
      <c r="A1277" s="2" t="s">
        <v>1410</v>
      </c>
      <c r="B1277" s="2" t="s">
        <v>22</v>
      </c>
    </row>
    <row r="1278" spans="1:2" ht="10.5" customHeight="1">
      <c r="A1278" s="2" t="s">
        <v>1849</v>
      </c>
      <c r="B1278" s="2" t="s">
        <v>22</v>
      </c>
    </row>
    <row r="1279" spans="1:2" ht="10.5" customHeight="1">
      <c r="A1279" s="2" t="s">
        <v>721</v>
      </c>
      <c r="B1279" s="2" t="s">
        <v>22</v>
      </c>
    </row>
    <row r="1280" spans="1:2" ht="10.5" customHeight="1">
      <c r="A1280" s="2" t="s">
        <v>1418</v>
      </c>
      <c r="B1280" s="2" t="s">
        <v>22</v>
      </c>
    </row>
    <row r="1281" spans="1:2" ht="10.5" customHeight="1">
      <c r="A1281" s="2" t="s">
        <v>435</v>
      </c>
      <c r="B1281" s="2" t="s">
        <v>69</v>
      </c>
    </row>
    <row r="1282" spans="1:2" ht="10.5" customHeight="1">
      <c r="A1282" s="2" t="s">
        <v>1215</v>
      </c>
      <c r="B1282" s="2" t="s">
        <v>22</v>
      </c>
    </row>
    <row r="1283" spans="1:2" ht="10.5" customHeight="1">
      <c r="A1283" s="2" t="s">
        <v>1248</v>
      </c>
      <c r="B1283" s="2" t="s">
        <v>22</v>
      </c>
    </row>
    <row r="1284" spans="1:2" ht="10.5" customHeight="1">
      <c r="A1284" s="2" t="s">
        <v>232</v>
      </c>
      <c r="B1284" s="2" t="s">
        <v>115</v>
      </c>
    </row>
    <row r="1285" spans="1:2" ht="10.5" customHeight="1">
      <c r="A1285" s="2" t="s">
        <v>2039</v>
      </c>
      <c r="B1285" s="2" t="s">
        <v>22</v>
      </c>
    </row>
    <row r="1286" spans="1:2" ht="10.5" customHeight="1">
      <c r="A1286" s="2" t="s">
        <v>2163</v>
      </c>
      <c r="B1286" s="2" t="s">
        <v>2110</v>
      </c>
    </row>
    <row r="1287" spans="1:2" ht="10.5" customHeight="1">
      <c r="A1287" s="2" t="s">
        <v>1505</v>
      </c>
      <c r="B1287" s="2" t="s">
        <v>22</v>
      </c>
    </row>
    <row r="1288" spans="1:2" ht="10.5" customHeight="1">
      <c r="A1288" s="2" t="s">
        <v>2243</v>
      </c>
      <c r="B1288" s="2" t="s">
        <v>2110</v>
      </c>
    </row>
    <row r="1289" spans="1:2" ht="10.5" customHeight="1">
      <c r="A1289" s="2" t="s">
        <v>1066</v>
      </c>
      <c r="B1289" s="2" t="s">
        <v>22</v>
      </c>
    </row>
    <row r="1290" spans="1:2" ht="10.5" customHeight="1">
      <c r="A1290" s="2" t="s">
        <v>2206</v>
      </c>
      <c r="B1290" s="2" t="s">
        <v>22</v>
      </c>
    </row>
    <row r="1291" spans="1:2" ht="10.5" customHeight="1">
      <c r="A1291" s="2" t="s">
        <v>821</v>
      </c>
      <c r="B1291" s="2" t="s">
        <v>22</v>
      </c>
    </row>
    <row r="1292" spans="1:2" ht="10.5" customHeight="1">
      <c r="A1292" s="2" t="s">
        <v>961</v>
      </c>
      <c r="B1292" s="2" t="s">
        <v>69</v>
      </c>
    </row>
    <row r="1293" spans="1:2" ht="10.5" customHeight="1">
      <c r="A1293" s="2" t="s">
        <v>1009</v>
      </c>
      <c r="B1293" s="2" t="s">
        <v>22</v>
      </c>
    </row>
    <row r="1294" spans="1:2" ht="10.5" customHeight="1">
      <c r="A1294" s="2" t="s">
        <v>530</v>
      </c>
      <c r="B1294" s="2" t="s">
        <v>22</v>
      </c>
    </row>
    <row r="1295" spans="1:2" ht="10.5" customHeight="1">
      <c r="A1295" s="2" t="s">
        <v>1493</v>
      </c>
      <c r="B1295" s="2" t="s">
        <v>22</v>
      </c>
    </row>
    <row r="1296" spans="1:2" ht="10.5" customHeight="1">
      <c r="A1296" s="2" t="s">
        <v>1590</v>
      </c>
      <c r="B1296" s="2" t="s">
        <v>22</v>
      </c>
    </row>
    <row r="1297" spans="1:2" ht="10.5" customHeight="1">
      <c r="A1297" s="2" t="s">
        <v>1444</v>
      </c>
      <c r="B1297" s="2" t="s">
        <v>22</v>
      </c>
    </row>
    <row r="1298" spans="1:2" ht="10.5" customHeight="1">
      <c r="A1298" s="2" t="s">
        <v>1923</v>
      </c>
      <c r="B1298" s="2" t="s">
        <v>22</v>
      </c>
    </row>
    <row r="1299" spans="1:2" ht="10.5" customHeight="1">
      <c r="A1299" s="2" t="s">
        <v>2291</v>
      </c>
      <c r="B1299" s="2" t="s">
        <v>22</v>
      </c>
    </row>
    <row r="1300" spans="1:2" ht="10.5" customHeight="1">
      <c r="A1300" s="2" t="s">
        <v>2295</v>
      </c>
      <c r="B1300" s="2" t="s">
        <v>22</v>
      </c>
    </row>
    <row r="1301" spans="1:2" ht="10.5" customHeight="1">
      <c r="A1301" s="2" t="s">
        <v>1137</v>
      </c>
      <c r="B1301" s="2" t="s">
        <v>22</v>
      </c>
    </row>
    <row r="1302" spans="1:2" ht="10.5" customHeight="1">
      <c r="A1302" s="2" t="s">
        <v>1413</v>
      </c>
      <c r="B1302" s="2" t="s">
        <v>22</v>
      </c>
    </row>
    <row r="1303" spans="1:2" ht="10.5" customHeight="1">
      <c r="A1303" s="2" t="s">
        <v>1578</v>
      </c>
      <c r="B1303" s="2" t="s">
        <v>22</v>
      </c>
    </row>
    <row r="1304" spans="1:2" ht="10.5" customHeight="1">
      <c r="A1304" s="2" t="s">
        <v>1588</v>
      </c>
      <c r="B1304" s="2" t="s">
        <v>22</v>
      </c>
    </row>
    <row r="1305" spans="1:2" ht="10.5" customHeight="1">
      <c r="A1305" s="2" t="s">
        <v>727</v>
      </c>
      <c r="B1305" s="2" t="s">
        <v>115</v>
      </c>
    </row>
    <row r="1306" spans="1:2" ht="10.5" customHeight="1">
      <c r="A1306" s="2" t="s">
        <v>2059</v>
      </c>
      <c r="B1306" s="2" t="s">
        <v>22</v>
      </c>
    </row>
    <row r="1307" spans="1:2" ht="10.5" customHeight="1">
      <c r="A1307" s="2" t="s">
        <v>1149</v>
      </c>
      <c r="B1307" s="2" t="s">
        <v>69</v>
      </c>
    </row>
    <row r="1308" spans="1:2" ht="10.5" customHeight="1">
      <c r="A1308" s="2" t="s">
        <v>525</v>
      </c>
      <c r="B1308" s="2" t="s">
        <v>22</v>
      </c>
    </row>
    <row r="1309" spans="1:2" ht="10.5" customHeight="1">
      <c r="A1309" s="2" t="s">
        <v>324</v>
      </c>
      <c r="B1309" s="2" t="s">
        <v>22</v>
      </c>
    </row>
    <row r="1310" spans="1:2" ht="10.5" customHeight="1">
      <c r="A1310" s="2" t="s">
        <v>2257</v>
      </c>
      <c r="B1310" s="2" t="s">
        <v>2110</v>
      </c>
    </row>
    <row r="1311" spans="1:2" ht="10.5" customHeight="1">
      <c r="A1311" s="2" t="s">
        <v>840</v>
      </c>
      <c r="B1311" s="2" t="s">
        <v>22</v>
      </c>
    </row>
    <row r="1312" spans="1:2" ht="10.5" customHeight="1">
      <c r="A1312" s="2" t="s">
        <v>1207</v>
      </c>
      <c r="B1312" s="2" t="s">
        <v>22</v>
      </c>
    </row>
    <row r="1313" spans="1:2" ht="10.5" customHeight="1">
      <c r="A1313" s="2" t="s">
        <v>1546</v>
      </c>
      <c r="B1313" s="2" t="s">
        <v>22</v>
      </c>
    </row>
    <row r="1314" spans="1:2" ht="10.5" customHeight="1">
      <c r="A1314" s="2" t="s">
        <v>1486</v>
      </c>
      <c r="B1314" s="2" t="s">
        <v>22</v>
      </c>
    </row>
    <row r="1315" spans="1:2" ht="10.5" customHeight="1">
      <c r="A1315" s="2" t="s">
        <v>2339</v>
      </c>
      <c r="B1315" s="2" t="s">
        <v>115</v>
      </c>
    </row>
    <row r="1316" spans="1:2" ht="10.5" customHeight="1">
      <c r="A1316" s="2" t="s">
        <v>1928</v>
      </c>
      <c r="B1316" s="2" t="s">
        <v>22</v>
      </c>
    </row>
    <row r="1317" spans="1:2" ht="10.5" customHeight="1">
      <c r="A1317" s="2" t="s">
        <v>535</v>
      </c>
      <c r="B1317" s="2" t="s">
        <v>22</v>
      </c>
    </row>
    <row r="1318" spans="1:2" ht="10.5" customHeight="1">
      <c r="A1318" s="2" t="s">
        <v>1417</v>
      </c>
      <c r="B1318" s="2" t="s">
        <v>22</v>
      </c>
    </row>
    <row r="1319" spans="1:2" ht="10.5" customHeight="1">
      <c r="A1319" s="2" t="s">
        <v>1082</v>
      </c>
      <c r="B1319" s="2" t="s">
        <v>22</v>
      </c>
    </row>
    <row r="1320" spans="1:2" ht="10.5" customHeight="1">
      <c r="A1320" s="2" t="s">
        <v>1503</v>
      </c>
      <c r="B1320" s="2" t="s">
        <v>22</v>
      </c>
    </row>
    <row r="1321" spans="1:2" ht="10.5" customHeight="1">
      <c r="A1321" s="2" t="s">
        <v>1046</v>
      </c>
      <c r="B1321" s="2" t="s">
        <v>22</v>
      </c>
    </row>
    <row r="1322" spans="1:2" ht="10.5" customHeight="1">
      <c r="A1322" s="2" t="s">
        <v>2152</v>
      </c>
      <c r="B1322" s="2" t="s">
        <v>22</v>
      </c>
    </row>
    <row r="1323" spans="1:2" ht="10.5" customHeight="1">
      <c r="A1323" s="2" t="s">
        <v>2204</v>
      </c>
      <c r="B1323" s="2" t="s">
        <v>2107</v>
      </c>
    </row>
    <row r="1324" spans="1:2" ht="10.5" customHeight="1">
      <c r="A1324" s="2" t="s">
        <v>475</v>
      </c>
      <c r="B1324" s="2" t="s">
        <v>22</v>
      </c>
    </row>
    <row r="1325" spans="1:2" ht="10.5" customHeight="1">
      <c r="A1325" s="2" t="s">
        <v>2175</v>
      </c>
      <c r="B1325" s="2" t="s">
        <v>22</v>
      </c>
    </row>
    <row r="1326" spans="1:2" ht="10.5" customHeight="1">
      <c r="A1326" s="2" t="s">
        <v>464</v>
      </c>
      <c r="B1326" s="2" t="s">
        <v>22</v>
      </c>
    </row>
    <row r="1327" spans="1:2" ht="10.5" customHeight="1">
      <c r="A1327" s="2" t="s">
        <v>1691</v>
      </c>
      <c r="B1327" s="2" t="s">
        <v>69</v>
      </c>
    </row>
    <row r="1328" spans="1:2" ht="10.5" customHeight="1">
      <c r="A1328" s="2" t="s">
        <v>551</v>
      </c>
      <c r="B1328" s="2" t="s">
        <v>22</v>
      </c>
    </row>
    <row r="1329" spans="1:2" ht="10.5" customHeight="1">
      <c r="A1329" s="2" t="s">
        <v>497</v>
      </c>
      <c r="B1329" s="2" t="s">
        <v>22</v>
      </c>
    </row>
    <row r="1330" spans="1:2" ht="10.5" customHeight="1">
      <c r="A1330" s="2" t="s">
        <v>2005</v>
      </c>
      <c r="B1330" s="2" t="s">
        <v>22</v>
      </c>
    </row>
    <row r="1331" spans="1:2" ht="10.5" customHeight="1">
      <c r="A1331" s="2" t="s">
        <v>691</v>
      </c>
      <c r="B1331" s="2" t="s">
        <v>22</v>
      </c>
    </row>
    <row r="1332" spans="1:2" ht="10.5" customHeight="1">
      <c r="A1332" s="2" t="s">
        <v>1886</v>
      </c>
      <c r="B1332" s="2" t="s">
        <v>22</v>
      </c>
    </row>
    <row r="1333" spans="1:2" ht="10.5" customHeight="1">
      <c r="A1333" s="2" t="s">
        <v>2235</v>
      </c>
      <c r="B1333" s="2" t="s">
        <v>2107</v>
      </c>
    </row>
    <row r="1334" spans="1:2" ht="10.5" customHeight="1">
      <c r="A1334" s="2" t="s">
        <v>1646</v>
      </c>
      <c r="B1334" s="2" t="s">
        <v>115</v>
      </c>
    </row>
    <row r="1335" spans="1:2" ht="10.5" customHeight="1">
      <c r="A1335" s="2" t="s">
        <v>380</v>
      </c>
      <c r="B1335" s="2" t="s">
        <v>22</v>
      </c>
    </row>
    <row r="1336" spans="1:2" ht="10.5" customHeight="1">
      <c r="A1336" s="2" t="s">
        <v>1087</v>
      </c>
      <c r="B1336" s="2" t="s">
        <v>22</v>
      </c>
    </row>
    <row r="1337" spans="1:2" ht="10.5" customHeight="1">
      <c r="A1337" s="2" t="s">
        <v>1469</v>
      </c>
      <c r="B1337" s="2" t="s">
        <v>22</v>
      </c>
    </row>
    <row r="1338" spans="1:2" ht="10.5" customHeight="1">
      <c r="A1338" s="2" t="s">
        <v>936</v>
      </c>
      <c r="B1338" s="2" t="s">
        <v>22</v>
      </c>
    </row>
    <row r="1339" spans="1:2" ht="10.5" customHeight="1">
      <c r="A1339" s="2" t="s">
        <v>2160</v>
      </c>
      <c r="B1339" s="2" t="s">
        <v>22</v>
      </c>
    </row>
    <row r="1340" spans="1:2" ht="10.5" customHeight="1">
      <c r="A1340" s="2" t="s">
        <v>1608</v>
      </c>
      <c r="B1340" s="2" t="s">
        <v>22</v>
      </c>
    </row>
    <row r="1341" spans="1:2" ht="10.5" customHeight="1">
      <c r="A1341" s="2" t="s">
        <v>571</v>
      </c>
      <c r="B1341" s="2" t="s">
        <v>69</v>
      </c>
    </row>
    <row r="1342" spans="1:2" ht="10.5" customHeight="1">
      <c r="A1342" s="2" t="s">
        <v>1108</v>
      </c>
      <c r="B1342" s="2" t="s">
        <v>22</v>
      </c>
    </row>
    <row r="1343" spans="1:2" ht="10.5" customHeight="1">
      <c r="A1343" s="2" t="s">
        <v>1007</v>
      </c>
      <c r="B1343" s="2" t="s">
        <v>22</v>
      </c>
    </row>
    <row r="1344" spans="1:2" ht="10.5" customHeight="1">
      <c r="A1344" s="2" t="s">
        <v>2140</v>
      </c>
      <c r="B1344" s="2" t="s">
        <v>22</v>
      </c>
    </row>
    <row r="1345" spans="1:2" ht="10.5" customHeight="1">
      <c r="A1345" s="2" t="s">
        <v>2031</v>
      </c>
      <c r="B1345" s="2" t="s">
        <v>22</v>
      </c>
    </row>
    <row r="1346" spans="1:2" ht="10.5" customHeight="1">
      <c r="A1346" s="2" t="s">
        <v>839</v>
      </c>
      <c r="B1346" s="2" t="s">
        <v>22</v>
      </c>
    </row>
    <row r="1347" spans="1:2" ht="10.5" customHeight="1">
      <c r="A1347" s="2" t="s">
        <v>2309</v>
      </c>
      <c r="B1347" s="2" t="s">
        <v>2107</v>
      </c>
    </row>
    <row r="1348" spans="1:2" ht="10.5" customHeight="1">
      <c r="A1348" s="2" t="s">
        <v>483</v>
      </c>
      <c r="B1348" s="2" t="s">
        <v>22</v>
      </c>
    </row>
    <row r="1349" spans="1:2" ht="10.5" customHeight="1">
      <c r="A1349" s="2" t="s">
        <v>1422</v>
      </c>
      <c r="B1349" s="2" t="s">
        <v>115</v>
      </c>
    </row>
    <row r="1350" spans="1:2" ht="10.5" customHeight="1">
      <c r="A1350" s="2" t="s">
        <v>1198</v>
      </c>
      <c r="B1350" s="2" t="s">
        <v>22</v>
      </c>
    </row>
    <row r="1351" spans="1:2" ht="10.5" customHeight="1">
      <c r="A1351" s="2" t="s">
        <v>2226</v>
      </c>
      <c r="B1351" s="2" t="s">
        <v>2107</v>
      </c>
    </row>
    <row r="1352" spans="1:2" ht="10.5" customHeight="1">
      <c r="A1352" s="2" t="s">
        <v>1711</v>
      </c>
      <c r="B1352" s="2" t="s">
        <v>22</v>
      </c>
    </row>
    <row r="1353" spans="1:2" ht="10.5" customHeight="1">
      <c r="A1353" s="2" t="s">
        <v>915</v>
      </c>
      <c r="B1353" s="2" t="s">
        <v>22</v>
      </c>
    </row>
    <row r="1354" spans="1:2" ht="10.5" customHeight="1">
      <c r="A1354" s="2" t="s">
        <v>620</v>
      </c>
      <c r="B1354" s="2" t="s">
        <v>22</v>
      </c>
    </row>
    <row r="1355" spans="1:2" ht="10.5" customHeight="1">
      <c r="A1355" s="2" t="s">
        <v>1659</v>
      </c>
      <c r="B1355" s="2" t="s">
        <v>22</v>
      </c>
    </row>
    <row r="1356" spans="1:2" ht="10.5" customHeight="1">
      <c r="A1356" s="2" t="s">
        <v>1458</v>
      </c>
      <c r="B1356" s="2" t="s">
        <v>22</v>
      </c>
    </row>
    <row r="1357" spans="1:2" ht="10.5" customHeight="1">
      <c r="A1357" s="2" t="s">
        <v>195</v>
      </c>
      <c r="B1357" s="2" t="s">
        <v>22</v>
      </c>
    </row>
    <row r="1358" spans="1:2" ht="10.5" customHeight="1">
      <c r="A1358" s="2" t="s">
        <v>869</v>
      </c>
      <c r="B1358" s="2" t="s">
        <v>22</v>
      </c>
    </row>
    <row r="1359" spans="1:2" ht="10.5" customHeight="1">
      <c r="A1359" s="2" t="s">
        <v>1884</v>
      </c>
      <c r="B1359" s="2" t="s">
        <v>22</v>
      </c>
    </row>
    <row r="1360" spans="1:2" ht="10.5" customHeight="1">
      <c r="A1360" s="2" t="s">
        <v>1901</v>
      </c>
      <c r="B1360" s="2" t="s">
        <v>22</v>
      </c>
    </row>
    <row r="1361" spans="1:2" ht="10.5" customHeight="1">
      <c r="A1361" s="2" t="s">
        <v>1927</v>
      </c>
      <c r="B1361" s="2" t="s">
        <v>69</v>
      </c>
    </row>
    <row r="1362" spans="1:2" ht="10.5" customHeight="1">
      <c r="A1362" s="2" t="s">
        <v>1346</v>
      </c>
      <c r="B1362" s="2" t="s">
        <v>22</v>
      </c>
    </row>
    <row r="1363" spans="1:2" ht="10.5" customHeight="1">
      <c r="A1363" s="2" t="s">
        <v>1651</v>
      </c>
      <c r="B1363" s="2" t="s">
        <v>69</v>
      </c>
    </row>
    <row r="1364" spans="1:2" ht="10.5" customHeight="1">
      <c r="A1364" s="2" t="s">
        <v>1054</v>
      </c>
      <c r="B1364" s="2" t="s">
        <v>22</v>
      </c>
    </row>
    <row r="1365" spans="1:2" ht="10.5" customHeight="1">
      <c r="A1365" s="2" t="s">
        <v>1347</v>
      </c>
      <c r="B1365" s="2" t="s">
        <v>22</v>
      </c>
    </row>
    <row r="1366" spans="1:2" ht="10.5" customHeight="1">
      <c r="A1366" s="2" t="s">
        <v>1966</v>
      </c>
      <c r="B1366" s="2" t="s">
        <v>22</v>
      </c>
    </row>
    <row r="1367" spans="1:2" ht="10.5" customHeight="1">
      <c r="A1367" s="2" t="s">
        <v>1936</v>
      </c>
      <c r="B1367" s="2" t="s">
        <v>22</v>
      </c>
    </row>
    <row r="1368" spans="1:2" ht="10.5" customHeight="1">
      <c r="A1368" s="2" t="s">
        <v>2019</v>
      </c>
      <c r="B1368" s="2" t="s">
        <v>22</v>
      </c>
    </row>
    <row r="1369" spans="1:2" ht="10.5" customHeight="1">
      <c r="A1369" s="2" t="s">
        <v>2029</v>
      </c>
      <c r="B1369" s="2" t="s">
        <v>69</v>
      </c>
    </row>
    <row r="1370" spans="1:2" ht="10.5" customHeight="1">
      <c r="A1370" s="2" t="s">
        <v>1018</v>
      </c>
      <c r="B1370" s="2" t="s">
        <v>22</v>
      </c>
    </row>
    <row r="1371" spans="1:2" ht="10.5" customHeight="1">
      <c r="A1371" s="2" t="s">
        <v>1543</v>
      </c>
      <c r="B1371" s="2" t="s">
        <v>69</v>
      </c>
    </row>
    <row r="1372" spans="1:2" ht="10.5" customHeight="1">
      <c r="A1372" s="2" t="s">
        <v>1076</v>
      </c>
      <c r="B1372" s="2" t="s">
        <v>22</v>
      </c>
    </row>
    <row r="1373" spans="1:2" ht="10.5" customHeight="1">
      <c r="A1373" s="2" t="s">
        <v>1530</v>
      </c>
      <c r="B1373" s="2" t="s">
        <v>22</v>
      </c>
    </row>
    <row r="1374" spans="1:2" ht="10.5" customHeight="1">
      <c r="A1374" s="2" t="s">
        <v>791</v>
      </c>
      <c r="B1374" s="2" t="s">
        <v>22</v>
      </c>
    </row>
    <row r="1375" spans="1:2" ht="10.5" customHeight="1">
      <c r="A1375" s="2" t="s">
        <v>1344</v>
      </c>
      <c r="B1375" s="2" t="s">
        <v>22</v>
      </c>
    </row>
    <row r="1376" spans="1:2" ht="10.5" customHeight="1">
      <c r="A1376" s="2" t="s">
        <v>758</v>
      </c>
      <c r="B1376" s="2" t="s">
        <v>22</v>
      </c>
    </row>
    <row r="1377" spans="1:2" ht="10.5" customHeight="1">
      <c r="A1377" s="2" t="s">
        <v>1079</v>
      </c>
      <c r="B1377" s="2" t="s">
        <v>69</v>
      </c>
    </row>
    <row r="1378" spans="1:2" ht="10.5" customHeight="1">
      <c r="A1378" s="2" t="s">
        <v>227</v>
      </c>
      <c r="B1378" s="2" t="s">
        <v>22</v>
      </c>
    </row>
    <row r="1379" spans="1:2" ht="10.5" customHeight="1">
      <c r="A1379" s="2" t="s">
        <v>1606</v>
      </c>
      <c r="B1379" s="2" t="s">
        <v>22</v>
      </c>
    </row>
    <row r="1380" spans="1:2" ht="10.5" customHeight="1">
      <c r="A1380" s="2" t="s">
        <v>1598</v>
      </c>
      <c r="B1380" s="2" t="s">
        <v>22</v>
      </c>
    </row>
    <row r="1381" spans="1:2" ht="10.5" customHeight="1">
      <c r="A1381" s="2" t="s">
        <v>823</v>
      </c>
      <c r="B1381" s="2" t="s">
        <v>22</v>
      </c>
    </row>
    <row r="1382" spans="1:2" ht="10.5" customHeight="1">
      <c r="A1382" s="2" t="s">
        <v>2050</v>
      </c>
      <c r="B1382" s="2" t="s">
        <v>22</v>
      </c>
    </row>
    <row r="1383" spans="1:2" ht="10.5" customHeight="1">
      <c r="A1383" s="2" t="s">
        <v>1827</v>
      </c>
      <c r="B1383" s="2" t="s">
        <v>115</v>
      </c>
    </row>
    <row r="1384" spans="1:2" ht="10.5" customHeight="1">
      <c r="A1384" s="2" t="s">
        <v>1489</v>
      </c>
      <c r="B1384" s="2" t="s">
        <v>69</v>
      </c>
    </row>
    <row r="1385" spans="1:2" ht="10.5" customHeight="1">
      <c r="A1385" s="2" t="s">
        <v>1805</v>
      </c>
      <c r="B1385" s="2" t="s">
        <v>22</v>
      </c>
    </row>
    <row r="1386" spans="1:2" ht="10.5" customHeight="1">
      <c r="A1386" s="2" t="s">
        <v>2264</v>
      </c>
      <c r="B1386" s="2" t="s">
        <v>2110</v>
      </c>
    </row>
    <row r="1387" spans="1:2" ht="10.5" customHeight="1">
      <c r="A1387" s="2" t="s">
        <v>2155</v>
      </c>
      <c r="B1387" s="2" t="s">
        <v>22</v>
      </c>
    </row>
    <row r="1388" spans="1:2" ht="10.5" customHeight="1">
      <c r="A1388" s="2" t="s">
        <v>1772</v>
      </c>
      <c r="B1388" s="2" t="s">
        <v>22</v>
      </c>
    </row>
    <row r="1389" spans="1:2" ht="10.5" customHeight="1">
      <c r="A1389" s="2" t="s">
        <v>1388</v>
      </c>
      <c r="B1389" s="2" t="s">
        <v>22</v>
      </c>
    </row>
    <row r="1390" spans="1:2" ht="10.5" customHeight="1">
      <c r="A1390" s="2" t="s">
        <v>1252</v>
      </c>
      <c r="B1390" s="2" t="s">
        <v>22</v>
      </c>
    </row>
    <row r="1391" spans="1:2" ht="10.5" customHeight="1">
      <c r="A1391" s="2" t="s">
        <v>2053</v>
      </c>
      <c r="B1391" s="2" t="s">
        <v>22</v>
      </c>
    </row>
    <row r="1392" spans="1:2" ht="10.5" customHeight="1">
      <c r="A1392" s="2" t="s">
        <v>2286</v>
      </c>
      <c r="B1392" s="2" t="s">
        <v>2107</v>
      </c>
    </row>
    <row r="1393" spans="1:2" ht="10.5" customHeight="1">
      <c r="A1393" s="2" t="s">
        <v>1262</v>
      </c>
      <c r="B1393" s="2" t="s">
        <v>22</v>
      </c>
    </row>
    <row r="1394" spans="1:2" ht="10.5" customHeight="1">
      <c r="A1394" s="2" t="s">
        <v>1671</v>
      </c>
      <c r="B1394" s="2" t="s">
        <v>22</v>
      </c>
    </row>
    <row r="1395" spans="1:2" ht="10.5" customHeight="1">
      <c r="A1395" s="2" t="s">
        <v>926</v>
      </c>
      <c r="B1395" s="2" t="s">
        <v>22</v>
      </c>
    </row>
    <row r="1396" spans="1:2" ht="10.5" customHeight="1">
      <c r="A1396" s="2" t="s">
        <v>221</v>
      </c>
      <c r="B1396" s="2" t="s">
        <v>22</v>
      </c>
    </row>
    <row r="1397" spans="1:2" ht="10.5" customHeight="1">
      <c r="A1397" s="2" t="s">
        <v>1786</v>
      </c>
      <c r="B1397" s="2" t="s">
        <v>69</v>
      </c>
    </row>
    <row r="1398" spans="1:2" ht="10.5" customHeight="1">
      <c r="A1398" s="2" t="s">
        <v>1871</v>
      </c>
      <c r="B1398" s="2" t="s">
        <v>22</v>
      </c>
    </row>
    <row r="1399" spans="1:2" ht="10.5" customHeight="1">
      <c r="A1399" s="2" t="s">
        <v>2227</v>
      </c>
      <c r="B1399" s="2" t="s">
        <v>2110</v>
      </c>
    </row>
    <row r="1400" spans="1:2" ht="10.5" customHeight="1">
      <c r="A1400" s="2" t="s">
        <v>1993</v>
      </c>
      <c r="B1400" s="2" t="s">
        <v>22</v>
      </c>
    </row>
    <row r="1401" spans="1:2" ht="10.5" customHeight="1">
      <c r="A1401" s="2" t="s">
        <v>2094</v>
      </c>
      <c r="B1401" s="2" t="s">
        <v>69</v>
      </c>
    </row>
    <row r="1402" spans="1:2" ht="10.5" customHeight="1">
      <c r="A1402" s="2" t="s">
        <v>1264</v>
      </c>
      <c r="B1402" s="2" t="s">
        <v>69</v>
      </c>
    </row>
    <row r="1403" spans="1:2" ht="10.5" customHeight="1">
      <c r="A1403" s="2" t="s">
        <v>1415</v>
      </c>
      <c r="B1403" s="2" t="s">
        <v>22</v>
      </c>
    </row>
    <row r="1404" spans="1:2" ht="10.5" customHeight="1">
      <c r="A1404" s="2" t="s">
        <v>653</v>
      </c>
      <c r="B1404" s="2" t="s">
        <v>69</v>
      </c>
    </row>
    <row r="1405" spans="1:2" ht="10.5" customHeight="1">
      <c r="A1405" s="2" t="s">
        <v>799</v>
      </c>
      <c r="B1405" s="2" t="s">
        <v>22</v>
      </c>
    </row>
    <row r="1406" spans="1:2" ht="10.5" customHeight="1">
      <c r="A1406" s="2" t="s">
        <v>2097</v>
      </c>
      <c r="B1406" s="2" t="s">
        <v>22</v>
      </c>
    </row>
    <row r="1407" spans="1:2" ht="10.5" customHeight="1">
      <c r="A1407" s="2" t="s">
        <v>645</v>
      </c>
      <c r="B1407" s="2" t="s">
        <v>22</v>
      </c>
    </row>
    <row r="1408" spans="1:2" ht="10.5" customHeight="1">
      <c r="A1408" s="2" t="s">
        <v>1103</v>
      </c>
      <c r="B1408" s="2" t="s">
        <v>22</v>
      </c>
    </row>
    <row r="1409" spans="1:2" ht="10.5" customHeight="1">
      <c r="A1409" s="2" t="s">
        <v>1652</v>
      </c>
      <c r="B1409" s="2" t="s">
        <v>69</v>
      </c>
    </row>
    <row r="1410" spans="1:2" ht="10.5" customHeight="1">
      <c r="A1410" s="2" t="s">
        <v>389</v>
      </c>
      <c r="B1410" s="2" t="s">
        <v>69</v>
      </c>
    </row>
    <row r="1411" spans="1:2" ht="10.5" customHeight="1">
      <c r="A1411" s="2" t="s">
        <v>512</v>
      </c>
      <c r="B1411" s="2" t="s">
        <v>22</v>
      </c>
    </row>
    <row r="1412" spans="1:2" ht="10.5" customHeight="1">
      <c r="A1412" s="2" t="s">
        <v>1688</v>
      </c>
      <c r="B1412" s="2" t="s">
        <v>22</v>
      </c>
    </row>
    <row r="1413" spans="1:2" ht="10.5" customHeight="1">
      <c r="A1413" s="2" t="s">
        <v>2092</v>
      </c>
      <c r="B1413" s="2" t="s">
        <v>22</v>
      </c>
    </row>
    <row r="1414" spans="1:2" ht="10.5" customHeight="1">
      <c r="A1414" s="2" t="s">
        <v>580</v>
      </c>
      <c r="B1414" s="2" t="s">
        <v>22</v>
      </c>
    </row>
    <row r="1415" spans="1:2" ht="10.5" customHeight="1">
      <c r="A1415" s="2" t="s">
        <v>116</v>
      </c>
      <c r="B1415" s="2" t="s">
        <v>22</v>
      </c>
    </row>
    <row r="1416" spans="1:2" ht="10.5" customHeight="1">
      <c r="A1416" s="2" t="s">
        <v>1282</v>
      </c>
      <c r="B1416" s="2" t="s">
        <v>22</v>
      </c>
    </row>
    <row r="1417" spans="1:2" ht="10.5" customHeight="1">
      <c r="A1417" s="2" t="s">
        <v>1439</v>
      </c>
      <c r="B1417" s="2" t="s">
        <v>69</v>
      </c>
    </row>
    <row r="1418" spans="1:2" ht="10.5" customHeight="1">
      <c r="A1418" s="2" t="s">
        <v>1508</v>
      </c>
      <c r="B1418" s="2" t="s">
        <v>22</v>
      </c>
    </row>
    <row r="1419" spans="1:2" ht="10.5" customHeight="1">
      <c r="A1419" s="2" t="s">
        <v>1768</v>
      </c>
      <c r="B1419" s="2" t="s">
        <v>22</v>
      </c>
    </row>
    <row r="1420" spans="1:2" ht="10.5" customHeight="1">
      <c r="A1420" s="2" t="s">
        <v>1730</v>
      </c>
      <c r="B1420" s="2" t="s">
        <v>69</v>
      </c>
    </row>
    <row r="1421" spans="1:2" ht="10.5" customHeight="1">
      <c r="A1421" s="2" t="s">
        <v>253</v>
      </c>
      <c r="B1421" s="2" t="s">
        <v>22</v>
      </c>
    </row>
    <row r="1422" spans="1:2" ht="10.5" customHeight="1">
      <c r="A1422" s="2" t="s">
        <v>1694</v>
      </c>
      <c r="B1422" s="2" t="s">
        <v>69</v>
      </c>
    </row>
    <row r="1423" spans="1:2" ht="10.5" customHeight="1">
      <c r="A1423" s="2" t="s">
        <v>507</v>
      </c>
      <c r="B1423" s="2" t="s">
        <v>69</v>
      </c>
    </row>
    <row r="1424" spans="1:2" ht="10.5" customHeight="1">
      <c r="A1424" s="2" t="s">
        <v>1828</v>
      </c>
      <c r="B1424" s="2" t="s">
        <v>69</v>
      </c>
    </row>
    <row r="1425" spans="1:2" ht="10.5" customHeight="1">
      <c r="A1425" s="2" t="s">
        <v>1004</v>
      </c>
      <c r="B1425" s="2" t="s">
        <v>22</v>
      </c>
    </row>
    <row r="1426" spans="1:2" ht="10.5" customHeight="1">
      <c r="A1426" s="2" t="s">
        <v>1684</v>
      </c>
      <c r="B1426" s="2" t="s">
        <v>22</v>
      </c>
    </row>
    <row r="1427" spans="1:2" ht="10.5" customHeight="1">
      <c r="A1427" s="2" t="s">
        <v>1733</v>
      </c>
      <c r="B1427" s="2" t="s">
        <v>69</v>
      </c>
    </row>
    <row r="1428" spans="1:2" ht="10.5" customHeight="1">
      <c r="A1428" s="2" t="s">
        <v>1254</v>
      </c>
      <c r="B1428" s="2" t="s">
        <v>22</v>
      </c>
    </row>
    <row r="1429" spans="1:2" ht="10.5" customHeight="1">
      <c r="A1429" s="2" t="s">
        <v>773</v>
      </c>
      <c r="B1429" s="2" t="s">
        <v>69</v>
      </c>
    </row>
    <row r="1430" spans="1:2" ht="10.5" customHeight="1">
      <c r="A1430" s="2" t="s">
        <v>2169</v>
      </c>
      <c r="B1430" s="2" t="s">
        <v>115</v>
      </c>
    </row>
    <row r="1431" spans="1:2" ht="10.5" customHeight="1">
      <c r="A1431" s="2" t="s">
        <v>1148</v>
      </c>
      <c r="B1431" s="2" t="s">
        <v>22</v>
      </c>
    </row>
    <row r="1432" spans="1:2" ht="10.5" customHeight="1">
      <c r="A1432" s="2" t="s">
        <v>1579</v>
      </c>
      <c r="B1432" s="2" t="s">
        <v>22</v>
      </c>
    </row>
    <row r="1433" spans="1:2" ht="10.5" customHeight="1">
      <c r="A1433" s="2" t="s">
        <v>1856</v>
      </c>
      <c r="B1433" s="2" t="s">
        <v>22</v>
      </c>
    </row>
    <row r="1434" spans="1:2" ht="10.5" customHeight="1">
      <c r="A1434" s="2" t="s">
        <v>932</v>
      </c>
      <c r="B1434" s="2" t="s">
        <v>22</v>
      </c>
    </row>
    <row r="1435" spans="1:2" ht="10.5" customHeight="1">
      <c r="A1435" s="2" t="s">
        <v>2267</v>
      </c>
      <c r="B1435" s="2" t="s">
        <v>69</v>
      </c>
    </row>
    <row r="1436" spans="1:2" ht="10.5" customHeight="1">
      <c r="A1436" s="2" t="s">
        <v>391</v>
      </c>
      <c r="B1436" s="2" t="s">
        <v>22</v>
      </c>
    </row>
    <row r="1437" spans="1:2" ht="10.5" customHeight="1">
      <c r="A1437" s="2" t="s">
        <v>2071</v>
      </c>
      <c r="B1437" s="2" t="s">
        <v>22</v>
      </c>
    </row>
    <row r="1438" spans="1:2" ht="10.5" customHeight="1">
      <c r="A1438" s="2" t="s">
        <v>1292</v>
      </c>
      <c r="B1438" s="2" t="s">
        <v>22</v>
      </c>
    </row>
    <row r="1439" spans="1:2" ht="10.5" customHeight="1">
      <c r="A1439" s="2" t="s">
        <v>618</v>
      </c>
      <c r="B1439" s="2" t="s">
        <v>22</v>
      </c>
    </row>
    <row r="1440" spans="1:2" ht="10.5" customHeight="1">
      <c r="A1440" s="2" t="s">
        <v>688</v>
      </c>
      <c r="B1440" s="2" t="s">
        <v>69</v>
      </c>
    </row>
    <row r="1441" spans="1:2" ht="10.5" customHeight="1">
      <c r="A1441" s="2" t="s">
        <v>2126</v>
      </c>
      <c r="B1441" s="2" t="s">
        <v>2107</v>
      </c>
    </row>
    <row r="1442" spans="1:2" ht="10.5" customHeight="1">
      <c r="A1442" s="2" t="s">
        <v>1519</v>
      </c>
      <c r="B1442" s="2" t="s">
        <v>69</v>
      </c>
    </row>
    <row r="1443" spans="1:2" ht="10.5" customHeight="1">
      <c r="A1443" s="2" t="s">
        <v>1902</v>
      </c>
      <c r="B1443" s="2" t="s">
        <v>69</v>
      </c>
    </row>
    <row r="1444" spans="1:2" ht="10.5" customHeight="1">
      <c r="A1444" s="2" t="s">
        <v>1855</v>
      </c>
      <c r="B1444" s="2" t="s">
        <v>22</v>
      </c>
    </row>
    <row r="1445" spans="1:2" ht="10.5" customHeight="1">
      <c r="A1445" s="2" t="s">
        <v>2272</v>
      </c>
      <c r="B1445" s="2" t="s">
        <v>115</v>
      </c>
    </row>
    <row r="1446" spans="1:2" ht="10.5" customHeight="1">
      <c r="A1446" s="2" t="s">
        <v>1432</v>
      </c>
      <c r="B1446" s="2" t="s">
        <v>22</v>
      </c>
    </row>
    <row r="1447" spans="1:2" ht="10.5" customHeight="1">
      <c r="A1447" s="2" t="s">
        <v>1631</v>
      </c>
      <c r="B1447" s="2" t="s">
        <v>22</v>
      </c>
    </row>
    <row r="1448" spans="1:2" ht="10.5" customHeight="1">
      <c r="A1448" s="2" t="s">
        <v>1141</v>
      </c>
      <c r="B1448" s="2" t="s">
        <v>22</v>
      </c>
    </row>
    <row r="1449" spans="1:2" ht="10.5" customHeight="1">
      <c r="A1449" s="2" t="s">
        <v>1525</v>
      </c>
      <c r="B1449" s="2" t="s">
        <v>22</v>
      </c>
    </row>
    <row r="1450" spans="1:2" ht="10.5" customHeight="1">
      <c r="A1450" s="2" t="s">
        <v>853</v>
      </c>
      <c r="B1450" s="2" t="s">
        <v>22</v>
      </c>
    </row>
    <row r="1451" spans="1:2" ht="10.5" customHeight="1">
      <c r="A1451" s="2" t="s">
        <v>1434</v>
      </c>
      <c r="B1451" s="2" t="s">
        <v>22</v>
      </c>
    </row>
    <row r="1452" spans="1:2" ht="10.5" customHeight="1">
      <c r="A1452" s="2" t="s">
        <v>977</v>
      </c>
      <c r="B1452" s="2" t="s">
        <v>69</v>
      </c>
    </row>
    <row r="1453" spans="1:2" ht="10.5" customHeight="1">
      <c r="A1453" s="2" t="s">
        <v>1527</v>
      </c>
      <c r="B1453" s="2" t="s">
        <v>22</v>
      </c>
    </row>
    <row r="1454" spans="1:2" ht="10.5" customHeight="1">
      <c r="A1454" s="2" t="s">
        <v>1286</v>
      </c>
      <c r="B1454" s="2" t="s">
        <v>22</v>
      </c>
    </row>
    <row r="1455" spans="1:2" ht="10.5" customHeight="1">
      <c r="A1455" s="2" t="s">
        <v>134</v>
      </c>
      <c r="B1455" s="2" t="s">
        <v>22</v>
      </c>
    </row>
    <row r="1456" spans="1:2" ht="10.5" customHeight="1">
      <c r="A1456" s="2" t="s">
        <v>269</v>
      </c>
      <c r="B1456" s="2" t="s">
        <v>22</v>
      </c>
    </row>
    <row r="1457" spans="1:2" ht="10.5" customHeight="1">
      <c r="A1457" s="2" t="s">
        <v>2233</v>
      </c>
      <c r="B1457" s="2" t="s">
        <v>2110</v>
      </c>
    </row>
    <row r="1458" spans="1:2" ht="10.5" customHeight="1">
      <c r="A1458" s="2" t="s">
        <v>1744</v>
      </c>
      <c r="B1458" s="2" t="s">
        <v>22</v>
      </c>
    </row>
    <row r="1459" spans="1:2" ht="10.5" customHeight="1">
      <c r="A1459" s="2" t="s">
        <v>1917</v>
      </c>
      <c r="B1459" s="2" t="s">
        <v>22</v>
      </c>
    </row>
    <row r="1460" spans="1:2" ht="10.5" customHeight="1">
      <c r="A1460" s="2" t="s">
        <v>1383</v>
      </c>
      <c r="B1460" s="2" t="s">
        <v>69</v>
      </c>
    </row>
    <row r="1461" spans="1:2" ht="10.5" customHeight="1">
      <c r="A1461" s="2" t="s">
        <v>612</v>
      </c>
      <c r="B1461" s="2" t="s">
        <v>22</v>
      </c>
    </row>
    <row r="1462" spans="1:2" ht="10.5" customHeight="1">
      <c r="A1462" s="2" t="s">
        <v>1014</v>
      </c>
      <c r="B1462" s="2" t="s">
        <v>22</v>
      </c>
    </row>
    <row r="1463" spans="1:2" ht="10.5" customHeight="1">
      <c r="A1463" s="2" t="s">
        <v>1228</v>
      </c>
      <c r="B1463" s="2" t="s">
        <v>69</v>
      </c>
    </row>
    <row r="1464" spans="1:2" ht="10.5" customHeight="1">
      <c r="A1464" s="2" t="s">
        <v>1834</v>
      </c>
      <c r="B1464" s="2" t="s">
        <v>22</v>
      </c>
    </row>
    <row r="1465" spans="1:2" ht="10.5" customHeight="1">
      <c r="A1465" s="2" t="s">
        <v>740</v>
      </c>
      <c r="B1465" s="2" t="s">
        <v>22</v>
      </c>
    </row>
    <row r="1466" spans="1:2" ht="10.5" customHeight="1">
      <c r="A1466" s="2" t="s">
        <v>866</v>
      </c>
      <c r="B1466" s="2" t="s">
        <v>69</v>
      </c>
    </row>
    <row r="1467" spans="1:2" ht="10.5" customHeight="1">
      <c r="A1467" s="2" t="s">
        <v>1846</v>
      </c>
      <c r="B1467" s="2" t="s">
        <v>22</v>
      </c>
    </row>
    <row r="1468" spans="1:2" ht="10.5" customHeight="1">
      <c r="A1468" s="2" t="s">
        <v>2024</v>
      </c>
      <c r="B1468" s="2" t="s">
        <v>22</v>
      </c>
    </row>
    <row r="1469" spans="1:2" ht="10.5" customHeight="1">
      <c r="A1469" s="2" t="s">
        <v>2273</v>
      </c>
      <c r="B1469" s="2" t="s">
        <v>2110</v>
      </c>
    </row>
    <row r="1470" spans="1:2" ht="10.5" customHeight="1">
      <c r="A1470" s="2" t="s">
        <v>1672</v>
      </c>
      <c r="B1470" s="2" t="s">
        <v>22</v>
      </c>
    </row>
    <row r="1471" spans="1:2" ht="10.5" customHeight="1">
      <c r="A1471" s="2" t="s">
        <v>1918</v>
      </c>
      <c r="B1471" s="2" t="s">
        <v>22</v>
      </c>
    </row>
    <row r="1472" spans="1:2" ht="10.5" customHeight="1">
      <c r="A1472" s="2" t="s">
        <v>1214</v>
      </c>
      <c r="B1472" s="2" t="s">
        <v>22</v>
      </c>
    </row>
    <row r="1473" spans="1:2" ht="10.5" customHeight="1">
      <c r="A1473" s="2" t="s">
        <v>2299</v>
      </c>
      <c r="B1473" s="2" t="s">
        <v>2107</v>
      </c>
    </row>
    <row r="1474" spans="1:2" ht="10.5" customHeight="1">
      <c r="A1474" s="2" t="s">
        <v>1470</v>
      </c>
      <c r="B1474" s="2" t="s">
        <v>22</v>
      </c>
    </row>
    <row r="1475" spans="1:2" ht="10.5" customHeight="1">
      <c r="A1475" s="2" t="s">
        <v>1746</v>
      </c>
      <c r="B1475" s="2" t="s">
        <v>22</v>
      </c>
    </row>
    <row r="1476" spans="1:2" ht="10.5" customHeight="1">
      <c r="A1476" s="2" t="s">
        <v>1179</v>
      </c>
      <c r="B1476" s="2" t="s">
        <v>22</v>
      </c>
    </row>
    <row r="1477" spans="1:2" ht="10.5" customHeight="1">
      <c r="A1477" s="2" t="s">
        <v>1133</v>
      </c>
      <c r="B1477" s="2" t="s">
        <v>22</v>
      </c>
    </row>
    <row r="1478" spans="1:2" ht="10.5" customHeight="1">
      <c r="A1478" s="2" t="s">
        <v>385</v>
      </c>
      <c r="B1478" s="2" t="s">
        <v>22</v>
      </c>
    </row>
    <row r="1479" spans="1:2" ht="10.5" customHeight="1">
      <c r="A1479" s="2" t="s">
        <v>1406</v>
      </c>
      <c r="B1479" s="2" t="s">
        <v>22</v>
      </c>
    </row>
    <row r="1480" spans="1:2" ht="10.5" customHeight="1">
      <c r="A1480" s="2" t="s">
        <v>2312</v>
      </c>
      <c r="B1480" s="2" t="s">
        <v>22</v>
      </c>
    </row>
    <row r="1481" spans="1:2" ht="10.5" customHeight="1">
      <c r="A1481" s="2" t="s">
        <v>1119</v>
      </c>
      <c r="B1481" s="2" t="s">
        <v>22</v>
      </c>
    </row>
    <row r="1482" spans="1:2" ht="10.5" customHeight="1">
      <c r="A1482" s="2" t="s">
        <v>238</v>
      </c>
      <c r="B1482" s="2" t="s">
        <v>22</v>
      </c>
    </row>
    <row r="1483" spans="1:2" ht="10.5" customHeight="1">
      <c r="A1483" s="2" t="s">
        <v>2306</v>
      </c>
      <c r="B1483" s="2" t="s">
        <v>22</v>
      </c>
    </row>
    <row r="1484" spans="1:2" ht="10.5" customHeight="1">
      <c r="A1484" s="2" t="s">
        <v>1327</v>
      </c>
      <c r="B1484" s="2" t="s">
        <v>69</v>
      </c>
    </row>
    <row r="1485" spans="1:2" ht="10.5" customHeight="1">
      <c r="A1485" s="2" t="s">
        <v>1438</v>
      </c>
      <c r="B1485" s="2" t="s">
        <v>22</v>
      </c>
    </row>
    <row r="1486" spans="1:2" ht="10.5" customHeight="1">
      <c r="A1486" s="2" t="s">
        <v>352</v>
      </c>
      <c r="B1486" s="2" t="s">
        <v>22</v>
      </c>
    </row>
    <row r="1487" spans="1:2" ht="10.5" customHeight="1">
      <c r="A1487" s="2" t="s">
        <v>1636</v>
      </c>
      <c r="B1487" s="2" t="s">
        <v>69</v>
      </c>
    </row>
    <row r="1488" spans="1:2" ht="10.5" customHeight="1">
      <c r="A1488" s="2" t="s">
        <v>827</v>
      </c>
      <c r="B1488" s="2" t="s">
        <v>22</v>
      </c>
    </row>
    <row r="1489" spans="1:2" ht="10.5" customHeight="1">
      <c r="A1489" s="2" t="s">
        <v>1385</v>
      </c>
      <c r="B1489" s="2" t="s">
        <v>22</v>
      </c>
    </row>
    <row r="1490" spans="1:2" ht="10.5" customHeight="1">
      <c r="A1490" s="2" t="s">
        <v>1072</v>
      </c>
      <c r="B1490" s="2" t="s">
        <v>22</v>
      </c>
    </row>
    <row r="1491" spans="1:2" ht="10.5" customHeight="1">
      <c r="A1491" s="2" t="s">
        <v>1271</v>
      </c>
      <c r="B1491" s="2" t="s">
        <v>22</v>
      </c>
    </row>
    <row r="1492" spans="1:2" ht="10.5" customHeight="1">
      <c r="A1492" s="2" t="s">
        <v>904</v>
      </c>
      <c r="B1492" s="2" t="s">
        <v>22</v>
      </c>
    </row>
    <row r="1493" spans="1:2" ht="10.5" customHeight="1">
      <c r="A1493" s="2" t="s">
        <v>1545</v>
      </c>
      <c r="B1493" s="2" t="s">
        <v>22</v>
      </c>
    </row>
    <row r="1494" spans="1:2" ht="10.5" customHeight="1">
      <c r="A1494" s="2" t="s">
        <v>1245</v>
      </c>
      <c r="B1494" s="2" t="s">
        <v>22</v>
      </c>
    </row>
    <row r="1495" spans="1:2" ht="10.5" customHeight="1">
      <c r="A1495" s="2" t="s">
        <v>2188</v>
      </c>
      <c r="B1495" s="2" t="s">
        <v>2110</v>
      </c>
    </row>
    <row r="1496" spans="1:2" ht="10.5" customHeight="1">
      <c r="A1496" s="2" t="s">
        <v>702</v>
      </c>
      <c r="B1496" s="2" t="s">
        <v>69</v>
      </c>
    </row>
    <row r="1497" spans="1:2" ht="10.5" customHeight="1">
      <c r="A1497" s="2" t="s">
        <v>2179</v>
      </c>
      <c r="B1497" s="2" t="s">
        <v>69</v>
      </c>
    </row>
    <row r="1498" spans="1:2" ht="10.5" customHeight="1">
      <c r="A1498" s="2" t="s">
        <v>847</v>
      </c>
      <c r="B1498" s="2" t="s">
        <v>22</v>
      </c>
    </row>
    <row r="1499" spans="1:2" ht="10.5" customHeight="1">
      <c r="A1499" s="2" t="s">
        <v>739</v>
      </c>
      <c r="B1499" s="2" t="s">
        <v>69</v>
      </c>
    </row>
    <row r="1500" spans="1:2" ht="10.5" customHeight="1">
      <c r="A1500" s="2" t="s">
        <v>1473</v>
      </c>
      <c r="B1500" s="2" t="s">
        <v>69</v>
      </c>
    </row>
    <row r="1501" spans="1:2" ht="10.5" customHeight="1">
      <c r="A1501" s="2" t="s">
        <v>1005</v>
      </c>
      <c r="B1501" s="2" t="s">
        <v>22</v>
      </c>
    </row>
    <row r="1502" spans="1:2" ht="10.5" customHeight="1">
      <c r="A1502" s="2" t="s">
        <v>2133</v>
      </c>
      <c r="B1502" s="2" t="s">
        <v>2110</v>
      </c>
    </row>
    <row r="1503" spans="1:2" ht="10.5" customHeight="1">
      <c r="A1503" s="2" t="s">
        <v>1398</v>
      </c>
      <c r="B1503" s="2" t="s">
        <v>69</v>
      </c>
    </row>
    <row r="1504" spans="1:2" ht="10.5" customHeight="1">
      <c r="A1504" s="2" t="s">
        <v>2253</v>
      </c>
      <c r="B1504" s="2" t="s">
        <v>115</v>
      </c>
    </row>
    <row r="1505" spans="1:2" ht="10.5" customHeight="1">
      <c r="A1505" s="2" t="s">
        <v>1116</v>
      </c>
      <c r="B1505" s="2" t="s">
        <v>22</v>
      </c>
    </row>
    <row r="1506" spans="1:2" ht="10.5" customHeight="1">
      <c r="A1506" s="2" t="s">
        <v>598</v>
      </c>
      <c r="B1506" s="2" t="s">
        <v>22</v>
      </c>
    </row>
    <row r="1507" spans="1:2" ht="10.5" customHeight="1">
      <c r="A1507" s="2" t="s">
        <v>684</v>
      </c>
      <c r="B1507" s="2" t="s">
        <v>22</v>
      </c>
    </row>
    <row r="1508" spans="1:2" ht="10.5" customHeight="1">
      <c r="A1508" s="2" t="s">
        <v>112</v>
      </c>
      <c r="B1508" s="2" t="s">
        <v>115</v>
      </c>
    </row>
    <row r="1509" spans="1:2" ht="10.5" customHeight="1">
      <c r="A1509" s="2" t="s">
        <v>2049</v>
      </c>
      <c r="B1509" s="2" t="s">
        <v>22</v>
      </c>
    </row>
    <row r="1510" spans="1:2" ht="10.5" customHeight="1">
      <c r="A1510" s="2" t="s">
        <v>1534</v>
      </c>
      <c r="B1510" s="2" t="s">
        <v>22</v>
      </c>
    </row>
    <row r="1511" spans="1:2" ht="10.5" customHeight="1">
      <c r="A1511" s="2" t="s">
        <v>2078</v>
      </c>
      <c r="B1511" s="2" t="s">
        <v>22</v>
      </c>
    </row>
    <row r="1512" spans="1:2" ht="10.5" customHeight="1">
      <c r="A1512" s="2" t="s">
        <v>711</v>
      </c>
      <c r="B1512" s="2" t="s">
        <v>22</v>
      </c>
    </row>
    <row r="1513" spans="1:2" ht="10.5" customHeight="1">
      <c r="A1513" s="2" t="s">
        <v>1512</v>
      </c>
      <c r="B1513" s="2" t="s">
        <v>22</v>
      </c>
    </row>
    <row r="1514" spans="1:2" ht="10.5" customHeight="1">
      <c r="A1514" s="2" t="s">
        <v>1844</v>
      </c>
      <c r="B1514" s="2" t="s">
        <v>22</v>
      </c>
    </row>
    <row r="1515" spans="1:2" ht="10.5" customHeight="1">
      <c r="A1515" s="2" t="s">
        <v>757</v>
      </c>
      <c r="B1515" s="2" t="s">
        <v>69</v>
      </c>
    </row>
    <row r="1516" spans="1:2" ht="10.5" customHeight="1">
      <c r="A1516" s="2" t="s">
        <v>852</v>
      </c>
      <c r="B1516" s="2" t="s">
        <v>22</v>
      </c>
    </row>
    <row r="1517" spans="1:2" ht="10.5" customHeight="1">
      <c r="A1517" s="2" t="s">
        <v>1049</v>
      </c>
      <c r="B1517" s="2" t="s">
        <v>22</v>
      </c>
    </row>
    <row r="1518" spans="1:2" ht="10.5" customHeight="1">
      <c r="A1518" s="2" t="s">
        <v>1822</v>
      </c>
      <c r="B1518" s="2" t="s">
        <v>22</v>
      </c>
    </row>
    <row r="1519" spans="1:2" ht="10.5" customHeight="1">
      <c r="A1519" s="2" t="s">
        <v>984</v>
      </c>
      <c r="B1519" s="2" t="s">
        <v>22</v>
      </c>
    </row>
    <row r="1520" spans="1:2" ht="10.5" customHeight="1">
      <c r="A1520" s="2" t="s">
        <v>730</v>
      </c>
      <c r="B1520" s="2" t="s">
        <v>69</v>
      </c>
    </row>
    <row r="1521" spans="1:2" ht="10.5" customHeight="1">
      <c r="A1521" s="2" t="s">
        <v>930</v>
      </c>
      <c r="B1521" s="2" t="s">
        <v>22</v>
      </c>
    </row>
    <row r="1522" spans="1:2" ht="10.5" customHeight="1">
      <c r="A1522" s="2" t="s">
        <v>1157</v>
      </c>
      <c r="B1522" s="2" t="s">
        <v>69</v>
      </c>
    </row>
    <row r="1523" spans="1:2" ht="10.5" customHeight="1">
      <c r="A1523" s="2" t="s">
        <v>1898</v>
      </c>
      <c r="B1523" s="2" t="s">
        <v>22</v>
      </c>
    </row>
    <row r="1524" spans="1:2" ht="10.5" customHeight="1">
      <c r="A1524" s="2" t="s">
        <v>1816</v>
      </c>
      <c r="B1524" s="2" t="s">
        <v>22</v>
      </c>
    </row>
    <row r="1525" spans="1:2" ht="10.5" customHeight="1">
      <c r="A1525" s="2" t="s">
        <v>1549</v>
      </c>
      <c r="B1525" s="2" t="s">
        <v>22</v>
      </c>
    </row>
    <row r="1526" spans="1:2" ht="10.5" customHeight="1">
      <c r="A1526" s="2" t="s">
        <v>2236</v>
      </c>
      <c r="B1526" s="2" t="s">
        <v>2107</v>
      </c>
    </row>
    <row r="1527" spans="1:2" ht="10.5" customHeight="1">
      <c r="A1527" s="2" t="s">
        <v>1466</v>
      </c>
      <c r="B1527" s="2" t="s">
        <v>115</v>
      </c>
    </row>
    <row r="1528" spans="1:2" ht="10.5" customHeight="1">
      <c r="A1528" s="2" t="s">
        <v>1430</v>
      </c>
      <c r="B1528" s="2" t="s">
        <v>22</v>
      </c>
    </row>
    <row r="1529" spans="1:2" ht="10.5" customHeight="1">
      <c r="A1529" s="2" t="s">
        <v>2041</v>
      </c>
      <c r="B1529" s="2" t="s">
        <v>22</v>
      </c>
    </row>
    <row r="1530" spans="1:2" ht="10.5" customHeight="1">
      <c r="A1530" s="2" t="s">
        <v>96</v>
      </c>
      <c r="B1530" s="2" t="s">
        <v>22</v>
      </c>
    </row>
    <row r="1531" spans="1:2" ht="10.5" customHeight="1">
      <c r="A1531" s="2" t="s">
        <v>81</v>
      </c>
      <c r="B1531" s="2" t="s">
        <v>22</v>
      </c>
    </row>
    <row r="1532" spans="1:2" ht="10.5" customHeight="1">
      <c r="A1532" s="2" t="s">
        <v>1773</v>
      </c>
      <c r="B1532" s="2" t="s">
        <v>22</v>
      </c>
    </row>
    <row r="1533" spans="1:2" ht="10.5" customHeight="1">
      <c r="A1533" s="2" t="s">
        <v>1716</v>
      </c>
      <c r="B1533" s="2" t="s">
        <v>69</v>
      </c>
    </row>
    <row r="1534" spans="1:2" ht="10.5" customHeight="1">
      <c r="A1534" s="2" t="s">
        <v>1922</v>
      </c>
      <c r="B1534" s="2" t="s">
        <v>22</v>
      </c>
    </row>
    <row r="1535" spans="1:2" ht="10.5" customHeight="1">
      <c r="A1535" s="2" t="s">
        <v>1524</v>
      </c>
      <c r="B1535" s="2" t="s">
        <v>115</v>
      </c>
    </row>
    <row r="1536" spans="1:2" ht="10.5" customHeight="1">
      <c r="A1536" s="2" t="s">
        <v>747</v>
      </c>
      <c r="B1536" s="2" t="s">
        <v>115</v>
      </c>
    </row>
    <row r="1537" spans="1:2" ht="10.5" customHeight="1">
      <c r="A1537" s="2" t="s">
        <v>1332</v>
      </c>
      <c r="B1537" s="2" t="s">
        <v>22</v>
      </c>
    </row>
    <row r="1538" spans="1:2" ht="10.5" customHeight="1">
      <c r="A1538" s="2" t="s">
        <v>1297</v>
      </c>
      <c r="B1538" s="2" t="s">
        <v>22</v>
      </c>
    </row>
    <row r="1539" spans="1:2" ht="10.5" customHeight="1">
      <c r="A1539" s="2" t="s">
        <v>787</v>
      </c>
      <c r="B1539" s="2" t="s">
        <v>22</v>
      </c>
    </row>
    <row r="1540" spans="1:2" ht="10.5" customHeight="1">
      <c r="A1540" s="2" t="s">
        <v>668</v>
      </c>
      <c r="B1540" s="2" t="s">
        <v>22</v>
      </c>
    </row>
    <row r="1541" spans="1:2" ht="10.5" customHeight="1">
      <c r="A1541" s="2" t="s">
        <v>1196</v>
      </c>
      <c r="B1541" s="2" t="s">
        <v>22</v>
      </c>
    </row>
    <row r="1542" spans="1:2" ht="10.5" customHeight="1">
      <c r="A1542" s="2" t="s">
        <v>1135</v>
      </c>
      <c r="B1542" s="2" t="s">
        <v>22</v>
      </c>
    </row>
    <row r="1543" spans="1:2" ht="10.5" customHeight="1">
      <c r="A1543" s="2" t="s">
        <v>2164</v>
      </c>
      <c r="B1543" s="2" t="s">
        <v>2110</v>
      </c>
    </row>
    <row r="1544" spans="1:2" ht="10.5" customHeight="1">
      <c r="A1544" s="2" t="s">
        <v>438</v>
      </c>
      <c r="B1544" s="2" t="s">
        <v>22</v>
      </c>
    </row>
    <row r="1545" spans="1:2" ht="10.5" customHeight="1">
      <c r="A1545" s="2" t="s">
        <v>262</v>
      </c>
      <c r="B1545" s="2" t="s">
        <v>22</v>
      </c>
    </row>
    <row r="1546" spans="1:2" ht="10.5" customHeight="1">
      <c r="A1546" s="2" t="s">
        <v>1229</v>
      </c>
      <c r="B1546" s="2" t="s">
        <v>22</v>
      </c>
    </row>
    <row r="1547" spans="1:2" ht="10.5" customHeight="1">
      <c r="A1547" s="2" t="s">
        <v>2106</v>
      </c>
      <c r="B1547" s="2" t="s">
        <v>2107</v>
      </c>
    </row>
    <row r="1548" spans="1:2" ht="10.5" customHeight="1">
      <c r="A1548" s="2" t="s">
        <v>452</v>
      </c>
      <c r="B1548" s="2" t="s">
        <v>22</v>
      </c>
    </row>
    <row r="1549" spans="1:2" ht="10.5" customHeight="1">
      <c r="A1549" s="2" t="s">
        <v>1138</v>
      </c>
      <c r="B1549" s="2" t="s">
        <v>69</v>
      </c>
    </row>
    <row r="1550" spans="1:2" ht="10.5" customHeight="1">
      <c r="A1550" s="2" t="s">
        <v>910</v>
      </c>
      <c r="B1550" s="2" t="s">
        <v>22</v>
      </c>
    </row>
    <row r="1551" spans="1:2" ht="10.5" customHeight="1">
      <c r="A1551" s="2" t="s">
        <v>121</v>
      </c>
      <c r="B1551" s="2" t="s">
        <v>22</v>
      </c>
    </row>
    <row r="1552" spans="1:2" ht="10.5" customHeight="1">
      <c r="A1552" s="2" t="s">
        <v>2196</v>
      </c>
      <c r="B1552" s="2" t="s">
        <v>22</v>
      </c>
    </row>
    <row r="1553" spans="1:2" ht="10.5" customHeight="1">
      <c r="A1553" s="2" t="s">
        <v>1488</v>
      </c>
      <c r="B1553" s="2" t="s">
        <v>22</v>
      </c>
    </row>
    <row r="1554" spans="1:2" ht="10.5" customHeight="1">
      <c r="A1554" s="2" t="s">
        <v>2252</v>
      </c>
      <c r="B1554" s="2" t="s">
        <v>22</v>
      </c>
    </row>
    <row r="1555" spans="1:2" ht="10.5" customHeight="1">
      <c r="A1555" s="2" t="s">
        <v>526</v>
      </c>
      <c r="B1555" s="2" t="s">
        <v>22</v>
      </c>
    </row>
    <row r="1556" spans="1:2" ht="10.5" customHeight="1">
      <c r="A1556" s="2" t="s">
        <v>2266</v>
      </c>
      <c r="B1556" s="2" t="s">
        <v>2107</v>
      </c>
    </row>
    <row r="1557" spans="1:2" ht="10.5" customHeight="1">
      <c r="A1557" s="2" t="s">
        <v>272</v>
      </c>
      <c r="B1557" s="2" t="s">
        <v>22</v>
      </c>
    </row>
    <row r="1558" spans="1:2" ht="10.5" customHeight="1">
      <c r="A1558" s="2" t="s">
        <v>1183</v>
      </c>
      <c r="B1558" s="2" t="s">
        <v>22</v>
      </c>
    </row>
    <row r="1559" spans="1:2" ht="10.5" customHeight="1">
      <c r="A1559" s="2" t="s">
        <v>283</v>
      </c>
      <c r="B1559" s="2" t="s">
        <v>22</v>
      </c>
    </row>
    <row r="1560" spans="1:2" ht="10.5" customHeight="1">
      <c r="A1560" s="2" t="s">
        <v>131</v>
      </c>
      <c r="B1560" s="2" t="s">
        <v>69</v>
      </c>
    </row>
    <row r="1561" spans="1:2" ht="10.5" customHeight="1">
      <c r="A1561" s="2" t="s">
        <v>158</v>
      </c>
      <c r="B1561" s="2" t="s">
        <v>22</v>
      </c>
    </row>
    <row r="1562" spans="1:2" ht="10.5" customHeight="1">
      <c r="A1562" s="2" t="s">
        <v>779</v>
      </c>
      <c r="B1562" s="2" t="s">
        <v>22</v>
      </c>
    </row>
    <row r="1563" spans="1:2" ht="10.5" customHeight="1">
      <c r="A1563" s="2" t="s">
        <v>1542</v>
      </c>
      <c r="B1563" s="2" t="s">
        <v>69</v>
      </c>
    </row>
    <row r="1564" spans="1:2" ht="10.5" customHeight="1">
      <c r="A1564" s="2" t="s">
        <v>1464</v>
      </c>
      <c r="B1564" s="2" t="s">
        <v>69</v>
      </c>
    </row>
    <row r="1565" spans="1:2" ht="10.5" customHeight="1">
      <c r="A1565" s="2" t="s">
        <v>1982</v>
      </c>
      <c r="B1565" s="2" t="s">
        <v>22</v>
      </c>
    </row>
    <row r="1566" spans="1:2" ht="10.5" customHeight="1">
      <c r="A1566" s="2" t="s">
        <v>434</v>
      </c>
      <c r="B1566" s="2" t="s">
        <v>22</v>
      </c>
    </row>
    <row r="1567" spans="1:2" ht="10.5" customHeight="1">
      <c r="A1567" s="2" t="s">
        <v>2345</v>
      </c>
      <c r="B1567" s="2" t="s">
        <v>2107</v>
      </c>
    </row>
    <row r="1568" spans="1:2" ht="10.5" customHeight="1">
      <c r="A1568" s="2" t="s">
        <v>1070</v>
      </c>
      <c r="B1568" s="2" t="s">
        <v>22</v>
      </c>
    </row>
    <row r="1569" spans="1:2" ht="10.5" customHeight="1">
      <c r="A1569" s="2" t="s">
        <v>1371</v>
      </c>
      <c r="B1569" s="2" t="s">
        <v>22</v>
      </c>
    </row>
    <row r="1570" spans="1:2" ht="10.5" customHeight="1">
      <c r="A1570" s="2" t="s">
        <v>1050</v>
      </c>
      <c r="B1570" s="2" t="s">
        <v>22</v>
      </c>
    </row>
    <row r="1571" spans="1:2" ht="10.5" customHeight="1">
      <c r="A1571" s="2" t="s">
        <v>1819</v>
      </c>
      <c r="B1571" s="2" t="s">
        <v>115</v>
      </c>
    </row>
    <row r="1572" spans="1:2" ht="10.5" customHeight="1">
      <c r="A1572" s="2" t="s">
        <v>2263</v>
      </c>
      <c r="B1572" s="2" t="s">
        <v>2110</v>
      </c>
    </row>
    <row r="1573" spans="1:2" ht="10.5" customHeight="1">
      <c r="A1573" s="2" t="s">
        <v>1272</v>
      </c>
      <c r="B1573" s="2" t="s">
        <v>22</v>
      </c>
    </row>
    <row r="1574" spans="1:2" ht="10.5" customHeight="1">
      <c r="A1574" s="2" t="s">
        <v>1125</v>
      </c>
      <c r="B1574" s="2" t="s">
        <v>22</v>
      </c>
    </row>
    <row r="1575" spans="1:2" ht="10.5" customHeight="1">
      <c r="A1575" s="2" t="s">
        <v>800</v>
      </c>
      <c r="B1575" s="2" t="s">
        <v>22</v>
      </c>
    </row>
    <row r="1576" spans="1:2" ht="10.5" customHeight="1">
      <c r="A1576" s="2" t="s">
        <v>1224</v>
      </c>
      <c r="B1576" s="2" t="s">
        <v>69</v>
      </c>
    </row>
    <row r="1577" spans="1:2" ht="10.5" customHeight="1">
      <c r="A1577" s="2" t="s">
        <v>217</v>
      </c>
      <c r="B1577" s="2" t="s">
        <v>69</v>
      </c>
    </row>
    <row r="1578" spans="1:2" ht="10.5" customHeight="1">
      <c r="A1578" s="2" t="s">
        <v>1436</v>
      </c>
      <c r="B1578" s="2" t="s">
        <v>22</v>
      </c>
    </row>
    <row r="1579" spans="1:2" ht="10.5" customHeight="1">
      <c r="A1579" s="2" t="s">
        <v>1336</v>
      </c>
      <c r="B1579" s="2" t="s">
        <v>22</v>
      </c>
    </row>
    <row r="1580" spans="1:2" ht="10.5" customHeight="1">
      <c r="A1580" s="2" t="s">
        <v>654</v>
      </c>
      <c r="B1580" s="2" t="s">
        <v>22</v>
      </c>
    </row>
    <row r="1581" spans="1:2" ht="10.5" customHeight="1">
      <c r="A1581" s="2" t="s">
        <v>611</v>
      </c>
      <c r="B1581" s="2" t="s">
        <v>22</v>
      </c>
    </row>
    <row r="1582" spans="1:2" ht="10.5" customHeight="1">
      <c r="A1582" s="2" t="s">
        <v>1317</v>
      </c>
      <c r="B1582" s="2" t="s">
        <v>22</v>
      </c>
    </row>
    <row r="1583" spans="1:2" ht="10.5" customHeight="1">
      <c r="A1583" s="2" t="s">
        <v>793</v>
      </c>
      <c r="B1583" s="2" t="s">
        <v>115</v>
      </c>
    </row>
    <row r="1584" spans="1:2" ht="10.5" customHeight="1">
      <c r="A1584" s="2" t="s">
        <v>1280</v>
      </c>
      <c r="B1584" s="2" t="s">
        <v>22</v>
      </c>
    </row>
    <row r="1585" spans="1:2" ht="10.5" customHeight="1">
      <c r="A1585" s="2" t="s">
        <v>615</v>
      </c>
      <c r="B1585" s="2" t="s">
        <v>22</v>
      </c>
    </row>
    <row r="1586" spans="1:2" ht="10.5" customHeight="1">
      <c r="A1586" s="2" t="s">
        <v>479</v>
      </c>
      <c r="B1586" s="2" t="s">
        <v>22</v>
      </c>
    </row>
    <row r="1587" spans="1:2" ht="10.5" customHeight="1">
      <c r="A1587" s="2" t="s">
        <v>690</v>
      </c>
      <c r="B1587" s="2" t="s">
        <v>22</v>
      </c>
    </row>
    <row r="1588" spans="1:2" ht="10.5" customHeight="1">
      <c r="A1588" s="2" t="s">
        <v>2329</v>
      </c>
      <c r="B1588" s="2" t="s">
        <v>22</v>
      </c>
    </row>
    <row r="1589" spans="1:2" ht="10.5" customHeight="1">
      <c r="A1589" s="2" t="s">
        <v>2310</v>
      </c>
      <c r="B1589" s="2" t="s">
        <v>2110</v>
      </c>
    </row>
    <row r="1590" spans="1:2" ht="10.5" customHeight="1">
      <c r="A1590" s="2" t="s">
        <v>2244</v>
      </c>
      <c r="B1590" s="2" t="s">
        <v>22</v>
      </c>
    </row>
    <row r="1591" spans="1:2" ht="10.5" customHeight="1">
      <c r="A1591" s="2" t="s">
        <v>1832</v>
      </c>
      <c r="B1591" s="2" t="s">
        <v>22</v>
      </c>
    </row>
    <row r="1592" spans="1:2" ht="10.5" customHeight="1">
      <c r="A1592" s="2" t="s">
        <v>1875</v>
      </c>
      <c r="B1592" s="2" t="s">
        <v>69</v>
      </c>
    </row>
    <row r="1593" spans="1:2" ht="10.5" customHeight="1">
      <c r="A1593" s="2" t="s">
        <v>1517</v>
      </c>
      <c r="B1593" s="2" t="s">
        <v>22</v>
      </c>
    </row>
    <row r="1594" spans="1:2" ht="10.5" customHeight="1">
      <c r="A1594" s="2" t="s">
        <v>1892</v>
      </c>
      <c r="B1594" s="2" t="s">
        <v>22</v>
      </c>
    </row>
    <row r="1595" spans="1:2" ht="10.5" customHeight="1">
      <c r="A1595" s="2" t="s">
        <v>1585</v>
      </c>
      <c r="B1595" s="2" t="s">
        <v>69</v>
      </c>
    </row>
    <row r="1596" spans="1:2" ht="10.5" customHeight="1">
      <c r="A1596" s="2" t="s">
        <v>1726</v>
      </c>
      <c r="B1596" s="2" t="s">
        <v>22</v>
      </c>
    </row>
    <row r="1597" spans="1:2" ht="10.5" customHeight="1">
      <c r="A1597" s="2" t="s">
        <v>1206</v>
      </c>
      <c r="B1597" s="2" t="s">
        <v>22</v>
      </c>
    </row>
    <row r="1598" spans="1:2" ht="10.5" customHeight="1">
      <c r="A1598" s="2" t="s">
        <v>2000</v>
      </c>
      <c r="B1598" s="2" t="s">
        <v>22</v>
      </c>
    </row>
    <row r="1599" spans="1:2" ht="10.5" customHeight="1">
      <c r="A1599" s="2" t="s">
        <v>2182</v>
      </c>
      <c r="B1599" s="2" t="s">
        <v>22</v>
      </c>
    </row>
    <row r="1600" spans="1:2" ht="10.5" customHeight="1">
      <c r="A1600" s="2" t="s">
        <v>2221</v>
      </c>
      <c r="B1600" s="2" t="s">
        <v>2107</v>
      </c>
    </row>
    <row r="1601" spans="1:2" ht="10.5" customHeight="1">
      <c r="A1601" s="2" t="s">
        <v>828</v>
      </c>
      <c r="B1601" s="2" t="s">
        <v>69</v>
      </c>
    </row>
    <row r="1602" spans="1:2" ht="10.5" customHeight="1">
      <c r="A1602" s="2" t="s">
        <v>383</v>
      </c>
      <c r="B1602" s="2" t="s">
        <v>22</v>
      </c>
    </row>
    <row r="1603" spans="1:2" ht="10.5" customHeight="1">
      <c r="A1603" s="2" t="s">
        <v>1745</v>
      </c>
      <c r="B1603" s="2" t="s">
        <v>22</v>
      </c>
    </row>
    <row r="1604" spans="1:2" ht="10.5" customHeight="1">
      <c r="A1604" s="2" t="s">
        <v>1324</v>
      </c>
      <c r="B1604" s="2" t="s">
        <v>115</v>
      </c>
    </row>
    <row r="1605" spans="1:2" ht="10.5" customHeight="1">
      <c r="A1605" s="2" t="s">
        <v>1734</v>
      </c>
      <c r="B1605" s="2" t="s">
        <v>22</v>
      </c>
    </row>
    <row r="1606" spans="1:2" ht="10.5" customHeight="1">
      <c r="A1606" s="2" t="s">
        <v>581</v>
      </c>
      <c r="B1606" s="2" t="s">
        <v>22</v>
      </c>
    </row>
    <row r="1607" spans="1:2" ht="10.5" customHeight="1">
      <c r="A1607" s="2" t="s">
        <v>1078</v>
      </c>
      <c r="B1607" s="2" t="s">
        <v>22</v>
      </c>
    </row>
    <row r="1608" spans="1:2" ht="10.5" customHeight="1">
      <c r="A1608" s="2" t="s">
        <v>735</v>
      </c>
      <c r="B1608" s="2" t="s">
        <v>22</v>
      </c>
    </row>
    <row r="1609" spans="1:2" ht="10.5" customHeight="1">
      <c r="A1609" s="2" t="s">
        <v>1448</v>
      </c>
      <c r="B1609" s="2" t="s">
        <v>22</v>
      </c>
    </row>
    <row r="1610" spans="1:2" ht="10.5" customHeight="1">
      <c r="A1610" s="2" t="s">
        <v>1675</v>
      </c>
      <c r="B1610" s="2" t="s">
        <v>22</v>
      </c>
    </row>
    <row r="1611" spans="1:2" ht="10.5" customHeight="1">
      <c r="A1611" s="2" t="s">
        <v>288</v>
      </c>
      <c r="B1611" s="2" t="s">
        <v>69</v>
      </c>
    </row>
    <row r="1612" spans="1:2" ht="10.5" customHeight="1">
      <c r="A1612" s="2" t="s">
        <v>1559</v>
      </c>
      <c r="B1612" s="2" t="s">
        <v>115</v>
      </c>
    </row>
    <row r="1613" spans="1:2" ht="10.5" customHeight="1">
      <c r="A1613" s="2" t="s">
        <v>1997</v>
      </c>
      <c r="B1613" s="2" t="s">
        <v>22</v>
      </c>
    </row>
    <row r="1614" spans="1:2" ht="10.5" customHeight="1">
      <c r="A1614" s="2" t="s">
        <v>2149</v>
      </c>
      <c r="B1614" s="2" t="s">
        <v>22</v>
      </c>
    </row>
    <row r="1615" spans="1:2" ht="10.5" customHeight="1">
      <c r="A1615" s="2" t="s">
        <v>2177</v>
      </c>
      <c r="B1615" s="2" t="s">
        <v>115</v>
      </c>
    </row>
    <row r="1616" spans="1:2" ht="10.5" customHeight="1">
      <c r="A1616" s="2" t="s">
        <v>1965</v>
      </c>
      <c r="B1616" s="2" t="s">
        <v>22</v>
      </c>
    </row>
    <row r="1617" spans="1:2" ht="10.5" customHeight="1">
      <c r="A1617" s="2" t="s">
        <v>666</v>
      </c>
      <c r="B1617" s="2" t="s">
        <v>22</v>
      </c>
    </row>
    <row r="1618" spans="1:2" ht="10.5" customHeight="1">
      <c r="A1618" s="2" t="s">
        <v>1216</v>
      </c>
      <c r="B1618" s="2" t="s">
        <v>22</v>
      </c>
    </row>
    <row r="1619" spans="1:2" ht="10.5" customHeight="1">
      <c r="A1619" s="2" t="s">
        <v>2242</v>
      </c>
      <c r="B1619" s="2" t="s">
        <v>2107</v>
      </c>
    </row>
    <row r="1620" spans="1:2" ht="10.5" customHeight="1">
      <c r="A1620" s="2" t="s">
        <v>556</v>
      </c>
      <c r="B1620" s="2" t="s">
        <v>22</v>
      </c>
    </row>
    <row r="1621" spans="1:2" ht="10.5" customHeight="1">
      <c r="A1621" s="2" t="s">
        <v>1778</v>
      </c>
      <c r="B1621" s="2" t="s">
        <v>22</v>
      </c>
    </row>
    <row r="1622" spans="1:2" ht="10.5" customHeight="1">
      <c r="A1622" s="2" t="s">
        <v>1837</v>
      </c>
      <c r="B1622" s="2" t="s">
        <v>69</v>
      </c>
    </row>
    <row r="1623" spans="1:2" ht="10.5" customHeight="1">
      <c r="A1623" s="2" t="s">
        <v>2250</v>
      </c>
      <c r="B1623" s="2" t="s">
        <v>2107</v>
      </c>
    </row>
    <row r="1624" spans="1:2" ht="10.5" customHeight="1">
      <c r="A1624" s="2" t="s">
        <v>1789</v>
      </c>
      <c r="B1624" s="2" t="s">
        <v>22</v>
      </c>
    </row>
    <row r="1625" spans="1:2" ht="10.5" customHeight="1">
      <c r="A1625" s="2" t="s">
        <v>1958</v>
      </c>
      <c r="B1625" s="2" t="s">
        <v>69</v>
      </c>
    </row>
    <row r="1626" spans="1:2" ht="10.5" customHeight="1">
      <c r="A1626" s="2" t="s">
        <v>2113</v>
      </c>
      <c r="B1626" s="2" t="s">
        <v>69</v>
      </c>
    </row>
    <row r="1627" spans="1:2" ht="10.5" customHeight="1">
      <c r="A1627" s="2" t="s">
        <v>1195</v>
      </c>
      <c r="B1627" s="2" t="s">
        <v>22</v>
      </c>
    </row>
    <row r="1628" spans="1:2" ht="10.5" customHeight="1">
      <c r="A1628" s="2" t="s">
        <v>2143</v>
      </c>
      <c r="B1628" s="2" t="s">
        <v>22</v>
      </c>
    </row>
    <row r="1629" spans="1:2" ht="10.5" customHeight="1">
      <c r="A1629" s="2" t="s">
        <v>1995</v>
      </c>
      <c r="B1629" s="2" t="s">
        <v>22</v>
      </c>
    </row>
    <row r="1630" spans="1:2" ht="10.5" customHeight="1">
      <c r="A1630" s="2" t="s">
        <v>1602</v>
      </c>
      <c r="B1630" s="2" t="s">
        <v>69</v>
      </c>
    </row>
    <row r="1631" spans="1:2" ht="10.5" customHeight="1">
      <c r="A1631" s="2" t="s">
        <v>350</v>
      </c>
      <c r="B1631" s="2" t="s">
        <v>22</v>
      </c>
    </row>
    <row r="1632" spans="1:2" ht="10.5" customHeight="1">
      <c r="A1632" s="2" t="s">
        <v>1963</v>
      </c>
      <c r="B1632" s="2" t="s">
        <v>69</v>
      </c>
    </row>
    <row r="1633" spans="1:2" ht="10.5" customHeight="1">
      <c r="A1633" s="2" t="s">
        <v>1411</v>
      </c>
      <c r="B1633" s="2" t="s">
        <v>69</v>
      </c>
    </row>
    <row r="1634" spans="1:2" ht="10.5" customHeight="1">
      <c r="A1634" s="2" t="s">
        <v>1263</v>
      </c>
      <c r="B1634" s="2" t="s">
        <v>22</v>
      </c>
    </row>
    <row r="1635" spans="1:2" ht="10.5" customHeight="1">
      <c r="A1635" s="2" t="s">
        <v>2265</v>
      </c>
      <c r="B1635" s="2" t="s">
        <v>2110</v>
      </c>
    </row>
    <row r="1636" spans="1:2" ht="10.5" customHeight="1">
      <c r="A1636" s="2" t="s">
        <v>1779</v>
      </c>
      <c r="B1636" s="2" t="s">
        <v>22</v>
      </c>
    </row>
    <row r="1637" spans="1:2" ht="10.5" customHeight="1">
      <c r="A1637" s="2" t="s">
        <v>637</v>
      </c>
      <c r="B1637" s="2" t="s">
        <v>22</v>
      </c>
    </row>
    <row r="1638" spans="1:2" ht="10.5" customHeight="1">
      <c r="A1638" s="2" t="s">
        <v>2057</v>
      </c>
      <c r="B1638" s="2" t="s">
        <v>22</v>
      </c>
    </row>
    <row r="1639" spans="1:2" ht="10.5" customHeight="1">
      <c r="A1639" s="2" t="s">
        <v>328</v>
      </c>
      <c r="B1639" s="2" t="s">
        <v>22</v>
      </c>
    </row>
    <row r="1640" spans="1:2" ht="10.5" customHeight="1">
      <c r="A1640" s="2" t="s">
        <v>976</v>
      </c>
      <c r="B1640" s="2" t="s">
        <v>22</v>
      </c>
    </row>
    <row r="1641" spans="1:2" ht="10.5" customHeight="1">
      <c r="A1641" s="2" t="s">
        <v>1562</v>
      </c>
      <c r="B1641" s="2" t="s">
        <v>22</v>
      </c>
    </row>
    <row r="1642" spans="1:2" ht="10.5" customHeight="1">
      <c r="A1642" s="2" t="s">
        <v>1698</v>
      </c>
      <c r="B1642" s="2" t="s">
        <v>115</v>
      </c>
    </row>
    <row r="1643" spans="1:2" ht="10.5" customHeight="1">
      <c r="A1643" s="2" t="s">
        <v>2047</v>
      </c>
      <c r="B1643" s="2" t="s">
        <v>22</v>
      </c>
    </row>
    <row r="1644" spans="1:2" ht="10.5" customHeight="1">
      <c r="A1644" s="2" t="s">
        <v>274</v>
      </c>
      <c r="B1644" s="2" t="s">
        <v>22</v>
      </c>
    </row>
    <row r="1645" spans="1:2" ht="10.5" customHeight="1">
      <c r="A1645" s="2" t="s">
        <v>806</v>
      </c>
      <c r="B1645" s="2" t="s">
        <v>22</v>
      </c>
    </row>
    <row r="1646" spans="1:2" ht="10.5" customHeight="1">
      <c r="A1646" s="2" t="s">
        <v>1948</v>
      </c>
      <c r="B1646" s="2" t="s">
        <v>69</v>
      </c>
    </row>
    <row r="1647" spans="1:2" ht="10.5" customHeight="1">
      <c r="A1647" s="2" t="s">
        <v>186</v>
      </c>
      <c r="B1647" s="2" t="s">
        <v>115</v>
      </c>
    </row>
    <row r="1648" spans="1:2" ht="10.5" customHeight="1">
      <c r="A1648" s="2" t="s">
        <v>1267</v>
      </c>
      <c r="B1648" s="2" t="s">
        <v>69</v>
      </c>
    </row>
    <row r="1649" spans="1:2" ht="10.5" customHeight="1">
      <c r="A1649" s="2" t="s">
        <v>1933</v>
      </c>
      <c r="B1649" s="2" t="s">
        <v>22</v>
      </c>
    </row>
    <row r="1650" spans="1:2" ht="10.5" customHeight="1">
      <c r="A1650" s="2" t="s">
        <v>778</v>
      </c>
      <c r="B1650" s="2" t="s">
        <v>69</v>
      </c>
    </row>
    <row r="1651" spans="1:2" ht="10.5" customHeight="1">
      <c r="A1651" s="2" t="s">
        <v>1540</v>
      </c>
      <c r="B1651" s="2" t="s">
        <v>22</v>
      </c>
    </row>
    <row r="1652" spans="1:2" ht="10.5" customHeight="1">
      <c r="A1652" s="2" t="s">
        <v>1809</v>
      </c>
      <c r="B1652" s="2" t="s">
        <v>22</v>
      </c>
    </row>
    <row r="1653" spans="1:2" ht="10.5" customHeight="1">
      <c r="A1653" s="2" t="s">
        <v>892</v>
      </c>
      <c r="B1653" s="2" t="s">
        <v>69</v>
      </c>
    </row>
    <row r="1654" spans="1:2" ht="10.5" customHeight="1">
      <c r="A1654" s="2" t="s">
        <v>1143</v>
      </c>
      <c r="B1654" s="2" t="s">
        <v>22</v>
      </c>
    </row>
    <row r="1655" spans="1:2" ht="10.5" customHeight="1">
      <c r="A1655" s="2" t="s">
        <v>1774</v>
      </c>
      <c r="B1655" s="2" t="s">
        <v>22</v>
      </c>
    </row>
    <row r="1656" spans="1:2" ht="10.5" customHeight="1">
      <c r="A1656" s="2" t="s">
        <v>789</v>
      </c>
      <c r="B1656" s="2" t="s">
        <v>22</v>
      </c>
    </row>
    <row r="1657" spans="1:2" ht="10.5" customHeight="1">
      <c r="A1657" s="2" t="s">
        <v>1375</v>
      </c>
      <c r="B1657" s="2" t="s">
        <v>22</v>
      </c>
    </row>
    <row r="1658" spans="1:2" ht="10.5" customHeight="1">
      <c r="A1658" s="2" t="s">
        <v>1213</v>
      </c>
      <c r="B1658" s="2" t="s">
        <v>22</v>
      </c>
    </row>
    <row r="1659" spans="1:2" ht="10.5" customHeight="1">
      <c r="A1659" s="2" t="s">
        <v>771</v>
      </c>
      <c r="B1659" s="2" t="s">
        <v>22</v>
      </c>
    </row>
    <row r="1660" spans="1:2" ht="10.5" customHeight="1">
      <c r="A1660" s="2" t="s">
        <v>720</v>
      </c>
      <c r="B1660" s="2" t="s">
        <v>22</v>
      </c>
    </row>
    <row r="1661" spans="1:2" ht="10.5" customHeight="1">
      <c r="A1661" s="2" t="s">
        <v>1156</v>
      </c>
      <c r="B1661" s="2" t="s">
        <v>22</v>
      </c>
    </row>
    <row r="1662" spans="1:2" ht="10.5" customHeight="1">
      <c r="A1662" s="2" t="s">
        <v>816</v>
      </c>
      <c r="B1662" s="2" t="s">
        <v>22</v>
      </c>
    </row>
    <row r="1663" spans="1:2" ht="10.5" customHeight="1">
      <c r="A1663" s="2" t="s">
        <v>1217</v>
      </c>
      <c r="B1663" s="2" t="s">
        <v>22</v>
      </c>
    </row>
    <row r="1664" spans="1:2" ht="10.5" customHeight="1">
      <c r="A1664" s="2" t="s">
        <v>1635</v>
      </c>
      <c r="B1664" s="2" t="s">
        <v>22</v>
      </c>
    </row>
    <row r="1665" spans="1:2" ht="10.5" customHeight="1">
      <c r="A1665" s="2" t="s">
        <v>46</v>
      </c>
      <c r="B1665" s="2" t="s">
        <v>22</v>
      </c>
    </row>
    <row r="1666" spans="1:2" ht="10.5" customHeight="1">
      <c r="A1666" s="2" t="s">
        <v>1738</v>
      </c>
      <c r="B1666" s="2" t="s">
        <v>22</v>
      </c>
    </row>
    <row r="1667" spans="1:2" ht="10.5" customHeight="1">
      <c r="A1667" s="2" t="s">
        <v>2165</v>
      </c>
      <c r="B1667" s="2" t="s">
        <v>2107</v>
      </c>
    </row>
    <row r="1668" spans="1:2" ht="10.5" customHeight="1">
      <c r="A1668" s="2" t="s">
        <v>657</v>
      </c>
      <c r="B1668" s="2" t="s">
        <v>22</v>
      </c>
    </row>
    <row r="1669" spans="1:2" ht="10.5" customHeight="1">
      <c r="A1669" s="2" t="s">
        <v>92</v>
      </c>
      <c r="B1669" s="2" t="s">
        <v>22</v>
      </c>
    </row>
    <row r="1670" spans="1:2" ht="10.5" customHeight="1">
      <c r="A1670" s="2" t="s">
        <v>1278</v>
      </c>
      <c r="B1670" s="2" t="s">
        <v>22</v>
      </c>
    </row>
    <row r="1671" spans="1:2" ht="10.5" customHeight="1">
      <c r="A1671" s="2" t="s">
        <v>709</v>
      </c>
      <c r="B1671" s="2" t="s">
        <v>22</v>
      </c>
    </row>
    <row r="1672" spans="1:2" ht="10.5" customHeight="1">
      <c r="A1672" s="2" t="s">
        <v>100</v>
      </c>
      <c r="B1672" s="2" t="s">
        <v>22</v>
      </c>
    </row>
    <row r="1673" spans="1:2" ht="10.5" customHeight="1">
      <c r="A1673" s="2" t="s">
        <v>568</v>
      </c>
      <c r="B1673" s="2" t="s">
        <v>22</v>
      </c>
    </row>
    <row r="1674" spans="1:2" ht="10.5" customHeight="1">
      <c r="A1674" s="2" t="s">
        <v>1047</v>
      </c>
      <c r="B1674" s="2" t="s">
        <v>69</v>
      </c>
    </row>
    <row r="1675" spans="1:2" ht="10.5" customHeight="1">
      <c r="A1675" s="2" t="s">
        <v>307</v>
      </c>
      <c r="B1675" s="2" t="s">
        <v>69</v>
      </c>
    </row>
    <row r="1676" spans="1:2" ht="10.5" customHeight="1">
      <c r="A1676" s="2" t="s">
        <v>957</v>
      </c>
      <c r="B1676" s="2" t="s">
        <v>22</v>
      </c>
    </row>
    <row r="1677" spans="1:2" ht="10.5" customHeight="1">
      <c r="A1677" s="2" t="s">
        <v>1992</v>
      </c>
      <c r="B1677" s="2" t="s">
        <v>22</v>
      </c>
    </row>
    <row r="1678" spans="1:2" ht="10.5" customHeight="1">
      <c r="A1678" s="2" t="s">
        <v>550</v>
      </c>
      <c r="B1678" s="2" t="s">
        <v>22</v>
      </c>
    </row>
    <row r="1679" spans="1:2" ht="10.5" customHeight="1">
      <c r="A1679" s="2" t="s">
        <v>769</v>
      </c>
      <c r="B1679" s="2" t="s">
        <v>22</v>
      </c>
    </row>
    <row r="1680" spans="1:2" ht="10.5" customHeight="1">
      <c r="A1680" s="2" t="s">
        <v>1533</v>
      </c>
      <c r="B1680" s="2" t="s">
        <v>115</v>
      </c>
    </row>
    <row r="1681" spans="1:2" ht="10.5" customHeight="1">
      <c r="A1681" s="2" t="s">
        <v>2172</v>
      </c>
      <c r="B1681" s="2" t="s">
        <v>2110</v>
      </c>
    </row>
    <row r="1682" spans="1:2" ht="10.5" customHeight="1">
      <c r="A1682" s="2" t="s">
        <v>1026</v>
      </c>
      <c r="B1682" s="2" t="s">
        <v>22</v>
      </c>
    </row>
    <row r="1683" spans="1:2" ht="10.5" customHeight="1">
      <c r="A1683" s="2" t="s">
        <v>1729</v>
      </c>
      <c r="B1683" s="2" t="s">
        <v>22</v>
      </c>
    </row>
    <row r="1684" spans="1:2" ht="10.5" customHeight="1">
      <c r="A1684" s="2" t="s">
        <v>2145</v>
      </c>
      <c r="B1684" s="2" t="s">
        <v>2107</v>
      </c>
    </row>
    <row r="1685" spans="1:2" ht="10.5" customHeight="1">
      <c r="A1685" s="2" t="s">
        <v>1925</v>
      </c>
      <c r="B1685" s="2" t="s">
        <v>69</v>
      </c>
    </row>
    <row r="1686" spans="1:2" ht="10.5" customHeight="1">
      <c r="A1686" s="2" t="s">
        <v>2222</v>
      </c>
      <c r="B1686" s="2" t="s">
        <v>2107</v>
      </c>
    </row>
    <row r="1687" spans="1:2" ht="10.5" customHeight="1">
      <c r="A1687" s="2" t="s">
        <v>1460</v>
      </c>
      <c r="B1687" s="2" t="s">
        <v>22</v>
      </c>
    </row>
    <row r="1688" spans="1:2" ht="10.5" customHeight="1">
      <c r="A1688" s="2" t="s">
        <v>1615</v>
      </c>
      <c r="B1688" s="2" t="s">
        <v>22</v>
      </c>
    </row>
    <row r="1689" spans="1:2" ht="10.5" customHeight="1">
      <c r="A1689" s="2" t="s">
        <v>2304</v>
      </c>
      <c r="B1689" s="2" t="s">
        <v>2107</v>
      </c>
    </row>
    <row r="1690" spans="1:2" ht="10.5" customHeight="1">
      <c r="A1690" s="2" t="s">
        <v>1848</v>
      </c>
      <c r="B1690" s="2" t="s">
        <v>22</v>
      </c>
    </row>
    <row r="1691" spans="1:2" ht="10.5" customHeight="1">
      <c r="A1691" s="2" t="s">
        <v>2121</v>
      </c>
      <c r="B1691" s="2" t="s">
        <v>2110</v>
      </c>
    </row>
    <row r="1692" spans="1:2" ht="10.5" customHeight="1">
      <c r="A1692" s="2" t="s">
        <v>1105</v>
      </c>
      <c r="B1692" s="2" t="s">
        <v>22</v>
      </c>
    </row>
    <row r="1693" spans="1:2" ht="10.5" customHeight="1">
      <c r="A1693" s="2" t="s">
        <v>1485</v>
      </c>
      <c r="B1693" s="2" t="s">
        <v>22</v>
      </c>
    </row>
    <row r="1694" spans="1:2" ht="10.5" customHeight="1">
      <c r="A1694" s="2" t="s">
        <v>141</v>
      </c>
      <c r="B1694" s="2" t="s">
        <v>22</v>
      </c>
    </row>
    <row r="1695" spans="1:2" ht="10.5" customHeight="1">
      <c r="A1695" s="2" t="s">
        <v>1983</v>
      </c>
      <c r="B1695" s="2" t="s">
        <v>22</v>
      </c>
    </row>
    <row r="1696" spans="1:2" ht="10.5" customHeight="1">
      <c r="A1696" s="2" t="s">
        <v>724</v>
      </c>
      <c r="B1696" s="2" t="s">
        <v>115</v>
      </c>
    </row>
    <row r="1697" spans="1:2" ht="10.5" customHeight="1">
      <c r="A1697" s="2" t="s">
        <v>1242</v>
      </c>
      <c r="B1697" s="2" t="s">
        <v>22</v>
      </c>
    </row>
    <row r="1698" spans="1:2" ht="10.5" customHeight="1">
      <c r="A1698" s="2" t="s">
        <v>359</v>
      </c>
      <c r="B1698" s="2" t="s">
        <v>22</v>
      </c>
    </row>
    <row r="1699" spans="1:2" ht="10.5" customHeight="1">
      <c r="A1699" s="2" t="s">
        <v>1777</v>
      </c>
      <c r="B1699" s="2" t="s">
        <v>22</v>
      </c>
    </row>
    <row r="1700" spans="1:2" ht="10.5" customHeight="1">
      <c r="A1700" s="2" t="s">
        <v>2210</v>
      </c>
      <c r="B1700" s="2" t="s">
        <v>22</v>
      </c>
    </row>
    <row r="1701" spans="1:2" ht="10.5" customHeight="1">
      <c r="A1701" s="2" t="s">
        <v>511</v>
      </c>
      <c r="B1701" s="2" t="s">
        <v>115</v>
      </c>
    </row>
    <row r="1702" spans="1:2" ht="10.5" customHeight="1">
      <c r="A1702" s="2" t="s">
        <v>2328</v>
      </c>
      <c r="B1702" s="2" t="s">
        <v>22</v>
      </c>
    </row>
    <row r="1703" spans="1:2" ht="10.5" customHeight="1">
      <c r="A1703" s="2" t="s">
        <v>1017</v>
      </c>
      <c r="B1703" s="2" t="s">
        <v>69</v>
      </c>
    </row>
    <row r="1704" spans="1:2" ht="10.5" customHeight="1">
      <c r="A1704" s="2" t="s">
        <v>1320</v>
      </c>
      <c r="B1704" s="2" t="s">
        <v>115</v>
      </c>
    </row>
    <row r="1705" spans="1:2" ht="10.5" customHeight="1">
      <c r="A1705" s="2" t="s">
        <v>582</v>
      </c>
      <c r="B1705" s="2" t="s">
        <v>22</v>
      </c>
    </row>
    <row r="1706" spans="1:2" ht="10.5" customHeight="1">
      <c r="A1706" s="2" t="s">
        <v>1462</v>
      </c>
      <c r="B1706" s="2" t="s">
        <v>22</v>
      </c>
    </row>
    <row r="1707" spans="1:2" ht="10.5" customHeight="1">
      <c r="A1707" s="2" t="s">
        <v>1142</v>
      </c>
      <c r="B1707" s="2" t="s">
        <v>22</v>
      </c>
    </row>
    <row r="1708" spans="1:2" ht="10.5" customHeight="1">
      <c r="A1708" s="2" t="s">
        <v>357</v>
      </c>
      <c r="B1708" s="2" t="s">
        <v>22</v>
      </c>
    </row>
    <row r="1709" spans="1:2" ht="10.5" customHeight="1">
      <c r="A1709" s="2" t="s">
        <v>442</v>
      </c>
      <c r="B1709" s="2" t="s">
        <v>22</v>
      </c>
    </row>
    <row r="1710" spans="1:2" ht="10.5" customHeight="1">
      <c r="A1710" s="2" t="s">
        <v>1702</v>
      </c>
      <c r="B1710" s="2" t="s">
        <v>22</v>
      </c>
    </row>
    <row r="1711" spans="1:2" ht="10.5" customHeight="1">
      <c r="A1711" s="2" t="s">
        <v>728</v>
      </c>
      <c r="B1711" s="2" t="s">
        <v>69</v>
      </c>
    </row>
    <row r="1712" spans="1:2" ht="10.5" customHeight="1">
      <c r="A1712" s="2" t="s">
        <v>717</v>
      </c>
      <c r="B1712" s="2" t="s">
        <v>22</v>
      </c>
    </row>
    <row r="1713" spans="1:2" ht="10.5" customHeight="1">
      <c r="A1713" s="2" t="s">
        <v>472</v>
      </c>
      <c r="B1713" s="2" t="s">
        <v>22</v>
      </c>
    </row>
    <row r="1714" spans="1:2" ht="10.5" customHeight="1">
      <c r="A1714" s="2" t="s">
        <v>1739</v>
      </c>
      <c r="B1714" s="2" t="s">
        <v>22</v>
      </c>
    </row>
    <row r="1715" spans="1:2" ht="10.5" customHeight="1">
      <c r="A1715" s="2" t="s">
        <v>1581</v>
      </c>
      <c r="B1715" s="2" t="s">
        <v>22</v>
      </c>
    </row>
    <row r="1716" spans="1:2" ht="10.5" customHeight="1">
      <c r="A1716" s="2" t="s">
        <v>988</v>
      </c>
      <c r="B1716" s="2" t="s">
        <v>22</v>
      </c>
    </row>
    <row r="1717" spans="1:2" ht="10.5" customHeight="1">
      <c r="A1717" s="2" t="s">
        <v>183</v>
      </c>
      <c r="B1717" s="2" t="s">
        <v>69</v>
      </c>
    </row>
    <row r="1718" spans="1:2" ht="10.5" customHeight="1">
      <c r="A1718" s="2" t="s">
        <v>1666</v>
      </c>
      <c r="B1718" s="2" t="s">
        <v>22</v>
      </c>
    </row>
    <row r="1719" spans="1:2" ht="10.5" customHeight="1">
      <c r="A1719" s="2" t="s">
        <v>2130</v>
      </c>
      <c r="B1719" s="2" t="s">
        <v>2110</v>
      </c>
    </row>
    <row r="1720" spans="1:2" ht="10.5" customHeight="1">
      <c r="A1720" s="2" t="s">
        <v>1612</v>
      </c>
      <c r="B1720" s="2" t="s">
        <v>22</v>
      </c>
    </row>
    <row r="1721" spans="1:2" ht="10.5" customHeight="1">
      <c r="A1721" s="2" t="s">
        <v>448</v>
      </c>
      <c r="B1721" s="2" t="s">
        <v>22</v>
      </c>
    </row>
    <row r="1722" spans="1:2" ht="10.5" customHeight="1">
      <c r="A1722" s="2" t="s">
        <v>1402</v>
      </c>
      <c r="B1722" s="2" t="s">
        <v>22</v>
      </c>
    </row>
    <row r="1723" spans="1:2" ht="10.5" customHeight="1">
      <c r="A1723" s="2" t="s">
        <v>1765</v>
      </c>
      <c r="B1723" s="2" t="s">
        <v>22</v>
      </c>
    </row>
    <row r="1724" spans="1:2" ht="10.5" customHeight="1">
      <c r="A1724" s="2" t="s">
        <v>333</v>
      </c>
      <c r="B1724" s="2" t="s">
        <v>22</v>
      </c>
    </row>
    <row r="1725" spans="1:2" ht="10.5" customHeight="1">
      <c r="A1725" s="2" t="s">
        <v>2014</v>
      </c>
      <c r="B1725" s="2" t="s">
        <v>22</v>
      </c>
    </row>
    <row r="1726" spans="1:2" ht="10.5" customHeight="1">
      <c r="A1726" s="2" t="s">
        <v>604</v>
      </c>
      <c r="B1726" s="2" t="s">
        <v>22</v>
      </c>
    </row>
    <row r="1727" spans="1:2" ht="10.5" customHeight="1">
      <c r="A1727" s="2" t="s">
        <v>230</v>
      </c>
      <c r="B1727" s="2" t="s">
        <v>22</v>
      </c>
    </row>
    <row r="1728" spans="1:2" ht="10.5" customHeight="1">
      <c r="A1728" s="2" t="s">
        <v>1879</v>
      </c>
      <c r="B1728" s="2" t="s">
        <v>22</v>
      </c>
    </row>
    <row r="1729" spans="1:2" ht="10.5" customHeight="1">
      <c r="A1729" s="2" t="s">
        <v>885</v>
      </c>
      <c r="B1729" s="2" t="s">
        <v>115</v>
      </c>
    </row>
    <row r="1730" spans="1:2" ht="10.5" customHeight="1">
      <c r="A1730" s="2" t="s">
        <v>1027</v>
      </c>
      <c r="B1730" s="2" t="s">
        <v>22</v>
      </c>
    </row>
    <row r="1731" spans="1:2" ht="10.5" customHeight="1">
      <c r="A1731" s="2" t="s">
        <v>90</v>
      </c>
      <c r="B1731" s="2" t="s">
        <v>69</v>
      </c>
    </row>
    <row r="1732" spans="1:2" ht="10.5" customHeight="1">
      <c r="A1732" s="2" t="s">
        <v>1225</v>
      </c>
      <c r="B1732" s="2" t="s">
        <v>22</v>
      </c>
    </row>
    <row r="1733" spans="1:2" ht="10.5" customHeight="1">
      <c r="A1733" s="2" t="s">
        <v>509</v>
      </c>
      <c r="B1733" s="2" t="s">
        <v>22</v>
      </c>
    </row>
    <row r="1734" spans="1:2" ht="10.5" customHeight="1">
      <c r="A1734" s="2" t="s">
        <v>1682</v>
      </c>
      <c r="B1734" s="2" t="s">
        <v>22</v>
      </c>
    </row>
    <row r="1735" spans="1:2" ht="10.5" customHeight="1">
      <c r="A1735" s="2" t="s">
        <v>1310</v>
      </c>
      <c r="B1735" s="2" t="s">
        <v>22</v>
      </c>
    </row>
    <row r="1736" spans="1:2" ht="10.5" customHeight="1">
      <c r="A1736" s="2" t="s">
        <v>1208</v>
      </c>
      <c r="B1736" s="2" t="s">
        <v>22</v>
      </c>
    </row>
    <row r="1737" spans="1:2" ht="10.5" customHeight="1">
      <c r="A1737" s="2" t="s">
        <v>2006</v>
      </c>
      <c r="B1737" s="2" t="s">
        <v>22</v>
      </c>
    </row>
    <row r="1738" spans="1:2" ht="10.5" customHeight="1">
      <c r="A1738" s="2" t="s">
        <v>1889</v>
      </c>
      <c r="B1738" s="2" t="s">
        <v>22</v>
      </c>
    </row>
    <row r="1739" spans="1:2" ht="10.5" customHeight="1">
      <c r="A1739" s="2" t="s">
        <v>1302</v>
      </c>
      <c r="B1739" s="2" t="s">
        <v>69</v>
      </c>
    </row>
    <row r="1740" spans="1:2" ht="10.5" customHeight="1">
      <c r="A1740" s="2" t="s">
        <v>413</v>
      </c>
      <c r="B1740" s="2" t="s">
        <v>22</v>
      </c>
    </row>
    <row r="1741" spans="1:2" ht="10.5" customHeight="1">
      <c r="A1741" s="2" t="s">
        <v>1824</v>
      </c>
      <c r="B1741" s="2" t="s">
        <v>22</v>
      </c>
    </row>
    <row r="1742" spans="1:2" ht="10.5" customHeight="1">
      <c r="A1742" s="2" t="s">
        <v>24</v>
      </c>
      <c r="B1742" s="2" t="s">
        <v>22</v>
      </c>
    </row>
    <row r="1743" spans="1:2" ht="10.5" customHeight="1">
      <c r="A1743" s="2" t="s">
        <v>2150</v>
      </c>
      <c r="B1743" s="2" t="s">
        <v>2110</v>
      </c>
    </row>
    <row r="1744" spans="1:2" ht="10.5" customHeight="1">
      <c r="A1744" s="2" t="s">
        <v>2289</v>
      </c>
      <c r="B1744" s="2" t="s">
        <v>2110</v>
      </c>
    </row>
    <row r="1745" spans="1:2" ht="10.5" customHeight="1">
      <c r="A1745" s="2" t="s">
        <v>1800</v>
      </c>
      <c r="B1745" s="2" t="s">
        <v>22</v>
      </c>
    </row>
    <row r="1746" spans="1:2" ht="10.5" customHeight="1">
      <c r="A1746" s="2" t="s">
        <v>2074</v>
      </c>
      <c r="B1746" s="2" t="s">
        <v>22</v>
      </c>
    </row>
    <row r="1747" spans="1:2" ht="10.5" customHeight="1">
      <c r="A1747" s="2" t="s">
        <v>1504</v>
      </c>
      <c r="B1747" s="2" t="s">
        <v>22</v>
      </c>
    </row>
    <row r="1748" spans="1:2" ht="10.5" customHeight="1">
      <c r="A1748" s="2" t="s">
        <v>1697</v>
      </c>
      <c r="B1748" s="2" t="s">
        <v>22</v>
      </c>
    </row>
    <row r="1749" spans="1:2" ht="10.5" customHeight="1">
      <c r="A1749" s="2" t="s">
        <v>2198</v>
      </c>
      <c r="B1749" s="2" t="s">
        <v>2107</v>
      </c>
    </row>
    <row r="1750" spans="1:2" ht="10.5" customHeight="1">
      <c r="A1750" s="2" t="s">
        <v>1912</v>
      </c>
      <c r="B1750" s="2" t="s">
        <v>115</v>
      </c>
    </row>
    <row r="1751" spans="1:2" ht="10.5" customHeight="1">
      <c r="A1751" s="2" t="s">
        <v>1737</v>
      </c>
      <c r="B1751" s="2" t="s">
        <v>69</v>
      </c>
    </row>
    <row r="1752" spans="1:2" ht="10.5" customHeight="1">
      <c r="A1752" s="2" t="s">
        <v>298</v>
      </c>
      <c r="B1752" s="2" t="s">
        <v>22</v>
      </c>
    </row>
    <row r="1753" spans="1:2" ht="10.5" customHeight="1">
      <c r="A1753" s="2" t="s">
        <v>1467</v>
      </c>
      <c r="B1753" s="2" t="s">
        <v>22</v>
      </c>
    </row>
    <row r="1754" spans="1:2" ht="10.5" customHeight="1">
      <c r="A1754" s="2" t="s">
        <v>838</v>
      </c>
      <c r="B1754" s="2" t="s">
        <v>69</v>
      </c>
    </row>
    <row r="1755" spans="1:2" ht="10.5" customHeight="1">
      <c r="A1755" s="2" t="s">
        <v>1674</v>
      </c>
      <c r="B1755" s="2" t="s">
        <v>69</v>
      </c>
    </row>
    <row r="1756" spans="1:2" ht="10.5" customHeight="1">
      <c r="A1756" s="2" t="s">
        <v>1548</v>
      </c>
      <c r="B1756" s="2" t="s">
        <v>22</v>
      </c>
    </row>
    <row r="1757" spans="1:2" ht="10.5" customHeight="1">
      <c r="A1757" s="2" t="s">
        <v>1881</v>
      </c>
      <c r="B1757" s="2" t="s">
        <v>22</v>
      </c>
    </row>
    <row r="1758" spans="1:2" ht="10.5" customHeight="1">
      <c r="A1758" s="2" t="s">
        <v>1576</v>
      </c>
      <c r="B1758" s="2" t="s">
        <v>22</v>
      </c>
    </row>
    <row r="1759" spans="1:2" ht="10.5" customHeight="1">
      <c r="A1759" s="2" t="s">
        <v>927</v>
      </c>
      <c r="B1759" s="2" t="s">
        <v>22</v>
      </c>
    </row>
    <row r="1760" spans="1:2" ht="10.5" customHeight="1">
      <c r="A1760" s="2" t="s">
        <v>1459</v>
      </c>
      <c r="B1760" s="2" t="s">
        <v>22</v>
      </c>
    </row>
    <row r="1761" spans="1:2" ht="10.5" customHeight="1">
      <c r="A1761" s="2" t="s">
        <v>2215</v>
      </c>
      <c r="B1761" s="2" t="s">
        <v>22</v>
      </c>
    </row>
    <row r="1762" spans="1:2" ht="10.5" customHeight="1">
      <c r="A1762" s="2" t="s">
        <v>1180</v>
      </c>
      <c r="B1762" s="2" t="s">
        <v>22</v>
      </c>
    </row>
    <row r="1763" spans="1:2" ht="10.5" customHeight="1">
      <c r="A1763" s="2" t="s">
        <v>1094</v>
      </c>
      <c r="B1763" s="2" t="s">
        <v>22</v>
      </c>
    </row>
    <row r="1764" spans="1:2" ht="10.5" customHeight="1">
      <c r="A1764" s="2" t="s">
        <v>177</v>
      </c>
      <c r="B1764" s="2" t="s">
        <v>69</v>
      </c>
    </row>
    <row r="1765" spans="1:2" ht="10.5" customHeight="1">
      <c r="A1765" s="2" t="s">
        <v>900</v>
      </c>
      <c r="B1765" s="2" t="s">
        <v>69</v>
      </c>
    </row>
    <row r="1766" spans="1:2" ht="10.5" customHeight="1">
      <c r="A1766" s="2" t="s">
        <v>2044</v>
      </c>
      <c r="B1766" s="2" t="s">
        <v>22</v>
      </c>
    </row>
    <row r="1767" spans="1:2" ht="10.5" customHeight="1">
      <c r="A1767" s="2" t="s">
        <v>1826</v>
      </c>
      <c r="B1767" s="2" t="s">
        <v>22</v>
      </c>
    </row>
    <row r="1768" spans="1:2" ht="10.5" customHeight="1">
      <c r="A1768" s="2" t="s">
        <v>765</v>
      </c>
      <c r="B1768" s="2" t="s">
        <v>22</v>
      </c>
    </row>
    <row r="1769" spans="1:2" ht="10.5" customHeight="1">
      <c r="A1769" s="2" t="s">
        <v>630</v>
      </c>
      <c r="B1769" s="2" t="s">
        <v>22</v>
      </c>
    </row>
    <row r="1770" spans="1:2" ht="10.5" customHeight="1">
      <c r="A1770" s="2" t="s">
        <v>636</v>
      </c>
      <c r="B1770" s="2" t="s">
        <v>22</v>
      </c>
    </row>
    <row r="1771" spans="1:2" ht="10.5" customHeight="1">
      <c r="A1771" s="2" t="s">
        <v>315</v>
      </c>
      <c r="B1771" s="2" t="s">
        <v>22</v>
      </c>
    </row>
    <row r="1772" spans="1:2" ht="10.5" customHeight="1">
      <c r="A1772" s="2" t="s">
        <v>2098</v>
      </c>
      <c r="B1772" s="2" t="s">
        <v>69</v>
      </c>
    </row>
    <row r="1773" spans="1:2" ht="10.5" customHeight="1">
      <c r="A1773" s="2" t="s">
        <v>1437</v>
      </c>
      <c r="B1773" s="2" t="s">
        <v>22</v>
      </c>
    </row>
    <row r="1774" spans="1:2" ht="10.5" customHeight="1">
      <c r="A1774" s="2" t="s">
        <v>723</v>
      </c>
      <c r="B1774" s="2" t="s">
        <v>22</v>
      </c>
    </row>
    <row r="1775" spans="1:2" ht="10.5" customHeight="1">
      <c r="A1775" s="2" t="s">
        <v>1483</v>
      </c>
      <c r="B1775" s="2" t="s">
        <v>69</v>
      </c>
    </row>
    <row r="1776" spans="1:2" ht="10.5" customHeight="1">
      <c r="A1776" s="2" t="s">
        <v>529</v>
      </c>
      <c r="B1776" s="2" t="s">
        <v>22</v>
      </c>
    </row>
    <row r="1777" spans="1:2" ht="10.5" customHeight="1">
      <c r="A1777" s="2" t="s">
        <v>1392</v>
      </c>
      <c r="B1777" s="2" t="s">
        <v>22</v>
      </c>
    </row>
    <row r="1778" spans="1:2" ht="10.5" customHeight="1">
      <c r="A1778" s="2" t="s">
        <v>1763</v>
      </c>
      <c r="B1778" s="2" t="s">
        <v>22</v>
      </c>
    </row>
    <row r="1779" spans="1:2" ht="10.5" customHeight="1">
      <c r="A1779" s="2" t="s">
        <v>1121</v>
      </c>
      <c r="B1779" s="2" t="s">
        <v>22</v>
      </c>
    </row>
    <row r="1780" spans="1:2" ht="10.5" customHeight="1">
      <c r="A1780" s="2" t="s">
        <v>1640</v>
      </c>
      <c r="B1780" s="2" t="s">
        <v>69</v>
      </c>
    </row>
    <row r="1781" spans="1:2" ht="10.5" customHeight="1">
      <c r="A1781" s="2" t="s">
        <v>1766</v>
      </c>
      <c r="B1781" s="2" t="s">
        <v>22</v>
      </c>
    </row>
    <row r="1782" spans="1:2" ht="10.5" customHeight="1">
      <c r="A1782" s="2" t="s">
        <v>258</v>
      </c>
      <c r="B1782" s="2" t="s">
        <v>22</v>
      </c>
    </row>
    <row r="1783" spans="1:2" ht="10.5" customHeight="1">
      <c r="A1783" s="2" t="s">
        <v>1068</v>
      </c>
      <c r="B1783" s="2" t="s">
        <v>22</v>
      </c>
    </row>
    <row r="1784" spans="1:2" ht="10.5" customHeight="1">
      <c r="A1784" s="2" t="s">
        <v>2084</v>
      </c>
      <c r="B1784" s="2" t="s">
        <v>22</v>
      </c>
    </row>
    <row r="1785" spans="1:2" ht="10.5" customHeight="1">
      <c r="A1785" s="2" t="s">
        <v>1664</v>
      </c>
      <c r="B1785" s="2" t="s">
        <v>22</v>
      </c>
    </row>
    <row r="1786" spans="1:2" ht="10.5" customHeight="1">
      <c r="A1786" s="2" t="s">
        <v>2067</v>
      </c>
      <c r="B1786" s="2" t="s">
        <v>22</v>
      </c>
    </row>
    <row r="1787" spans="1:2" ht="10.5" customHeight="1">
      <c r="A1787" s="2" t="s">
        <v>1930</v>
      </c>
      <c r="B1787" s="2" t="s">
        <v>22</v>
      </c>
    </row>
    <row r="1788" spans="1:2" ht="10.5" customHeight="1">
      <c r="A1788" s="2" t="s">
        <v>1957</v>
      </c>
      <c r="B1788" s="2" t="s">
        <v>22</v>
      </c>
    </row>
    <row r="1789" spans="1:2" ht="10.5" customHeight="1">
      <c r="A1789" s="2" t="s">
        <v>1900</v>
      </c>
      <c r="B1789" s="2" t="s">
        <v>115</v>
      </c>
    </row>
    <row r="1790" spans="1:2" ht="10.5" customHeight="1">
      <c r="A1790" s="2" t="s">
        <v>1259</v>
      </c>
      <c r="B1790" s="2" t="s">
        <v>22</v>
      </c>
    </row>
    <row r="1791" spans="1:2" ht="10.5" customHeight="1">
      <c r="A1791" s="2" t="s">
        <v>1878</v>
      </c>
      <c r="B1791" s="2" t="s">
        <v>22</v>
      </c>
    </row>
    <row r="1792" spans="1:2" ht="10.5" customHeight="1">
      <c r="A1792" s="2" t="s">
        <v>2223</v>
      </c>
      <c r="B1792" s="2" t="s">
        <v>2110</v>
      </c>
    </row>
    <row r="1793" spans="1:2" ht="10.5" customHeight="1">
      <c r="A1793" s="2" t="s">
        <v>1471</v>
      </c>
      <c r="B1793" s="2" t="s">
        <v>69</v>
      </c>
    </row>
    <row r="1794" spans="1:2" ht="10.5" customHeight="1">
      <c r="A1794" s="2" t="s">
        <v>1550</v>
      </c>
      <c r="B1794" s="2" t="s">
        <v>22</v>
      </c>
    </row>
    <row r="1795" spans="1:2" ht="10.5" customHeight="1">
      <c r="A1795" s="2" t="s">
        <v>1357</v>
      </c>
      <c r="B1795" s="2" t="s">
        <v>22</v>
      </c>
    </row>
    <row r="1796" spans="1:2" ht="10.5" customHeight="1">
      <c r="A1796" s="2" t="s">
        <v>1335</v>
      </c>
      <c r="B1796" s="2" t="s">
        <v>22</v>
      </c>
    </row>
    <row r="1797" spans="1:2" ht="10.5" customHeight="1">
      <c r="A1797" s="2" t="s">
        <v>176</v>
      </c>
      <c r="B1797" s="2" t="s">
        <v>69</v>
      </c>
    </row>
    <row r="1798" spans="1:2" ht="10.5" customHeight="1">
      <c r="A1798" s="2" t="s">
        <v>2340</v>
      </c>
      <c r="B1798" s="2" t="s">
        <v>2110</v>
      </c>
    </row>
    <row r="1799" spans="1:2" ht="10.5" customHeight="1">
      <c r="A1799" s="2" t="s">
        <v>597</v>
      </c>
      <c r="B1799" s="2" t="s">
        <v>22</v>
      </c>
    </row>
    <row r="1800" spans="1:2" ht="10.5" customHeight="1">
      <c r="A1800" s="2" t="s">
        <v>1209</v>
      </c>
      <c r="B1800" s="2" t="s">
        <v>69</v>
      </c>
    </row>
    <row r="1801" spans="1:2" ht="10.5" customHeight="1">
      <c r="A1801" s="2" t="s">
        <v>1558</v>
      </c>
      <c r="B1801" s="2" t="s">
        <v>22</v>
      </c>
    </row>
    <row r="1802" spans="1:2" ht="10.5" customHeight="1">
      <c r="A1802" s="2" t="s">
        <v>1861</v>
      </c>
      <c r="B1802" s="2" t="s">
        <v>69</v>
      </c>
    </row>
    <row r="1803" spans="1:2" ht="10.5" customHeight="1">
      <c r="A1803" s="2" t="s">
        <v>2181</v>
      </c>
      <c r="B1803" s="2" t="s">
        <v>22</v>
      </c>
    </row>
    <row r="1804" spans="1:2" ht="10.5" customHeight="1">
      <c r="A1804" s="2" t="s">
        <v>933</v>
      </c>
      <c r="B1804" s="2" t="s">
        <v>69</v>
      </c>
    </row>
    <row r="1805" spans="1:2" ht="10.5" customHeight="1">
      <c r="A1805" s="2" t="s">
        <v>393</v>
      </c>
      <c r="B1805" s="2" t="s">
        <v>115</v>
      </c>
    </row>
    <row r="1806" spans="1:2" ht="10.5" customHeight="1">
      <c r="A1806" s="2" t="s">
        <v>982</v>
      </c>
      <c r="B1806" s="2" t="s">
        <v>22</v>
      </c>
    </row>
    <row r="1807" spans="1:2" ht="10.5" customHeight="1">
      <c r="A1807" s="2" t="s">
        <v>1391</v>
      </c>
      <c r="B1807" s="2" t="s">
        <v>22</v>
      </c>
    </row>
    <row r="1808" spans="1:2" ht="10.5" customHeight="1">
      <c r="A1808" s="2" t="s">
        <v>1748</v>
      </c>
      <c r="B1808" s="2" t="s">
        <v>69</v>
      </c>
    </row>
    <row r="1809" spans="1:2" ht="10.5" customHeight="1">
      <c r="A1809" s="2" t="s">
        <v>2082</v>
      </c>
      <c r="B1809" s="2" t="s">
        <v>22</v>
      </c>
    </row>
    <row r="1810" spans="1:2" ht="10.5" customHeight="1">
      <c r="A1810" s="2" t="s">
        <v>1926</v>
      </c>
      <c r="B1810" s="2" t="s">
        <v>22</v>
      </c>
    </row>
    <row r="1811" spans="1:2" ht="10.5" customHeight="1">
      <c r="A1811" s="2" t="s">
        <v>1146</v>
      </c>
      <c r="B1811" s="2" t="s">
        <v>22</v>
      </c>
    </row>
    <row r="1812" spans="1:2" ht="10.5" customHeight="1">
      <c r="A1812" s="2" t="s">
        <v>2148</v>
      </c>
      <c r="B1812" s="2" t="s">
        <v>2110</v>
      </c>
    </row>
    <row r="1813" spans="1:2" ht="10.5" customHeight="1">
      <c r="A1813" s="2" t="s">
        <v>1629</v>
      </c>
      <c r="B1813" s="2" t="s">
        <v>22</v>
      </c>
    </row>
    <row r="1814" spans="1:2" ht="10.5" customHeight="1">
      <c r="A1814" s="2" t="s">
        <v>876</v>
      </c>
      <c r="B1814" s="2" t="s">
        <v>115</v>
      </c>
    </row>
    <row r="1815" spans="1:2" ht="10.5" customHeight="1">
      <c r="A1815" s="2" t="s">
        <v>2251</v>
      </c>
      <c r="B1815" s="2" t="s">
        <v>2110</v>
      </c>
    </row>
    <row r="1816" spans="1:2" ht="10.5" customHeight="1">
      <c r="A1816" s="2" t="s">
        <v>768</v>
      </c>
      <c r="B1816" s="2" t="s">
        <v>22</v>
      </c>
    </row>
    <row r="1817" spans="1:2" ht="10.5" customHeight="1">
      <c r="A1817" s="2" t="s">
        <v>287</v>
      </c>
      <c r="B1817" s="2" t="s">
        <v>22</v>
      </c>
    </row>
    <row r="1818" spans="1:2" ht="10.5" customHeight="1">
      <c r="A1818" s="2" t="s">
        <v>1035</v>
      </c>
      <c r="B1818" s="2" t="s">
        <v>22</v>
      </c>
    </row>
    <row r="1819" spans="1:2" ht="10.5" customHeight="1">
      <c r="A1819" s="2" t="s">
        <v>1441</v>
      </c>
      <c r="B1819" s="2" t="s">
        <v>22</v>
      </c>
    </row>
    <row r="1820" spans="1:2" ht="10.5" customHeight="1">
      <c r="A1820" s="2" t="s">
        <v>1277</v>
      </c>
      <c r="B1820" s="2" t="s">
        <v>22</v>
      </c>
    </row>
    <row r="1821" spans="1:2" ht="10.5" customHeight="1">
      <c r="A1821" s="2" t="s">
        <v>2259</v>
      </c>
      <c r="B1821" s="2" t="s">
        <v>22</v>
      </c>
    </row>
    <row r="1822" spans="1:2" ht="10.5" customHeight="1">
      <c r="A1822" s="2" t="s">
        <v>956</v>
      </c>
      <c r="B1822" s="2" t="s">
        <v>22</v>
      </c>
    </row>
    <row r="1823" spans="1:2" ht="10.5" customHeight="1">
      <c r="A1823" s="2" t="s">
        <v>480</v>
      </c>
      <c r="B1823" s="2" t="s">
        <v>22</v>
      </c>
    </row>
    <row r="1824" spans="1:2" ht="10.5" customHeight="1">
      <c r="A1824" s="2" t="s">
        <v>1151</v>
      </c>
      <c r="B1824" s="2" t="s">
        <v>22</v>
      </c>
    </row>
    <row r="1825" spans="1:2" ht="10.5" customHeight="1">
      <c r="A1825" s="2" t="s">
        <v>1897</v>
      </c>
      <c r="B1825" s="2" t="s">
        <v>22</v>
      </c>
    </row>
    <row r="1826" spans="1:2" ht="10.5" customHeight="1">
      <c r="A1826" s="2" t="s">
        <v>1972</v>
      </c>
      <c r="B1826" s="2" t="s">
        <v>22</v>
      </c>
    </row>
    <row r="1827" spans="1:2" ht="10.5" customHeight="1">
      <c r="A1827" s="2" t="s">
        <v>1510</v>
      </c>
      <c r="B1827" s="2" t="s">
        <v>22</v>
      </c>
    </row>
    <row r="1828" spans="1:2" ht="10.5" customHeight="1">
      <c r="A1828" s="2" t="s">
        <v>675</v>
      </c>
      <c r="B1828" s="2" t="s">
        <v>22</v>
      </c>
    </row>
    <row r="1829" spans="1:2" ht="10.5" customHeight="1">
      <c r="A1829" s="2" t="s">
        <v>2189</v>
      </c>
      <c r="B1829" s="2" t="s">
        <v>22</v>
      </c>
    </row>
    <row r="1830" spans="1:2" ht="10.5" customHeight="1">
      <c r="A1830" s="2" t="s">
        <v>1239</v>
      </c>
      <c r="B1830" s="2" t="s">
        <v>22</v>
      </c>
    </row>
    <row r="1831" spans="1:2" ht="10.5" customHeight="1">
      <c r="A1831" s="2" t="s">
        <v>1587</v>
      </c>
      <c r="B1831" s="2" t="s">
        <v>22</v>
      </c>
    </row>
    <row r="1832" spans="1:2" ht="10.5" customHeight="1">
      <c r="A1832" s="2" t="s">
        <v>837</v>
      </c>
      <c r="B1832" s="2" t="s">
        <v>22</v>
      </c>
    </row>
    <row r="1833" spans="1:2" ht="10.5" customHeight="1">
      <c r="A1833" s="2" t="s">
        <v>1154</v>
      </c>
      <c r="B1833" s="2" t="s">
        <v>22</v>
      </c>
    </row>
    <row r="1834" spans="1:2" ht="10.5" customHeight="1">
      <c r="A1834" s="2" t="s">
        <v>300</v>
      </c>
      <c r="B1834" s="2" t="s">
        <v>22</v>
      </c>
    </row>
    <row r="1835" spans="1:2" ht="10.5" customHeight="1">
      <c r="A1835" s="2" t="s">
        <v>1367</v>
      </c>
      <c r="B1835" s="2" t="s">
        <v>22</v>
      </c>
    </row>
    <row r="1836" spans="1:2" ht="10.5" customHeight="1">
      <c r="A1836" s="2" t="s">
        <v>516</v>
      </c>
      <c r="B1836" s="2" t="s">
        <v>22</v>
      </c>
    </row>
    <row r="1837" spans="1:2" ht="10.5" customHeight="1">
      <c r="A1837" s="2" t="s">
        <v>1962</v>
      </c>
      <c r="B1837" s="2" t="s">
        <v>22</v>
      </c>
    </row>
    <row r="1838" spans="1:2" ht="10.5" customHeight="1">
      <c r="A1838" s="2" t="s">
        <v>2068</v>
      </c>
      <c r="B1838" s="2" t="s">
        <v>115</v>
      </c>
    </row>
    <row r="1839" spans="1:2" ht="10.5" customHeight="1">
      <c r="A1839" s="2" t="s">
        <v>1795</v>
      </c>
      <c r="B1839" s="2" t="s">
        <v>22</v>
      </c>
    </row>
    <row r="1840" spans="1:2" ht="10.5" customHeight="1">
      <c r="A1840" s="2" t="s">
        <v>1683</v>
      </c>
      <c r="B1840" s="2" t="s">
        <v>22</v>
      </c>
    </row>
    <row r="1841" spans="1:2" ht="10.5" customHeight="1">
      <c r="A1841" s="2" t="s">
        <v>1891</v>
      </c>
      <c r="B1841" s="2" t="s">
        <v>22</v>
      </c>
    </row>
    <row r="1842" spans="1:2" ht="10.5" customHeight="1">
      <c r="A1842" s="2" t="s">
        <v>1369</v>
      </c>
      <c r="B1842" s="2" t="s">
        <v>22</v>
      </c>
    </row>
    <row r="1843" spans="1:2" ht="10.5" customHeight="1">
      <c r="A1843" s="2" t="s">
        <v>2279</v>
      </c>
      <c r="B1843" s="2" t="s">
        <v>2110</v>
      </c>
    </row>
    <row r="1844" spans="1:2" ht="10.5" customHeight="1">
      <c r="A1844" s="2" t="s">
        <v>1404</v>
      </c>
      <c r="B1844" s="2" t="s">
        <v>22</v>
      </c>
    </row>
    <row r="1845" spans="1:2" ht="10.5" customHeight="1">
      <c r="A1845" s="2" t="s">
        <v>329</v>
      </c>
      <c r="B1845" s="2" t="s">
        <v>22</v>
      </c>
    </row>
    <row r="1846" spans="1:2" ht="10.5" customHeight="1">
      <c r="A1846" s="2" t="s">
        <v>1920</v>
      </c>
      <c r="B1846" s="2" t="s">
        <v>69</v>
      </c>
    </row>
    <row r="1847" spans="1:2" ht="10.5" customHeight="1">
      <c r="A1847" s="2" t="s">
        <v>2301</v>
      </c>
      <c r="B1847" s="2" t="s">
        <v>22</v>
      </c>
    </row>
    <row r="1848" spans="1:2" ht="10.5" customHeight="1">
      <c r="A1848" s="2" t="s">
        <v>1501</v>
      </c>
      <c r="B1848" s="2" t="s">
        <v>22</v>
      </c>
    </row>
    <row r="1849" spans="1:2" ht="10.5" customHeight="1">
      <c r="A1849" s="2" t="s">
        <v>971</v>
      </c>
      <c r="B1849" s="2" t="s">
        <v>115</v>
      </c>
    </row>
    <row r="1850" spans="1:2" ht="10.5" customHeight="1">
      <c r="A1850" s="2" t="s">
        <v>1368</v>
      </c>
      <c r="B1850" s="2" t="s">
        <v>22</v>
      </c>
    </row>
    <row r="1851" spans="1:2" ht="10.5" customHeight="1">
      <c r="A1851" s="2" t="s">
        <v>1003</v>
      </c>
      <c r="B1851" s="2" t="s">
        <v>69</v>
      </c>
    </row>
    <row r="1852" spans="1:2" ht="10.5" customHeight="1">
      <c r="A1852" s="2" t="s">
        <v>573</v>
      </c>
      <c r="B1852" s="2" t="s">
        <v>69</v>
      </c>
    </row>
    <row r="1853" spans="1:2" ht="10.5" customHeight="1">
      <c r="A1853" s="2" t="s">
        <v>1908</v>
      </c>
      <c r="B1853" s="2" t="s">
        <v>22</v>
      </c>
    </row>
    <row r="1854" spans="1:2" ht="10.5" customHeight="1">
      <c r="A1854" s="2" t="s">
        <v>488</v>
      </c>
      <c r="B1854" s="2" t="s">
        <v>22</v>
      </c>
    </row>
    <row r="1855" spans="1:2" ht="10.5" customHeight="1">
      <c r="A1855" s="2" t="s">
        <v>911</v>
      </c>
      <c r="B1855" s="2" t="s">
        <v>69</v>
      </c>
    </row>
    <row r="1856" spans="1:2" ht="10.5" customHeight="1">
      <c r="A1856" s="2" t="s">
        <v>17</v>
      </c>
      <c r="B1856" s="2" t="s">
        <v>22</v>
      </c>
    </row>
    <row r="1857" spans="1:2" ht="10.5" customHeight="1">
      <c r="A1857" s="2" t="s">
        <v>2022</v>
      </c>
      <c r="B1857" s="2" t="s">
        <v>22</v>
      </c>
    </row>
    <row r="1858" spans="1:2" ht="10.5" customHeight="1">
      <c r="A1858" s="2" t="s">
        <v>697</v>
      </c>
      <c r="B1858" s="2" t="s">
        <v>22</v>
      </c>
    </row>
    <row r="1859" spans="1:2" ht="10.5" customHeight="1">
      <c r="A1859" s="2" t="s">
        <v>2109</v>
      </c>
      <c r="B1859" s="2" t="s">
        <v>2110</v>
      </c>
    </row>
    <row r="1860" spans="1:2" ht="10.5" customHeight="1">
      <c r="A1860" s="2" t="s">
        <v>1574</v>
      </c>
      <c r="B1860" s="2" t="s">
        <v>22</v>
      </c>
    </row>
    <row r="1861" spans="1:2" ht="10.5" customHeight="1">
      <c r="A1861" s="2" t="s">
        <v>2055</v>
      </c>
      <c r="B1861" s="2" t="s">
        <v>22</v>
      </c>
    </row>
    <row r="1862" spans="1:2" ht="10.5" customHeight="1">
      <c r="A1862" s="2" t="s">
        <v>1780</v>
      </c>
      <c r="B1862" s="2" t="s">
        <v>22</v>
      </c>
    </row>
    <row r="1863" spans="1:2" ht="10.5" customHeight="1">
      <c r="A1863" s="2" t="s">
        <v>1628</v>
      </c>
      <c r="B1863" s="2" t="s">
        <v>22</v>
      </c>
    </row>
    <row r="1864" spans="1:2" ht="10.5" customHeight="1">
      <c r="A1864" s="2" t="s">
        <v>1991</v>
      </c>
      <c r="B1864" s="2" t="s">
        <v>22</v>
      </c>
    </row>
    <row r="1865" spans="1:2" ht="10.5" customHeight="1">
      <c r="A1865" s="2" t="s">
        <v>1887</v>
      </c>
      <c r="B1865" s="2" t="s">
        <v>22</v>
      </c>
    </row>
    <row r="1866" spans="1:2" ht="10.5" customHeight="1">
      <c r="A1866" s="2" t="s">
        <v>1757</v>
      </c>
      <c r="B1866" s="2" t="s">
        <v>22</v>
      </c>
    </row>
    <row r="1867" spans="1:2" ht="10.5" customHeight="1">
      <c r="A1867" s="2" t="s">
        <v>1769</v>
      </c>
      <c r="B1867" s="2" t="s">
        <v>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dimension ref="A1:F24"/>
  <sheetViews>
    <sheetView workbookViewId="0"/>
  </sheetViews>
  <sheetFormatPr defaultRowHeight="14.5"/>
  <cols>
    <col min="1" max="2" width="18" customWidth="1"/>
    <col min="3" max="3" width="30" customWidth="1"/>
    <col min="4" max="4" width="42" customWidth="1"/>
    <col min="5" max="5" width="15" customWidth="1"/>
    <col min="6" max="6" width="45" customWidth="1"/>
  </cols>
  <sheetData>
    <row r="1" spans="1:6">
      <c r="A1" s="1" t="s">
        <v>2348</v>
      </c>
      <c r="B1" s="1" t="s">
        <v>2349</v>
      </c>
      <c r="C1" s="1" t="s">
        <v>2350</v>
      </c>
      <c r="D1" s="1" t="s">
        <v>2351</v>
      </c>
      <c r="E1" s="1" t="s">
        <v>2352</v>
      </c>
      <c r="F1" s="1" t="s">
        <v>2353</v>
      </c>
    </row>
    <row r="2" spans="1:6">
      <c r="A2" t="s">
        <v>143</v>
      </c>
      <c r="B2" s="7">
        <v>10000</v>
      </c>
      <c r="C2" t="s">
        <v>2354</v>
      </c>
      <c r="D2" t="s">
        <v>2355</v>
      </c>
      <c r="E2" s="8">
        <v>46106</v>
      </c>
      <c r="F2" t="s">
        <v>2356</v>
      </c>
    </row>
    <row r="3" spans="1:6">
      <c r="A3" t="s">
        <v>99</v>
      </c>
      <c r="B3" s="7">
        <v>10000</v>
      </c>
      <c r="C3" t="s">
        <v>2354</v>
      </c>
      <c r="D3" t="s">
        <v>2355</v>
      </c>
      <c r="E3" s="8">
        <v>46106</v>
      </c>
      <c r="F3" t="s">
        <v>2356</v>
      </c>
    </row>
    <row r="4" spans="1:6">
      <c r="A4" t="s">
        <v>27</v>
      </c>
      <c r="B4" s="7">
        <v>15000</v>
      </c>
      <c r="C4" t="s">
        <v>2354</v>
      </c>
      <c r="D4" t="s">
        <v>2355</v>
      </c>
      <c r="E4" s="8">
        <v>46106</v>
      </c>
      <c r="F4" t="s">
        <v>2356</v>
      </c>
    </row>
    <row r="5" spans="1:6">
      <c r="A5" t="s">
        <v>170</v>
      </c>
      <c r="B5" s="7">
        <v>12000</v>
      </c>
      <c r="C5" t="s">
        <v>2354</v>
      </c>
      <c r="D5" t="s">
        <v>2355</v>
      </c>
      <c r="E5" s="8">
        <v>46106</v>
      </c>
      <c r="F5" t="s">
        <v>2356</v>
      </c>
    </row>
    <row r="6" spans="1:6">
      <c r="A6" t="s">
        <v>32</v>
      </c>
      <c r="B6" s="7">
        <v>20000</v>
      </c>
      <c r="C6" t="s">
        <v>2354</v>
      </c>
      <c r="D6" t="s">
        <v>2355</v>
      </c>
      <c r="E6" s="8">
        <v>46106</v>
      </c>
      <c r="F6" t="s">
        <v>2356</v>
      </c>
    </row>
    <row r="7" spans="1:6">
      <c r="A7" t="s">
        <v>75</v>
      </c>
      <c r="B7" s="7">
        <v>45000</v>
      </c>
      <c r="C7" t="s">
        <v>2357</v>
      </c>
      <c r="D7" t="s">
        <v>2358</v>
      </c>
      <c r="E7" s="8">
        <v>46106</v>
      </c>
      <c r="F7" t="s">
        <v>2359</v>
      </c>
    </row>
    <row r="8" spans="1:6">
      <c r="A8" t="s">
        <v>41</v>
      </c>
      <c r="B8" s="7">
        <v>40000</v>
      </c>
      <c r="C8" t="s">
        <v>2357</v>
      </c>
      <c r="D8" t="s">
        <v>2358</v>
      </c>
      <c r="E8" s="8">
        <v>46106</v>
      </c>
      <c r="F8" t="s">
        <v>2359</v>
      </c>
    </row>
    <row r="9" spans="1:6">
      <c r="A9" t="s">
        <v>20</v>
      </c>
      <c r="B9" s="7">
        <v>10000</v>
      </c>
      <c r="C9" t="s">
        <v>2357</v>
      </c>
      <c r="D9" t="s">
        <v>2358</v>
      </c>
      <c r="E9" s="8">
        <v>46106</v>
      </c>
      <c r="F9" t="s">
        <v>2359</v>
      </c>
    </row>
    <row r="10" spans="1:6">
      <c r="A10" t="s">
        <v>57</v>
      </c>
      <c r="B10" s="7">
        <v>17500</v>
      </c>
      <c r="C10" t="s">
        <v>2357</v>
      </c>
      <c r="D10" t="s">
        <v>2358</v>
      </c>
      <c r="E10" s="8">
        <v>46106</v>
      </c>
      <c r="F10" t="s">
        <v>2359</v>
      </c>
    </row>
    <row r="11" spans="1:6">
      <c r="A11" t="s">
        <v>35</v>
      </c>
      <c r="B11" s="7">
        <v>13500</v>
      </c>
      <c r="C11" t="s">
        <v>2357</v>
      </c>
      <c r="D11" t="s">
        <v>2358</v>
      </c>
      <c r="E11" s="8">
        <v>46106</v>
      </c>
      <c r="F11" t="s">
        <v>2359</v>
      </c>
    </row>
    <row r="12" spans="1:6">
      <c r="A12" t="s">
        <v>80</v>
      </c>
      <c r="B12" s="7">
        <v>15000</v>
      </c>
      <c r="C12" t="s">
        <v>2357</v>
      </c>
      <c r="D12" t="s">
        <v>2358</v>
      </c>
      <c r="E12" s="8">
        <v>46106</v>
      </c>
      <c r="F12" t="s">
        <v>2359</v>
      </c>
    </row>
    <row r="13" spans="1:6">
      <c r="A13" t="s">
        <v>65</v>
      </c>
      <c r="B13" s="7">
        <v>46000</v>
      </c>
      <c r="C13" t="s">
        <v>2357</v>
      </c>
      <c r="D13" t="s">
        <v>2358</v>
      </c>
      <c r="E13" s="8">
        <v>46106</v>
      </c>
      <c r="F13" t="s">
        <v>2359</v>
      </c>
    </row>
    <row r="14" spans="1:6">
      <c r="A14" t="s">
        <v>102</v>
      </c>
      <c r="B14" s="7">
        <v>55000</v>
      </c>
      <c r="C14" t="s">
        <v>2357</v>
      </c>
      <c r="D14" t="s">
        <v>2358</v>
      </c>
      <c r="E14" s="8">
        <v>46106</v>
      </c>
      <c r="F14" t="s">
        <v>2359</v>
      </c>
    </row>
    <row r="15" spans="1:6">
      <c r="A15" t="s">
        <v>161</v>
      </c>
      <c r="B15" s="7">
        <v>115000</v>
      </c>
      <c r="C15" t="s">
        <v>2357</v>
      </c>
      <c r="D15" t="s">
        <v>2358</v>
      </c>
      <c r="E15" s="8">
        <v>46106</v>
      </c>
      <c r="F15" t="s">
        <v>2359</v>
      </c>
    </row>
    <row r="16" spans="1:6">
      <c r="A16" t="s">
        <v>53</v>
      </c>
      <c r="B16" s="7">
        <v>14000</v>
      </c>
      <c r="C16" t="s">
        <v>2360</v>
      </c>
      <c r="D16" t="s">
        <v>2361</v>
      </c>
      <c r="E16" s="8">
        <v>46106</v>
      </c>
      <c r="F16" t="s">
        <v>2362</v>
      </c>
    </row>
    <row r="17" spans="1:6">
      <c r="A17" t="s">
        <v>182</v>
      </c>
      <c r="B17" s="7">
        <v>11000</v>
      </c>
      <c r="C17" t="s">
        <v>2360</v>
      </c>
      <c r="D17" t="s">
        <v>2361</v>
      </c>
      <c r="E17" s="8">
        <v>46106</v>
      </c>
      <c r="F17" t="s">
        <v>2363</v>
      </c>
    </row>
    <row r="18" spans="1:6">
      <c r="A18" t="s">
        <v>95</v>
      </c>
      <c r="B18" s="7">
        <v>9500</v>
      </c>
      <c r="C18" t="s">
        <v>2360</v>
      </c>
      <c r="D18" t="s">
        <v>2361</v>
      </c>
      <c r="E18" s="8">
        <v>46106</v>
      </c>
      <c r="F18" t="s">
        <v>2362</v>
      </c>
    </row>
    <row r="19" spans="1:6">
      <c r="A19" t="s">
        <v>45</v>
      </c>
      <c r="B19" s="7">
        <v>10500</v>
      </c>
      <c r="C19" t="s">
        <v>2360</v>
      </c>
      <c r="D19" t="s">
        <v>2361</v>
      </c>
      <c r="E19" s="8">
        <v>46106</v>
      </c>
      <c r="F19" t="s">
        <v>2362</v>
      </c>
    </row>
    <row r="20" spans="1:6">
      <c r="A20" t="s">
        <v>49</v>
      </c>
      <c r="B20" s="7">
        <v>26000</v>
      </c>
      <c r="C20" t="s">
        <v>2360</v>
      </c>
      <c r="D20" t="s">
        <v>2361</v>
      </c>
      <c r="E20" s="8">
        <v>46106</v>
      </c>
      <c r="F20" t="s">
        <v>2363</v>
      </c>
    </row>
    <row r="21" spans="1:6">
      <c r="A21" t="s">
        <v>190</v>
      </c>
      <c r="B21" s="7">
        <v>15500</v>
      </c>
      <c r="C21" t="s">
        <v>2360</v>
      </c>
      <c r="D21" t="s">
        <v>2361</v>
      </c>
      <c r="E21" s="8">
        <v>46106</v>
      </c>
      <c r="F21" t="s">
        <v>2362</v>
      </c>
    </row>
    <row r="23" spans="1:6">
      <c r="A23" s="9" t="s">
        <v>2353</v>
      </c>
    </row>
    <row r="24" spans="1:6">
      <c r="A24" s="14" t="s">
        <v>2364</v>
      </c>
      <c r="B24" s="15"/>
      <c r="C24" s="15"/>
      <c r="D24" s="15"/>
      <c r="E24" s="15"/>
      <c r="F24" s="15"/>
    </row>
  </sheetData>
  <mergeCells count="1">
    <mergeCell ref="A24:F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Data_Raw</vt:lpstr>
      <vt:lpstr>Dashboard</vt:lpstr>
      <vt:lpstr>Pivot_Analysis</vt:lpstr>
      <vt:lpstr>Status</vt:lpstr>
      <vt:lpstr>Referensi Harga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elshita</cp:lastModifiedBy>
  <dcterms:created xsi:type="dcterms:W3CDTF">2026-03-25T03:40:58Z</dcterms:created>
  <dcterms:modified xsi:type="dcterms:W3CDTF">2026-09-01T11:55:47Z</dcterms:modified>
</cp:coreProperties>
</file>